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duan" state="visible" r:id="rId4"/>
    <sheet sheetId="2" name="Parameter" state="visible" r:id="rId5"/>
    <sheet sheetId="3" name="Aset Tetap" state="visible" r:id="rId6"/>
    <sheet sheetId="4" name="Aset Takberwujud" state="visible" r:id="rId7"/>
    <sheet sheetId="5" name="Jadwal Bulanan" state="visible" r:id="rId8"/>
    <sheet sheetId="6" name="Rekap &amp; Jurnal" state="visible" r:id="rId9"/>
  </sheets>
  <definedNames>
    <definedName name="NamaPerusahaan">Parameter!$C$3</definedName>
    <definedName name="TahunBuku">Parameter!$C$5</definedName>
    <definedName name="TarifPPh">Parameter!$C$6</definedName>
    <definedName name="Kel_Nama">Parameter!$B$12:$B$19</definedName>
    <definedName name="Kel_Masa">Parameter!$D$12:$D$19</definedName>
    <definedName name="Kat_Nama">Parameter!$B$23:$B$42</definedName>
    <definedName name="Kat_Umur">Parameter!$D$23:$D$42</definedName>
    <definedName name="Kat_Metode">Parameter!$E$23:$E$42</definedName>
    <definedName name="Kat_Kelompok">Parameter!$F$23:$F$42</definedName>
    <definedName name="Kat_AkunBeban">Parameter!$G$23:$G$42</definedName>
    <definedName name="Kat_AkunAkum">Parameter!$H$23:$H$42</definedName>
    <definedName name="L_KatAT">Parameter!$B$23:$B$32</definedName>
    <definedName name="L_KatATB">Parameter!$B$33:$B$42</definedName>
    <definedName name="L_MetodeAT">Parameter!$J$12:$J$15</definedName>
    <definedName name="L_MetodeATB">Parameter!$K$12:$K$15</definedName>
    <definedName name="L_MetodeFis">Parameter!$L$12:$L$14</definedName>
  </definedNames>
  <calcPr calcId="171027" fullCalcOnLoad="1"/>
</workbook>
</file>

<file path=xl/sharedStrings.xml><?xml version="1.0" encoding="utf-8"?>
<sst xmlns="http://schemas.openxmlformats.org/spreadsheetml/2006/main" count="431" uniqueCount="256">
  <si>
    <t>PANDUAN TEMPLATE PENYUSUTAN &amp; AMORTISASI</t>
  </si>
  <si>
    <t>KAP Sutrisno Hendrawanto Sukardi dan Rekan · dibuat dari SHSDesk Penyusutan &amp; Amortisasi</t>
  </si>
  <si>
    <t>1. DASAR REGULASI</t>
  </si>
  <si>
    <t>PSAK 216 – Aset Tetap</t>
  </si>
  <si>
    <t>Pengakuan, pengukuran, penyusutan sistematis selama umur manfaat; nilai residu, umur &amp; metode ditelaah minimal tiap akhir tahun (perubahan = perubahan estimasi, prospektif – PSAK 208).</t>
  </si>
  <si>
    <t>PSAK 238 – Aset Takberwujud</t>
  </si>
  <si>
    <t>ATB umur terbatas diamortisasi (nilai residu umumnya nol); ATB umur tidak terbatas &amp; goodwill tidak diamortisasi, diuji penurunan nilai tiap tahun (PSAK 236).</t>
  </si>
  <si>
    <t>PSAK 212 – Pajak Penghasilan</t>
  </si>
  <si>
    <t>Selisih nilai buku komersial vs nilai sisa buku fiskal = beda temporer → aset/liabilitas pajak tangguhan.</t>
  </si>
  <si>
    <t>UU PPh Pasal 11 &amp; 11A s.t.d.d. UU HPP (UU 7/2021)</t>
  </si>
  <si>
    <t>Penyusutan harta berwujud &amp; amortisasi harta tak berwujud; kelompok 1–4 (4/8/16/20 th), bangunan permanen 20 th / tidak permanen 10 th (garis lurus); WP dapat memakai masa manfaat sebenarnya bila &gt; ketentuan (bangunan permanen &amp; HTB).</t>
  </si>
  <si>
    <t>PMK 72 Tahun 2023</t>
  </si>
  <si>
    <t>Jenis harta per kelompok, saat dimulainya penyusutan (bulan perolehan/pengerjaan selesai), dan tata cara penyusutan/amortisasi.</t>
  </si>
  <si>
    <t>2. LANGKAH PENGGUNAAN</t>
  </si>
  <si>
    <t>Langkah 1 – Parameter</t>
  </si>
  <si>
    <t>Isi nama perusahaan, NPWP, Tahun Buku, dan tarif PPh. Sesuaikan tabel kategori (umur default, metode default, kelompok fiskal default, nama akun).</t>
  </si>
  <si>
    <t>Langkah 2 – Register Aset Tetap / Aset Takberwujud</t>
  </si>
  <si>
    <t>Isi kolom B–R (latar kuning). Kolom I, J, N, P boleh dikosongkan → otomatis memakai default kategori. Unit Produksi: isi kolom K–M. Pelepasan/penjualan: isi kolom Q &amp; R.</t>
  </si>
  <si>
    <t>Langkah 3 – Cek Validasi</t>
  </si>
  <si>
    <t>Kolom BH harus 'OK'. Pesan lain menandakan input belum lengkap/tidak sesuai ketentuan (mis. bangunan dengan saldo menurun).</t>
  </si>
  <si>
    <t>Langkah 4 – Jadwal Bulanan</t>
  </si>
  <si>
    <t>Beban per bulan terisi otomatis untuk jurnal bulanan; kolom Selisih harus 0.</t>
  </si>
  <si>
    <t>Langkah 5 – Rekap &amp; Jurnal</t>
  </si>
  <si>
    <t>Rekap komersial per kategori, rekap fiskal per kelompok (dasar Lampiran Khusus 1A SPT 1771), koreksi fiskal, pajak tangguhan, dan draf jurnal.</t>
  </si>
  <si>
    <t>Unggah ke sistem</t>
  </si>
  <si>
    <t>Workbook ini dapat diunggah kembali ke SHSDesk Penyusutan &amp; Amortisasi (tombol Unggah Excel).</t>
  </si>
  <si>
    <t>3. METODE &amp; KONVENSI PERHITUNGAN</t>
  </si>
  <si>
    <t>Konvensi bulan</t>
  </si>
  <si>
    <t>Penyusutan/amortisasi dimulai pada bulan perolehan (bulan penuh) dan dihitung sampai dengan bulan pelepasan.</t>
  </si>
  <si>
    <t>Garis Lurus</t>
  </si>
  <si>
    <t>Komersial: (Harga Perolehan − Nilai Residu) ÷ (Umur × 12) per bulan. Fiskal: Harga Perolehan × tarif garis lurus (nilai sisa nol).</t>
  </si>
  <si>
    <t>Saldo Menurun</t>
  </si>
  <si>
    <t>Tarif = 2 ÷ umur (fiskal: 50%/25%/12,5%/10%). Tahun pertama proporsional bulan. Pada tahun berakhirnya masa manfaat, sisa nilai buku disusutkan sekaligus (fiskal) / sampai nilai residu (komersial). Tidak boleh untuk bangunan (fiskal).</t>
  </si>
  <si>
    <t>Unit Produksi</t>
  </si>
  <si>
    <t>Komersial saja: (Harga Perolehan − Nilai Residu) × Unit Tahun Berjalan ÷ Total Kapasitas. Fiskal tetap memakai garis lurus/saldo menurun.</t>
  </si>
  <si>
    <t>Pelepasan</t>
  </si>
  <si>
    <t>Laba/(rugi) = Nilai Pelepasan − Nilai Buku saat dilepas, dihitung terpisah komersial &amp; fiskal (Pasal 11 ayat 8 UU PPh); selisihnya menjadi koreksi fiskal.</t>
  </si>
  <si>
    <t>Koreksi fiskal</t>
  </si>
  <si>
    <t>(+) Koreksi positif bila beban komersial &gt; fiskal; (−) koreksi negatif bila sebaliknya.</t>
  </si>
  <si>
    <t>4. KODE WARNA</t>
  </si>
  <si>
    <t>Teks biru / latar kuning</t>
  </si>
  <si>
    <t>Input yang diisi pengguna</t>
  </si>
  <si>
    <t>Teks hitam</t>
  </si>
  <si>
    <t>Formula otomatis – jangan ditimpa</t>
  </si>
  <si>
    <t>Kolom abu-abu (Y:AK)</t>
  </si>
  <si>
    <t>Kolom bantu perhitungan (dikelompokkan; klik −/+ untuk menyembunyikan/menampilkan)</t>
  </si>
  <si>
    <t>5. BATASAN</t>
  </si>
  <si>
    <t>Catatan</t>
  </si>
  <si>
    <t>Template tidak menghitung revaluasi (model revaluasi PSAK 216), rugi penurunan nilai (PSAK 236), aset hak guna (PSAK 116), maupun fasilitas/ketentuan khusus sektor tertentu. Kapasitas 200 baris per register. Hasil perlu ditelaah oleh akuntan/konsultan pajak.</t>
  </si>
  <si>
    <t>PARAMETER &amp; TABEL REFERENSI</t>
  </si>
  <si>
    <t>Nama Perusahaan</t>
  </si>
  <si>
    <t>NPWP</t>
  </si>
  <si>
    <t/>
  </si>
  <si>
    <t>Tahun Buku</t>
  </si>
  <si>
    <t>Ubah tahun ini → seluruh perhitungan otomatis diperbarui</t>
  </si>
  <si>
    <t>Tarif PPh Badan</t>
  </si>
  <si>
    <t>Pasal 17 ayat (1) huruf b UU PPh s.t.d.d. UU HPP (fasilitas Pasal 31E tidak diperhitungkan)</t>
  </si>
  <si>
    <t>Awal Periode</t>
  </si>
  <si>
    <t>Akhir Periode</t>
  </si>
  <si>
    <t>A. KELOMPOK HARTA FISKAL (UU PPh Pasal 11 &amp; 11A s.t.d.d. UU HPP; PMK 72 Tahun 2023)</t>
  </si>
  <si>
    <t>C. DAFTAR PILIHAN (DROPDOWN)</t>
  </si>
  <si>
    <t>Kelompok Harta</t>
  </si>
  <si>
    <t>Jenis Harta</t>
  </si>
  <si>
    <t>Masa Manfaat (Tahun)</t>
  </si>
  <si>
    <t>Tarif Garis Lurus</t>
  </si>
  <si>
    <t>Tarif Saldo Menurun</t>
  </si>
  <si>
    <t>Keterangan</t>
  </si>
  <si>
    <t>Metode Komersial - Aset Tetap</t>
  </si>
  <si>
    <t>Metode Komersial - ATB</t>
  </si>
  <si>
    <t>Metode Fiskal</t>
  </si>
  <si>
    <t>Kelompok 1</t>
  </si>
  <si>
    <t>Bukan bangunan / HTB</t>
  </si>
  <si>
    <t>Pasal 11 ayat (6) &amp; Pasal 11A ayat (2)</t>
  </si>
  <si>
    <t>Kelompok 2</t>
  </si>
  <si>
    <t>Kelompok 3</t>
  </si>
  <si>
    <t>Tidak Disusutkan</t>
  </si>
  <si>
    <t>Kelompok 4</t>
  </si>
  <si>
    <t>Tidak Diamortisasi</t>
  </si>
  <si>
    <t>Bangunan Permanen</t>
  </si>
  <si>
    <t>Bangunan</t>
  </si>
  <si>
    <t>Wajib garis lurus; dapat &gt; 20 th sesuai masa manfaat sebenarnya (UU HPP)</t>
  </si>
  <si>
    <t>Bangunan Tidak Permanen</t>
  </si>
  <si>
    <t>Wajib garis lurus</t>
  </si>
  <si>
    <t>Masa Manfaat Sebenarnya</t>
  </si>
  <si>
    <t>Bangunan permanen / HTB &gt; 20 th</t>
  </si>
  <si>
    <t>Isi kolom 'Masa Manfaat Fiskal Sebenarnya' pada register (UU HPP)</t>
  </si>
  <si>
    <t>Tanah / harta tidak disusutkan</t>
  </si>
  <si>
    <t>Tanah hak milik/HGB tidak disusutkan (kecuali tanah untuk usaha tertentu)</t>
  </si>
  <si>
    <t>B. KATEGORI ASET (KOMERSIAL – PSAK 216 / PSAK 238) &amp; DEFAULT PENGISIAN OTOMATIS</t>
  </si>
  <si>
    <t>Kategori</t>
  </si>
  <si>
    <t>Jenis</t>
  </si>
  <si>
    <t>Umur Ekonomis Default (Tahun)</t>
  </si>
  <si>
    <t>Metode Komersial Default</t>
  </si>
  <si>
    <t>Kelompok Fiskal Default</t>
  </si>
  <si>
    <t>Akun Beban</t>
  </si>
  <si>
    <t>Akun Akumulasi</t>
  </si>
  <si>
    <t>Tanah</t>
  </si>
  <si>
    <t>Aset Tetap</t>
  </si>
  <si>
    <t>-</t>
  </si>
  <si>
    <t>Beban Penyusutan - Bangunan</t>
  </si>
  <si>
    <t>Akumulasi Penyusutan - Bangunan</t>
  </si>
  <si>
    <t>Kendaraan</t>
  </si>
  <si>
    <t>Beban Penyusutan - Kendaraan</t>
  </si>
  <si>
    <t>Akumulasi Penyusutan - Kendaraan</t>
  </si>
  <si>
    <t>Mesin &amp; Peralatan</t>
  </si>
  <si>
    <t>Beban Penyusutan - Mesin &amp; Peralatan</t>
  </si>
  <si>
    <t>Akumulasi Penyusutan - Mesin &amp; Peralatan</t>
  </si>
  <si>
    <t>Komputer &amp; IT</t>
  </si>
  <si>
    <t>Beban Penyusutan - Komputer &amp; IT</t>
  </si>
  <si>
    <t>Akumulasi Penyusutan - Komputer &amp; IT</t>
  </si>
  <si>
    <t>Inventaris Kantor</t>
  </si>
  <si>
    <t>Beban Penyusutan - Inventaris Kantor</t>
  </si>
  <si>
    <t>Akumulasi Penyusutan - Inventaris Kantor</t>
  </si>
  <si>
    <t>Perangkat Lunak</t>
  </si>
  <si>
    <t>Aset Takberwujud</t>
  </si>
  <si>
    <t>Beban Amortisasi - Perangkat Lunak</t>
  </si>
  <si>
    <t>Akumulasi Amortisasi - Perangkat Lunak</t>
  </si>
  <si>
    <t>Lisensi &amp; Waralaba</t>
  </si>
  <si>
    <t>Beban Amortisasi - Lisensi &amp; Waralaba</t>
  </si>
  <si>
    <t>Akumulasi Amortisasi - Lisensi &amp; Waralaba</t>
  </si>
  <si>
    <t>Hak Paten</t>
  </si>
  <si>
    <t>Beban Amortisasi - Hak Paten</t>
  </si>
  <si>
    <t>Akumulasi Amortisasi - Hak Paten</t>
  </si>
  <si>
    <t>Merek Dagang</t>
  </si>
  <si>
    <t>Beban Amortisasi - Merek Dagang</t>
  </si>
  <si>
    <t>Akumulasi Amortisasi - Merek Dagang</t>
  </si>
  <si>
    <t>Goodwill</t>
  </si>
  <si>
    <t>Beban Amortisasi - Goodwill</t>
  </si>
  <si>
    <t>Akumulasi Amortisasi - Goodwill</t>
  </si>
  <si>
    <t>Baris kosong dapat diisi kategori tambahan. Umur 0 + 'Tidak Disusutkan/Diamortisasi' = tidak disusutkan (mis. tanah, ATB umur tidak terbatas – diuji penurunan nilai PSAK 236).</t>
  </si>
  <si>
    <t>REGISTER ASET TETAP</t>
  </si>
  <si>
    <t>Teks biru/latar kuning = input. Teks hitam = formula otomatis (jangan diubah). Kolom Y:AK = kolom bantu (dikelompokkan, dapat diciutkan dengan tombol −/+).</t>
  </si>
  <si>
    <t>INPUT DATA ASET</t>
  </si>
  <si>
    <t>PARAMETER EFEKTIF (OTOMATIS)</t>
  </si>
  <si>
    <t>KOLOM BANTU PERHITUNGAN</t>
  </si>
  <si>
    <t>KOMERSIAL (PSAK 216)</t>
  </si>
  <si>
    <t>FISKAL (UU PPh)</t>
  </si>
  <si>
    <t>REKONSILIASI FISKAL &amp; PAJAK TANGGUHAN (PSAK 212)</t>
  </si>
  <si>
    <t>No</t>
  </si>
  <si>
    <t>Kode Aset</t>
  </si>
  <si>
    <t>Nama Aset</t>
  </si>
  <si>
    <t>Lokasi / Departemen</t>
  </si>
  <si>
    <t>Tanggal Perolehan</t>
  </si>
  <si>
    <t>Harga Perolehan (Rp)</t>
  </si>
  <si>
    <t>Nilai Residu Komersial (Rp)</t>
  </si>
  <si>
    <t>Metode Komersial (kosong = default)</t>
  </si>
  <si>
    <t>Umur Ekonomis Komersial (Th) (kosong = default)</t>
  </si>
  <si>
    <t>Total Kapasitas Unit (khusus Unit Produksi)</t>
  </si>
  <si>
    <t>Akum. Unit s.d. Tahun Lalu</t>
  </si>
  <si>
    <t>Unit Tahun Berjalan</t>
  </si>
  <si>
    <t>Kelompok Fiskal (kosong = default)</t>
  </si>
  <si>
    <t>Masa Manfaat Fiskal Sebenarnya (Th)</t>
  </si>
  <si>
    <t>Metode Fiskal (kosong = default)</t>
  </si>
  <si>
    <t>Tanggal Pelepasan / Penjualan</t>
  </si>
  <si>
    <t>Nilai Pelepasan / Harga Jual (Rp)</t>
  </si>
  <si>
    <t>Metode Komersial</t>
  </si>
  <si>
    <t>Umur Komersial (Th)</t>
  </si>
  <si>
    <t>Kelompok Fiskal</t>
  </si>
  <si>
    <t>Masa Manfaat Fiskal (Th)</t>
  </si>
  <si>
    <t>Status</t>
  </si>
  <si>
    <t>Idx Bulan Perolehan</t>
  </si>
  <si>
    <t>Idx Bulan Pelepasan</t>
  </si>
  <si>
    <t>Flag Dimiliki Awal Thn</t>
  </si>
  <si>
    <t>Flag Perolehan Thn Ini</t>
  </si>
  <si>
    <t>Flag Pelepasan Thn Ini</t>
  </si>
  <si>
    <t>NB Komersial Teoretis Akhir Thn Lalu</t>
  </si>
  <si>
    <t>NB Komersial Teoretis Akhir Thn Ini</t>
  </si>
  <si>
    <t>Bulan Aktif Komersial</t>
  </si>
  <si>
    <t>Bulan Aktif Komersial s.d. Pelepasan</t>
  </si>
  <si>
    <t>NSB Fiskal Teoretis Akhir Thn Lalu</t>
  </si>
  <si>
    <t>NSB Fiskal Teoretis Akhir Thn Ini</t>
  </si>
  <si>
    <t>Bulan Aktif Fiskal</t>
  </si>
  <si>
    <t>Bulan Aktif Fiskal s.d. Pelepasan</t>
  </si>
  <si>
    <t>Harga Perolehan Awal Tahun</t>
  </si>
  <si>
    <t>Penambahan</t>
  </si>
  <si>
    <t>Pengurangan (Pelepasan)</t>
  </si>
  <si>
    <t>Harga Perolehan Akhir Tahun</t>
  </si>
  <si>
    <t>Akum. Penyusutan Awal Tahun</t>
  </si>
  <si>
    <t>Beban Penyusutan Tahun Berjalan</t>
  </si>
  <si>
    <t>Akum. Penyusutan atas Pelepasan</t>
  </si>
  <si>
    <t>Akum. Penyusutan Akhir Tahun</t>
  </si>
  <si>
    <t>Nilai Buku Akhir Tahun</t>
  </si>
  <si>
    <t>Laba / (Rugi) Pelepasan Komersial</t>
  </si>
  <si>
    <t>Akum. Penyusutan Fiskal Awal Tahun</t>
  </si>
  <si>
    <t>Penyusutan Fiskal Tahun Berjalan</t>
  </si>
  <si>
    <t>Akum. Fiskal atas Pelepasan</t>
  </si>
  <si>
    <t>Akum. Penyusutan Fiskal Akhir Tahun</t>
  </si>
  <si>
    <t>Nilai Sisa Buku Fiskal Akhir Tahun</t>
  </si>
  <si>
    <t>Laba / (Rugi) Pelepasan Fiskal</t>
  </si>
  <si>
    <t>Koreksi Fiskal Penyusutan (+/−)</t>
  </si>
  <si>
    <t>Koreksi Fiskal Laba/Rugi Pelepasan (+/−)</t>
  </si>
  <si>
    <t>Total Koreksi Fiskal (+/−)</t>
  </si>
  <si>
    <t>Beda Temporer Awal Tahun (NB Kom − NSB Fis)</t>
  </si>
  <si>
    <t>Beda Temporer Akhir Tahun (NB Kom − NSB Fis)</t>
  </si>
  <si>
    <t>Pajak Tangguhan Akhir (+ Liabilitas / − Aset)</t>
  </si>
  <si>
    <t>Cek Validasi</t>
  </si>
  <si>
    <t>TOTAL</t>
  </si>
  <si>
    <t>REGISTER ASET TAKBERWUJUD</t>
  </si>
  <si>
    <t>KOMERSIAL (PSAK 238)</t>
  </si>
  <si>
    <t>JADWAL PENYUSUTAN &amp; AMORTISASI BULANAN (KOMERSIAL)</t>
  </si>
  <si>
    <t>A. BEBAN PENYUSUTAN ASET TETAP PER BULAN (PSAK 216)</t>
  </si>
  <si>
    <t>Total Jadwal</t>
  </si>
  <si>
    <t>Beban per Register</t>
  </si>
  <si>
    <t>Selisih (harus 0)</t>
  </si>
  <si>
    <t>B. BEBAN AMORTISASI ASET TAKBERWUJUD PER BULAN (PSAK 238)</t>
  </si>
  <si>
    <t>REKAP PENYUSUTAN &amp; AMORTISASI, REKONSILIASI FISKAL, PAJAK TANGGUHAN &amp; JURNAL</t>
  </si>
  <si>
    <t>A. REKAP ASET TETAP – KOMERSIAL (PSAK 216)</t>
  </si>
  <si>
    <t>Harga Perolehan Awal</t>
  </si>
  <si>
    <t>Pengurangan</t>
  </si>
  <si>
    <t>Harga Perolehan Akhir</t>
  </si>
  <si>
    <t>Akum. Penyusutan Awal</t>
  </si>
  <si>
    <t>Beban Penyusutan</t>
  </si>
  <si>
    <t>Akum. atas Pelepasan</t>
  </si>
  <si>
    <t>Akum. Penyusutan Akhir</t>
  </si>
  <si>
    <t>Nilai Buku Akhir</t>
  </si>
  <si>
    <t>B. REKAP ASET TAKBERWUJUD – KOMERSIAL (PSAK 238)</t>
  </si>
  <si>
    <t>Akum. Amortisasi Awal</t>
  </si>
  <si>
    <t>Beban Amortisasi</t>
  </si>
  <si>
    <t>Akum. Amortisasi Akhir</t>
  </si>
  <si>
    <t>C. REKAP PENYUSUTAN &amp; AMORTISASI FISKAL PER KELOMPOK (dasar Lampiran Khusus 1A SPT 1771)</t>
  </si>
  <si>
    <t>Nilai Sisa Buku Fiskal Awal Tahun</t>
  </si>
  <si>
    <t>Penyusutan Fiskal – Garis Lurus</t>
  </si>
  <si>
    <t>Penyusutan Fiskal – Saldo Menurun</t>
  </si>
  <si>
    <t>Total Penyusutan / Amortisasi Fiskal</t>
  </si>
  <si>
    <t>Harta Berwujud</t>
  </si>
  <si>
    <t>Harta Tak Berwujud</t>
  </si>
  <si>
    <t>D. REKONSILIASI FISKAL &amp; PAJAK TANGGUHAN (PSAK 212)</t>
  </si>
  <si>
    <t>Uraian</t>
  </si>
  <si>
    <t>Total</t>
  </si>
  <si>
    <t>Beban penyusutan/amortisasi komersial</t>
  </si>
  <si>
    <t>Penyusutan/amortisasi fiskal</t>
  </si>
  <si>
    <t>Koreksi fiskal penyusutan/amortisasi (+/−)</t>
  </si>
  <si>
    <t>Laba/(rugi) pelepasan aset – komersial</t>
  </si>
  <si>
    <t>Laba/(rugi) pelepasan aset – fiskal</t>
  </si>
  <si>
    <t>Koreksi fiskal laba/(rugi) pelepasan (+/−)</t>
  </si>
  <si>
    <t>TOTAL KOREKSI FISKAL (+ positif / − negatif)</t>
  </si>
  <si>
    <t>Sifat koreksi pada SPT</t>
  </si>
  <si>
    <t>Beda temporer awal tahun (NB komersial − NSB fiskal)</t>
  </si>
  <si>
    <t>Beda temporer akhir tahun (NB komersial − NSB fiskal)</t>
  </si>
  <si>
    <t>Liabilitas / (Aset) pajak tangguhan awal tahun</t>
  </si>
  <si>
    <t>Liabilitas / (Aset) pajak tangguhan akhir tahun</t>
  </si>
  <si>
    <t>Beban / (Manfaat) pajak tangguhan tahun berjalan</t>
  </si>
  <si>
    <t>Penyajian di laporan posisi keuangan</t>
  </si>
  <si>
    <t>E. DRAF JURNAL PENYESUAIAN AKHIR TAHUN</t>
  </si>
  <si>
    <t>Akun Debit</t>
  </si>
  <si>
    <t>Akun Kredit</t>
  </si>
  <si>
    <t>Jumlah (Rp)</t>
  </si>
  <si>
    <t>TOTAL JURNAL PENYUSUTAN &amp; AMORTISASI</t>
  </si>
  <si>
    <t>Cek: selisih dengan total beban komersial (harus 0)</t>
  </si>
  <si>
    <t>Pajak Tangguhan</t>
  </si>
  <si>
    <t>Catatan: jurnal pelepasan aset (penghapusan harga perolehan &amp; akumulasi, laba/rugi) per transaksi disajikan pada bagian F.</t>
  </si>
  <si>
    <t>F. DRAF JURNAL PELEPASAN ASET</t>
  </si>
  <si>
    <t>Akun</t>
  </si>
  <si>
    <t>Debit (Rp)</t>
  </si>
  <si>
    <t>Kredit (Rp)</t>
  </si>
  <si>
    <t>Tidak ada pelepasan aset pada tahun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</si>
</sst>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-mmm-yyyy"/>
    <numFmt numFmtId="165" formatCode="0.00%;-0.00%;&quot;-&quot;"/>
    <numFmt numFmtId="166" formatCode="#,##0;(#,##0);&quot;-&quot;"/>
    <numFmt numFmtId="167" formatCode="#,##0;(#,##0);&quot;&quot;"/>
  </numFmts>
  <fonts count="10" x14ac:knownFonts="1">
    <font>
      <color theme="1"/>
      <family val="2"/>
      <scheme val="minor"/>
      <sz val="11"/>
      <name val="Calibri"/>
    </font>
    <font>
      <b/>
      <color rgb="FF1D5C86"/>
      <sz val="14"/>
    </font>
    <font>
      <i/>
      <color rgb="FF5A6878"/>
      <sz val="9"/>
    </font>
    <font>
      <b/>
      <color rgb="FF1D5C86"/>
    </font>
    <font>
      <b/>
    </font>
    <font>
      <b/>
      <color rgb="FF0000FF"/>
    </font>
    <font>
      <color rgb="FF0000FF"/>
      <sz val="10"/>
    </font>
    <font>
      <b/>
      <color rgb="FF1D5C86"/>
      <sz val="10"/>
    </font>
    <font>
      <b/>
      <color rgb="FFFFFFFF"/>
      <sz val="9"/>
    </font>
    <font>
      <b/>
      <color rgb="FF1D5C86"/>
      <sz val="9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1D5C86"/>
      </patternFill>
    </fill>
    <fill>
      <patternFill patternType="solid">
        <fgColor rgb="FFE1ECF4"/>
      </patternFill>
    </fill>
    <fill>
      <patternFill patternType="solid">
        <fgColor rgb="FFEAEEF2"/>
      </patternFill>
    </fill>
  </fills>
  <borders count="3">
    <border>
      <left/>
      <right/>
      <top/>
      <bottom/>
      <diagonal/>
    </border>
    <border>
      <left style="thin">
        <color rgb="FFD5DCE3"/>
      </left>
      <right style="thin">
        <color rgb="FFD5DCE3"/>
      </right>
      <top style="thin">
        <color rgb="FFD5DCE3"/>
      </top>
      <bottom style="thin">
        <color rgb="FFD5DCE3"/>
      </bottom>
      <diagonal/>
    </border>
    <border>
      <left/>
      <right/>
      <top style="thin"/>
      <bottom style="double"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2" borderId="0" xfId="0" applyFont="1" applyFill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4" fillId="0" borderId="0" xfId="0" applyFont="1"/>
    <xf numFmtId="0" fontId="6" fillId="2" borderId="1" xfId="0" applyFont="1" applyFill="1" applyBorder="1"/>
    <xf numFmtId="10" fontId="6" fillId="2" borderId="1" xfId="0" applyNumberFormat="1" applyFont="1" applyFill="1" applyBorder="1"/>
    <xf numFmtId="164" fontId="0" fillId="0" borderId="0" xfId="0" applyNumberFormat="1"/>
    <xf numFmtId="0" fontId="7" fillId="0" borderId="0" xfId="0" applyFont="1"/>
    <xf numFmtId="0" fontId="8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165" fontId="0" fillId="0" borderId="1" xfId="0" applyNumberFormat="1" applyBorder="1"/>
    <xf numFmtId="0" fontId="9" fillId="5" borderId="0" xfId="0" applyFont="1" applyFill="1" applyAlignment="1">
      <alignment horizontal="center"/>
    </xf>
    <xf numFmtId="164" fontId="6" fillId="2" borderId="1" xfId="0" applyNumberFormat="1" applyFont="1" applyFill="1" applyBorder="1"/>
    <xf numFmtId="166" fontId="6" fillId="2" borderId="1" xfId="0" applyNumberFormat="1" applyFont="1" applyFill="1" applyBorder="1"/>
    <xf numFmtId="167" fontId="6" fillId="2" borderId="1" xfId="0" applyNumberFormat="1" applyFont="1" applyFill="1" applyBorder="1"/>
    <xf numFmtId="0" fontId="0" fillId="3" borderId="0" xfId="0" applyFill="1"/>
    <xf numFmtId="166" fontId="0" fillId="3" borderId="0" xfId="0" applyNumberFormat="1" applyFill="1"/>
    <xf numFmtId="166" fontId="0" fillId="0" borderId="0" xfId="0" applyNumberFormat="1"/>
    <xf numFmtId="0" fontId="4" fillId="6" borderId="2" xfId="0" applyFont="1" applyFill="1" applyBorder="1"/>
    <xf numFmtId="166" fontId="4" fillId="6" borderId="2" xfId="0" applyNumberFormat="1" applyFont="1" applyFill="1" applyBorder="1"/>
    <xf numFmtId="17" fontId="8" fillId="4" borderId="1" xfId="0" applyNumberFormat="1" applyFont="1" applyFill="1" applyBorder="1" applyAlignment="1">
      <alignment horizontal="center" vertical="center" wrapText="1"/>
    </xf>
    <xf numFmtId="166" fontId="0" fillId="0" borderId="1" xfId="0" applyNumberFormat="1" applyBorder="1"/>
    <xf numFmtId="0" fontId="4" fillId="0" borderId="1" xfId="0" applyFont="1" applyBorder="1"/>
    <xf numFmtId="166" fontId="4" fillId="0" borderId="1" xfId="0" applyNumberFormat="1" applyFont="1" applyBorder="1"/>
    <xf numFmtId="0" fontId="4" fillId="6" borderId="1" xfId="0" applyFont="1" applyFill="1" applyBorder="1"/>
    <xf numFmtId="166" fontId="4" fillId="6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C33"/>
  <sheetViews>
    <sheetView workbookViewId="0" showGridLines="0"/>
  </sheetViews>
  <sheetFormatPr defaultRowHeight="15" outlineLevelRow="0" outlineLevelCol="0" x14ac:dyDescent="55"/>
  <cols>
    <col min="2" max="2" width="34" customWidth="1"/>
    <col min="3" max="3" width="110" customWidth="1"/>
  </cols>
  <sheetData>
    <row r="1" spans="2:2" x14ac:dyDescent="0.25">
      <c r="B1" s="1" t="s">
        <v>0</v>
      </c>
    </row>
    <row r="2" spans="2:2" x14ac:dyDescent="0.25">
      <c r="B2" s="2" t="s">
        <v>1</v>
      </c>
    </row>
    <row r="4" spans="2:2" x14ac:dyDescent="0.25">
      <c r="B4" s="3" t="s">
        <v>2</v>
      </c>
    </row>
    <row r="5" spans="2:3" x14ac:dyDescent="0.25">
      <c r="B5" s="4" t="s">
        <v>3</v>
      </c>
      <c r="C5" s="5" t="s">
        <v>4</v>
      </c>
    </row>
    <row r="6" spans="2:3" x14ac:dyDescent="0.25">
      <c r="B6" s="4" t="s">
        <v>5</v>
      </c>
      <c r="C6" s="5" t="s">
        <v>6</v>
      </c>
    </row>
    <row r="7" spans="2:3" x14ac:dyDescent="0.25">
      <c r="B7" s="4" t="s">
        <v>7</v>
      </c>
      <c r="C7" s="5" t="s">
        <v>8</v>
      </c>
    </row>
    <row r="8" spans="2:3" x14ac:dyDescent="0.25">
      <c r="B8" s="4" t="s">
        <v>9</v>
      </c>
      <c r="C8" s="5" t="s">
        <v>10</v>
      </c>
    </row>
    <row r="9" spans="2:3" x14ac:dyDescent="0.25">
      <c r="B9" s="4" t="s">
        <v>11</v>
      </c>
      <c r="C9" s="5" t="s">
        <v>12</v>
      </c>
    </row>
    <row r="11" spans="2:2" x14ac:dyDescent="0.25">
      <c r="B11" s="3" t="s">
        <v>13</v>
      </c>
    </row>
    <row r="12" spans="2:3" x14ac:dyDescent="0.25">
      <c r="B12" s="4" t="s">
        <v>14</v>
      </c>
      <c r="C12" s="5" t="s">
        <v>15</v>
      </c>
    </row>
    <row r="13" spans="2:3" x14ac:dyDescent="0.25">
      <c r="B13" s="4" t="s">
        <v>16</v>
      </c>
      <c r="C13" s="5" t="s">
        <v>17</v>
      </c>
    </row>
    <row r="14" spans="2:3" x14ac:dyDescent="0.25">
      <c r="B14" s="4" t="s">
        <v>18</v>
      </c>
      <c r="C14" s="5" t="s">
        <v>19</v>
      </c>
    </row>
    <row r="15" spans="2:3" x14ac:dyDescent="0.25">
      <c r="B15" s="4" t="s">
        <v>20</v>
      </c>
      <c r="C15" s="5" t="s">
        <v>21</v>
      </c>
    </row>
    <row r="16" spans="2:3" x14ac:dyDescent="0.25">
      <c r="B16" s="4" t="s">
        <v>22</v>
      </c>
      <c r="C16" s="5" t="s">
        <v>23</v>
      </c>
    </row>
    <row r="17" spans="2:3" x14ac:dyDescent="0.25">
      <c r="B17" s="4" t="s">
        <v>24</v>
      </c>
      <c r="C17" s="5" t="s">
        <v>25</v>
      </c>
    </row>
    <row r="19" spans="2:2" x14ac:dyDescent="0.25">
      <c r="B19" s="3" t="s">
        <v>26</v>
      </c>
    </row>
    <row r="20" spans="2:3" x14ac:dyDescent="0.25">
      <c r="B20" s="4" t="s">
        <v>27</v>
      </c>
      <c r="C20" s="5" t="s">
        <v>28</v>
      </c>
    </row>
    <row r="21" spans="2:3" x14ac:dyDescent="0.25">
      <c r="B21" s="4" t="s">
        <v>29</v>
      </c>
      <c r="C21" s="5" t="s">
        <v>30</v>
      </c>
    </row>
    <row r="22" spans="2:3" x14ac:dyDescent="0.25">
      <c r="B22" s="4" t="s">
        <v>31</v>
      </c>
      <c r="C22" s="5" t="s">
        <v>32</v>
      </c>
    </row>
    <row r="23" spans="2:3" x14ac:dyDescent="0.25">
      <c r="B23" s="4" t="s">
        <v>33</v>
      </c>
      <c r="C23" s="5" t="s">
        <v>34</v>
      </c>
    </row>
    <row r="24" spans="2:3" x14ac:dyDescent="0.25">
      <c r="B24" s="4" t="s">
        <v>35</v>
      </c>
      <c r="C24" s="5" t="s">
        <v>36</v>
      </c>
    </row>
    <row r="25" spans="2:3" x14ac:dyDescent="0.25">
      <c r="B25" s="4" t="s">
        <v>37</v>
      </c>
      <c r="C25" s="5" t="s">
        <v>38</v>
      </c>
    </row>
    <row r="27" spans="2:2" x14ac:dyDescent="0.25">
      <c r="B27" s="3" t="s">
        <v>39</v>
      </c>
    </row>
    <row r="28" spans="2:3" x14ac:dyDescent="0.25">
      <c r="B28" s="6" t="s">
        <v>40</v>
      </c>
      <c r="C28" s="5" t="s">
        <v>41</v>
      </c>
    </row>
    <row r="29" spans="2:3" x14ac:dyDescent="0.25">
      <c r="B29" s="4" t="s">
        <v>42</v>
      </c>
      <c r="C29" s="5" t="s">
        <v>43</v>
      </c>
    </row>
    <row r="30" spans="2:3" x14ac:dyDescent="0.25">
      <c r="B30" s="7" t="s">
        <v>44</v>
      </c>
      <c r="C30" s="5" t="s">
        <v>45</v>
      </c>
    </row>
    <row r="32" spans="2:2" x14ac:dyDescent="0.25">
      <c r="B32" s="3" t="s">
        <v>46</v>
      </c>
    </row>
    <row r="33" spans="2:3" x14ac:dyDescent="0.25">
      <c r="B33" s="4" t="s">
        <v>47</v>
      </c>
      <c r="C33" s="5" t="s">
        <v>48</v>
      </c>
    </row>
  </sheetData>
  <pageSetup paperSize="9" orientation="landscape" fitToWidth="1" fitToHeight="0"/>
  <headerFooter>
    <oddFooter>&amp;LKAP Sutrisno Hendrawanto Sukardi dan Rekan&amp;R&amp;P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L43"/>
  <sheetViews>
    <sheetView workbookViewId="0" showGridLines="0"/>
  </sheetViews>
  <sheetFormatPr defaultRowHeight="15" outlineLevelRow="0" outlineLevelCol="0" x14ac:dyDescent="55"/>
  <cols>
    <col min="2" max="2" width="26" customWidth="1"/>
    <col min="3" max="3" width="30" customWidth="1"/>
    <col min="4" max="5" width="16" customWidth="1"/>
    <col min="6" max="6" width="20" customWidth="1"/>
    <col min="7" max="8" width="40" customWidth="1"/>
    <col min="10" max="12" width="24" customWidth="1"/>
  </cols>
  <sheetData>
    <row r="1" spans="2:2" x14ac:dyDescent="0.25">
      <c r="B1" s="1" t="s">
        <v>49</v>
      </c>
    </row>
    <row r="3" spans="2:3" x14ac:dyDescent="0.25">
      <c r="B3" s="8" t="s">
        <v>50</v>
      </c>
      <c r="C3" s="9" t="s">
        <v>50</v>
      </c>
    </row>
    <row r="4" spans="2:3" x14ac:dyDescent="0.25">
      <c r="B4" s="8" t="s">
        <v>51</v>
      </c>
      <c r="C4" s="9" t="s">
        <v>52</v>
      </c>
    </row>
    <row r="5" spans="2:4" x14ac:dyDescent="0.25">
      <c r="B5" s="8" t="s">
        <v>53</v>
      </c>
      <c r="C5" s="9">
        <v>2026</v>
      </c>
      <c r="D5" s="2" t="s">
        <v>54</v>
      </c>
    </row>
    <row r="6" spans="2:4" x14ac:dyDescent="0.25">
      <c r="B6" s="8" t="s">
        <v>55</v>
      </c>
      <c r="C6" s="10">
        <v>0.22</v>
      </c>
      <c r="D6" s="2" t="s">
        <v>56</v>
      </c>
    </row>
    <row r="7" spans="2:3" x14ac:dyDescent="0.25">
      <c r="B7" s="8" t="s">
        <v>57</v>
      </c>
      <c r="C7" s="11">
        <f>DATE(C5,1,1)</f>
        <v>46023</v>
      </c>
    </row>
    <row r="8" spans="2:3" x14ac:dyDescent="0.25">
      <c r="B8" s="8" t="s">
        <v>58</v>
      </c>
      <c r="C8" s="11">
        <f>DATE(C5,12,31)</f>
        <v>46387</v>
      </c>
    </row>
    <row r="10" spans="2:10" x14ac:dyDescent="0.25">
      <c r="B10" s="12" t="s">
        <v>59</v>
      </c>
      <c r="J10" s="12" t="s">
        <v>60</v>
      </c>
    </row>
    <row r="11" spans="2:12" x14ac:dyDescent="0.25">
      <c r="B11" s="13" t="s">
        <v>61</v>
      </c>
      <c r="C11" s="13" t="s">
        <v>62</v>
      </c>
      <c r="D11" s="13" t="s">
        <v>63</v>
      </c>
      <c r="E11" s="13" t="s">
        <v>64</v>
      </c>
      <c r="F11" s="13" t="s">
        <v>65</v>
      </c>
      <c r="G11" s="13" t="s">
        <v>66</v>
      </c>
      <c r="J11" s="13" t="s">
        <v>67</v>
      </c>
      <c r="K11" s="13" t="s">
        <v>68</v>
      </c>
      <c r="L11" s="13" t="s">
        <v>69</v>
      </c>
    </row>
    <row r="12" spans="2:12" x14ac:dyDescent="0.25">
      <c r="B12" s="14" t="s">
        <v>70</v>
      </c>
      <c r="C12" s="14" t="s">
        <v>71</v>
      </c>
      <c r="D12" s="9">
        <v>4</v>
      </c>
      <c r="E12" s="15">
        <f>IF(N(D12)&gt;0,1/D12,0)</f>
        <v>0.25</v>
      </c>
      <c r="F12" s="15">
        <f>IF(N(D12)&gt;0,2/D12,0)</f>
        <v>0.5</v>
      </c>
      <c r="G12" s="14" t="s">
        <v>72</v>
      </c>
      <c r="J12" t="s">
        <v>29</v>
      </c>
      <c r="K12" t="s">
        <v>29</v>
      </c>
      <c r="L12" t="s">
        <v>29</v>
      </c>
    </row>
    <row r="13" spans="2:12" x14ac:dyDescent="0.25">
      <c r="B13" s="14" t="s">
        <v>73</v>
      </c>
      <c r="C13" s="14" t="s">
        <v>71</v>
      </c>
      <c r="D13" s="9">
        <v>8</v>
      </c>
      <c r="E13" s="15">
        <f>IF(N(D13)&gt;0,1/D13,0)</f>
        <v>0.125</v>
      </c>
      <c r="F13" s="15">
        <f>IF(N(D13)&gt;0,2/D13,0)</f>
        <v>0.25</v>
      </c>
      <c r="G13" s="14" t="s">
        <v>72</v>
      </c>
      <c r="J13" t="s">
        <v>31</v>
      </c>
      <c r="K13" t="s">
        <v>31</v>
      </c>
      <c r="L13" t="s">
        <v>31</v>
      </c>
    </row>
    <row r="14" spans="2:12" x14ac:dyDescent="0.25">
      <c r="B14" s="14" t="s">
        <v>74</v>
      </c>
      <c r="C14" s="14" t="s">
        <v>71</v>
      </c>
      <c r="D14" s="9">
        <v>16</v>
      </c>
      <c r="E14" s="15">
        <f>IF(N(D14)&gt;0,1/D14,0)</f>
        <v>0.0625</v>
      </c>
      <c r="F14" s="15">
        <f>IF(N(D14)&gt;0,2/D14,0)</f>
        <v>0.125</v>
      </c>
      <c r="G14" s="14" t="s">
        <v>72</v>
      </c>
      <c r="J14" t="s">
        <v>33</v>
      </c>
      <c r="K14" t="s">
        <v>33</v>
      </c>
      <c r="L14" t="s">
        <v>75</v>
      </c>
    </row>
    <row r="15" spans="2:11" x14ac:dyDescent="0.25">
      <c r="B15" s="14" t="s">
        <v>76</v>
      </c>
      <c r="C15" s="14" t="s">
        <v>71</v>
      </c>
      <c r="D15" s="9">
        <v>20</v>
      </c>
      <c r="E15" s="15">
        <f>IF(N(D15)&gt;0,1/D15,0)</f>
        <v>0.05</v>
      </c>
      <c r="F15" s="15">
        <f>IF(N(D15)&gt;0,2/D15,0)</f>
        <v>0.1</v>
      </c>
      <c r="G15" s="14" t="s">
        <v>72</v>
      </c>
      <c r="J15" t="s">
        <v>75</v>
      </c>
      <c r="K15" t="s">
        <v>77</v>
      </c>
    </row>
    <row r="16" spans="2:7" x14ac:dyDescent="0.25">
      <c r="B16" s="14" t="s">
        <v>78</v>
      </c>
      <c r="C16" s="14" t="s">
        <v>79</v>
      </c>
      <c r="D16" s="9">
        <v>20</v>
      </c>
      <c r="E16" s="15">
        <f>IF(N(D16)&gt;0,1/D16,0)</f>
        <v>0.05</v>
      </c>
      <c r="F16" s="15">
        <f>0</f>
        <v>0</v>
      </c>
      <c r="G16" s="14" t="s">
        <v>80</v>
      </c>
    </row>
    <row r="17" spans="2:7" x14ac:dyDescent="0.25">
      <c r="B17" s="14" t="s">
        <v>81</v>
      </c>
      <c r="C17" s="14" t="s">
        <v>79</v>
      </c>
      <c r="D17" s="9">
        <v>10</v>
      </c>
      <c r="E17" s="15">
        <f>IF(N(D17)&gt;0,1/D17,0)</f>
        <v>0.1</v>
      </c>
      <c r="F17" s="15">
        <f>0</f>
        <v>0</v>
      </c>
      <c r="G17" s="14" t="s">
        <v>82</v>
      </c>
    </row>
    <row r="18" spans="2:7" x14ac:dyDescent="0.25">
      <c r="B18" s="14" t="s">
        <v>83</v>
      </c>
      <c r="C18" s="14" t="s">
        <v>84</v>
      </c>
      <c r="D18" s="9"/>
      <c r="E18" s="15">
        <f>IF(N(D18)&gt;0,1/D18,0)</f>
        <v>0</v>
      </c>
      <c r="F18" s="15">
        <f>IF(N(D18)&gt;0,2/D18,0)</f>
        <v>0</v>
      </c>
      <c r="G18" s="14" t="s">
        <v>85</v>
      </c>
    </row>
    <row r="19" spans="2:7" x14ac:dyDescent="0.25">
      <c r="B19" s="14" t="s">
        <v>75</v>
      </c>
      <c r="C19" s="14" t="s">
        <v>86</v>
      </c>
      <c r="D19" s="9">
        <v>0</v>
      </c>
      <c r="E19" s="15">
        <f>IF(N(D19)&gt;0,1/D19,0)</f>
        <v>0</v>
      </c>
      <c r="F19" s="15">
        <f>IF(N(D19)&gt;0,2/D19,0)</f>
        <v>0</v>
      </c>
      <c r="G19" s="14" t="s">
        <v>87</v>
      </c>
    </row>
    <row r="21" spans="2:2" x14ac:dyDescent="0.25">
      <c r="B21" s="12" t="s">
        <v>88</v>
      </c>
    </row>
    <row r="22" spans="2:8" x14ac:dyDescent="0.25">
      <c r="B22" s="13" t="s">
        <v>89</v>
      </c>
      <c r="C22" s="13" t="s">
        <v>90</v>
      </c>
      <c r="D22" s="13" t="s">
        <v>91</v>
      </c>
      <c r="E22" s="13" t="s">
        <v>92</v>
      </c>
      <c r="F22" s="13" t="s">
        <v>93</v>
      </c>
      <c r="G22" s="13" t="s">
        <v>94</v>
      </c>
      <c r="H22" s="13" t="s">
        <v>95</v>
      </c>
    </row>
    <row r="23" spans="2:8" x14ac:dyDescent="0.25">
      <c r="B23" s="9" t="s">
        <v>96</v>
      </c>
      <c r="C23" s="14" t="s">
        <v>97</v>
      </c>
      <c r="D23" s="9">
        <v>0</v>
      </c>
      <c r="E23" s="9" t="s">
        <v>75</v>
      </c>
      <c r="F23" s="9" t="s">
        <v>75</v>
      </c>
      <c r="G23" s="9" t="s">
        <v>98</v>
      </c>
      <c r="H23" s="9" t="s">
        <v>98</v>
      </c>
    </row>
    <row r="24" spans="2:8" x14ac:dyDescent="0.25">
      <c r="B24" s="9" t="s">
        <v>79</v>
      </c>
      <c r="C24" s="14" t="s">
        <v>97</v>
      </c>
      <c r="D24" s="9">
        <v>20</v>
      </c>
      <c r="E24" s="9" t="s">
        <v>29</v>
      </c>
      <c r="F24" s="9" t="s">
        <v>78</v>
      </c>
      <c r="G24" s="9" t="s">
        <v>99</v>
      </c>
      <c r="H24" s="9" t="s">
        <v>100</v>
      </c>
    </row>
    <row r="25" spans="2:8" x14ac:dyDescent="0.25">
      <c r="B25" s="9" t="s">
        <v>101</v>
      </c>
      <c r="C25" s="14" t="s">
        <v>97</v>
      </c>
      <c r="D25" s="9">
        <v>8</v>
      </c>
      <c r="E25" s="9" t="s">
        <v>29</v>
      </c>
      <c r="F25" s="9" t="s">
        <v>73</v>
      </c>
      <c r="G25" s="9" t="s">
        <v>102</v>
      </c>
      <c r="H25" s="9" t="s">
        <v>103</v>
      </c>
    </row>
    <row r="26" spans="2:8" x14ac:dyDescent="0.25">
      <c r="B26" s="9" t="s">
        <v>104</v>
      </c>
      <c r="C26" s="14" t="s">
        <v>97</v>
      </c>
      <c r="D26" s="9">
        <v>10</v>
      </c>
      <c r="E26" s="9" t="s">
        <v>29</v>
      </c>
      <c r="F26" s="9" t="s">
        <v>74</v>
      </c>
      <c r="G26" s="9" t="s">
        <v>105</v>
      </c>
      <c r="H26" s="9" t="s">
        <v>106</v>
      </c>
    </row>
    <row r="27" spans="2:8" x14ac:dyDescent="0.25">
      <c r="B27" s="9" t="s">
        <v>107</v>
      </c>
      <c r="C27" s="14" t="s">
        <v>97</v>
      </c>
      <c r="D27" s="9">
        <v>4</v>
      </c>
      <c r="E27" s="9" t="s">
        <v>29</v>
      </c>
      <c r="F27" s="9" t="s">
        <v>70</v>
      </c>
      <c r="G27" s="9" t="s">
        <v>108</v>
      </c>
      <c r="H27" s="9" t="s">
        <v>109</v>
      </c>
    </row>
    <row r="28" spans="2:8" x14ac:dyDescent="0.25">
      <c r="B28" s="9" t="s">
        <v>110</v>
      </c>
      <c r="C28" s="14" t="s">
        <v>97</v>
      </c>
      <c r="D28" s="9">
        <v>4</v>
      </c>
      <c r="E28" s="9" t="s">
        <v>29</v>
      </c>
      <c r="F28" s="9" t="s">
        <v>70</v>
      </c>
      <c r="G28" s="9" t="s">
        <v>111</v>
      </c>
      <c r="H28" s="9" t="s">
        <v>112</v>
      </c>
    </row>
    <row r="29" spans="2:8" x14ac:dyDescent="0.25">
      <c r="B29" s="9"/>
      <c r="C29" s="14" t="s">
        <v>97</v>
      </c>
      <c r="D29" s="9"/>
      <c r="E29" s="9"/>
      <c r="F29" s="9"/>
      <c r="G29" s="9"/>
      <c r="H29" s="9"/>
    </row>
    <row r="30" spans="2:8" x14ac:dyDescent="0.25">
      <c r="B30" s="9"/>
      <c r="C30" s="14" t="s">
        <v>97</v>
      </c>
      <c r="D30" s="9"/>
      <c r="E30" s="9"/>
      <c r="F30" s="9"/>
      <c r="G30" s="9"/>
      <c r="H30" s="9"/>
    </row>
    <row r="31" spans="2:8" x14ac:dyDescent="0.25">
      <c r="B31" s="9"/>
      <c r="C31" s="14" t="s">
        <v>97</v>
      </c>
      <c r="D31" s="9"/>
      <c r="E31" s="9"/>
      <c r="F31" s="9"/>
      <c r="G31" s="9"/>
      <c r="H31" s="9"/>
    </row>
    <row r="32" spans="2:8" x14ac:dyDescent="0.25">
      <c r="B32" s="9"/>
      <c r="C32" s="14" t="s">
        <v>97</v>
      </c>
      <c r="D32" s="9"/>
      <c r="E32" s="9"/>
      <c r="F32" s="9"/>
      <c r="G32" s="9"/>
      <c r="H32" s="9"/>
    </row>
    <row r="33" spans="2:8" x14ac:dyDescent="0.25">
      <c r="B33" s="9" t="s">
        <v>113</v>
      </c>
      <c r="C33" s="14" t="s">
        <v>114</v>
      </c>
      <c r="D33" s="9">
        <v>4</v>
      </c>
      <c r="E33" s="9" t="s">
        <v>29</v>
      </c>
      <c r="F33" s="9" t="s">
        <v>70</v>
      </c>
      <c r="G33" s="9" t="s">
        <v>115</v>
      </c>
      <c r="H33" s="9" t="s">
        <v>116</v>
      </c>
    </row>
    <row r="34" spans="2:8" x14ac:dyDescent="0.25">
      <c r="B34" s="9" t="s">
        <v>117</v>
      </c>
      <c r="C34" s="14" t="s">
        <v>114</v>
      </c>
      <c r="D34" s="9">
        <v>10</v>
      </c>
      <c r="E34" s="9" t="s">
        <v>29</v>
      </c>
      <c r="F34" s="9" t="s">
        <v>74</v>
      </c>
      <c r="G34" s="9" t="s">
        <v>118</v>
      </c>
      <c r="H34" s="9" t="s">
        <v>119</v>
      </c>
    </row>
    <row r="35" spans="2:8" x14ac:dyDescent="0.25">
      <c r="B35" s="9" t="s">
        <v>120</v>
      </c>
      <c r="C35" s="14" t="s">
        <v>114</v>
      </c>
      <c r="D35" s="9">
        <v>10</v>
      </c>
      <c r="E35" s="9" t="s">
        <v>29</v>
      </c>
      <c r="F35" s="9" t="s">
        <v>74</v>
      </c>
      <c r="G35" s="9" t="s">
        <v>121</v>
      </c>
      <c r="H35" s="9" t="s">
        <v>122</v>
      </c>
    </row>
    <row r="36" spans="2:8" x14ac:dyDescent="0.25">
      <c r="B36" s="9" t="s">
        <v>123</v>
      </c>
      <c r="C36" s="14" t="s">
        <v>114</v>
      </c>
      <c r="D36" s="9">
        <v>0</v>
      </c>
      <c r="E36" s="9" t="s">
        <v>77</v>
      </c>
      <c r="F36" s="9" t="s">
        <v>76</v>
      </c>
      <c r="G36" s="9" t="s">
        <v>124</v>
      </c>
      <c r="H36" s="9" t="s">
        <v>125</v>
      </c>
    </row>
    <row r="37" spans="2:8" x14ac:dyDescent="0.25">
      <c r="B37" s="9" t="s">
        <v>126</v>
      </c>
      <c r="C37" s="14" t="s">
        <v>114</v>
      </c>
      <c r="D37" s="9">
        <v>0</v>
      </c>
      <c r="E37" s="9" t="s">
        <v>77</v>
      </c>
      <c r="F37" s="9" t="s">
        <v>76</v>
      </c>
      <c r="G37" s="9" t="s">
        <v>127</v>
      </c>
      <c r="H37" s="9" t="s">
        <v>128</v>
      </c>
    </row>
    <row r="38" spans="2:8" x14ac:dyDescent="0.25">
      <c r="B38" s="9"/>
      <c r="C38" s="14" t="s">
        <v>114</v>
      </c>
      <c r="D38" s="9"/>
      <c r="E38" s="9"/>
      <c r="F38" s="9"/>
      <c r="G38" s="9"/>
      <c r="H38" s="9"/>
    </row>
    <row r="39" spans="2:8" x14ac:dyDescent="0.25">
      <c r="B39" s="9"/>
      <c r="C39" s="14" t="s">
        <v>114</v>
      </c>
      <c r="D39" s="9"/>
      <c r="E39" s="9"/>
      <c r="F39" s="9"/>
      <c r="G39" s="9"/>
      <c r="H39" s="9"/>
    </row>
    <row r="40" spans="2:8" x14ac:dyDescent="0.25">
      <c r="B40" s="9"/>
      <c r="C40" s="14" t="s">
        <v>114</v>
      </c>
      <c r="D40" s="9"/>
      <c r="E40" s="9"/>
      <c r="F40" s="9"/>
      <c r="G40" s="9"/>
      <c r="H40" s="9"/>
    </row>
    <row r="41" spans="2:8" x14ac:dyDescent="0.25">
      <c r="B41" s="9"/>
      <c r="C41" s="14" t="s">
        <v>114</v>
      </c>
      <c r="D41" s="9"/>
      <c r="E41" s="9"/>
      <c r="F41" s="9"/>
      <c r="G41" s="9"/>
      <c r="H41" s="9"/>
    </row>
    <row r="42" spans="2:8" x14ac:dyDescent="0.25">
      <c r="B42" s="9"/>
      <c r="C42" s="14" t="s">
        <v>114</v>
      </c>
      <c r="D42" s="9"/>
      <c r="E42" s="9"/>
      <c r="F42" s="9"/>
      <c r="G42" s="9"/>
      <c r="H42" s="9"/>
    </row>
    <row r="43" spans="2:2" x14ac:dyDescent="0.25">
      <c r="B43" s="2" t="s">
        <v>129</v>
      </c>
    </row>
  </sheetData>
  <dataValidations count="3">
    <dataValidation type="list" allowBlank="1" sqref="E23:E32">
      <formula1>$J$12:$J$15</formula1>
    </dataValidation>
    <dataValidation type="list" allowBlank="1" sqref="E33:E42">
      <formula1>$K$12:$K$15</formula1>
    </dataValidation>
    <dataValidation type="list" allowBlank="1" sqref="F23:F42">
      <formula1>$B$12:$B$19</formula1>
    </dataValidation>
  </dataValidations>
  <pageSetup paperSize="9" orientation="landscape" fitToWidth="1" fitToHeight="0"/>
  <headerFooter>
    <oddFooter>&amp;LKAP Sutrisno Hendrawanto Sukardi dan Rekan&amp;R&amp;P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207"/>
  <sheetViews>
    <sheetView workbookViewId="0">
      <pane xSplit="3" ySplit="6" topLeftCell="D7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11" customWidth="1"/>
    <col min="3" max="3" width="30" customWidth="1"/>
    <col min="4" max="4" width="18" customWidth="1"/>
    <col min="5" max="5" width="16" customWidth="1"/>
    <col min="6" max="6" width="12" customWidth="1"/>
    <col min="7" max="7" width="16" customWidth="1"/>
    <col min="8" max="8" width="14" customWidth="1"/>
    <col min="9" max="9" width="16" customWidth="1"/>
    <col min="10" max="13" width="11" customWidth="1"/>
    <col min="14" max="14" width="18" customWidth="1"/>
    <col min="15" max="15" width="11" customWidth="1"/>
    <col min="16" max="16" width="16" customWidth="1"/>
    <col min="17" max="17" width="12" customWidth="1"/>
    <col min="18" max="18" width="15" customWidth="1"/>
    <col min="19" max="19" width="16" customWidth="1"/>
    <col min="21" max="21" width="18" customWidth="1"/>
    <col min="23" max="24" width="16" customWidth="1"/>
    <col min="25" max="29" width="11" outlineLevel="1" collapsed="1" customWidth="1"/>
    <col min="30" max="37" width="15" outlineLevel="1" collapsed="1" customWidth="1"/>
    <col min="38" max="59" width="16" customWidth="1"/>
    <col min="60" max="60" width="30" customWidth="1"/>
  </cols>
  <sheetData>
    <row r="1" spans="1:1" x14ac:dyDescent="0.25">
      <c r="A1" s="1" t="s">
        <v>130</v>
      </c>
    </row>
    <row r="2" spans="1:1" x14ac:dyDescent="0.25">
      <c r="A2" s="8" t="str">
        <f>NamaPerusahaan</f>
        <v>Nama Perusahaan</v>
      </c>
    </row>
    <row r="3" spans="1:1" x14ac:dyDescent="0.25">
      <c r="A3" t="str">
        <f>"Tahun Buku "&amp;TahunBuku&amp;"  |  Komersial: PSAK 216  |  Fiskal: Pasal 11 UU PPh s.t.d.d. UU HPP &amp; PMK 72/2023"</f>
        <v>Tahun Buku 2026  |  Komersial: PSAK 216  |  Fiskal: Pasal 11 UU PPh s.t.d.d. UU HPP &amp; PMK 72/2023</v>
      </c>
    </row>
    <row r="4" spans="1:1" x14ac:dyDescent="0.25">
      <c r="A4" s="2" t="s">
        <v>131</v>
      </c>
    </row>
    <row r="5" spans="1:60" x14ac:dyDescent="0.25">
      <c r="A5" s="16" t="s">
        <v>132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 t="s">
        <v>133</v>
      </c>
      <c r="T5" s="16"/>
      <c r="U5" s="16"/>
      <c r="V5" s="16"/>
      <c r="W5" s="16"/>
      <c r="X5" s="16"/>
      <c r="Y5" s="16" t="s">
        <v>134</v>
      </c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 t="s">
        <v>135</v>
      </c>
      <c r="AM5" s="16"/>
      <c r="AN5" s="16"/>
      <c r="AO5" s="16"/>
      <c r="AP5" s="16"/>
      <c r="AQ5" s="16"/>
      <c r="AR5" s="16"/>
      <c r="AS5" s="16"/>
      <c r="AT5" s="16"/>
      <c r="AU5" s="16"/>
      <c r="AV5" s="16" t="s">
        <v>136</v>
      </c>
      <c r="AW5" s="16"/>
      <c r="AX5" s="16"/>
      <c r="AY5" s="16"/>
      <c r="AZ5" s="16"/>
      <c r="BA5" s="16"/>
      <c r="BB5" s="16" t="s">
        <v>137</v>
      </c>
      <c r="BC5" s="16"/>
      <c r="BD5" s="16"/>
      <c r="BE5" s="16"/>
      <c r="BF5" s="16"/>
      <c r="BG5" s="16"/>
      <c r="BH5" s="16"/>
    </row>
    <row r="6" ht="54" customHeight="1" spans="1:60" x14ac:dyDescent="0.25">
      <c r="A6" s="13" t="s">
        <v>138</v>
      </c>
      <c r="B6" s="13" t="s">
        <v>139</v>
      </c>
      <c r="C6" s="13" t="s">
        <v>140</v>
      </c>
      <c r="D6" s="13" t="s">
        <v>89</v>
      </c>
      <c r="E6" s="13" t="s">
        <v>141</v>
      </c>
      <c r="F6" s="13" t="s">
        <v>142</v>
      </c>
      <c r="G6" s="13" t="s">
        <v>143</v>
      </c>
      <c r="H6" s="13" t="s">
        <v>144</v>
      </c>
      <c r="I6" s="13" t="s">
        <v>145</v>
      </c>
      <c r="J6" s="13" t="s">
        <v>146</v>
      </c>
      <c r="K6" s="13" t="s">
        <v>147</v>
      </c>
      <c r="L6" s="13" t="s">
        <v>148</v>
      </c>
      <c r="M6" s="13" t="s">
        <v>149</v>
      </c>
      <c r="N6" s="13" t="s">
        <v>150</v>
      </c>
      <c r="O6" s="13" t="s">
        <v>151</v>
      </c>
      <c r="P6" s="13" t="s">
        <v>152</v>
      </c>
      <c r="Q6" s="13" t="s">
        <v>153</v>
      </c>
      <c r="R6" s="13" t="s">
        <v>154</v>
      </c>
      <c r="S6" s="13" t="s">
        <v>155</v>
      </c>
      <c r="T6" s="13" t="s">
        <v>156</v>
      </c>
      <c r="U6" s="13" t="s">
        <v>157</v>
      </c>
      <c r="V6" s="13" t="s">
        <v>158</v>
      </c>
      <c r="W6" s="13" t="s">
        <v>69</v>
      </c>
      <c r="X6" s="13" t="s">
        <v>159</v>
      </c>
      <c r="Y6" s="13" t="s">
        <v>160</v>
      </c>
      <c r="Z6" s="13" t="s">
        <v>161</v>
      </c>
      <c r="AA6" s="13" t="s">
        <v>162</v>
      </c>
      <c r="AB6" s="13" t="s">
        <v>163</v>
      </c>
      <c r="AC6" s="13" t="s">
        <v>164</v>
      </c>
      <c r="AD6" s="13" t="s">
        <v>165</v>
      </c>
      <c r="AE6" s="13" t="s">
        <v>166</v>
      </c>
      <c r="AF6" s="13" t="s">
        <v>167</v>
      </c>
      <c r="AG6" s="13" t="s">
        <v>168</v>
      </c>
      <c r="AH6" s="13" t="s">
        <v>169</v>
      </c>
      <c r="AI6" s="13" t="s">
        <v>170</v>
      </c>
      <c r="AJ6" s="13" t="s">
        <v>171</v>
      </c>
      <c r="AK6" s="13" t="s">
        <v>172</v>
      </c>
      <c r="AL6" s="13" t="s">
        <v>173</v>
      </c>
      <c r="AM6" s="13" t="s">
        <v>174</v>
      </c>
      <c r="AN6" s="13" t="s">
        <v>175</v>
      </c>
      <c r="AO6" s="13" t="s">
        <v>176</v>
      </c>
      <c r="AP6" s="13" t="s">
        <v>177</v>
      </c>
      <c r="AQ6" s="13" t="s">
        <v>178</v>
      </c>
      <c r="AR6" s="13" t="s">
        <v>179</v>
      </c>
      <c r="AS6" s="13" t="s">
        <v>180</v>
      </c>
      <c r="AT6" s="13" t="s">
        <v>181</v>
      </c>
      <c r="AU6" s="13" t="s">
        <v>182</v>
      </c>
      <c r="AV6" s="13" t="s">
        <v>183</v>
      </c>
      <c r="AW6" s="13" t="s">
        <v>184</v>
      </c>
      <c r="AX6" s="13" t="s">
        <v>185</v>
      </c>
      <c r="AY6" s="13" t="s">
        <v>186</v>
      </c>
      <c r="AZ6" s="13" t="s">
        <v>187</v>
      </c>
      <c r="BA6" s="13" t="s">
        <v>188</v>
      </c>
      <c r="BB6" s="13" t="s">
        <v>189</v>
      </c>
      <c r="BC6" s="13" t="s">
        <v>190</v>
      </c>
      <c r="BD6" s="13" t="s">
        <v>191</v>
      </c>
      <c r="BE6" s="13" t="s">
        <v>192</v>
      </c>
      <c r="BF6" s="13" t="s">
        <v>193</v>
      </c>
      <c r="BG6" s="13" t="s">
        <v>194</v>
      </c>
      <c r="BH6" s="13" t="s">
        <v>195</v>
      </c>
    </row>
    <row r="7" spans="1:60" x14ac:dyDescent="0.25">
      <c r="A7" t="str">
        <f>IF($B7="","",ROW()-6)</f>
        <v/>
      </c>
      <c r="B7" s="9"/>
      <c r="C7" s="9"/>
      <c r="D7" s="9"/>
      <c r="E7" s="9"/>
      <c r="F7" s="17"/>
      <c r="G7" s="18"/>
      <c r="H7" s="18"/>
      <c r="I7" s="9"/>
      <c r="J7" s="9"/>
      <c r="K7" s="19"/>
      <c r="L7" s="19"/>
      <c r="M7" s="19"/>
      <c r="N7" s="9"/>
      <c r="O7" s="9"/>
      <c r="P7" s="9"/>
      <c r="Q7" s="17"/>
      <c r="R7" s="18"/>
      <c r="S7" t="str">
        <f>IF($B7="","",IF($I7&lt;&gt;"",$I7,IFERROR(INDEX(Kat_Metode,MATCH($D7,Kat_Nama,0)),"")))</f>
        <v/>
      </c>
      <c r="T7" t="str">
        <f>IF($B7="","",IF($J7&lt;&gt;"",$J7,IFERROR(INDEX(Kat_Umur,MATCH($D7,Kat_Nama,0)),0)))</f>
        <v/>
      </c>
      <c r="U7" t="str">
        <f>IF($B7="","",IF($N7&lt;&gt;"",$N7,IFERROR(INDEX(Kat_Kelompok,MATCH($D7,Kat_Nama,0)),"")))</f>
        <v/>
      </c>
      <c r="V7" t="str">
        <f>IF($B7="","",IF($U7="Masa Manfaat Sebenarnya",N($O7),IFERROR(INDEX(Kel_Masa,MATCH($U7,Kel_Nama,0)),0)))</f>
        <v/>
      </c>
      <c r="W7" t="str">
        <f>IF($B7="","",IF($P7&lt;&gt;"",$P7,IF(OR($U7="Tidak Disusutkan",$V7=0),"Tidak Disusutkan","Garis Lurus")))</f>
        <v/>
      </c>
      <c r="X7" t="str">
        <f>IF($B7="","",IF($Y7&gt;TahunBuku*12+12,"Belum Diperoleh",IF($Z7&lt;=TahunBuku*12,"Dilepas (thn lalu)",IF($AC7=1,"Dilepas thn ini",IF($AB7=1,"Perolehan baru","Aktif")))))</f>
        <v/>
      </c>
      <c r="Y7" s="20" t="str">
        <f>IF($B7="","",YEAR($F7)*12+MONTH($F7))</f>
        <v/>
      </c>
      <c r="Z7" s="20" t="str">
        <f>IF($B7="","",IF($Q7="",99999,YEAR($Q7)*12+MONTH($Q7)))</f>
        <v/>
      </c>
      <c r="AA7" s="20" t="str">
        <f>IF($B7="","",--AND($Y7&lt;=TahunBuku*12,$Z7&gt;TahunBuku*12))</f>
        <v/>
      </c>
      <c r="AB7" s="20" t="str">
        <f>IF($B7="","",--AND($Y7&gt;TahunBuku*12,$Y7&lt;=TahunBuku*12+12))</f>
        <v/>
      </c>
      <c r="AC7" s="20" t="str">
        <f>IF($B7="","",--AND($Z7&gt;TahunBuku*12,$Z7&lt;=TahunBuku*12+12,$Y7&lt;=$Z7))</f>
        <v/>
      </c>
      <c r="AD7" s="21" t="str">
        <f>IF($B7="","",IFERROR(IF($S7="Garis Lurus",$G7-($G7-$H7)*MIN($T7*12,MAX(0,TahunBuku*12-$Y7+1))/($T7*12),IF($S7="Saldo Menurun",IF(TahunBuku-1&lt;YEAR($F7),$G7,IF(TahunBuku-1&gt;=INT(($Y7+$T7*12-2)/12),$H7,MAX($H7,$G7*(1-2/$T7*(13-MONTH($F7))/12)*(1-2/$T7)^(TahunBuku-1-YEAR($F7))))),IF($S7="Unit Produksi",$G7-($G7-$H7)*MIN(1,N($L7)/$K7),$G7))),$G7))</f>
        <v/>
      </c>
      <c r="AE7" s="21" t="str">
        <f>IF($B7="","",IFERROR(IF($S7="Garis Lurus",$G7-($G7-$H7)*MIN($T7*12,MAX(0,TahunBuku*12+12-$Y7+1))/($T7*12),IF($S7="Saldo Menurun",IF(TahunBuku&lt;YEAR($F7),$G7,IF(TahunBuku&gt;=INT(($Y7+$T7*12-2)/12),$H7,MAX($H7,$G7*(1-2/$T7*(13-MONTH($F7))/12)*(1-2/$T7)^(TahunBuku-YEAR($F7))))),IF($S7="Unit Produksi",$G7-($G7-$H7)*MIN(1,(N($L7)+N($M7))/$K7),$G7))),$G7))</f>
        <v/>
      </c>
      <c r="AF7" s="20" t="str">
        <f>IF($B7="","",IF(OR($S7="Garis Lurus",$S7="Saldo Menurun",$S7="Unit Produksi"),MAX(0,IF($S7="Unit Produksi",TahunBuku*12+12,MIN(TahunBuku*12+12,$Y7+$T7*12-1))-MAX(TahunBuku*12+1,$Y7)+1),0))</f>
        <v/>
      </c>
      <c r="AG7" s="20" t="str">
        <f>IF($B7="","",IF(OR($S7="Garis Lurus",$S7="Saldo Menurun",$S7="Unit Produksi"),MAX(0,MIN($Z7,IF($S7="Unit Produksi",TahunBuku*12+12,MIN(TahunBuku*12+12,$Y7+$T7*12-1)))-MAX(TahunBuku*12+1,$Y7)+1),0))</f>
        <v/>
      </c>
      <c r="AH7" s="21" t="str">
        <f>IF($B7="","",IFERROR(IF($W7="Garis Lurus",$G7*(1-MIN($V7*12,MAX(0,TahunBuku*12-$Y7+1))/($V7*12)),IF($W7="Saldo Menurun",IF(TahunBuku-1&lt;YEAR($F7),$G7,IF(TahunBuku-1&gt;=INT(($Y7+$V7*12-2)/12),0,$G7*(1-2/$V7*(13-MONTH($F7))/12)*(1-2/$V7)^(TahunBuku-1-YEAR($F7)))),$G7)),$G7))</f>
        <v/>
      </c>
      <c r="AI7" s="21" t="str">
        <f>IF($B7="","",IFERROR(IF($W7="Garis Lurus",$G7*(1-MIN($V7*12,MAX(0,TahunBuku*12+12-$Y7+1))/($V7*12)),IF($W7="Saldo Menurun",IF(TahunBuku&lt;YEAR($F7),$G7,IF(TahunBuku&gt;=INT(($Y7+$V7*12-2)/12),0,$G7*(1-2/$V7*(13-MONTH($F7))/12)*(1-2/$V7)^(TahunBuku-YEAR($F7)))),$G7)),$G7))</f>
        <v/>
      </c>
      <c r="AJ7" s="20" t="str">
        <f>IF($B7="","",IF(OR($W7="Garis Lurus",$W7="Saldo Menurun"),MAX(0,MIN(TahunBuku*12+12,$Y7+$V7*12-1)-MAX(TahunBuku*12+1,$Y7)+1),0))</f>
        <v/>
      </c>
      <c r="AK7" s="20" t="str">
        <f>IF($B7="","",IF(OR($W7="Garis Lurus",$W7="Saldo Menurun"),MAX(0,MIN($Z7,TahunBuku*12+12,$Y7+$V7*12-1)-MAX(TahunBuku*12+1,$Y7)+1),0))</f>
        <v/>
      </c>
      <c r="AL7" s="22" t="str">
        <f>IF($B7="","",$G7*$AA7)</f>
        <v/>
      </c>
      <c r="AM7" s="22" t="str">
        <f>IF($B7="","",$G7*$AB7)</f>
        <v/>
      </c>
      <c r="AN7" s="22" t="str">
        <f>IF($B7="","",$G7*$AC7)</f>
        <v/>
      </c>
      <c r="AO7" s="22" t="str">
        <f>IF($B7="","",AL7+AM7-AN7)</f>
        <v/>
      </c>
      <c r="AP7" s="22" t="str">
        <f>IF($B7="","",($G7-$AD7)*$AA7)</f>
        <v/>
      </c>
      <c r="AQ7" s="22" t="str">
        <f>IF($B7="","",IF($AF7=0,0,($AD7-$AE7)*$AG7/$AF7)*MAX($AA7,$AB7))</f>
        <v/>
      </c>
      <c r="AR7" s="22" t="str">
        <f>IF($B7="","",(AP7+AQ7)*$AC7)</f>
        <v/>
      </c>
      <c r="AS7" s="22" t="str">
        <f>IF($B7="","",AP7+AQ7-AR7)</f>
        <v/>
      </c>
      <c r="AT7" s="22" t="str">
        <f>IF($B7="","",AO7-AS7)</f>
        <v/>
      </c>
      <c r="AU7" s="22" t="str">
        <f>IF($B7="","",IF($AC7=1,N($R7)-($G7-AR7),0))</f>
        <v/>
      </c>
      <c r="AV7" s="22" t="str">
        <f>IF($B7="","",($G7-$AH7)*$AA7)</f>
        <v/>
      </c>
      <c r="AW7" s="22" t="str">
        <f>IF($B7="","",IF($AJ7=0,0,($AH7-$AI7)*$AK7/$AJ7)*MAX($AA7,$AB7))</f>
        <v/>
      </c>
      <c r="AX7" s="22" t="str">
        <f>IF($B7="","",(AV7+AW7)*$AC7)</f>
        <v/>
      </c>
      <c r="AY7" s="22" t="str">
        <f>IF($B7="","",AV7+AW7-AX7)</f>
        <v/>
      </c>
      <c r="AZ7" s="22" t="str">
        <f>IF($B7="","",AO7-AY7)</f>
        <v/>
      </c>
      <c r="BA7" s="22" t="str">
        <f>IF($B7="","",IF($AC7=1,N($R7)-($G7-AX7),0))</f>
        <v/>
      </c>
      <c r="BB7" s="22" t="str">
        <f>IF($B7="","",ROUND(AQ7-AW7,0))</f>
        <v/>
      </c>
      <c r="BC7" s="22" t="str">
        <f>IF($B7="","",ROUND(BA7-AU7,0))</f>
        <v/>
      </c>
      <c r="BD7" s="22" t="str">
        <f>IF($B7="","",BB7+BC7)</f>
        <v/>
      </c>
      <c r="BE7" s="22" t="str">
        <f>IF($B7="","",ROUND(AV7-AP7,0))</f>
        <v/>
      </c>
      <c r="BF7" s="22" t="str">
        <f>IF($B7="","",ROUND(AT7-AZ7,0))</f>
        <v/>
      </c>
      <c r="BG7" s="22" t="str">
        <f>IF($B7="","",ROUND(BF7*TarifPPh,0))</f>
        <v/>
      </c>
      <c r="BH7" t="str">
        <f>IF($B7="","",IF($D7="","Kategori kosong",IF($F7="","Tgl perolehan kosong",IF(N($H7)&gt;$G7,"Residu &gt; harga perolehan",IF(AND(LEFT($U7,8)="Bangunan",$W7="Saldo Menurun"),"Bangunan wajib Garis Lurus (Ps.11 UU PPh)",IF(AND($S7="Unit Produksi",N($K7)=0),"Isi kapasitas unit",IF(AND(OR($S7="Garis Lurus",$S7="Saldo Menurun"),N($T7)&lt;=0),"Umur komersial kosong",IF(AND(OR($W7="Garis Lurus",$W7="Saldo Menurun"),N($V7)&lt;=0),"Masa manfaat fiskal kosong",IF(AND($Q7&lt;&gt;"",$Q7&lt;$F7),"Tgl pelepasan &lt; perolehan","OK")))))))))</f>
        <v/>
      </c>
    </row>
    <row r="8" spans="1:60" x14ac:dyDescent="0.25">
      <c r="A8" t="str">
        <f>IF($B8="","",ROW()-6)</f>
        <v/>
      </c>
      <c r="B8" s="9"/>
      <c r="C8" s="9"/>
      <c r="D8" s="9"/>
      <c r="E8" s="9"/>
      <c r="F8" s="17"/>
      <c r="G8" s="18"/>
      <c r="H8" s="18"/>
      <c r="I8" s="9"/>
      <c r="J8" s="9"/>
      <c r="K8" s="19"/>
      <c r="L8" s="19"/>
      <c r="M8" s="19"/>
      <c r="N8" s="9"/>
      <c r="O8" s="9"/>
      <c r="P8" s="9"/>
      <c r="Q8" s="17"/>
      <c r="R8" s="18"/>
      <c r="S8" t="str">
        <f>IF($B8="","",IF($I8&lt;&gt;"",$I8,IFERROR(INDEX(Kat_Metode,MATCH($D8,Kat_Nama,0)),"")))</f>
        <v/>
      </c>
      <c r="T8" t="str">
        <f>IF($B8="","",IF($J8&lt;&gt;"",$J8,IFERROR(INDEX(Kat_Umur,MATCH($D8,Kat_Nama,0)),0)))</f>
        <v/>
      </c>
      <c r="U8" t="str">
        <f>IF($B8="","",IF($N8&lt;&gt;"",$N8,IFERROR(INDEX(Kat_Kelompok,MATCH($D8,Kat_Nama,0)),"")))</f>
        <v/>
      </c>
      <c r="V8" t="str">
        <f>IF($B8="","",IF($U8="Masa Manfaat Sebenarnya",N($O8),IFERROR(INDEX(Kel_Masa,MATCH($U8,Kel_Nama,0)),0)))</f>
        <v/>
      </c>
      <c r="W8" t="str">
        <f>IF($B8="","",IF($P8&lt;&gt;"",$P8,IF(OR($U8="Tidak Disusutkan",$V8=0),"Tidak Disusutkan","Garis Lurus")))</f>
        <v/>
      </c>
      <c r="X8" t="str">
        <f>IF($B8="","",IF($Y8&gt;TahunBuku*12+12,"Belum Diperoleh",IF($Z8&lt;=TahunBuku*12,"Dilepas (thn lalu)",IF($AC8=1,"Dilepas thn ini",IF($AB8=1,"Perolehan baru","Aktif")))))</f>
        <v/>
      </c>
      <c r="Y8" s="20" t="str">
        <f>IF($B8="","",YEAR($F8)*12+MONTH($F8))</f>
        <v/>
      </c>
      <c r="Z8" s="20" t="str">
        <f>IF($B8="","",IF($Q8="",99999,YEAR($Q8)*12+MONTH($Q8)))</f>
        <v/>
      </c>
      <c r="AA8" s="20" t="str">
        <f>IF($B8="","",--AND($Y8&lt;=TahunBuku*12,$Z8&gt;TahunBuku*12))</f>
        <v/>
      </c>
      <c r="AB8" s="20" t="str">
        <f>IF($B8="","",--AND($Y8&gt;TahunBuku*12,$Y8&lt;=TahunBuku*12+12))</f>
        <v/>
      </c>
      <c r="AC8" s="20" t="str">
        <f>IF($B8="","",--AND($Z8&gt;TahunBuku*12,$Z8&lt;=TahunBuku*12+12,$Y8&lt;=$Z8))</f>
        <v/>
      </c>
      <c r="AD8" s="21" t="str">
        <f>IF($B8="","",IFERROR(IF($S8="Garis Lurus",$G8-($G8-$H8)*MIN($T8*12,MAX(0,TahunBuku*12-$Y8+1))/($T8*12),IF($S8="Saldo Menurun",IF(TahunBuku-1&lt;YEAR($F8),$G8,IF(TahunBuku-1&gt;=INT(($Y8+$T8*12-2)/12),$H8,MAX($H8,$G8*(1-2/$T8*(13-MONTH($F8))/12)*(1-2/$T8)^(TahunBuku-1-YEAR($F8))))),IF($S8="Unit Produksi",$G8-($G8-$H8)*MIN(1,N($L8)/$K8),$G8))),$G8))</f>
        <v/>
      </c>
      <c r="AE8" s="21" t="str">
        <f>IF($B8="","",IFERROR(IF($S8="Garis Lurus",$G8-($G8-$H8)*MIN($T8*12,MAX(0,TahunBuku*12+12-$Y8+1))/($T8*12),IF($S8="Saldo Menurun",IF(TahunBuku&lt;YEAR($F8),$G8,IF(TahunBuku&gt;=INT(($Y8+$T8*12-2)/12),$H8,MAX($H8,$G8*(1-2/$T8*(13-MONTH($F8))/12)*(1-2/$T8)^(TahunBuku-YEAR($F8))))),IF($S8="Unit Produksi",$G8-($G8-$H8)*MIN(1,(N($L8)+N($M8))/$K8),$G8))),$G8))</f>
        <v/>
      </c>
      <c r="AF8" s="20" t="str">
        <f>IF($B8="","",IF(OR($S8="Garis Lurus",$S8="Saldo Menurun",$S8="Unit Produksi"),MAX(0,IF($S8="Unit Produksi",TahunBuku*12+12,MIN(TahunBuku*12+12,$Y8+$T8*12-1))-MAX(TahunBuku*12+1,$Y8)+1),0))</f>
        <v/>
      </c>
      <c r="AG8" s="20" t="str">
        <f>IF($B8="","",IF(OR($S8="Garis Lurus",$S8="Saldo Menurun",$S8="Unit Produksi"),MAX(0,MIN($Z8,IF($S8="Unit Produksi",TahunBuku*12+12,MIN(TahunBuku*12+12,$Y8+$T8*12-1)))-MAX(TahunBuku*12+1,$Y8)+1),0))</f>
        <v/>
      </c>
      <c r="AH8" s="21" t="str">
        <f>IF($B8="","",IFERROR(IF($W8="Garis Lurus",$G8*(1-MIN($V8*12,MAX(0,TahunBuku*12-$Y8+1))/($V8*12)),IF($W8="Saldo Menurun",IF(TahunBuku-1&lt;YEAR($F8),$G8,IF(TahunBuku-1&gt;=INT(($Y8+$V8*12-2)/12),0,$G8*(1-2/$V8*(13-MONTH($F8))/12)*(1-2/$V8)^(TahunBuku-1-YEAR($F8)))),$G8)),$G8))</f>
        <v/>
      </c>
      <c r="AI8" s="21" t="str">
        <f>IF($B8="","",IFERROR(IF($W8="Garis Lurus",$G8*(1-MIN($V8*12,MAX(0,TahunBuku*12+12-$Y8+1))/($V8*12)),IF($W8="Saldo Menurun",IF(TahunBuku&lt;YEAR($F8),$G8,IF(TahunBuku&gt;=INT(($Y8+$V8*12-2)/12),0,$G8*(1-2/$V8*(13-MONTH($F8))/12)*(1-2/$V8)^(TahunBuku-YEAR($F8)))),$G8)),$G8))</f>
        <v/>
      </c>
      <c r="AJ8" s="20" t="str">
        <f>IF($B8="","",IF(OR($W8="Garis Lurus",$W8="Saldo Menurun"),MAX(0,MIN(TahunBuku*12+12,$Y8+$V8*12-1)-MAX(TahunBuku*12+1,$Y8)+1),0))</f>
        <v/>
      </c>
      <c r="AK8" s="20" t="str">
        <f>IF($B8="","",IF(OR($W8="Garis Lurus",$W8="Saldo Menurun"),MAX(0,MIN($Z8,TahunBuku*12+12,$Y8+$V8*12-1)-MAX(TahunBuku*12+1,$Y8)+1),0))</f>
        <v/>
      </c>
      <c r="AL8" s="22" t="str">
        <f>IF($B8="","",$G8*$AA8)</f>
        <v/>
      </c>
      <c r="AM8" s="22" t="str">
        <f>IF($B8="","",$G8*$AB8)</f>
        <v/>
      </c>
      <c r="AN8" s="22" t="str">
        <f>IF($B8="","",$G8*$AC8)</f>
        <v/>
      </c>
      <c r="AO8" s="22" t="str">
        <f>IF($B8="","",AL8+AM8-AN8)</f>
        <v/>
      </c>
      <c r="AP8" s="22" t="str">
        <f>IF($B8="","",($G8-$AD8)*$AA8)</f>
        <v/>
      </c>
      <c r="AQ8" s="22" t="str">
        <f>IF($B8="","",IF($AF8=0,0,($AD8-$AE8)*$AG8/$AF8)*MAX($AA8,$AB8))</f>
        <v/>
      </c>
      <c r="AR8" s="22" t="str">
        <f>IF($B8="","",(AP8+AQ8)*$AC8)</f>
        <v/>
      </c>
      <c r="AS8" s="22" t="str">
        <f>IF($B8="","",AP8+AQ8-AR8)</f>
        <v/>
      </c>
      <c r="AT8" s="22" t="str">
        <f>IF($B8="","",AO8-AS8)</f>
        <v/>
      </c>
      <c r="AU8" s="22" t="str">
        <f>IF($B8="","",IF($AC8=1,N($R8)-($G8-AR8),0))</f>
        <v/>
      </c>
      <c r="AV8" s="22" t="str">
        <f>IF($B8="","",($G8-$AH8)*$AA8)</f>
        <v/>
      </c>
      <c r="AW8" s="22" t="str">
        <f>IF($B8="","",IF($AJ8=0,0,($AH8-$AI8)*$AK8/$AJ8)*MAX($AA8,$AB8))</f>
        <v/>
      </c>
      <c r="AX8" s="22" t="str">
        <f>IF($B8="","",(AV8+AW8)*$AC8)</f>
        <v/>
      </c>
      <c r="AY8" s="22" t="str">
        <f>IF($B8="","",AV8+AW8-AX8)</f>
        <v/>
      </c>
      <c r="AZ8" s="22" t="str">
        <f>IF($B8="","",AO8-AY8)</f>
        <v/>
      </c>
      <c r="BA8" s="22" t="str">
        <f>IF($B8="","",IF($AC8=1,N($R8)-($G8-AX8),0))</f>
        <v/>
      </c>
      <c r="BB8" s="22" t="str">
        <f>IF($B8="","",ROUND(AQ8-AW8,0))</f>
        <v/>
      </c>
      <c r="BC8" s="22" t="str">
        <f>IF($B8="","",ROUND(BA8-AU8,0))</f>
        <v/>
      </c>
      <c r="BD8" s="22" t="str">
        <f>IF($B8="","",BB8+BC8)</f>
        <v/>
      </c>
      <c r="BE8" s="22" t="str">
        <f>IF($B8="","",ROUND(AV8-AP8,0))</f>
        <v/>
      </c>
      <c r="BF8" s="22" t="str">
        <f>IF($B8="","",ROUND(AT8-AZ8,0))</f>
        <v/>
      </c>
      <c r="BG8" s="22" t="str">
        <f>IF($B8="","",ROUND(BF8*TarifPPh,0))</f>
        <v/>
      </c>
      <c r="BH8" t="str">
        <f>IF($B8="","",IF($D8="","Kategori kosong",IF($F8="","Tgl perolehan kosong",IF(N($H8)&gt;$G8,"Residu &gt; harga perolehan",IF(AND(LEFT($U8,8)="Bangunan",$W8="Saldo Menurun"),"Bangunan wajib Garis Lurus (Ps.11 UU PPh)",IF(AND($S8="Unit Produksi",N($K8)=0),"Isi kapasitas unit",IF(AND(OR($S8="Garis Lurus",$S8="Saldo Menurun"),N($T8)&lt;=0),"Umur komersial kosong",IF(AND(OR($W8="Garis Lurus",$W8="Saldo Menurun"),N($V8)&lt;=0),"Masa manfaat fiskal kosong",IF(AND($Q8&lt;&gt;"",$Q8&lt;$F8),"Tgl pelepasan &lt; perolehan","OK")))))))))</f>
        <v/>
      </c>
    </row>
    <row r="9" spans="1:60" x14ac:dyDescent="0.25">
      <c r="A9" t="str">
        <f>IF($B9="","",ROW()-6)</f>
        <v/>
      </c>
      <c r="B9" s="9"/>
      <c r="C9" s="9"/>
      <c r="D9" s="9"/>
      <c r="E9" s="9"/>
      <c r="F9" s="17"/>
      <c r="G9" s="18"/>
      <c r="H9" s="18"/>
      <c r="I9" s="9"/>
      <c r="J9" s="9"/>
      <c r="K9" s="19"/>
      <c r="L9" s="19"/>
      <c r="M9" s="19"/>
      <c r="N9" s="9"/>
      <c r="O9" s="9"/>
      <c r="P9" s="9"/>
      <c r="Q9" s="17"/>
      <c r="R9" s="18"/>
      <c r="S9" t="str">
        <f>IF($B9="","",IF($I9&lt;&gt;"",$I9,IFERROR(INDEX(Kat_Metode,MATCH($D9,Kat_Nama,0)),"")))</f>
        <v/>
      </c>
      <c r="T9" t="str">
        <f>IF($B9="","",IF($J9&lt;&gt;"",$J9,IFERROR(INDEX(Kat_Umur,MATCH($D9,Kat_Nama,0)),0)))</f>
        <v/>
      </c>
      <c r="U9" t="str">
        <f>IF($B9="","",IF($N9&lt;&gt;"",$N9,IFERROR(INDEX(Kat_Kelompok,MATCH($D9,Kat_Nama,0)),"")))</f>
        <v/>
      </c>
      <c r="V9" t="str">
        <f>IF($B9="","",IF($U9="Masa Manfaat Sebenarnya",N($O9),IFERROR(INDEX(Kel_Masa,MATCH($U9,Kel_Nama,0)),0)))</f>
        <v/>
      </c>
      <c r="W9" t="str">
        <f>IF($B9="","",IF($P9&lt;&gt;"",$P9,IF(OR($U9="Tidak Disusutkan",$V9=0),"Tidak Disusutkan","Garis Lurus")))</f>
        <v/>
      </c>
      <c r="X9" t="str">
        <f>IF($B9="","",IF($Y9&gt;TahunBuku*12+12,"Belum Diperoleh",IF($Z9&lt;=TahunBuku*12,"Dilepas (thn lalu)",IF($AC9=1,"Dilepas thn ini",IF($AB9=1,"Perolehan baru","Aktif")))))</f>
        <v/>
      </c>
      <c r="Y9" s="20" t="str">
        <f>IF($B9="","",YEAR($F9)*12+MONTH($F9))</f>
        <v/>
      </c>
      <c r="Z9" s="20" t="str">
        <f>IF($B9="","",IF($Q9="",99999,YEAR($Q9)*12+MONTH($Q9)))</f>
        <v/>
      </c>
      <c r="AA9" s="20" t="str">
        <f>IF($B9="","",--AND($Y9&lt;=TahunBuku*12,$Z9&gt;TahunBuku*12))</f>
        <v/>
      </c>
      <c r="AB9" s="20" t="str">
        <f>IF($B9="","",--AND($Y9&gt;TahunBuku*12,$Y9&lt;=TahunBuku*12+12))</f>
        <v/>
      </c>
      <c r="AC9" s="20" t="str">
        <f>IF($B9="","",--AND($Z9&gt;TahunBuku*12,$Z9&lt;=TahunBuku*12+12,$Y9&lt;=$Z9))</f>
        <v/>
      </c>
      <c r="AD9" s="21" t="str">
        <f>IF($B9="","",IFERROR(IF($S9="Garis Lurus",$G9-($G9-$H9)*MIN($T9*12,MAX(0,TahunBuku*12-$Y9+1))/($T9*12),IF($S9="Saldo Menurun",IF(TahunBuku-1&lt;YEAR($F9),$G9,IF(TahunBuku-1&gt;=INT(($Y9+$T9*12-2)/12),$H9,MAX($H9,$G9*(1-2/$T9*(13-MONTH($F9))/12)*(1-2/$T9)^(TahunBuku-1-YEAR($F9))))),IF($S9="Unit Produksi",$G9-($G9-$H9)*MIN(1,N($L9)/$K9),$G9))),$G9))</f>
        <v/>
      </c>
      <c r="AE9" s="21" t="str">
        <f>IF($B9="","",IFERROR(IF($S9="Garis Lurus",$G9-($G9-$H9)*MIN($T9*12,MAX(0,TahunBuku*12+12-$Y9+1))/($T9*12),IF($S9="Saldo Menurun",IF(TahunBuku&lt;YEAR($F9),$G9,IF(TahunBuku&gt;=INT(($Y9+$T9*12-2)/12),$H9,MAX($H9,$G9*(1-2/$T9*(13-MONTH($F9))/12)*(1-2/$T9)^(TahunBuku-YEAR($F9))))),IF($S9="Unit Produksi",$G9-($G9-$H9)*MIN(1,(N($L9)+N($M9))/$K9),$G9))),$G9))</f>
        <v/>
      </c>
      <c r="AF9" s="20" t="str">
        <f>IF($B9="","",IF(OR($S9="Garis Lurus",$S9="Saldo Menurun",$S9="Unit Produksi"),MAX(0,IF($S9="Unit Produksi",TahunBuku*12+12,MIN(TahunBuku*12+12,$Y9+$T9*12-1))-MAX(TahunBuku*12+1,$Y9)+1),0))</f>
        <v/>
      </c>
      <c r="AG9" s="20" t="str">
        <f>IF($B9="","",IF(OR($S9="Garis Lurus",$S9="Saldo Menurun",$S9="Unit Produksi"),MAX(0,MIN($Z9,IF($S9="Unit Produksi",TahunBuku*12+12,MIN(TahunBuku*12+12,$Y9+$T9*12-1)))-MAX(TahunBuku*12+1,$Y9)+1),0))</f>
        <v/>
      </c>
      <c r="AH9" s="21" t="str">
        <f>IF($B9="","",IFERROR(IF($W9="Garis Lurus",$G9*(1-MIN($V9*12,MAX(0,TahunBuku*12-$Y9+1))/($V9*12)),IF($W9="Saldo Menurun",IF(TahunBuku-1&lt;YEAR($F9),$G9,IF(TahunBuku-1&gt;=INT(($Y9+$V9*12-2)/12),0,$G9*(1-2/$V9*(13-MONTH($F9))/12)*(1-2/$V9)^(TahunBuku-1-YEAR($F9)))),$G9)),$G9))</f>
        <v/>
      </c>
      <c r="AI9" s="21" t="str">
        <f>IF($B9="","",IFERROR(IF($W9="Garis Lurus",$G9*(1-MIN($V9*12,MAX(0,TahunBuku*12+12-$Y9+1))/($V9*12)),IF($W9="Saldo Menurun",IF(TahunBuku&lt;YEAR($F9),$G9,IF(TahunBuku&gt;=INT(($Y9+$V9*12-2)/12),0,$G9*(1-2/$V9*(13-MONTH($F9))/12)*(1-2/$V9)^(TahunBuku-YEAR($F9)))),$G9)),$G9))</f>
        <v/>
      </c>
      <c r="AJ9" s="20" t="str">
        <f>IF($B9="","",IF(OR($W9="Garis Lurus",$W9="Saldo Menurun"),MAX(0,MIN(TahunBuku*12+12,$Y9+$V9*12-1)-MAX(TahunBuku*12+1,$Y9)+1),0))</f>
        <v/>
      </c>
      <c r="AK9" s="20" t="str">
        <f>IF($B9="","",IF(OR($W9="Garis Lurus",$W9="Saldo Menurun"),MAX(0,MIN($Z9,TahunBuku*12+12,$Y9+$V9*12-1)-MAX(TahunBuku*12+1,$Y9)+1),0))</f>
        <v/>
      </c>
      <c r="AL9" s="22" t="str">
        <f>IF($B9="","",$G9*$AA9)</f>
        <v/>
      </c>
      <c r="AM9" s="22" t="str">
        <f>IF($B9="","",$G9*$AB9)</f>
        <v/>
      </c>
      <c r="AN9" s="22" t="str">
        <f>IF($B9="","",$G9*$AC9)</f>
        <v/>
      </c>
      <c r="AO9" s="22" t="str">
        <f>IF($B9="","",AL9+AM9-AN9)</f>
        <v/>
      </c>
      <c r="AP9" s="22" t="str">
        <f>IF($B9="","",($G9-$AD9)*$AA9)</f>
        <v/>
      </c>
      <c r="AQ9" s="22" t="str">
        <f>IF($B9="","",IF($AF9=0,0,($AD9-$AE9)*$AG9/$AF9)*MAX($AA9,$AB9))</f>
        <v/>
      </c>
      <c r="AR9" s="22" t="str">
        <f>IF($B9="","",(AP9+AQ9)*$AC9)</f>
        <v/>
      </c>
      <c r="AS9" s="22" t="str">
        <f>IF($B9="","",AP9+AQ9-AR9)</f>
        <v/>
      </c>
      <c r="AT9" s="22" t="str">
        <f>IF($B9="","",AO9-AS9)</f>
        <v/>
      </c>
      <c r="AU9" s="22" t="str">
        <f>IF($B9="","",IF($AC9=1,N($R9)-($G9-AR9),0))</f>
        <v/>
      </c>
      <c r="AV9" s="22" t="str">
        <f>IF($B9="","",($G9-$AH9)*$AA9)</f>
        <v/>
      </c>
      <c r="AW9" s="22" t="str">
        <f>IF($B9="","",IF($AJ9=0,0,($AH9-$AI9)*$AK9/$AJ9)*MAX($AA9,$AB9))</f>
        <v/>
      </c>
      <c r="AX9" s="22" t="str">
        <f>IF($B9="","",(AV9+AW9)*$AC9)</f>
        <v/>
      </c>
      <c r="AY9" s="22" t="str">
        <f>IF($B9="","",AV9+AW9-AX9)</f>
        <v/>
      </c>
      <c r="AZ9" s="22" t="str">
        <f>IF($B9="","",AO9-AY9)</f>
        <v/>
      </c>
      <c r="BA9" s="22" t="str">
        <f>IF($B9="","",IF($AC9=1,N($R9)-($G9-AX9),0))</f>
        <v/>
      </c>
      <c r="BB9" s="22" t="str">
        <f>IF($B9="","",ROUND(AQ9-AW9,0))</f>
        <v/>
      </c>
      <c r="BC9" s="22" t="str">
        <f>IF($B9="","",ROUND(BA9-AU9,0))</f>
        <v/>
      </c>
      <c r="BD9" s="22" t="str">
        <f>IF($B9="","",BB9+BC9)</f>
        <v/>
      </c>
      <c r="BE9" s="22" t="str">
        <f>IF($B9="","",ROUND(AV9-AP9,0))</f>
        <v/>
      </c>
      <c r="BF9" s="22" t="str">
        <f>IF($B9="","",ROUND(AT9-AZ9,0))</f>
        <v/>
      </c>
      <c r="BG9" s="22" t="str">
        <f>IF($B9="","",ROUND(BF9*TarifPPh,0))</f>
        <v/>
      </c>
      <c r="BH9" t="str">
        <f>IF($B9="","",IF($D9="","Kategori kosong",IF($F9="","Tgl perolehan kosong",IF(N($H9)&gt;$G9,"Residu &gt; harga perolehan",IF(AND(LEFT($U9,8)="Bangunan",$W9="Saldo Menurun"),"Bangunan wajib Garis Lurus (Ps.11 UU PPh)",IF(AND($S9="Unit Produksi",N($K9)=0),"Isi kapasitas unit",IF(AND(OR($S9="Garis Lurus",$S9="Saldo Menurun"),N($T9)&lt;=0),"Umur komersial kosong",IF(AND(OR($W9="Garis Lurus",$W9="Saldo Menurun"),N($V9)&lt;=0),"Masa manfaat fiskal kosong",IF(AND($Q9&lt;&gt;"",$Q9&lt;$F9),"Tgl pelepasan &lt; perolehan","OK")))))))))</f>
        <v/>
      </c>
    </row>
    <row r="10" spans="1:60" x14ac:dyDescent="0.25">
      <c r="A10" t="str">
        <f>IF($B10="","",ROW()-6)</f>
        <v/>
      </c>
      <c r="B10" s="9"/>
      <c r="C10" s="9"/>
      <c r="D10" s="9"/>
      <c r="E10" s="9"/>
      <c r="F10" s="17"/>
      <c r="G10" s="18"/>
      <c r="H10" s="18"/>
      <c r="I10" s="9"/>
      <c r="J10" s="9"/>
      <c r="K10" s="19"/>
      <c r="L10" s="19"/>
      <c r="M10" s="19"/>
      <c r="N10" s="9"/>
      <c r="O10" s="9"/>
      <c r="P10" s="9"/>
      <c r="Q10" s="17"/>
      <c r="R10" s="18"/>
      <c r="S10" t="str">
        <f>IF($B10="","",IF($I10&lt;&gt;"",$I10,IFERROR(INDEX(Kat_Metode,MATCH($D10,Kat_Nama,0)),"")))</f>
        <v/>
      </c>
      <c r="T10" t="str">
        <f>IF($B10="","",IF($J10&lt;&gt;"",$J10,IFERROR(INDEX(Kat_Umur,MATCH($D10,Kat_Nama,0)),0)))</f>
        <v/>
      </c>
      <c r="U10" t="str">
        <f>IF($B10="","",IF($N10&lt;&gt;"",$N10,IFERROR(INDEX(Kat_Kelompok,MATCH($D10,Kat_Nama,0)),"")))</f>
        <v/>
      </c>
      <c r="V10" t="str">
        <f>IF($B10="","",IF($U10="Masa Manfaat Sebenarnya",N($O10),IFERROR(INDEX(Kel_Masa,MATCH($U10,Kel_Nama,0)),0)))</f>
        <v/>
      </c>
      <c r="W10" t="str">
        <f>IF($B10="","",IF($P10&lt;&gt;"",$P10,IF(OR($U10="Tidak Disusutkan",$V10=0),"Tidak Disusutkan","Garis Lurus")))</f>
        <v/>
      </c>
      <c r="X10" t="str">
        <f>IF($B10="","",IF($Y10&gt;TahunBuku*12+12,"Belum Diperoleh",IF($Z10&lt;=TahunBuku*12,"Dilepas (thn lalu)",IF($AC10=1,"Dilepas thn ini",IF($AB10=1,"Perolehan baru","Aktif")))))</f>
        <v/>
      </c>
      <c r="Y10" s="20" t="str">
        <f>IF($B10="","",YEAR($F10)*12+MONTH($F10))</f>
        <v/>
      </c>
      <c r="Z10" s="20" t="str">
        <f>IF($B10="","",IF($Q10="",99999,YEAR($Q10)*12+MONTH($Q10)))</f>
        <v/>
      </c>
      <c r="AA10" s="20" t="str">
        <f>IF($B10="","",--AND($Y10&lt;=TahunBuku*12,$Z10&gt;TahunBuku*12))</f>
        <v/>
      </c>
      <c r="AB10" s="20" t="str">
        <f>IF($B10="","",--AND($Y10&gt;TahunBuku*12,$Y10&lt;=TahunBuku*12+12))</f>
        <v/>
      </c>
      <c r="AC10" s="20" t="str">
        <f>IF($B10="","",--AND($Z10&gt;TahunBuku*12,$Z10&lt;=TahunBuku*12+12,$Y10&lt;=$Z10))</f>
        <v/>
      </c>
      <c r="AD10" s="21" t="str">
        <f>IF($B10="","",IFERROR(IF($S10="Garis Lurus",$G10-($G10-$H10)*MIN($T10*12,MAX(0,TahunBuku*12-$Y10+1))/($T10*12),IF($S10="Saldo Menurun",IF(TahunBuku-1&lt;YEAR($F10),$G10,IF(TahunBuku-1&gt;=INT(($Y10+$T10*12-2)/12),$H10,MAX($H10,$G10*(1-2/$T10*(13-MONTH($F10))/12)*(1-2/$T10)^(TahunBuku-1-YEAR($F10))))),IF($S10="Unit Produksi",$G10-($G10-$H10)*MIN(1,N($L10)/$K10),$G10))),$G10))</f>
        <v/>
      </c>
      <c r="AE10" s="21" t="str">
        <f>IF($B10="","",IFERROR(IF($S10="Garis Lurus",$G10-($G10-$H10)*MIN($T10*12,MAX(0,TahunBuku*12+12-$Y10+1))/($T10*12),IF($S10="Saldo Menurun",IF(TahunBuku&lt;YEAR($F10),$G10,IF(TahunBuku&gt;=INT(($Y10+$T10*12-2)/12),$H10,MAX($H10,$G10*(1-2/$T10*(13-MONTH($F10))/12)*(1-2/$T10)^(TahunBuku-YEAR($F10))))),IF($S10="Unit Produksi",$G10-($G10-$H10)*MIN(1,(N($L10)+N($M10))/$K10),$G10))),$G10))</f>
        <v/>
      </c>
      <c r="AF10" s="20" t="str">
        <f>IF($B10="","",IF(OR($S10="Garis Lurus",$S10="Saldo Menurun",$S10="Unit Produksi"),MAX(0,IF($S10="Unit Produksi",TahunBuku*12+12,MIN(TahunBuku*12+12,$Y10+$T10*12-1))-MAX(TahunBuku*12+1,$Y10)+1),0))</f>
        <v/>
      </c>
      <c r="AG10" s="20" t="str">
        <f>IF($B10="","",IF(OR($S10="Garis Lurus",$S10="Saldo Menurun",$S10="Unit Produksi"),MAX(0,MIN($Z10,IF($S10="Unit Produksi",TahunBuku*12+12,MIN(TahunBuku*12+12,$Y10+$T10*12-1)))-MAX(TahunBuku*12+1,$Y10)+1),0))</f>
        <v/>
      </c>
      <c r="AH10" s="21" t="str">
        <f>IF($B10="","",IFERROR(IF($W10="Garis Lurus",$G10*(1-MIN($V10*12,MAX(0,TahunBuku*12-$Y10+1))/($V10*12)),IF($W10="Saldo Menurun",IF(TahunBuku-1&lt;YEAR($F10),$G10,IF(TahunBuku-1&gt;=INT(($Y10+$V10*12-2)/12),0,$G10*(1-2/$V10*(13-MONTH($F10))/12)*(1-2/$V10)^(TahunBuku-1-YEAR($F10)))),$G10)),$G10))</f>
        <v/>
      </c>
      <c r="AI10" s="21" t="str">
        <f>IF($B10="","",IFERROR(IF($W10="Garis Lurus",$G10*(1-MIN($V10*12,MAX(0,TahunBuku*12+12-$Y10+1))/($V10*12)),IF($W10="Saldo Menurun",IF(TahunBuku&lt;YEAR($F10),$G10,IF(TahunBuku&gt;=INT(($Y10+$V10*12-2)/12),0,$G10*(1-2/$V10*(13-MONTH($F10))/12)*(1-2/$V10)^(TahunBuku-YEAR($F10)))),$G10)),$G10))</f>
        <v/>
      </c>
      <c r="AJ10" s="20" t="str">
        <f>IF($B10="","",IF(OR($W10="Garis Lurus",$W10="Saldo Menurun"),MAX(0,MIN(TahunBuku*12+12,$Y10+$V10*12-1)-MAX(TahunBuku*12+1,$Y10)+1),0))</f>
        <v/>
      </c>
      <c r="AK10" s="20" t="str">
        <f>IF($B10="","",IF(OR($W10="Garis Lurus",$W10="Saldo Menurun"),MAX(0,MIN($Z10,TahunBuku*12+12,$Y10+$V10*12-1)-MAX(TahunBuku*12+1,$Y10)+1),0))</f>
        <v/>
      </c>
      <c r="AL10" s="22" t="str">
        <f>IF($B10="","",$G10*$AA10)</f>
        <v/>
      </c>
      <c r="AM10" s="22" t="str">
        <f>IF($B10="","",$G10*$AB10)</f>
        <v/>
      </c>
      <c r="AN10" s="22" t="str">
        <f>IF($B10="","",$G10*$AC10)</f>
        <v/>
      </c>
      <c r="AO10" s="22" t="str">
        <f>IF($B10="","",AL10+AM10-AN10)</f>
        <v/>
      </c>
      <c r="AP10" s="22" t="str">
        <f>IF($B10="","",($G10-$AD10)*$AA10)</f>
        <v/>
      </c>
      <c r="AQ10" s="22" t="str">
        <f>IF($B10="","",IF($AF10=0,0,($AD10-$AE10)*$AG10/$AF10)*MAX($AA10,$AB10))</f>
        <v/>
      </c>
      <c r="AR10" s="22" t="str">
        <f>IF($B10="","",(AP10+AQ10)*$AC10)</f>
        <v/>
      </c>
      <c r="AS10" s="22" t="str">
        <f>IF($B10="","",AP10+AQ10-AR10)</f>
        <v/>
      </c>
      <c r="AT10" s="22" t="str">
        <f>IF($B10="","",AO10-AS10)</f>
        <v/>
      </c>
      <c r="AU10" s="22" t="str">
        <f>IF($B10="","",IF($AC10=1,N($R10)-($G10-AR10),0))</f>
        <v/>
      </c>
      <c r="AV10" s="22" t="str">
        <f>IF($B10="","",($G10-$AH10)*$AA10)</f>
        <v/>
      </c>
      <c r="AW10" s="22" t="str">
        <f>IF($B10="","",IF($AJ10=0,0,($AH10-$AI10)*$AK10/$AJ10)*MAX($AA10,$AB10))</f>
        <v/>
      </c>
      <c r="AX10" s="22" t="str">
        <f>IF($B10="","",(AV10+AW10)*$AC10)</f>
        <v/>
      </c>
      <c r="AY10" s="22" t="str">
        <f>IF($B10="","",AV10+AW10-AX10)</f>
        <v/>
      </c>
      <c r="AZ10" s="22" t="str">
        <f>IF($B10="","",AO10-AY10)</f>
        <v/>
      </c>
      <c r="BA10" s="22" t="str">
        <f>IF($B10="","",IF($AC10=1,N($R10)-($G10-AX10),0))</f>
        <v/>
      </c>
      <c r="BB10" s="22" t="str">
        <f>IF($B10="","",ROUND(AQ10-AW10,0))</f>
        <v/>
      </c>
      <c r="BC10" s="22" t="str">
        <f>IF($B10="","",ROUND(BA10-AU10,0))</f>
        <v/>
      </c>
      <c r="BD10" s="22" t="str">
        <f>IF($B10="","",BB10+BC10)</f>
        <v/>
      </c>
      <c r="BE10" s="22" t="str">
        <f>IF($B10="","",ROUND(AV10-AP10,0))</f>
        <v/>
      </c>
      <c r="BF10" s="22" t="str">
        <f>IF($B10="","",ROUND(AT10-AZ10,0))</f>
        <v/>
      </c>
      <c r="BG10" s="22" t="str">
        <f>IF($B10="","",ROUND(BF10*TarifPPh,0))</f>
        <v/>
      </c>
      <c r="BH10" t="str">
        <f>IF($B10="","",IF($D10="","Kategori kosong",IF($F10="","Tgl perolehan kosong",IF(N($H10)&gt;$G10,"Residu &gt; harga perolehan",IF(AND(LEFT($U10,8)="Bangunan",$W10="Saldo Menurun"),"Bangunan wajib Garis Lurus (Ps.11 UU PPh)",IF(AND($S10="Unit Produksi",N($K10)=0),"Isi kapasitas unit",IF(AND(OR($S10="Garis Lurus",$S10="Saldo Menurun"),N($T10)&lt;=0),"Umur komersial kosong",IF(AND(OR($W10="Garis Lurus",$W10="Saldo Menurun"),N($V10)&lt;=0),"Masa manfaat fiskal kosong",IF(AND($Q10&lt;&gt;"",$Q10&lt;$F10),"Tgl pelepasan &lt; perolehan","OK")))))))))</f>
        <v/>
      </c>
    </row>
    <row r="11" spans="1:60" x14ac:dyDescent="0.25">
      <c r="A11" t="str">
        <f>IF($B11="","",ROW()-6)</f>
        <v/>
      </c>
      <c r="B11" s="9"/>
      <c r="C11" s="9"/>
      <c r="D11" s="9"/>
      <c r="E11" s="9"/>
      <c r="F11" s="17"/>
      <c r="G11" s="18"/>
      <c r="H11" s="18"/>
      <c r="I11" s="9"/>
      <c r="J11" s="9"/>
      <c r="K11" s="19"/>
      <c r="L11" s="19"/>
      <c r="M11" s="19"/>
      <c r="N11" s="9"/>
      <c r="O11" s="9"/>
      <c r="P11" s="9"/>
      <c r="Q11" s="17"/>
      <c r="R11" s="18"/>
      <c r="S11" t="str">
        <f>IF($B11="","",IF($I11&lt;&gt;"",$I11,IFERROR(INDEX(Kat_Metode,MATCH($D11,Kat_Nama,0)),"")))</f>
        <v/>
      </c>
      <c r="T11" t="str">
        <f>IF($B11="","",IF($J11&lt;&gt;"",$J11,IFERROR(INDEX(Kat_Umur,MATCH($D11,Kat_Nama,0)),0)))</f>
        <v/>
      </c>
      <c r="U11" t="str">
        <f>IF($B11="","",IF($N11&lt;&gt;"",$N11,IFERROR(INDEX(Kat_Kelompok,MATCH($D11,Kat_Nama,0)),"")))</f>
        <v/>
      </c>
      <c r="V11" t="str">
        <f>IF($B11="","",IF($U11="Masa Manfaat Sebenarnya",N($O11),IFERROR(INDEX(Kel_Masa,MATCH($U11,Kel_Nama,0)),0)))</f>
        <v/>
      </c>
      <c r="W11" t="str">
        <f>IF($B11="","",IF($P11&lt;&gt;"",$P11,IF(OR($U11="Tidak Disusutkan",$V11=0),"Tidak Disusutkan","Garis Lurus")))</f>
        <v/>
      </c>
      <c r="X11" t="str">
        <f>IF($B11="","",IF($Y11&gt;TahunBuku*12+12,"Belum Diperoleh",IF($Z11&lt;=TahunBuku*12,"Dilepas (thn lalu)",IF($AC11=1,"Dilepas thn ini",IF($AB11=1,"Perolehan baru","Aktif")))))</f>
        <v/>
      </c>
      <c r="Y11" s="20" t="str">
        <f>IF($B11="","",YEAR($F11)*12+MONTH($F11))</f>
        <v/>
      </c>
      <c r="Z11" s="20" t="str">
        <f>IF($B11="","",IF($Q11="",99999,YEAR($Q11)*12+MONTH($Q11)))</f>
        <v/>
      </c>
      <c r="AA11" s="20" t="str">
        <f>IF($B11="","",--AND($Y11&lt;=TahunBuku*12,$Z11&gt;TahunBuku*12))</f>
        <v/>
      </c>
      <c r="AB11" s="20" t="str">
        <f>IF($B11="","",--AND($Y11&gt;TahunBuku*12,$Y11&lt;=TahunBuku*12+12))</f>
        <v/>
      </c>
      <c r="AC11" s="20" t="str">
        <f>IF($B11="","",--AND($Z11&gt;TahunBuku*12,$Z11&lt;=TahunBuku*12+12,$Y11&lt;=$Z11))</f>
        <v/>
      </c>
      <c r="AD11" s="21" t="str">
        <f>IF($B11="","",IFERROR(IF($S11="Garis Lurus",$G11-($G11-$H11)*MIN($T11*12,MAX(0,TahunBuku*12-$Y11+1))/($T11*12),IF($S11="Saldo Menurun",IF(TahunBuku-1&lt;YEAR($F11),$G11,IF(TahunBuku-1&gt;=INT(($Y11+$T11*12-2)/12),$H11,MAX($H11,$G11*(1-2/$T11*(13-MONTH($F11))/12)*(1-2/$T11)^(TahunBuku-1-YEAR($F11))))),IF($S11="Unit Produksi",$G11-($G11-$H11)*MIN(1,N($L11)/$K11),$G11))),$G11))</f>
        <v/>
      </c>
      <c r="AE11" s="21" t="str">
        <f>IF($B11="","",IFERROR(IF($S11="Garis Lurus",$G11-($G11-$H11)*MIN($T11*12,MAX(0,TahunBuku*12+12-$Y11+1))/($T11*12),IF($S11="Saldo Menurun",IF(TahunBuku&lt;YEAR($F11),$G11,IF(TahunBuku&gt;=INT(($Y11+$T11*12-2)/12),$H11,MAX($H11,$G11*(1-2/$T11*(13-MONTH($F11))/12)*(1-2/$T11)^(TahunBuku-YEAR($F11))))),IF($S11="Unit Produksi",$G11-($G11-$H11)*MIN(1,(N($L11)+N($M11))/$K11),$G11))),$G11))</f>
        <v/>
      </c>
      <c r="AF11" s="20" t="str">
        <f>IF($B11="","",IF(OR($S11="Garis Lurus",$S11="Saldo Menurun",$S11="Unit Produksi"),MAX(0,IF($S11="Unit Produksi",TahunBuku*12+12,MIN(TahunBuku*12+12,$Y11+$T11*12-1))-MAX(TahunBuku*12+1,$Y11)+1),0))</f>
        <v/>
      </c>
      <c r="AG11" s="20" t="str">
        <f>IF($B11="","",IF(OR($S11="Garis Lurus",$S11="Saldo Menurun",$S11="Unit Produksi"),MAX(0,MIN($Z11,IF($S11="Unit Produksi",TahunBuku*12+12,MIN(TahunBuku*12+12,$Y11+$T11*12-1)))-MAX(TahunBuku*12+1,$Y11)+1),0))</f>
        <v/>
      </c>
      <c r="AH11" s="21" t="str">
        <f>IF($B11="","",IFERROR(IF($W11="Garis Lurus",$G11*(1-MIN($V11*12,MAX(0,TahunBuku*12-$Y11+1))/($V11*12)),IF($W11="Saldo Menurun",IF(TahunBuku-1&lt;YEAR($F11),$G11,IF(TahunBuku-1&gt;=INT(($Y11+$V11*12-2)/12),0,$G11*(1-2/$V11*(13-MONTH($F11))/12)*(1-2/$V11)^(TahunBuku-1-YEAR($F11)))),$G11)),$G11))</f>
        <v/>
      </c>
      <c r="AI11" s="21" t="str">
        <f>IF($B11="","",IFERROR(IF($W11="Garis Lurus",$G11*(1-MIN($V11*12,MAX(0,TahunBuku*12+12-$Y11+1))/($V11*12)),IF($W11="Saldo Menurun",IF(TahunBuku&lt;YEAR($F11),$G11,IF(TahunBuku&gt;=INT(($Y11+$V11*12-2)/12),0,$G11*(1-2/$V11*(13-MONTH($F11))/12)*(1-2/$V11)^(TahunBuku-YEAR($F11)))),$G11)),$G11))</f>
        <v/>
      </c>
      <c r="AJ11" s="20" t="str">
        <f>IF($B11="","",IF(OR($W11="Garis Lurus",$W11="Saldo Menurun"),MAX(0,MIN(TahunBuku*12+12,$Y11+$V11*12-1)-MAX(TahunBuku*12+1,$Y11)+1),0))</f>
        <v/>
      </c>
      <c r="AK11" s="20" t="str">
        <f>IF($B11="","",IF(OR($W11="Garis Lurus",$W11="Saldo Menurun"),MAX(0,MIN($Z11,TahunBuku*12+12,$Y11+$V11*12-1)-MAX(TahunBuku*12+1,$Y11)+1),0))</f>
        <v/>
      </c>
      <c r="AL11" s="22" t="str">
        <f>IF($B11="","",$G11*$AA11)</f>
        <v/>
      </c>
      <c r="AM11" s="22" t="str">
        <f>IF($B11="","",$G11*$AB11)</f>
        <v/>
      </c>
      <c r="AN11" s="22" t="str">
        <f>IF($B11="","",$G11*$AC11)</f>
        <v/>
      </c>
      <c r="AO11" s="22" t="str">
        <f>IF($B11="","",AL11+AM11-AN11)</f>
        <v/>
      </c>
      <c r="AP11" s="22" t="str">
        <f>IF($B11="","",($G11-$AD11)*$AA11)</f>
        <v/>
      </c>
      <c r="AQ11" s="22" t="str">
        <f>IF($B11="","",IF($AF11=0,0,($AD11-$AE11)*$AG11/$AF11)*MAX($AA11,$AB11))</f>
        <v/>
      </c>
      <c r="AR11" s="22" t="str">
        <f>IF($B11="","",(AP11+AQ11)*$AC11)</f>
        <v/>
      </c>
      <c r="AS11" s="22" t="str">
        <f>IF($B11="","",AP11+AQ11-AR11)</f>
        <v/>
      </c>
      <c r="AT11" s="22" t="str">
        <f>IF($B11="","",AO11-AS11)</f>
        <v/>
      </c>
      <c r="AU11" s="22" t="str">
        <f>IF($B11="","",IF($AC11=1,N($R11)-($G11-AR11),0))</f>
        <v/>
      </c>
      <c r="AV11" s="22" t="str">
        <f>IF($B11="","",($G11-$AH11)*$AA11)</f>
        <v/>
      </c>
      <c r="AW11" s="22" t="str">
        <f>IF($B11="","",IF($AJ11=0,0,($AH11-$AI11)*$AK11/$AJ11)*MAX($AA11,$AB11))</f>
        <v/>
      </c>
      <c r="AX11" s="22" t="str">
        <f>IF($B11="","",(AV11+AW11)*$AC11)</f>
        <v/>
      </c>
      <c r="AY11" s="22" t="str">
        <f>IF($B11="","",AV11+AW11-AX11)</f>
        <v/>
      </c>
      <c r="AZ11" s="22" t="str">
        <f>IF($B11="","",AO11-AY11)</f>
        <v/>
      </c>
      <c r="BA11" s="22" t="str">
        <f>IF($B11="","",IF($AC11=1,N($R11)-($G11-AX11),0))</f>
        <v/>
      </c>
      <c r="BB11" s="22" t="str">
        <f>IF($B11="","",ROUND(AQ11-AW11,0))</f>
        <v/>
      </c>
      <c r="BC11" s="22" t="str">
        <f>IF($B11="","",ROUND(BA11-AU11,0))</f>
        <v/>
      </c>
      <c r="BD11" s="22" t="str">
        <f>IF($B11="","",BB11+BC11)</f>
        <v/>
      </c>
      <c r="BE11" s="22" t="str">
        <f>IF($B11="","",ROUND(AV11-AP11,0))</f>
        <v/>
      </c>
      <c r="BF11" s="22" t="str">
        <f>IF($B11="","",ROUND(AT11-AZ11,0))</f>
        <v/>
      </c>
      <c r="BG11" s="22" t="str">
        <f>IF($B11="","",ROUND(BF11*TarifPPh,0))</f>
        <v/>
      </c>
      <c r="BH11" t="str">
        <f>IF($B11="","",IF($D11="","Kategori kosong",IF($F11="","Tgl perolehan kosong",IF(N($H11)&gt;$G11,"Residu &gt; harga perolehan",IF(AND(LEFT($U11,8)="Bangunan",$W11="Saldo Menurun"),"Bangunan wajib Garis Lurus (Ps.11 UU PPh)",IF(AND($S11="Unit Produksi",N($K11)=0),"Isi kapasitas unit",IF(AND(OR($S11="Garis Lurus",$S11="Saldo Menurun"),N($T11)&lt;=0),"Umur komersial kosong",IF(AND(OR($W11="Garis Lurus",$W11="Saldo Menurun"),N($V11)&lt;=0),"Masa manfaat fiskal kosong",IF(AND($Q11&lt;&gt;"",$Q11&lt;$F11),"Tgl pelepasan &lt; perolehan","OK")))))))))</f>
        <v/>
      </c>
    </row>
    <row r="12" spans="1:60" x14ac:dyDescent="0.25">
      <c r="A12" t="str">
        <f>IF($B12="","",ROW()-6)</f>
        <v/>
      </c>
      <c r="B12" s="9"/>
      <c r="C12" s="9"/>
      <c r="D12" s="9"/>
      <c r="E12" s="9"/>
      <c r="F12" s="17"/>
      <c r="G12" s="18"/>
      <c r="H12" s="18"/>
      <c r="I12" s="9"/>
      <c r="J12" s="9"/>
      <c r="K12" s="19"/>
      <c r="L12" s="19"/>
      <c r="M12" s="19"/>
      <c r="N12" s="9"/>
      <c r="O12" s="9"/>
      <c r="P12" s="9"/>
      <c r="Q12" s="17"/>
      <c r="R12" s="18"/>
      <c r="S12" t="str">
        <f>IF($B12="","",IF($I12&lt;&gt;"",$I12,IFERROR(INDEX(Kat_Metode,MATCH($D12,Kat_Nama,0)),"")))</f>
        <v/>
      </c>
      <c r="T12" t="str">
        <f>IF($B12="","",IF($J12&lt;&gt;"",$J12,IFERROR(INDEX(Kat_Umur,MATCH($D12,Kat_Nama,0)),0)))</f>
        <v/>
      </c>
      <c r="U12" t="str">
        <f>IF($B12="","",IF($N12&lt;&gt;"",$N12,IFERROR(INDEX(Kat_Kelompok,MATCH($D12,Kat_Nama,0)),"")))</f>
        <v/>
      </c>
      <c r="V12" t="str">
        <f>IF($B12="","",IF($U12="Masa Manfaat Sebenarnya",N($O12),IFERROR(INDEX(Kel_Masa,MATCH($U12,Kel_Nama,0)),0)))</f>
        <v/>
      </c>
      <c r="W12" t="str">
        <f>IF($B12="","",IF($P12&lt;&gt;"",$P12,IF(OR($U12="Tidak Disusutkan",$V12=0),"Tidak Disusutkan","Garis Lurus")))</f>
        <v/>
      </c>
      <c r="X12" t="str">
        <f>IF($B12="","",IF($Y12&gt;TahunBuku*12+12,"Belum Diperoleh",IF($Z12&lt;=TahunBuku*12,"Dilepas (thn lalu)",IF($AC12=1,"Dilepas thn ini",IF($AB12=1,"Perolehan baru","Aktif")))))</f>
        <v/>
      </c>
      <c r="Y12" s="20" t="str">
        <f>IF($B12="","",YEAR($F12)*12+MONTH($F12))</f>
        <v/>
      </c>
      <c r="Z12" s="20" t="str">
        <f>IF($B12="","",IF($Q12="",99999,YEAR($Q12)*12+MONTH($Q12)))</f>
        <v/>
      </c>
      <c r="AA12" s="20" t="str">
        <f>IF($B12="","",--AND($Y12&lt;=TahunBuku*12,$Z12&gt;TahunBuku*12))</f>
        <v/>
      </c>
      <c r="AB12" s="20" t="str">
        <f>IF($B12="","",--AND($Y12&gt;TahunBuku*12,$Y12&lt;=TahunBuku*12+12))</f>
        <v/>
      </c>
      <c r="AC12" s="20" t="str">
        <f>IF($B12="","",--AND($Z12&gt;TahunBuku*12,$Z12&lt;=TahunBuku*12+12,$Y12&lt;=$Z12))</f>
        <v/>
      </c>
      <c r="AD12" s="21" t="str">
        <f>IF($B12="","",IFERROR(IF($S12="Garis Lurus",$G12-($G12-$H12)*MIN($T12*12,MAX(0,TahunBuku*12-$Y12+1))/($T12*12),IF($S12="Saldo Menurun",IF(TahunBuku-1&lt;YEAR($F12),$G12,IF(TahunBuku-1&gt;=INT(($Y12+$T12*12-2)/12),$H12,MAX($H12,$G12*(1-2/$T12*(13-MONTH($F12))/12)*(1-2/$T12)^(TahunBuku-1-YEAR($F12))))),IF($S12="Unit Produksi",$G12-($G12-$H12)*MIN(1,N($L12)/$K12),$G12))),$G12))</f>
        <v/>
      </c>
      <c r="AE12" s="21" t="str">
        <f>IF($B12="","",IFERROR(IF($S12="Garis Lurus",$G12-($G12-$H12)*MIN($T12*12,MAX(0,TahunBuku*12+12-$Y12+1))/($T12*12),IF($S12="Saldo Menurun",IF(TahunBuku&lt;YEAR($F12),$G12,IF(TahunBuku&gt;=INT(($Y12+$T12*12-2)/12),$H12,MAX($H12,$G12*(1-2/$T12*(13-MONTH($F12))/12)*(1-2/$T12)^(TahunBuku-YEAR($F12))))),IF($S12="Unit Produksi",$G12-($G12-$H12)*MIN(1,(N($L12)+N($M12))/$K12),$G12))),$G12))</f>
        <v/>
      </c>
      <c r="AF12" s="20" t="str">
        <f>IF($B12="","",IF(OR($S12="Garis Lurus",$S12="Saldo Menurun",$S12="Unit Produksi"),MAX(0,IF($S12="Unit Produksi",TahunBuku*12+12,MIN(TahunBuku*12+12,$Y12+$T12*12-1))-MAX(TahunBuku*12+1,$Y12)+1),0))</f>
        <v/>
      </c>
      <c r="AG12" s="20" t="str">
        <f>IF($B12="","",IF(OR($S12="Garis Lurus",$S12="Saldo Menurun",$S12="Unit Produksi"),MAX(0,MIN($Z12,IF($S12="Unit Produksi",TahunBuku*12+12,MIN(TahunBuku*12+12,$Y12+$T12*12-1)))-MAX(TahunBuku*12+1,$Y12)+1),0))</f>
        <v/>
      </c>
      <c r="AH12" s="21" t="str">
        <f>IF($B12="","",IFERROR(IF($W12="Garis Lurus",$G12*(1-MIN($V12*12,MAX(0,TahunBuku*12-$Y12+1))/($V12*12)),IF($W12="Saldo Menurun",IF(TahunBuku-1&lt;YEAR($F12),$G12,IF(TahunBuku-1&gt;=INT(($Y12+$V12*12-2)/12),0,$G12*(1-2/$V12*(13-MONTH($F12))/12)*(1-2/$V12)^(TahunBuku-1-YEAR($F12)))),$G12)),$G12))</f>
        <v/>
      </c>
      <c r="AI12" s="21" t="str">
        <f>IF($B12="","",IFERROR(IF($W12="Garis Lurus",$G12*(1-MIN($V12*12,MAX(0,TahunBuku*12+12-$Y12+1))/($V12*12)),IF($W12="Saldo Menurun",IF(TahunBuku&lt;YEAR($F12),$G12,IF(TahunBuku&gt;=INT(($Y12+$V12*12-2)/12),0,$G12*(1-2/$V12*(13-MONTH($F12))/12)*(1-2/$V12)^(TahunBuku-YEAR($F12)))),$G12)),$G12))</f>
        <v/>
      </c>
      <c r="AJ12" s="20" t="str">
        <f>IF($B12="","",IF(OR($W12="Garis Lurus",$W12="Saldo Menurun"),MAX(0,MIN(TahunBuku*12+12,$Y12+$V12*12-1)-MAX(TahunBuku*12+1,$Y12)+1),0))</f>
        <v/>
      </c>
      <c r="AK12" s="20" t="str">
        <f>IF($B12="","",IF(OR($W12="Garis Lurus",$W12="Saldo Menurun"),MAX(0,MIN($Z12,TahunBuku*12+12,$Y12+$V12*12-1)-MAX(TahunBuku*12+1,$Y12)+1),0))</f>
        <v/>
      </c>
      <c r="AL12" s="22" t="str">
        <f>IF($B12="","",$G12*$AA12)</f>
        <v/>
      </c>
      <c r="AM12" s="22" t="str">
        <f>IF($B12="","",$G12*$AB12)</f>
        <v/>
      </c>
      <c r="AN12" s="22" t="str">
        <f>IF($B12="","",$G12*$AC12)</f>
        <v/>
      </c>
      <c r="AO12" s="22" t="str">
        <f>IF($B12="","",AL12+AM12-AN12)</f>
        <v/>
      </c>
      <c r="AP12" s="22" t="str">
        <f>IF($B12="","",($G12-$AD12)*$AA12)</f>
        <v/>
      </c>
      <c r="AQ12" s="22" t="str">
        <f>IF($B12="","",IF($AF12=0,0,($AD12-$AE12)*$AG12/$AF12)*MAX($AA12,$AB12))</f>
        <v/>
      </c>
      <c r="AR12" s="22" t="str">
        <f>IF($B12="","",(AP12+AQ12)*$AC12)</f>
        <v/>
      </c>
      <c r="AS12" s="22" t="str">
        <f>IF($B12="","",AP12+AQ12-AR12)</f>
        <v/>
      </c>
      <c r="AT12" s="22" t="str">
        <f>IF($B12="","",AO12-AS12)</f>
        <v/>
      </c>
      <c r="AU12" s="22" t="str">
        <f>IF($B12="","",IF($AC12=1,N($R12)-($G12-AR12),0))</f>
        <v/>
      </c>
      <c r="AV12" s="22" t="str">
        <f>IF($B12="","",($G12-$AH12)*$AA12)</f>
        <v/>
      </c>
      <c r="AW12" s="22" t="str">
        <f>IF($B12="","",IF($AJ12=0,0,($AH12-$AI12)*$AK12/$AJ12)*MAX($AA12,$AB12))</f>
        <v/>
      </c>
      <c r="AX12" s="22" t="str">
        <f>IF($B12="","",(AV12+AW12)*$AC12)</f>
        <v/>
      </c>
      <c r="AY12" s="22" t="str">
        <f>IF($B12="","",AV12+AW12-AX12)</f>
        <v/>
      </c>
      <c r="AZ12" s="22" t="str">
        <f>IF($B12="","",AO12-AY12)</f>
        <v/>
      </c>
      <c r="BA12" s="22" t="str">
        <f>IF($B12="","",IF($AC12=1,N($R12)-($G12-AX12),0))</f>
        <v/>
      </c>
      <c r="BB12" s="22" t="str">
        <f>IF($B12="","",ROUND(AQ12-AW12,0))</f>
        <v/>
      </c>
      <c r="BC12" s="22" t="str">
        <f>IF($B12="","",ROUND(BA12-AU12,0))</f>
        <v/>
      </c>
      <c r="BD12" s="22" t="str">
        <f>IF($B12="","",BB12+BC12)</f>
        <v/>
      </c>
      <c r="BE12" s="22" t="str">
        <f>IF($B12="","",ROUND(AV12-AP12,0))</f>
        <v/>
      </c>
      <c r="BF12" s="22" t="str">
        <f>IF($B12="","",ROUND(AT12-AZ12,0))</f>
        <v/>
      </c>
      <c r="BG12" s="22" t="str">
        <f>IF($B12="","",ROUND(BF12*TarifPPh,0))</f>
        <v/>
      </c>
      <c r="BH12" t="str">
        <f>IF($B12="","",IF($D12="","Kategori kosong",IF($F12="","Tgl perolehan kosong",IF(N($H12)&gt;$G12,"Residu &gt; harga perolehan",IF(AND(LEFT($U12,8)="Bangunan",$W12="Saldo Menurun"),"Bangunan wajib Garis Lurus (Ps.11 UU PPh)",IF(AND($S12="Unit Produksi",N($K12)=0),"Isi kapasitas unit",IF(AND(OR($S12="Garis Lurus",$S12="Saldo Menurun"),N($T12)&lt;=0),"Umur komersial kosong",IF(AND(OR($W12="Garis Lurus",$W12="Saldo Menurun"),N($V12)&lt;=0),"Masa manfaat fiskal kosong",IF(AND($Q12&lt;&gt;"",$Q12&lt;$F12),"Tgl pelepasan &lt; perolehan","OK")))))))))</f>
        <v/>
      </c>
    </row>
    <row r="13" spans="1:60" x14ac:dyDescent="0.25">
      <c r="A13" t="str">
        <f>IF($B13="","",ROW()-6)</f>
        <v/>
      </c>
      <c r="B13" s="9"/>
      <c r="C13" s="9"/>
      <c r="D13" s="9"/>
      <c r="E13" s="9"/>
      <c r="F13" s="17"/>
      <c r="G13" s="18"/>
      <c r="H13" s="18"/>
      <c r="I13" s="9"/>
      <c r="J13" s="9"/>
      <c r="K13" s="19"/>
      <c r="L13" s="19"/>
      <c r="M13" s="19"/>
      <c r="N13" s="9"/>
      <c r="O13" s="9"/>
      <c r="P13" s="9"/>
      <c r="Q13" s="17"/>
      <c r="R13" s="18"/>
      <c r="S13" t="str">
        <f>IF($B13="","",IF($I13&lt;&gt;"",$I13,IFERROR(INDEX(Kat_Metode,MATCH($D13,Kat_Nama,0)),"")))</f>
        <v/>
      </c>
      <c r="T13" t="str">
        <f>IF($B13="","",IF($J13&lt;&gt;"",$J13,IFERROR(INDEX(Kat_Umur,MATCH($D13,Kat_Nama,0)),0)))</f>
        <v/>
      </c>
      <c r="U13" t="str">
        <f>IF($B13="","",IF($N13&lt;&gt;"",$N13,IFERROR(INDEX(Kat_Kelompok,MATCH($D13,Kat_Nama,0)),"")))</f>
        <v/>
      </c>
      <c r="V13" t="str">
        <f>IF($B13="","",IF($U13="Masa Manfaat Sebenarnya",N($O13),IFERROR(INDEX(Kel_Masa,MATCH($U13,Kel_Nama,0)),0)))</f>
        <v/>
      </c>
      <c r="W13" t="str">
        <f>IF($B13="","",IF($P13&lt;&gt;"",$P13,IF(OR($U13="Tidak Disusutkan",$V13=0),"Tidak Disusutkan","Garis Lurus")))</f>
        <v/>
      </c>
      <c r="X13" t="str">
        <f>IF($B13="","",IF($Y13&gt;TahunBuku*12+12,"Belum Diperoleh",IF($Z13&lt;=TahunBuku*12,"Dilepas (thn lalu)",IF($AC13=1,"Dilepas thn ini",IF($AB13=1,"Perolehan baru","Aktif")))))</f>
        <v/>
      </c>
      <c r="Y13" s="20" t="str">
        <f>IF($B13="","",YEAR($F13)*12+MONTH($F13))</f>
        <v/>
      </c>
      <c r="Z13" s="20" t="str">
        <f>IF($B13="","",IF($Q13="",99999,YEAR($Q13)*12+MONTH($Q13)))</f>
        <v/>
      </c>
      <c r="AA13" s="20" t="str">
        <f>IF($B13="","",--AND($Y13&lt;=TahunBuku*12,$Z13&gt;TahunBuku*12))</f>
        <v/>
      </c>
      <c r="AB13" s="20" t="str">
        <f>IF($B13="","",--AND($Y13&gt;TahunBuku*12,$Y13&lt;=TahunBuku*12+12))</f>
        <v/>
      </c>
      <c r="AC13" s="20" t="str">
        <f>IF($B13="","",--AND($Z13&gt;TahunBuku*12,$Z13&lt;=TahunBuku*12+12,$Y13&lt;=$Z13))</f>
        <v/>
      </c>
      <c r="AD13" s="21" t="str">
        <f>IF($B13="","",IFERROR(IF($S13="Garis Lurus",$G13-($G13-$H13)*MIN($T13*12,MAX(0,TahunBuku*12-$Y13+1))/($T13*12),IF($S13="Saldo Menurun",IF(TahunBuku-1&lt;YEAR($F13),$G13,IF(TahunBuku-1&gt;=INT(($Y13+$T13*12-2)/12),$H13,MAX($H13,$G13*(1-2/$T13*(13-MONTH($F13))/12)*(1-2/$T13)^(TahunBuku-1-YEAR($F13))))),IF($S13="Unit Produksi",$G13-($G13-$H13)*MIN(1,N($L13)/$K13),$G13))),$G13))</f>
        <v/>
      </c>
      <c r="AE13" s="21" t="str">
        <f>IF($B13="","",IFERROR(IF($S13="Garis Lurus",$G13-($G13-$H13)*MIN($T13*12,MAX(0,TahunBuku*12+12-$Y13+1))/($T13*12),IF($S13="Saldo Menurun",IF(TahunBuku&lt;YEAR($F13),$G13,IF(TahunBuku&gt;=INT(($Y13+$T13*12-2)/12),$H13,MAX($H13,$G13*(1-2/$T13*(13-MONTH($F13))/12)*(1-2/$T13)^(TahunBuku-YEAR($F13))))),IF($S13="Unit Produksi",$G13-($G13-$H13)*MIN(1,(N($L13)+N($M13))/$K13),$G13))),$G13))</f>
        <v/>
      </c>
      <c r="AF13" s="20" t="str">
        <f>IF($B13="","",IF(OR($S13="Garis Lurus",$S13="Saldo Menurun",$S13="Unit Produksi"),MAX(0,IF($S13="Unit Produksi",TahunBuku*12+12,MIN(TahunBuku*12+12,$Y13+$T13*12-1))-MAX(TahunBuku*12+1,$Y13)+1),0))</f>
        <v/>
      </c>
      <c r="AG13" s="20" t="str">
        <f>IF($B13="","",IF(OR($S13="Garis Lurus",$S13="Saldo Menurun",$S13="Unit Produksi"),MAX(0,MIN($Z13,IF($S13="Unit Produksi",TahunBuku*12+12,MIN(TahunBuku*12+12,$Y13+$T13*12-1)))-MAX(TahunBuku*12+1,$Y13)+1),0))</f>
        <v/>
      </c>
      <c r="AH13" s="21" t="str">
        <f>IF($B13="","",IFERROR(IF($W13="Garis Lurus",$G13*(1-MIN($V13*12,MAX(0,TahunBuku*12-$Y13+1))/($V13*12)),IF($W13="Saldo Menurun",IF(TahunBuku-1&lt;YEAR($F13),$G13,IF(TahunBuku-1&gt;=INT(($Y13+$V13*12-2)/12),0,$G13*(1-2/$V13*(13-MONTH($F13))/12)*(1-2/$V13)^(TahunBuku-1-YEAR($F13)))),$G13)),$G13))</f>
        <v/>
      </c>
      <c r="AI13" s="21" t="str">
        <f>IF($B13="","",IFERROR(IF($W13="Garis Lurus",$G13*(1-MIN($V13*12,MAX(0,TahunBuku*12+12-$Y13+1))/($V13*12)),IF($W13="Saldo Menurun",IF(TahunBuku&lt;YEAR($F13),$G13,IF(TahunBuku&gt;=INT(($Y13+$V13*12-2)/12),0,$G13*(1-2/$V13*(13-MONTH($F13))/12)*(1-2/$V13)^(TahunBuku-YEAR($F13)))),$G13)),$G13))</f>
        <v/>
      </c>
      <c r="AJ13" s="20" t="str">
        <f>IF($B13="","",IF(OR($W13="Garis Lurus",$W13="Saldo Menurun"),MAX(0,MIN(TahunBuku*12+12,$Y13+$V13*12-1)-MAX(TahunBuku*12+1,$Y13)+1),0))</f>
        <v/>
      </c>
      <c r="AK13" s="20" t="str">
        <f>IF($B13="","",IF(OR($W13="Garis Lurus",$W13="Saldo Menurun"),MAX(0,MIN($Z13,TahunBuku*12+12,$Y13+$V13*12-1)-MAX(TahunBuku*12+1,$Y13)+1),0))</f>
        <v/>
      </c>
      <c r="AL13" s="22" t="str">
        <f>IF($B13="","",$G13*$AA13)</f>
        <v/>
      </c>
      <c r="AM13" s="22" t="str">
        <f>IF($B13="","",$G13*$AB13)</f>
        <v/>
      </c>
      <c r="AN13" s="22" t="str">
        <f>IF($B13="","",$G13*$AC13)</f>
        <v/>
      </c>
      <c r="AO13" s="22" t="str">
        <f>IF($B13="","",AL13+AM13-AN13)</f>
        <v/>
      </c>
      <c r="AP13" s="22" t="str">
        <f>IF($B13="","",($G13-$AD13)*$AA13)</f>
        <v/>
      </c>
      <c r="AQ13" s="22" t="str">
        <f>IF($B13="","",IF($AF13=0,0,($AD13-$AE13)*$AG13/$AF13)*MAX($AA13,$AB13))</f>
        <v/>
      </c>
      <c r="AR13" s="22" t="str">
        <f>IF($B13="","",(AP13+AQ13)*$AC13)</f>
        <v/>
      </c>
      <c r="AS13" s="22" t="str">
        <f>IF($B13="","",AP13+AQ13-AR13)</f>
        <v/>
      </c>
      <c r="AT13" s="22" t="str">
        <f>IF($B13="","",AO13-AS13)</f>
        <v/>
      </c>
      <c r="AU13" s="22" t="str">
        <f>IF($B13="","",IF($AC13=1,N($R13)-($G13-AR13),0))</f>
        <v/>
      </c>
      <c r="AV13" s="22" t="str">
        <f>IF($B13="","",($G13-$AH13)*$AA13)</f>
        <v/>
      </c>
      <c r="AW13" s="22" t="str">
        <f>IF($B13="","",IF($AJ13=0,0,($AH13-$AI13)*$AK13/$AJ13)*MAX($AA13,$AB13))</f>
        <v/>
      </c>
      <c r="AX13" s="22" t="str">
        <f>IF($B13="","",(AV13+AW13)*$AC13)</f>
        <v/>
      </c>
      <c r="AY13" s="22" t="str">
        <f>IF($B13="","",AV13+AW13-AX13)</f>
        <v/>
      </c>
      <c r="AZ13" s="22" t="str">
        <f>IF($B13="","",AO13-AY13)</f>
        <v/>
      </c>
      <c r="BA13" s="22" t="str">
        <f>IF($B13="","",IF($AC13=1,N($R13)-($G13-AX13),0))</f>
        <v/>
      </c>
      <c r="BB13" s="22" t="str">
        <f>IF($B13="","",ROUND(AQ13-AW13,0))</f>
        <v/>
      </c>
      <c r="BC13" s="22" t="str">
        <f>IF($B13="","",ROUND(BA13-AU13,0))</f>
        <v/>
      </c>
      <c r="BD13" s="22" t="str">
        <f>IF($B13="","",BB13+BC13)</f>
        <v/>
      </c>
      <c r="BE13" s="22" t="str">
        <f>IF($B13="","",ROUND(AV13-AP13,0))</f>
        <v/>
      </c>
      <c r="BF13" s="22" t="str">
        <f>IF($B13="","",ROUND(AT13-AZ13,0))</f>
        <v/>
      </c>
      <c r="BG13" s="22" t="str">
        <f>IF($B13="","",ROUND(BF13*TarifPPh,0))</f>
        <v/>
      </c>
      <c r="BH13" t="str">
        <f>IF($B13="","",IF($D13="","Kategori kosong",IF($F13="","Tgl perolehan kosong",IF(N($H13)&gt;$G13,"Residu &gt; harga perolehan",IF(AND(LEFT($U13,8)="Bangunan",$W13="Saldo Menurun"),"Bangunan wajib Garis Lurus (Ps.11 UU PPh)",IF(AND($S13="Unit Produksi",N($K13)=0),"Isi kapasitas unit",IF(AND(OR($S13="Garis Lurus",$S13="Saldo Menurun"),N($T13)&lt;=0),"Umur komersial kosong",IF(AND(OR($W13="Garis Lurus",$W13="Saldo Menurun"),N($V13)&lt;=0),"Masa manfaat fiskal kosong",IF(AND($Q13&lt;&gt;"",$Q13&lt;$F13),"Tgl pelepasan &lt; perolehan","OK")))))))))</f>
        <v/>
      </c>
    </row>
    <row r="14" spans="1:60" x14ac:dyDescent="0.25">
      <c r="A14" t="str">
        <f>IF($B14="","",ROW()-6)</f>
        <v/>
      </c>
      <c r="B14" s="9"/>
      <c r="C14" s="9"/>
      <c r="D14" s="9"/>
      <c r="E14" s="9"/>
      <c r="F14" s="17"/>
      <c r="G14" s="18"/>
      <c r="H14" s="18"/>
      <c r="I14" s="9"/>
      <c r="J14" s="9"/>
      <c r="K14" s="19"/>
      <c r="L14" s="19"/>
      <c r="M14" s="19"/>
      <c r="N14" s="9"/>
      <c r="O14" s="9"/>
      <c r="P14" s="9"/>
      <c r="Q14" s="17"/>
      <c r="R14" s="18"/>
      <c r="S14" t="str">
        <f>IF($B14="","",IF($I14&lt;&gt;"",$I14,IFERROR(INDEX(Kat_Metode,MATCH($D14,Kat_Nama,0)),"")))</f>
        <v/>
      </c>
      <c r="T14" t="str">
        <f>IF($B14="","",IF($J14&lt;&gt;"",$J14,IFERROR(INDEX(Kat_Umur,MATCH($D14,Kat_Nama,0)),0)))</f>
        <v/>
      </c>
      <c r="U14" t="str">
        <f>IF($B14="","",IF($N14&lt;&gt;"",$N14,IFERROR(INDEX(Kat_Kelompok,MATCH($D14,Kat_Nama,0)),"")))</f>
        <v/>
      </c>
      <c r="V14" t="str">
        <f>IF($B14="","",IF($U14="Masa Manfaat Sebenarnya",N($O14),IFERROR(INDEX(Kel_Masa,MATCH($U14,Kel_Nama,0)),0)))</f>
        <v/>
      </c>
      <c r="W14" t="str">
        <f>IF($B14="","",IF($P14&lt;&gt;"",$P14,IF(OR($U14="Tidak Disusutkan",$V14=0),"Tidak Disusutkan","Garis Lurus")))</f>
        <v/>
      </c>
      <c r="X14" t="str">
        <f>IF($B14="","",IF($Y14&gt;TahunBuku*12+12,"Belum Diperoleh",IF($Z14&lt;=TahunBuku*12,"Dilepas (thn lalu)",IF($AC14=1,"Dilepas thn ini",IF($AB14=1,"Perolehan baru","Aktif")))))</f>
        <v/>
      </c>
      <c r="Y14" s="20" t="str">
        <f>IF($B14="","",YEAR($F14)*12+MONTH($F14))</f>
        <v/>
      </c>
      <c r="Z14" s="20" t="str">
        <f>IF($B14="","",IF($Q14="",99999,YEAR($Q14)*12+MONTH($Q14)))</f>
        <v/>
      </c>
      <c r="AA14" s="20" t="str">
        <f>IF($B14="","",--AND($Y14&lt;=TahunBuku*12,$Z14&gt;TahunBuku*12))</f>
        <v/>
      </c>
      <c r="AB14" s="20" t="str">
        <f>IF($B14="","",--AND($Y14&gt;TahunBuku*12,$Y14&lt;=TahunBuku*12+12))</f>
        <v/>
      </c>
      <c r="AC14" s="20" t="str">
        <f>IF($B14="","",--AND($Z14&gt;TahunBuku*12,$Z14&lt;=TahunBuku*12+12,$Y14&lt;=$Z14))</f>
        <v/>
      </c>
      <c r="AD14" s="21" t="str">
        <f>IF($B14="","",IFERROR(IF($S14="Garis Lurus",$G14-($G14-$H14)*MIN($T14*12,MAX(0,TahunBuku*12-$Y14+1))/($T14*12),IF($S14="Saldo Menurun",IF(TahunBuku-1&lt;YEAR($F14),$G14,IF(TahunBuku-1&gt;=INT(($Y14+$T14*12-2)/12),$H14,MAX($H14,$G14*(1-2/$T14*(13-MONTH($F14))/12)*(1-2/$T14)^(TahunBuku-1-YEAR($F14))))),IF($S14="Unit Produksi",$G14-($G14-$H14)*MIN(1,N($L14)/$K14),$G14))),$G14))</f>
        <v/>
      </c>
      <c r="AE14" s="21" t="str">
        <f>IF($B14="","",IFERROR(IF($S14="Garis Lurus",$G14-($G14-$H14)*MIN($T14*12,MAX(0,TahunBuku*12+12-$Y14+1))/($T14*12),IF($S14="Saldo Menurun",IF(TahunBuku&lt;YEAR($F14),$G14,IF(TahunBuku&gt;=INT(($Y14+$T14*12-2)/12),$H14,MAX($H14,$G14*(1-2/$T14*(13-MONTH($F14))/12)*(1-2/$T14)^(TahunBuku-YEAR($F14))))),IF($S14="Unit Produksi",$G14-($G14-$H14)*MIN(1,(N($L14)+N($M14))/$K14),$G14))),$G14))</f>
        <v/>
      </c>
      <c r="AF14" s="20" t="str">
        <f>IF($B14="","",IF(OR($S14="Garis Lurus",$S14="Saldo Menurun",$S14="Unit Produksi"),MAX(0,IF($S14="Unit Produksi",TahunBuku*12+12,MIN(TahunBuku*12+12,$Y14+$T14*12-1))-MAX(TahunBuku*12+1,$Y14)+1),0))</f>
        <v/>
      </c>
      <c r="AG14" s="20" t="str">
        <f>IF($B14="","",IF(OR($S14="Garis Lurus",$S14="Saldo Menurun",$S14="Unit Produksi"),MAX(0,MIN($Z14,IF($S14="Unit Produksi",TahunBuku*12+12,MIN(TahunBuku*12+12,$Y14+$T14*12-1)))-MAX(TahunBuku*12+1,$Y14)+1),0))</f>
        <v/>
      </c>
      <c r="AH14" s="21" t="str">
        <f>IF($B14="","",IFERROR(IF($W14="Garis Lurus",$G14*(1-MIN($V14*12,MAX(0,TahunBuku*12-$Y14+1))/($V14*12)),IF($W14="Saldo Menurun",IF(TahunBuku-1&lt;YEAR($F14),$G14,IF(TahunBuku-1&gt;=INT(($Y14+$V14*12-2)/12),0,$G14*(1-2/$V14*(13-MONTH($F14))/12)*(1-2/$V14)^(TahunBuku-1-YEAR($F14)))),$G14)),$G14))</f>
        <v/>
      </c>
      <c r="AI14" s="21" t="str">
        <f>IF($B14="","",IFERROR(IF($W14="Garis Lurus",$G14*(1-MIN($V14*12,MAX(0,TahunBuku*12+12-$Y14+1))/($V14*12)),IF($W14="Saldo Menurun",IF(TahunBuku&lt;YEAR($F14),$G14,IF(TahunBuku&gt;=INT(($Y14+$V14*12-2)/12),0,$G14*(1-2/$V14*(13-MONTH($F14))/12)*(1-2/$V14)^(TahunBuku-YEAR($F14)))),$G14)),$G14))</f>
        <v/>
      </c>
      <c r="AJ14" s="20" t="str">
        <f>IF($B14="","",IF(OR($W14="Garis Lurus",$W14="Saldo Menurun"),MAX(0,MIN(TahunBuku*12+12,$Y14+$V14*12-1)-MAX(TahunBuku*12+1,$Y14)+1),0))</f>
        <v/>
      </c>
      <c r="AK14" s="20" t="str">
        <f>IF($B14="","",IF(OR($W14="Garis Lurus",$W14="Saldo Menurun"),MAX(0,MIN($Z14,TahunBuku*12+12,$Y14+$V14*12-1)-MAX(TahunBuku*12+1,$Y14)+1),0))</f>
        <v/>
      </c>
      <c r="AL14" s="22" t="str">
        <f>IF($B14="","",$G14*$AA14)</f>
        <v/>
      </c>
      <c r="AM14" s="22" t="str">
        <f>IF($B14="","",$G14*$AB14)</f>
        <v/>
      </c>
      <c r="AN14" s="22" t="str">
        <f>IF($B14="","",$G14*$AC14)</f>
        <v/>
      </c>
      <c r="AO14" s="22" t="str">
        <f>IF($B14="","",AL14+AM14-AN14)</f>
        <v/>
      </c>
      <c r="AP14" s="22" t="str">
        <f>IF($B14="","",($G14-$AD14)*$AA14)</f>
        <v/>
      </c>
      <c r="AQ14" s="22" t="str">
        <f>IF($B14="","",IF($AF14=0,0,($AD14-$AE14)*$AG14/$AF14)*MAX($AA14,$AB14))</f>
        <v/>
      </c>
      <c r="AR14" s="22" t="str">
        <f>IF($B14="","",(AP14+AQ14)*$AC14)</f>
        <v/>
      </c>
      <c r="AS14" s="22" t="str">
        <f>IF($B14="","",AP14+AQ14-AR14)</f>
        <v/>
      </c>
      <c r="AT14" s="22" t="str">
        <f>IF($B14="","",AO14-AS14)</f>
        <v/>
      </c>
      <c r="AU14" s="22" t="str">
        <f>IF($B14="","",IF($AC14=1,N($R14)-($G14-AR14),0))</f>
        <v/>
      </c>
      <c r="AV14" s="22" t="str">
        <f>IF($B14="","",($G14-$AH14)*$AA14)</f>
        <v/>
      </c>
      <c r="AW14" s="22" t="str">
        <f>IF($B14="","",IF($AJ14=0,0,($AH14-$AI14)*$AK14/$AJ14)*MAX($AA14,$AB14))</f>
        <v/>
      </c>
      <c r="AX14" s="22" t="str">
        <f>IF($B14="","",(AV14+AW14)*$AC14)</f>
        <v/>
      </c>
      <c r="AY14" s="22" t="str">
        <f>IF($B14="","",AV14+AW14-AX14)</f>
        <v/>
      </c>
      <c r="AZ14" s="22" t="str">
        <f>IF($B14="","",AO14-AY14)</f>
        <v/>
      </c>
      <c r="BA14" s="22" t="str">
        <f>IF($B14="","",IF($AC14=1,N($R14)-($G14-AX14),0))</f>
        <v/>
      </c>
      <c r="BB14" s="22" t="str">
        <f>IF($B14="","",ROUND(AQ14-AW14,0))</f>
        <v/>
      </c>
      <c r="BC14" s="22" t="str">
        <f>IF($B14="","",ROUND(BA14-AU14,0))</f>
        <v/>
      </c>
      <c r="BD14" s="22" t="str">
        <f>IF($B14="","",BB14+BC14)</f>
        <v/>
      </c>
      <c r="BE14" s="22" t="str">
        <f>IF($B14="","",ROUND(AV14-AP14,0))</f>
        <v/>
      </c>
      <c r="BF14" s="22" t="str">
        <f>IF($B14="","",ROUND(AT14-AZ14,0))</f>
        <v/>
      </c>
      <c r="BG14" s="22" t="str">
        <f>IF($B14="","",ROUND(BF14*TarifPPh,0))</f>
        <v/>
      </c>
      <c r="BH14" t="str">
        <f>IF($B14="","",IF($D14="","Kategori kosong",IF($F14="","Tgl perolehan kosong",IF(N($H14)&gt;$G14,"Residu &gt; harga perolehan",IF(AND(LEFT($U14,8)="Bangunan",$W14="Saldo Menurun"),"Bangunan wajib Garis Lurus (Ps.11 UU PPh)",IF(AND($S14="Unit Produksi",N($K14)=0),"Isi kapasitas unit",IF(AND(OR($S14="Garis Lurus",$S14="Saldo Menurun"),N($T14)&lt;=0),"Umur komersial kosong",IF(AND(OR($W14="Garis Lurus",$W14="Saldo Menurun"),N($V14)&lt;=0),"Masa manfaat fiskal kosong",IF(AND($Q14&lt;&gt;"",$Q14&lt;$F14),"Tgl pelepasan &lt; perolehan","OK")))))))))</f>
        <v/>
      </c>
    </row>
    <row r="15" spans="1:60" x14ac:dyDescent="0.25">
      <c r="A15" t="str">
        <f>IF($B15="","",ROW()-6)</f>
        <v/>
      </c>
      <c r="B15" s="9"/>
      <c r="C15" s="9"/>
      <c r="D15" s="9"/>
      <c r="E15" s="9"/>
      <c r="F15" s="17"/>
      <c r="G15" s="18"/>
      <c r="H15" s="18"/>
      <c r="I15" s="9"/>
      <c r="J15" s="9"/>
      <c r="K15" s="19"/>
      <c r="L15" s="19"/>
      <c r="M15" s="19"/>
      <c r="N15" s="9"/>
      <c r="O15" s="9"/>
      <c r="P15" s="9"/>
      <c r="Q15" s="17"/>
      <c r="R15" s="18"/>
      <c r="S15" t="str">
        <f>IF($B15="","",IF($I15&lt;&gt;"",$I15,IFERROR(INDEX(Kat_Metode,MATCH($D15,Kat_Nama,0)),"")))</f>
        <v/>
      </c>
      <c r="T15" t="str">
        <f>IF($B15="","",IF($J15&lt;&gt;"",$J15,IFERROR(INDEX(Kat_Umur,MATCH($D15,Kat_Nama,0)),0)))</f>
        <v/>
      </c>
      <c r="U15" t="str">
        <f>IF($B15="","",IF($N15&lt;&gt;"",$N15,IFERROR(INDEX(Kat_Kelompok,MATCH($D15,Kat_Nama,0)),"")))</f>
        <v/>
      </c>
      <c r="V15" t="str">
        <f>IF($B15="","",IF($U15="Masa Manfaat Sebenarnya",N($O15),IFERROR(INDEX(Kel_Masa,MATCH($U15,Kel_Nama,0)),0)))</f>
        <v/>
      </c>
      <c r="W15" t="str">
        <f>IF($B15="","",IF($P15&lt;&gt;"",$P15,IF(OR($U15="Tidak Disusutkan",$V15=0),"Tidak Disusutkan","Garis Lurus")))</f>
        <v/>
      </c>
      <c r="X15" t="str">
        <f>IF($B15="","",IF($Y15&gt;TahunBuku*12+12,"Belum Diperoleh",IF($Z15&lt;=TahunBuku*12,"Dilepas (thn lalu)",IF($AC15=1,"Dilepas thn ini",IF($AB15=1,"Perolehan baru","Aktif")))))</f>
        <v/>
      </c>
      <c r="Y15" s="20" t="str">
        <f>IF($B15="","",YEAR($F15)*12+MONTH($F15))</f>
        <v/>
      </c>
      <c r="Z15" s="20" t="str">
        <f>IF($B15="","",IF($Q15="",99999,YEAR($Q15)*12+MONTH($Q15)))</f>
        <v/>
      </c>
      <c r="AA15" s="20" t="str">
        <f>IF($B15="","",--AND($Y15&lt;=TahunBuku*12,$Z15&gt;TahunBuku*12))</f>
        <v/>
      </c>
      <c r="AB15" s="20" t="str">
        <f>IF($B15="","",--AND($Y15&gt;TahunBuku*12,$Y15&lt;=TahunBuku*12+12))</f>
        <v/>
      </c>
      <c r="AC15" s="20" t="str">
        <f>IF($B15="","",--AND($Z15&gt;TahunBuku*12,$Z15&lt;=TahunBuku*12+12,$Y15&lt;=$Z15))</f>
        <v/>
      </c>
      <c r="AD15" s="21" t="str">
        <f>IF($B15="","",IFERROR(IF($S15="Garis Lurus",$G15-($G15-$H15)*MIN($T15*12,MAX(0,TahunBuku*12-$Y15+1))/($T15*12),IF($S15="Saldo Menurun",IF(TahunBuku-1&lt;YEAR($F15),$G15,IF(TahunBuku-1&gt;=INT(($Y15+$T15*12-2)/12),$H15,MAX($H15,$G15*(1-2/$T15*(13-MONTH($F15))/12)*(1-2/$T15)^(TahunBuku-1-YEAR($F15))))),IF($S15="Unit Produksi",$G15-($G15-$H15)*MIN(1,N($L15)/$K15),$G15))),$G15))</f>
        <v/>
      </c>
      <c r="AE15" s="21" t="str">
        <f>IF($B15="","",IFERROR(IF($S15="Garis Lurus",$G15-($G15-$H15)*MIN($T15*12,MAX(0,TahunBuku*12+12-$Y15+1))/($T15*12),IF($S15="Saldo Menurun",IF(TahunBuku&lt;YEAR($F15),$G15,IF(TahunBuku&gt;=INT(($Y15+$T15*12-2)/12),$H15,MAX($H15,$G15*(1-2/$T15*(13-MONTH($F15))/12)*(1-2/$T15)^(TahunBuku-YEAR($F15))))),IF($S15="Unit Produksi",$G15-($G15-$H15)*MIN(1,(N($L15)+N($M15))/$K15),$G15))),$G15))</f>
        <v/>
      </c>
      <c r="AF15" s="20" t="str">
        <f>IF($B15="","",IF(OR($S15="Garis Lurus",$S15="Saldo Menurun",$S15="Unit Produksi"),MAX(0,IF($S15="Unit Produksi",TahunBuku*12+12,MIN(TahunBuku*12+12,$Y15+$T15*12-1))-MAX(TahunBuku*12+1,$Y15)+1),0))</f>
        <v/>
      </c>
      <c r="AG15" s="20" t="str">
        <f>IF($B15="","",IF(OR($S15="Garis Lurus",$S15="Saldo Menurun",$S15="Unit Produksi"),MAX(0,MIN($Z15,IF($S15="Unit Produksi",TahunBuku*12+12,MIN(TahunBuku*12+12,$Y15+$T15*12-1)))-MAX(TahunBuku*12+1,$Y15)+1),0))</f>
        <v/>
      </c>
      <c r="AH15" s="21" t="str">
        <f>IF($B15="","",IFERROR(IF($W15="Garis Lurus",$G15*(1-MIN($V15*12,MAX(0,TahunBuku*12-$Y15+1))/($V15*12)),IF($W15="Saldo Menurun",IF(TahunBuku-1&lt;YEAR($F15),$G15,IF(TahunBuku-1&gt;=INT(($Y15+$V15*12-2)/12),0,$G15*(1-2/$V15*(13-MONTH($F15))/12)*(1-2/$V15)^(TahunBuku-1-YEAR($F15)))),$G15)),$G15))</f>
        <v/>
      </c>
      <c r="AI15" s="21" t="str">
        <f>IF($B15="","",IFERROR(IF($W15="Garis Lurus",$G15*(1-MIN($V15*12,MAX(0,TahunBuku*12+12-$Y15+1))/($V15*12)),IF($W15="Saldo Menurun",IF(TahunBuku&lt;YEAR($F15),$G15,IF(TahunBuku&gt;=INT(($Y15+$V15*12-2)/12),0,$G15*(1-2/$V15*(13-MONTH($F15))/12)*(1-2/$V15)^(TahunBuku-YEAR($F15)))),$G15)),$G15))</f>
        <v/>
      </c>
      <c r="AJ15" s="20" t="str">
        <f>IF($B15="","",IF(OR($W15="Garis Lurus",$W15="Saldo Menurun"),MAX(0,MIN(TahunBuku*12+12,$Y15+$V15*12-1)-MAX(TahunBuku*12+1,$Y15)+1),0))</f>
        <v/>
      </c>
      <c r="AK15" s="20" t="str">
        <f>IF($B15="","",IF(OR($W15="Garis Lurus",$W15="Saldo Menurun"),MAX(0,MIN($Z15,TahunBuku*12+12,$Y15+$V15*12-1)-MAX(TahunBuku*12+1,$Y15)+1),0))</f>
        <v/>
      </c>
      <c r="AL15" s="22" t="str">
        <f>IF($B15="","",$G15*$AA15)</f>
        <v/>
      </c>
      <c r="AM15" s="22" t="str">
        <f>IF($B15="","",$G15*$AB15)</f>
        <v/>
      </c>
      <c r="AN15" s="22" t="str">
        <f>IF($B15="","",$G15*$AC15)</f>
        <v/>
      </c>
      <c r="AO15" s="22" t="str">
        <f>IF($B15="","",AL15+AM15-AN15)</f>
        <v/>
      </c>
      <c r="AP15" s="22" t="str">
        <f>IF($B15="","",($G15-$AD15)*$AA15)</f>
        <v/>
      </c>
      <c r="AQ15" s="22" t="str">
        <f>IF($B15="","",IF($AF15=0,0,($AD15-$AE15)*$AG15/$AF15)*MAX($AA15,$AB15))</f>
        <v/>
      </c>
      <c r="AR15" s="22" t="str">
        <f>IF($B15="","",(AP15+AQ15)*$AC15)</f>
        <v/>
      </c>
      <c r="AS15" s="22" t="str">
        <f>IF($B15="","",AP15+AQ15-AR15)</f>
        <v/>
      </c>
      <c r="AT15" s="22" t="str">
        <f>IF($B15="","",AO15-AS15)</f>
        <v/>
      </c>
      <c r="AU15" s="22" t="str">
        <f>IF($B15="","",IF($AC15=1,N($R15)-($G15-AR15),0))</f>
        <v/>
      </c>
      <c r="AV15" s="22" t="str">
        <f>IF($B15="","",($G15-$AH15)*$AA15)</f>
        <v/>
      </c>
      <c r="AW15" s="22" t="str">
        <f>IF($B15="","",IF($AJ15=0,0,($AH15-$AI15)*$AK15/$AJ15)*MAX($AA15,$AB15))</f>
        <v/>
      </c>
      <c r="AX15" s="22" t="str">
        <f>IF($B15="","",(AV15+AW15)*$AC15)</f>
        <v/>
      </c>
      <c r="AY15" s="22" t="str">
        <f>IF($B15="","",AV15+AW15-AX15)</f>
        <v/>
      </c>
      <c r="AZ15" s="22" t="str">
        <f>IF($B15="","",AO15-AY15)</f>
        <v/>
      </c>
      <c r="BA15" s="22" t="str">
        <f>IF($B15="","",IF($AC15=1,N($R15)-($G15-AX15),0))</f>
        <v/>
      </c>
      <c r="BB15" s="22" t="str">
        <f>IF($B15="","",ROUND(AQ15-AW15,0))</f>
        <v/>
      </c>
      <c r="BC15" s="22" t="str">
        <f>IF($B15="","",ROUND(BA15-AU15,0))</f>
        <v/>
      </c>
      <c r="BD15" s="22" t="str">
        <f>IF($B15="","",BB15+BC15)</f>
        <v/>
      </c>
      <c r="BE15" s="22" t="str">
        <f>IF($B15="","",ROUND(AV15-AP15,0))</f>
        <v/>
      </c>
      <c r="BF15" s="22" t="str">
        <f>IF($B15="","",ROUND(AT15-AZ15,0))</f>
        <v/>
      </c>
      <c r="BG15" s="22" t="str">
        <f>IF($B15="","",ROUND(BF15*TarifPPh,0))</f>
        <v/>
      </c>
      <c r="BH15" t="str">
        <f>IF($B15="","",IF($D15="","Kategori kosong",IF($F15="","Tgl perolehan kosong",IF(N($H15)&gt;$G15,"Residu &gt; harga perolehan",IF(AND(LEFT($U15,8)="Bangunan",$W15="Saldo Menurun"),"Bangunan wajib Garis Lurus (Ps.11 UU PPh)",IF(AND($S15="Unit Produksi",N($K15)=0),"Isi kapasitas unit",IF(AND(OR($S15="Garis Lurus",$S15="Saldo Menurun"),N($T15)&lt;=0),"Umur komersial kosong",IF(AND(OR($W15="Garis Lurus",$W15="Saldo Menurun"),N($V15)&lt;=0),"Masa manfaat fiskal kosong",IF(AND($Q15&lt;&gt;"",$Q15&lt;$F15),"Tgl pelepasan &lt; perolehan","OK")))))))))</f>
        <v/>
      </c>
    </row>
    <row r="16" spans="1:60" x14ac:dyDescent="0.25">
      <c r="A16" t="str">
        <f>IF($B16="","",ROW()-6)</f>
        <v/>
      </c>
      <c r="B16" s="9"/>
      <c r="C16" s="9"/>
      <c r="D16" s="9"/>
      <c r="E16" s="9"/>
      <c r="F16" s="17"/>
      <c r="G16" s="18"/>
      <c r="H16" s="18"/>
      <c r="I16" s="9"/>
      <c r="J16" s="9"/>
      <c r="K16" s="19"/>
      <c r="L16" s="19"/>
      <c r="M16" s="19"/>
      <c r="N16" s="9"/>
      <c r="O16" s="9"/>
      <c r="P16" s="9"/>
      <c r="Q16" s="17"/>
      <c r="R16" s="18"/>
      <c r="S16" t="str">
        <f>IF($B16="","",IF($I16&lt;&gt;"",$I16,IFERROR(INDEX(Kat_Metode,MATCH($D16,Kat_Nama,0)),"")))</f>
        <v/>
      </c>
      <c r="T16" t="str">
        <f>IF($B16="","",IF($J16&lt;&gt;"",$J16,IFERROR(INDEX(Kat_Umur,MATCH($D16,Kat_Nama,0)),0)))</f>
        <v/>
      </c>
      <c r="U16" t="str">
        <f>IF($B16="","",IF($N16&lt;&gt;"",$N16,IFERROR(INDEX(Kat_Kelompok,MATCH($D16,Kat_Nama,0)),"")))</f>
        <v/>
      </c>
      <c r="V16" t="str">
        <f>IF($B16="","",IF($U16="Masa Manfaat Sebenarnya",N($O16),IFERROR(INDEX(Kel_Masa,MATCH($U16,Kel_Nama,0)),0)))</f>
        <v/>
      </c>
      <c r="W16" t="str">
        <f>IF($B16="","",IF($P16&lt;&gt;"",$P16,IF(OR($U16="Tidak Disusutkan",$V16=0),"Tidak Disusutkan","Garis Lurus")))</f>
        <v/>
      </c>
      <c r="X16" t="str">
        <f>IF($B16="","",IF($Y16&gt;TahunBuku*12+12,"Belum Diperoleh",IF($Z16&lt;=TahunBuku*12,"Dilepas (thn lalu)",IF($AC16=1,"Dilepas thn ini",IF($AB16=1,"Perolehan baru","Aktif")))))</f>
        <v/>
      </c>
      <c r="Y16" s="20" t="str">
        <f>IF($B16="","",YEAR($F16)*12+MONTH($F16))</f>
        <v/>
      </c>
      <c r="Z16" s="20" t="str">
        <f>IF($B16="","",IF($Q16="",99999,YEAR($Q16)*12+MONTH($Q16)))</f>
        <v/>
      </c>
      <c r="AA16" s="20" t="str">
        <f>IF($B16="","",--AND($Y16&lt;=TahunBuku*12,$Z16&gt;TahunBuku*12))</f>
        <v/>
      </c>
      <c r="AB16" s="20" t="str">
        <f>IF($B16="","",--AND($Y16&gt;TahunBuku*12,$Y16&lt;=TahunBuku*12+12))</f>
        <v/>
      </c>
      <c r="AC16" s="20" t="str">
        <f>IF($B16="","",--AND($Z16&gt;TahunBuku*12,$Z16&lt;=TahunBuku*12+12,$Y16&lt;=$Z16))</f>
        <v/>
      </c>
      <c r="AD16" s="21" t="str">
        <f>IF($B16="","",IFERROR(IF($S16="Garis Lurus",$G16-($G16-$H16)*MIN($T16*12,MAX(0,TahunBuku*12-$Y16+1))/($T16*12),IF($S16="Saldo Menurun",IF(TahunBuku-1&lt;YEAR($F16),$G16,IF(TahunBuku-1&gt;=INT(($Y16+$T16*12-2)/12),$H16,MAX($H16,$G16*(1-2/$T16*(13-MONTH($F16))/12)*(1-2/$T16)^(TahunBuku-1-YEAR($F16))))),IF($S16="Unit Produksi",$G16-($G16-$H16)*MIN(1,N($L16)/$K16),$G16))),$G16))</f>
        <v/>
      </c>
      <c r="AE16" s="21" t="str">
        <f>IF($B16="","",IFERROR(IF($S16="Garis Lurus",$G16-($G16-$H16)*MIN($T16*12,MAX(0,TahunBuku*12+12-$Y16+1))/($T16*12),IF($S16="Saldo Menurun",IF(TahunBuku&lt;YEAR($F16),$G16,IF(TahunBuku&gt;=INT(($Y16+$T16*12-2)/12),$H16,MAX($H16,$G16*(1-2/$T16*(13-MONTH($F16))/12)*(1-2/$T16)^(TahunBuku-YEAR($F16))))),IF($S16="Unit Produksi",$G16-($G16-$H16)*MIN(1,(N($L16)+N($M16))/$K16),$G16))),$G16))</f>
        <v/>
      </c>
      <c r="AF16" s="20" t="str">
        <f>IF($B16="","",IF(OR($S16="Garis Lurus",$S16="Saldo Menurun",$S16="Unit Produksi"),MAX(0,IF($S16="Unit Produksi",TahunBuku*12+12,MIN(TahunBuku*12+12,$Y16+$T16*12-1))-MAX(TahunBuku*12+1,$Y16)+1),0))</f>
        <v/>
      </c>
      <c r="AG16" s="20" t="str">
        <f>IF($B16="","",IF(OR($S16="Garis Lurus",$S16="Saldo Menurun",$S16="Unit Produksi"),MAX(0,MIN($Z16,IF($S16="Unit Produksi",TahunBuku*12+12,MIN(TahunBuku*12+12,$Y16+$T16*12-1)))-MAX(TahunBuku*12+1,$Y16)+1),0))</f>
        <v/>
      </c>
      <c r="AH16" s="21" t="str">
        <f>IF($B16="","",IFERROR(IF($W16="Garis Lurus",$G16*(1-MIN($V16*12,MAX(0,TahunBuku*12-$Y16+1))/($V16*12)),IF($W16="Saldo Menurun",IF(TahunBuku-1&lt;YEAR($F16),$G16,IF(TahunBuku-1&gt;=INT(($Y16+$V16*12-2)/12),0,$G16*(1-2/$V16*(13-MONTH($F16))/12)*(1-2/$V16)^(TahunBuku-1-YEAR($F16)))),$G16)),$G16))</f>
        <v/>
      </c>
      <c r="AI16" s="21" t="str">
        <f>IF($B16="","",IFERROR(IF($W16="Garis Lurus",$G16*(1-MIN($V16*12,MAX(0,TahunBuku*12+12-$Y16+1))/($V16*12)),IF($W16="Saldo Menurun",IF(TahunBuku&lt;YEAR($F16),$G16,IF(TahunBuku&gt;=INT(($Y16+$V16*12-2)/12),0,$G16*(1-2/$V16*(13-MONTH($F16))/12)*(1-2/$V16)^(TahunBuku-YEAR($F16)))),$G16)),$G16))</f>
        <v/>
      </c>
      <c r="AJ16" s="20" t="str">
        <f>IF($B16="","",IF(OR($W16="Garis Lurus",$W16="Saldo Menurun"),MAX(0,MIN(TahunBuku*12+12,$Y16+$V16*12-1)-MAX(TahunBuku*12+1,$Y16)+1),0))</f>
        <v/>
      </c>
      <c r="AK16" s="20" t="str">
        <f>IF($B16="","",IF(OR($W16="Garis Lurus",$W16="Saldo Menurun"),MAX(0,MIN($Z16,TahunBuku*12+12,$Y16+$V16*12-1)-MAX(TahunBuku*12+1,$Y16)+1),0))</f>
        <v/>
      </c>
      <c r="AL16" s="22" t="str">
        <f>IF($B16="","",$G16*$AA16)</f>
        <v/>
      </c>
      <c r="AM16" s="22" t="str">
        <f>IF($B16="","",$G16*$AB16)</f>
        <v/>
      </c>
      <c r="AN16" s="22" t="str">
        <f>IF($B16="","",$G16*$AC16)</f>
        <v/>
      </c>
      <c r="AO16" s="22" t="str">
        <f>IF($B16="","",AL16+AM16-AN16)</f>
        <v/>
      </c>
      <c r="AP16" s="22" t="str">
        <f>IF($B16="","",($G16-$AD16)*$AA16)</f>
        <v/>
      </c>
      <c r="AQ16" s="22" t="str">
        <f>IF($B16="","",IF($AF16=0,0,($AD16-$AE16)*$AG16/$AF16)*MAX($AA16,$AB16))</f>
        <v/>
      </c>
      <c r="AR16" s="22" t="str">
        <f>IF($B16="","",(AP16+AQ16)*$AC16)</f>
        <v/>
      </c>
      <c r="AS16" s="22" t="str">
        <f>IF($B16="","",AP16+AQ16-AR16)</f>
        <v/>
      </c>
      <c r="AT16" s="22" t="str">
        <f>IF($B16="","",AO16-AS16)</f>
        <v/>
      </c>
      <c r="AU16" s="22" t="str">
        <f>IF($B16="","",IF($AC16=1,N($R16)-($G16-AR16),0))</f>
        <v/>
      </c>
      <c r="AV16" s="22" t="str">
        <f>IF($B16="","",($G16-$AH16)*$AA16)</f>
        <v/>
      </c>
      <c r="AW16" s="22" t="str">
        <f>IF($B16="","",IF($AJ16=0,0,($AH16-$AI16)*$AK16/$AJ16)*MAX($AA16,$AB16))</f>
        <v/>
      </c>
      <c r="AX16" s="22" t="str">
        <f>IF($B16="","",(AV16+AW16)*$AC16)</f>
        <v/>
      </c>
      <c r="AY16" s="22" t="str">
        <f>IF($B16="","",AV16+AW16-AX16)</f>
        <v/>
      </c>
      <c r="AZ16" s="22" t="str">
        <f>IF($B16="","",AO16-AY16)</f>
        <v/>
      </c>
      <c r="BA16" s="22" t="str">
        <f>IF($B16="","",IF($AC16=1,N($R16)-($G16-AX16),0))</f>
        <v/>
      </c>
      <c r="BB16" s="22" t="str">
        <f>IF($B16="","",ROUND(AQ16-AW16,0))</f>
        <v/>
      </c>
      <c r="BC16" s="22" t="str">
        <f>IF($B16="","",ROUND(BA16-AU16,0))</f>
        <v/>
      </c>
      <c r="BD16" s="22" t="str">
        <f>IF($B16="","",BB16+BC16)</f>
        <v/>
      </c>
      <c r="BE16" s="22" t="str">
        <f>IF($B16="","",ROUND(AV16-AP16,0))</f>
        <v/>
      </c>
      <c r="BF16" s="22" t="str">
        <f>IF($B16="","",ROUND(AT16-AZ16,0))</f>
        <v/>
      </c>
      <c r="BG16" s="22" t="str">
        <f>IF($B16="","",ROUND(BF16*TarifPPh,0))</f>
        <v/>
      </c>
      <c r="BH16" t="str">
        <f>IF($B16="","",IF($D16="","Kategori kosong",IF($F16="","Tgl perolehan kosong",IF(N($H16)&gt;$G16,"Residu &gt; harga perolehan",IF(AND(LEFT($U16,8)="Bangunan",$W16="Saldo Menurun"),"Bangunan wajib Garis Lurus (Ps.11 UU PPh)",IF(AND($S16="Unit Produksi",N($K16)=0),"Isi kapasitas unit",IF(AND(OR($S16="Garis Lurus",$S16="Saldo Menurun"),N($T16)&lt;=0),"Umur komersial kosong",IF(AND(OR($W16="Garis Lurus",$W16="Saldo Menurun"),N($V16)&lt;=0),"Masa manfaat fiskal kosong",IF(AND($Q16&lt;&gt;"",$Q16&lt;$F16),"Tgl pelepasan &lt; perolehan","OK")))))))))</f>
        <v/>
      </c>
    </row>
    <row r="17" spans="1:60" x14ac:dyDescent="0.25">
      <c r="A17" t="str">
        <f>IF($B17="","",ROW()-6)</f>
        <v/>
      </c>
      <c r="B17" s="9"/>
      <c r="C17" s="9"/>
      <c r="D17" s="9"/>
      <c r="E17" s="9"/>
      <c r="F17" s="17"/>
      <c r="G17" s="18"/>
      <c r="H17" s="18"/>
      <c r="I17" s="9"/>
      <c r="J17" s="9"/>
      <c r="K17" s="19"/>
      <c r="L17" s="19"/>
      <c r="M17" s="19"/>
      <c r="N17" s="9"/>
      <c r="O17" s="9"/>
      <c r="P17" s="9"/>
      <c r="Q17" s="17"/>
      <c r="R17" s="18"/>
      <c r="S17" t="str">
        <f>IF($B17="","",IF($I17&lt;&gt;"",$I17,IFERROR(INDEX(Kat_Metode,MATCH($D17,Kat_Nama,0)),"")))</f>
        <v/>
      </c>
      <c r="T17" t="str">
        <f>IF($B17="","",IF($J17&lt;&gt;"",$J17,IFERROR(INDEX(Kat_Umur,MATCH($D17,Kat_Nama,0)),0)))</f>
        <v/>
      </c>
      <c r="U17" t="str">
        <f>IF($B17="","",IF($N17&lt;&gt;"",$N17,IFERROR(INDEX(Kat_Kelompok,MATCH($D17,Kat_Nama,0)),"")))</f>
        <v/>
      </c>
      <c r="V17" t="str">
        <f>IF($B17="","",IF($U17="Masa Manfaat Sebenarnya",N($O17),IFERROR(INDEX(Kel_Masa,MATCH($U17,Kel_Nama,0)),0)))</f>
        <v/>
      </c>
      <c r="W17" t="str">
        <f>IF($B17="","",IF($P17&lt;&gt;"",$P17,IF(OR($U17="Tidak Disusutkan",$V17=0),"Tidak Disusutkan","Garis Lurus")))</f>
        <v/>
      </c>
      <c r="X17" t="str">
        <f>IF($B17="","",IF($Y17&gt;TahunBuku*12+12,"Belum Diperoleh",IF($Z17&lt;=TahunBuku*12,"Dilepas (thn lalu)",IF($AC17=1,"Dilepas thn ini",IF($AB17=1,"Perolehan baru","Aktif")))))</f>
        <v/>
      </c>
      <c r="Y17" s="20" t="str">
        <f>IF($B17="","",YEAR($F17)*12+MONTH($F17))</f>
        <v/>
      </c>
      <c r="Z17" s="20" t="str">
        <f>IF($B17="","",IF($Q17="",99999,YEAR($Q17)*12+MONTH($Q17)))</f>
        <v/>
      </c>
      <c r="AA17" s="20" t="str">
        <f>IF($B17="","",--AND($Y17&lt;=TahunBuku*12,$Z17&gt;TahunBuku*12))</f>
        <v/>
      </c>
      <c r="AB17" s="20" t="str">
        <f>IF($B17="","",--AND($Y17&gt;TahunBuku*12,$Y17&lt;=TahunBuku*12+12))</f>
        <v/>
      </c>
      <c r="AC17" s="20" t="str">
        <f>IF($B17="","",--AND($Z17&gt;TahunBuku*12,$Z17&lt;=TahunBuku*12+12,$Y17&lt;=$Z17))</f>
        <v/>
      </c>
      <c r="AD17" s="21" t="str">
        <f>IF($B17="","",IFERROR(IF($S17="Garis Lurus",$G17-($G17-$H17)*MIN($T17*12,MAX(0,TahunBuku*12-$Y17+1))/($T17*12),IF($S17="Saldo Menurun",IF(TahunBuku-1&lt;YEAR($F17),$G17,IF(TahunBuku-1&gt;=INT(($Y17+$T17*12-2)/12),$H17,MAX($H17,$G17*(1-2/$T17*(13-MONTH($F17))/12)*(1-2/$T17)^(TahunBuku-1-YEAR($F17))))),IF($S17="Unit Produksi",$G17-($G17-$H17)*MIN(1,N($L17)/$K17),$G17))),$G17))</f>
        <v/>
      </c>
      <c r="AE17" s="21" t="str">
        <f>IF($B17="","",IFERROR(IF($S17="Garis Lurus",$G17-($G17-$H17)*MIN($T17*12,MAX(0,TahunBuku*12+12-$Y17+1))/($T17*12),IF($S17="Saldo Menurun",IF(TahunBuku&lt;YEAR($F17),$G17,IF(TahunBuku&gt;=INT(($Y17+$T17*12-2)/12),$H17,MAX($H17,$G17*(1-2/$T17*(13-MONTH($F17))/12)*(1-2/$T17)^(TahunBuku-YEAR($F17))))),IF($S17="Unit Produksi",$G17-($G17-$H17)*MIN(1,(N($L17)+N($M17))/$K17),$G17))),$G17))</f>
        <v/>
      </c>
      <c r="AF17" s="20" t="str">
        <f>IF($B17="","",IF(OR($S17="Garis Lurus",$S17="Saldo Menurun",$S17="Unit Produksi"),MAX(0,IF($S17="Unit Produksi",TahunBuku*12+12,MIN(TahunBuku*12+12,$Y17+$T17*12-1))-MAX(TahunBuku*12+1,$Y17)+1),0))</f>
        <v/>
      </c>
      <c r="AG17" s="20" t="str">
        <f>IF($B17="","",IF(OR($S17="Garis Lurus",$S17="Saldo Menurun",$S17="Unit Produksi"),MAX(0,MIN($Z17,IF($S17="Unit Produksi",TahunBuku*12+12,MIN(TahunBuku*12+12,$Y17+$T17*12-1)))-MAX(TahunBuku*12+1,$Y17)+1),0))</f>
        <v/>
      </c>
      <c r="AH17" s="21" t="str">
        <f>IF($B17="","",IFERROR(IF($W17="Garis Lurus",$G17*(1-MIN($V17*12,MAX(0,TahunBuku*12-$Y17+1))/($V17*12)),IF($W17="Saldo Menurun",IF(TahunBuku-1&lt;YEAR($F17),$G17,IF(TahunBuku-1&gt;=INT(($Y17+$V17*12-2)/12),0,$G17*(1-2/$V17*(13-MONTH($F17))/12)*(1-2/$V17)^(TahunBuku-1-YEAR($F17)))),$G17)),$G17))</f>
        <v/>
      </c>
      <c r="AI17" s="21" t="str">
        <f>IF($B17="","",IFERROR(IF($W17="Garis Lurus",$G17*(1-MIN($V17*12,MAX(0,TahunBuku*12+12-$Y17+1))/($V17*12)),IF($W17="Saldo Menurun",IF(TahunBuku&lt;YEAR($F17),$G17,IF(TahunBuku&gt;=INT(($Y17+$V17*12-2)/12),0,$G17*(1-2/$V17*(13-MONTH($F17))/12)*(1-2/$V17)^(TahunBuku-YEAR($F17)))),$G17)),$G17))</f>
        <v/>
      </c>
      <c r="AJ17" s="20" t="str">
        <f>IF($B17="","",IF(OR($W17="Garis Lurus",$W17="Saldo Menurun"),MAX(0,MIN(TahunBuku*12+12,$Y17+$V17*12-1)-MAX(TahunBuku*12+1,$Y17)+1),0))</f>
        <v/>
      </c>
      <c r="AK17" s="20" t="str">
        <f>IF($B17="","",IF(OR($W17="Garis Lurus",$W17="Saldo Menurun"),MAX(0,MIN($Z17,TahunBuku*12+12,$Y17+$V17*12-1)-MAX(TahunBuku*12+1,$Y17)+1),0))</f>
        <v/>
      </c>
      <c r="AL17" s="22" t="str">
        <f>IF($B17="","",$G17*$AA17)</f>
        <v/>
      </c>
      <c r="AM17" s="22" t="str">
        <f>IF($B17="","",$G17*$AB17)</f>
        <v/>
      </c>
      <c r="AN17" s="22" t="str">
        <f>IF($B17="","",$G17*$AC17)</f>
        <v/>
      </c>
      <c r="AO17" s="22" t="str">
        <f>IF($B17="","",AL17+AM17-AN17)</f>
        <v/>
      </c>
      <c r="AP17" s="22" t="str">
        <f>IF($B17="","",($G17-$AD17)*$AA17)</f>
        <v/>
      </c>
      <c r="AQ17" s="22" t="str">
        <f>IF($B17="","",IF($AF17=0,0,($AD17-$AE17)*$AG17/$AF17)*MAX($AA17,$AB17))</f>
        <v/>
      </c>
      <c r="AR17" s="22" t="str">
        <f>IF($B17="","",(AP17+AQ17)*$AC17)</f>
        <v/>
      </c>
      <c r="AS17" s="22" t="str">
        <f>IF($B17="","",AP17+AQ17-AR17)</f>
        <v/>
      </c>
      <c r="AT17" s="22" t="str">
        <f>IF($B17="","",AO17-AS17)</f>
        <v/>
      </c>
      <c r="AU17" s="22" t="str">
        <f>IF($B17="","",IF($AC17=1,N($R17)-($G17-AR17),0))</f>
        <v/>
      </c>
      <c r="AV17" s="22" t="str">
        <f>IF($B17="","",($G17-$AH17)*$AA17)</f>
        <v/>
      </c>
      <c r="AW17" s="22" t="str">
        <f>IF($B17="","",IF($AJ17=0,0,($AH17-$AI17)*$AK17/$AJ17)*MAX($AA17,$AB17))</f>
        <v/>
      </c>
      <c r="AX17" s="22" t="str">
        <f>IF($B17="","",(AV17+AW17)*$AC17)</f>
        <v/>
      </c>
      <c r="AY17" s="22" t="str">
        <f>IF($B17="","",AV17+AW17-AX17)</f>
        <v/>
      </c>
      <c r="AZ17" s="22" t="str">
        <f>IF($B17="","",AO17-AY17)</f>
        <v/>
      </c>
      <c r="BA17" s="22" t="str">
        <f>IF($B17="","",IF($AC17=1,N($R17)-($G17-AX17),0))</f>
        <v/>
      </c>
      <c r="BB17" s="22" t="str">
        <f>IF($B17="","",ROUND(AQ17-AW17,0))</f>
        <v/>
      </c>
      <c r="BC17" s="22" t="str">
        <f>IF($B17="","",ROUND(BA17-AU17,0))</f>
        <v/>
      </c>
      <c r="BD17" s="22" t="str">
        <f>IF($B17="","",BB17+BC17)</f>
        <v/>
      </c>
      <c r="BE17" s="22" t="str">
        <f>IF($B17="","",ROUND(AV17-AP17,0))</f>
        <v/>
      </c>
      <c r="BF17" s="22" t="str">
        <f>IF($B17="","",ROUND(AT17-AZ17,0))</f>
        <v/>
      </c>
      <c r="BG17" s="22" t="str">
        <f>IF($B17="","",ROUND(BF17*TarifPPh,0))</f>
        <v/>
      </c>
      <c r="BH17" t="str">
        <f>IF($B17="","",IF($D17="","Kategori kosong",IF($F17="","Tgl perolehan kosong",IF(N($H17)&gt;$G17,"Residu &gt; harga perolehan",IF(AND(LEFT($U17,8)="Bangunan",$W17="Saldo Menurun"),"Bangunan wajib Garis Lurus (Ps.11 UU PPh)",IF(AND($S17="Unit Produksi",N($K17)=0),"Isi kapasitas unit",IF(AND(OR($S17="Garis Lurus",$S17="Saldo Menurun"),N($T17)&lt;=0),"Umur komersial kosong",IF(AND(OR($W17="Garis Lurus",$W17="Saldo Menurun"),N($V17)&lt;=0),"Masa manfaat fiskal kosong",IF(AND($Q17&lt;&gt;"",$Q17&lt;$F17),"Tgl pelepasan &lt; perolehan","OK")))))))))</f>
        <v/>
      </c>
    </row>
    <row r="18" spans="1:60" x14ac:dyDescent="0.25">
      <c r="A18" t="str">
        <f>IF($B18="","",ROW()-6)</f>
        <v/>
      </c>
      <c r="B18" s="9"/>
      <c r="C18" s="9"/>
      <c r="D18" s="9"/>
      <c r="E18" s="9"/>
      <c r="F18" s="17"/>
      <c r="G18" s="18"/>
      <c r="H18" s="18"/>
      <c r="I18" s="9"/>
      <c r="J18" s="9"/>
      <c r="K18" s="19"/>
      <c r="L18" s="19"/>
      <c r="M18" s="19"/>
      <c r="N18" s="9"/>
      <c r="O18" s="9"/>
      <c r="P18" s="9"/>
      <c r="Q18" s="17"/>
      <c r="R18" s="18"/>
      <c r="S18" t="str">
        <f>IF($B18="","",IF($I18&lt;&gt;"",$I18,IFERROR(INDEX(Kat_Metode,MATCH($D18,Kat_Nama,0)),"")))</f>
        <v/>
      </c>
      <c r="T18" t="str">
        <f>IF($B18="","",IF($J18&lt;&gt;"",$J18,IFERROR(INDEX(Kat_Umur,MATCH($D18,Kat_Nama,0)),0)))</f>
        <v/>
      </c>
      <c r="U18" t="str">
        <f>IF($B18="","",IF($N18&lt;&gt;"",$N18,IFERROR(INDEX(Kat_Kelompok,MATCH($D18,Kat_Nama,0)),"")))</f>
        <v/>
      </c>
      <c r="V18" t="str">
        <f>IF($B18="","",IF($U18="Masa Manfaat Sebenarnya",N($O18),IFERROR(INDEX(Kel_Masa,MATCH($U18,Kel_Nama,0)),0)))</f>
        <v/>
      </c>
      <c r="W18" t="str">
        <f>IF($B18="","",IF($P18&lt;&gt;"",$P18,IF(OR($U18="Tidak Disusutkan",$V18=0),"Tidak Disusutkan","Garis Lurus")))</f>
        <v/>
      </c>
      <c r="X18" t="str">
        <f>IF($B18="","",IF($Y18&gt;TahunBuku*12+12,"Belum Diperoleh",IF($Z18&lt;=TahunBuku*12,"Dilepas (thn lalu)",IF($AC18=1,"Dilepas thn ini",IF($AB18=1,"Perolehan baru","Aktif")))))</f>
        <v/>
      </c>
      <c r="Y18" s="20" t="str">
        <f>IF($B18="","",YEAR($F18)*12+MONTH($F18))</f>
        <v/>
      </c>
      <c r="Z18" s="20" t="str">
        <f>IF($B18="","",IF($Q18="",99999,YEAR($Q18)*12+MONTH($Q18)))</f>
        <v/>
      </c>
      <c r="AA18" s="20" t="str">
        <f>IF($B18="","",--AND($Y18&lt;=TahunBuku*12,$Z18&gt;TahunBuku*12))</f>
        <v/>
      </c>
      <c r="AB18" s="20" t="str">
        <f>IF($B18="","",--AND($Y18&gt;TahunBuku*12,$Y18&lt;=TahunBuku*12+12))</f>
        <v/>
      </c>
      <c r="AC18" s="20" t="str">
        <f>IF($B18="","",--AND($Z18&gt;TahunBuku*12,$Z18&lt;=TahunBuku*12+12,$Y18&lt;=$Z18))</f>
        <v/>
      </c>
      <c r="AD18" s="21" t="str">
        <f>IF($B18="","",IFERROR(IF($S18="Garis Lurus",$G18-($G18-$H18)*MIN($T18*12,MAX(0,TahunBuku*12-$Y18+1))/($T18*12),IF($S18="Saldo Menurun",IF(TahunBuku-1&lt;YEAR($F18),$G18,IF(TahunBuku-1&gt;=INT(($Y18+$T18*12-2)/12),$H18,MAX($H18,$G18*(1-2/$T18*(13-MONTH($F18))/12)*(1-2/$T18)^(TahunBuku-1-YEAR($F18))))),IF($S18="Unit Produksi",$G18-($G18-$H18)*MIN(1,N($L18)/$K18),$G18))),$G18))</f>
        <v/>
      </c>
      <c r="AE18" s="21" t="str">
        <f>IF($B18="","",IFERROR(IF($S18="Garis Lurus",$G18-($G18-$H18)*MIN($T18*12,MAX(0,TahunBuku*12+12-$Y18+1))/($T18*12),IF($S18="Saldo Menurun",IF(TahunBuku&lt;YEAR($F18),$G18,IF(TahunBuku&gt;=INT(($Y18+$T18*12-2)/12),$H18,MAX($H18,$G18*(1-2/$T18*(13-MONTH($F18))/12)*(1-2/$T18)^(TahunBuku-YEAR($F18))))),IF($S18="Unit Produksi",$G18-($G18-$H18)*MIN(1,(N($L18)+N($M18))/$K18),$G18))),$G18))</f>
        <v/>
      </c>
      <c r="AF18" s="20" t="str">
        <f>IF($B18="","",IF(OR($S18="Garis Lurus",$S18="Saldo Menurun",$S18="Unit Produksi"),MAX(0,IF($S18="Unit Produksi",TahunBuku*12+12,MIN(TahunBuku*12+12,$Y18+$T18*12-1))-MAX(TahunBuku*12+1,$Y18)+1),0))</f>
        <v/>
      </c>
      <c r="AG18" s="20" t="str">
        <f>IF($B18="","",IF(OR($S18="Garis Lurus",$S18="Saldo Menurun",$S18="Unit Produksi"),MAX(0,MIN($Z18,IF($S18="Unit Produksi",TahunBuku*12+12,MIN(TahunBuku*12+12,$Y18+$T18*12-1)))-MAX(TahunBuku*12+1,$Y18)+1),0))</f>
        <v/>
      </c>
      <c r="AH18" s="21" t="str">
        <f>IF($B18="","",IFERROR(IF($W18="Garis Lurus",$G18*(1-MIN($V18*12,MAX(0,TahunBuku*12-$Y18+1))/($V18*12)),IF($W18="Saldo Menurun",IF(TahunBuku-1&lt;YEAR($F18),$G18,IF(TahunBuku-1&gt;=INT(($Y18+$V18*12-2)/12),0,$G18*(1-2/$V18*(13-MONTH($F18))/12)*(1-2/$V18)^(TahunBuku-1-YEAR($F18)))),$G18)),$G18))</f>
        <v/>
      </c>
      <c r="AI18" s="21" t="str">
        <f>IF($B18="","",IFERROR(IF($W18="Garis Lurus",$G18*(1-MIN($V18*12,MAX(0,TahunBuku*12+12-$Y18+1))/($V18*12)),IF($W18="Saldo Menurun",IF(TahunBuku&lt;YEAR($F18),$G18,IF(TahunBuku&gt;=INT(($Y18+$V18*12-2)/12),0,$G18*(1-2/$V18*(13-MONTH($F18))/12)*(1-2/$V18)^(TahunBuku-YEAR($F18)))),$G18)),$G18))</f>
        <v/>
      </c>
      <c r="AJ18" s="20" t="str">
        <f>IF($B18="","",IF(OR($W18="Garis Lurus",$W18="Saldo Menurun"),MAX(0,MIN(TahunBuku*12+12,$Y18+$V18*12-1)-MAX(TahunBuku*12+1,$Y18)+1),0))</f>
        <v/>
      </c>
      <c r="AK18" s="20" t="str">
        <f>IF($B18="","",IF(OR($W18="Garis Lurus",$W18="Saldo Menurun"),MAX(0,MIN($Z18,TahunBuku*12+12,$Y18+$V18*12-1)-MAX(TahunBuku*12+1,$Y18)+1),0))</f>
        <v/>
      </c>
      <c r="AL18" s="22" t="str">
        <f>IF($B18="","",$G18*$AA18)</f>
        <v/>
      </c>
      <c r="AM18" s="22" t="str">
        <f>IF($B18="","",$G18*$AB18)</f>
        <v/>
      </c>
      <c r="AN18" s="22" t="str">
        <f>IF($B18="","",$G18*$AC18)</f>
        <v/>
      </c>
      <c r="AO18" s="22" t="str">
        <f>IF($B18="","",AL18+AM18-AN18)</f>
        <v/>
      </c>
      <c r="AP18" s="22" t="str">
        <f>IF($B18="","",($G18-$AD18)*$AA18)</f>
        <v/>
      </c>
      <c r="AQ18" s="22" t="str">
        <f>IF($B18="","",IF($AF18=0,0,($AD18-$AE18)*$AG18/$AF18)*MAX($AA18,$AB18))</f>
        <v/>
      </c>
      <c r="AR18" s="22" t="str">
        <f>IF($B18="","",(AP18+AQ18)*$AC18)</f>
        <v/>
      </c>
      <c r="AS18" s="22" t="str">
        <f>IF($B18="","",AP18+AQ18-AR18)</f>
        <v/>
      </c>
      <c r="AT18" s="22" t="str">
        <f>IF($B18="","",AO18-AS18)</f>
        <v/>
      </c>
      <c r="AU18" s="22" t="str">
        <f>IF($B18="","",IF($AC18=1,N($R18)-($G18-AR18),0))</f>
        <v/>
      </c>
      <c r="AV18" s="22" t="str">
        <f>IF($B18="","",($G18-$AH18)*$AA18)</f>
        <v/>
      </c>
      <c r="AW18" s="22" t="str">
        <f>IF($B18="","",IF($AJ18=0,0,($AH18-$AI18)*$AK18/$AJ18)*MAX($AA18,$AB18))</f>
        <v/>
      </c>
      <c r="AX18" s="22" t="str">
        <f>IF($B18="","",(AV18+AW18)*$AC18)</f>
        <v/>
      </c>
      <c r="AY18" s="22" t="str">
        <f>IF($B18="","",AV18+AW18-AX18)</f>
        <v/>
      </c>
      <c r="AZ18" s="22" t="str">
        <f>IF($B18="","",AO18-AY18)</f>
        <v/>
      </c>
      <c r="BA18" s="22" t="str">
        <f>IF($B18="","",IF($AC18=1,N($R18)-($G18-AX18),0))</f>
        <v/>
      </c>
      <c r="BB18" s="22" t="str">
        <f>IF($B18="","",ROUND(AQ18-AW18,0))</f>
        <v/>
      </c>
      <c r="BC18" s="22" t="str">
        <f>IF($B18="","",ROUND(BA18-AU18,0))</f>
        <v/>
      </c>
      <c r="BD18" s="22" t="str">
        <f>IF($B18="","",BB18+BC18)</f>
        <v/>
      </c>
      <c r="BE18" s="22" t="str">
        <f>IF($B18="","",ROUND(AV18-AP18,0))</f>
        <v/>
      </c>
      <c r="BF18" s="22" t="str">
        <f>IF($B18="","",ROUND(AT18-AZ18,0))</f>
        <v/>
      </c>
      <c r="BG18" s="22" t="str">
        <f>IF($B18="","",ROUND(BF18*TarifPPh,0))</f>
        <v/>
      </c>
      <c r="BH18" t="str">
        <f>IF($B18="","",IF($D18="","Kategori kosong",IF($F18="","Tgl perolehan kosong",IF(N($H18)&gt;$G18,"Residu &gt; harga perolehan",IF(AND(LEFT($U18,8)="Bangunan",$W18="Saldo Menurun"),"Bangunan wajib Garis Lurus (Ps.11 UU PPh)",IF(AND($S18="Unit Produksi",N($K18)=0),"Isi kapasitas unit",IF(AND(OR($S18="Garis Lurus",$S18="Saldo Menurun"),N($T18)&lt;=0),"Umur komersial kosong",IF(AND(OR($W18="Garis Lurus",$W18="Saldo Menurun"),N($V18)&lt;=0),"Masa manfaat fiskal kosong",IF(AND($Q18&lt;&gt;"",$Q18&lt;$F18),"Tgl pelepasan &lt; perolehan","OK")))))))))</f>
        <v/>
      </c>
    </row>
    <row r="19" spans="1:60" x14ac:dyDescent="0.25">
      <c r="A19" t="str">
        <f>IF($B19="","",ROW()-6)</f>
        <v/>
      </c>
      <c r="B19" s="9"/>
      <c r="C19" s="9"/>
      <c r="D19" s="9"/>
      <c r="E19" s="9"/>
      <c r="F19" s="17"/>
      <c r="G19" s="18"/>
      <c r="H19" s="18"/>
      <c r="I19" s="9"/>
      <c r="J19" s="9"/>
      <c r="K19" s="19"/>
      <c r="L19" s="19"/>
      <c r="M19" s="19"/>
      <c r="N19" s="9"/>
      <c r="O19" s="9"/>
      <c r="P19" s="9"/>
      <c r="Q19" s="17"/>
      <c r="R19" s="18"/>
      <c r="S19" t="str">
        <f>IF($B19="","",IF($I19&lt;&gt;"",$I19,IFERROR(INDEX(Kat_Metode,MATCH($D19,Kat_Nama,0)),"")))</f>
        <v/>
      </c>
      <c r="T19" t="str">
        <f>IF($B19="","",IF($J19&lt;&gt;"",$J19,IFERROR(INDEX(Kat_Umur,MATCH($D19,Kat_Nama,0)),0)))</f>
        <v/>
      </c>
      <c r="U19" t="str">
        <f>IF($B19="","",IF($N19&lt;&gt;"",$N19,IFERROR(INDEX(Kat_Kelompok,MATCH($D19,Kat_Nama,0)),"")))</f>
        <v/>
      </c>
      <c r="V19" t="str">
        <f>IF($B19="","",IF($U19="Masa Manfaat Sebenarnya",N($O19),IFERROR(INDEX(Kel_Masa,MATCH($U19,Kel_Nama,0)),0)))</f>
        <v/>
      </c>
      <c r="W19" t="str">
        <f>IF($B19="","",IF($P19&lt;&gt;"",$P19,IF(OR($U19="Tidak Disusutkan",$V19=0),"Tidak Disusutkan","Garis Lurus")))</f>
        <v/>
      </c>
      <c r="X19" t="str">
        <f>IF($B19="","",IF($Y19&gt;TahunBuku*12+12,"Belum Diperoleh",IF($Z19&lt;=TahunBuku*12,"Dilepas (thn lalu)",IF($AC19=1,"Dilepas thn ini",IF($AB19=1,"Perolehan baru","Aktif")))))</f>
        <v/>
      </c>
      <c r="Y19" s="20" t="str">
        <f>IF($B19="","",YEAR($F19)*12+MONTH($F19))</f>
        <v/>
      </c>
      <c r="Z19" s="20" t="str">
        <f>IF($B19="","",IF($Q19="",99999,YEAR($Q19)*12+MONTH($Q19)))</f>
        <v/>
      </c>
      <c r="AA19" s="20" t="str">
        <f>IF($B19="","",--AND($Y19&lt;=TahunBuku*12,$Z19&gt;TahunBuku*12))</f>
        <v/>
      </c>
      <c r="AB19" s="20" t="str">
        <f>IF($B19="","",--AND($Y19&gt;TahunBuku*12,$Y19&lt;=TahunBuku*12+12))</f>
        <v/>
      </c>
      <c r="AC19" s="20" t="str">
        <f>IF($B19="","",--AND($Z19&gt;TahunBuku*12,$Z19&lt;=TahunBuku*12+12,$Y19&lt;=$Z19))</f>
        <v/>
      </c>
      <c r="AD19" s="21" t="str">
        <f>IF($B19="","",IFERROR(IF($S19="Garis Lurus",$G19-($G19-$H19)*MIN($T19*12,MAX(0,TahunBuku*12-$Y19+1))/($T19*12),IF($S19="Saldo Menurun",IF(TahunBuku-1&lt;YEAR($F19),$G19,IF(TahunBuku-1&gt;=INT(($Y19+$T19*12-2)/12),$H19,MAX($H19,$G19*(1-2/$T19*(13-MONTH($F19))/12)*(1-2/$T19)^(TahunBuku-1-YEAR($F19))))),IF($S19="Unit Produksi",$G19-($G19-$H19)*MIN(1,N($L19)/$K19),$G19))),$G19))</f>
        <v/>
      </c>
      <c r="AE19" s="21" t="str">
        <f>IF($B19="","",IFERROR(IF($S19="Garis Lurus",$G19-($G19-$H19)*MIN($T19*12,MAX(0,TahunBuku*12+12-$Y19+1))/($T19*12),IF($S19="Saldo Menurun",IF(TahunBuku&lt;YEAR($F19),$G19,IF(TahunBuku&gt;=INT(($Y19+$T19*12-2)/12),$H19,MAX($H19,$G19*(1-2/$T19*(13-MONTH($F19))/12)*(1-2/$T19)^(TahunBuku-YEAR($F19))))),IF($S19="Unit Produksi",$G19-($G19-$H19)*MIN(1,(N($L19)+N($M19))/$K19),$G19))),$G19))</f>
        <v/>
      </c>
      <c r="AF19" s="20" t="str">
        <f>IF($B19="","",IF(OR($S19="Garis Lurus",$S19="Saldo Menurun",$S19="Unit Produksi"),MAX(0,IF($S19="Unit Produksi",TahunBuku*12+12,MIN(TahunBuku*12+12,$Y19+$T19*12-1))-MAX(TahunBuku*12+1,$Y19)+1),0))</f>
        <v/>
      </c>
      <c r="AG19" s="20" t="str">
        <f>IF($B19="","",IF(OR($S19="Garis Lurus",$S19="Saldo Menurun",$S19="Unit Produksi"),MAX(0,MIN($Z19,IF($S19="Unit Produksi",TahunBuku*12+12,MIN(TahunBuku*12+12,$Y19+$T19*12-1)))-MAX(TahunBuku*12+1,$Y19)+1),0))</f>
        <v/>
      </c>
      <c r="AH19" s="21" t="str">
        <f>IF($B19="","",IFERROR(IF($W19="Garis Lurus",$G19*(1-MIN($V19*12,MAX(0,TahunBuku*12-$Y19+1))/($V19*12)),IF($W19="Saldo Menurun",IF(TahunBuku-1&lt;YEAR($F19),$G19,IF(TahunBuku-1&gt;=INT(($Y19+$V19*12-2)/12),0,$G19*(1-2/$V19*(13-MONTH($F19))/12)*(1-2/$V19)^(TahunBuku-1-YEAR($F19)))),$G19)),$G19))</f>
        <v/>
      </c>
      <c r="AI19" s="21" t="str">
        <f>IF($B19="","",IFERROR(IF($W19="Garis Lurus",$G19*(1-MIN($V19*12,MAX(0,TahunBuku*12+12-$Y19+1))/($V19*12)),IF($W19="Saldo Menurun",IF(TahunBuku&lt;YEAR($F19),$G19,IF(TahunBuku&gt;=INT(($Y19+$V19*12-2)/12),0,$G19*(1-2/$V19*(13-MONTH($F19))/12)*(1-2/$V19)^(TahunBuku-YEAR($F19)))),$G19)),$G19))</f>
        <v/>
      </c>
      <c r="AJ19" s="20" t="str">
        <f>IF($B19="","",IF(OR($W19="Garis Lurus",$W19="Saldo Menurun"),MAX(0,MIN(TahunBuku*12+12,$Y19+$V19*12-1)-MAX(TahunBuku*12+1,$Y19)+1),0))</f>
        <v/>
      </c>
      <c r="AK19" s="20" t="str">
        <f>IF($B19="","",IF(OR($W19="Garis Lurus",$W19="Saldo Menurun"),MAX(0,MIN($Z19,TahunBuku*12+12,$Y19+$V19*12-1)-MAX(TahunBuku*12+1,$Y19)+1),0))</f>
        <v/>
      </c>
      <c r="AL19" s="22" t="str">
        <f>IF($B19="","",$G19*$AA19)</f>
        <v/>
      </c>
      <c r="AM19" s="22" t="str">
        <f>IF($B19="","",$G19*$AB19)</f>
        <v/>
      </c>
      <c r="AN19" s="22" t="str">
        <f>IF($B19="","",$G19*$AC19)</f>
        <v/>
      </c>
      <c r="AO19" s="22" t="str">
        <f>IF($B19="","",AL19+AM19-AN19)</f>
        <v/>
      </c>
      <c r="AP19" s="22" t="str">
        <f>IF($B19="","",($G19-$AD19)*$AA19)</f>
        <v/>
      </c>
      <c r="AQ19" s="22" t="str">
        <f>IF($B19="","",IF($AF19=0,0,($AD19-$AE19)*$AG19/$AF19)*MAX($AA19,$AB19))</f>
        <v/>
      </c>
      <c r="AR19" s="22" t="str">
        <f>IF($B19="","",(AP19+AQ19)*$AC19)</f>
        <v/>
      </c>
      <c r="AS19" s="22" t="str">
        <f>IF($B19="","",AP19+AQ19-AR19)</f>
        <v/>
      </c>
      <c r="AT19" s="22" t="str">
        <f>IF($B19="","",AO19-AS19)</f>
        <v/>
      </c>
      <c r="AU19" s="22" t="str">
        <f>IF($B19="","",IF($AC19=1,N($R19)-($G19-AR19),0))</f>
        <v/>
      </c>
      <c r="AV19" s="22" t="str">
        <f>IF($B19="","",($G19-$AH19)*$AA19)</f>
        <v/>
      </c>
      <c r="AW19" s="22" t="str">
        <f>IF($B19="","",IF($AJ19=0,0,($AH19-$AI19)*$AK19/$AJ19)*MAX($AA19,$AB19))</f>
        <v/>
      </c>
      <c r="AX19" s="22" t="str">
        <f>IF($B19="","",(AV19+AW19)*$AC19)</f>
        <v/>
      </c>
      <c r="AY19" s="22" t="str">
        <f>IF($B19="","",AV19+AW19-AX19)</f>
        <v/>
      </c>
      <c r="AZ19" s="22" t="str">
        <f>IF($B19="","",AO19-AY19)</f>
        <v/>
      </c>
      <c r="BA19" s="22" t="str">
        <f>IF($B19="","",IF($AC19=1,N($R19)-($G19-AX19),0))</f>
        <v/>
      </c>
      <c r="BB19" s="22" t="str">
        <f>IF($B19="","",ROUND(AQ19-AW19,0))</f>
        <v/>
      </c>
      <c r="BC19" s="22" t="str">
        <f>IF($B19="","",ROUND(BA19-AU19,0))</f>
        <v/>
      </c>
      <c r="BD19" s="22" t="str">
        <f>IF($B19="","",BB19+BC19)</f>
        <v/>
      </c>
      <c r="BE19" s="22" t="str">
        <f>IF($B19="","",ROUND(AV19-AP19,0))</f>
        <v/>
      </c>
      <c r="BF19" s="22" t="str">
        <f>IF($B19="","",ROUND(AT19-AZ19,0))</f>
        <v/>
      </c>
      <c r="BG19" s="22" t="str">
        <f>IF($B19="","",ROUND(BF19*TarifPPh,0))</f>
        <v/>
      </c>
      <c r="BH19" t="str">
        <f>IF($B19="","",IF($D19="","Kategori kosong",IF($F19="","Tgl perolehan kosong",IF(N($H19)&gt;$G19,"Residu &gt; harga perolehan",IF(AND(LEFT($U19,8)="Bangunan",$W19="Saldo Menurun"),"Bangunan wajib Garis Lurus (Ps.11 UU PPh)",IF(AND($S19="Unit Produksi",N($K19)=0),"Isi kapasitas unit",IF(AND(OR($S19="Garis Lurus",$S19="Saldo Menurun"),N($T19)&lt;=0),"Umur komersial kosong",IF(AND(OR($W19="Garis Lurus",$W19="Saldo Menurun"),N($V19)&lt;=0),"Masa manfaat fiskal kosong",IF(AND($Q19&lt;&gt;"",$Q19&lt;$F19),"Tgl pelepasan &lt; perolehan","OK")))))))))</f>
        <v/>
      </c>
    </row>
    <row r="20" spans="1:60" x14ac:dyDescent="0.25">
      <c r="A20" t="str">
        <f>IF($B20="","",ROW()-6)</f>
        <v/>
      </c>
      <c r="B20" s="9"/>
      <c r="C20" s="9"/>
      <c r="D20" s="9"/>
      <c r="E20" s="9"/>
      <c r="F20" s="17"/>
      <c r="G20" s="18"/>
      <c r="H20" s="18"/>
      <c r="I20" s="9"/>
      <c r="J20" s="9"/>
      <c r="K20" s="19"/>
      <c r="L20" s="19"/>
      <c r="M20" s="19"/>
      <c r="N20" s="9"/>
      <c r="O20" s="9"/>
      <c r="P20" s="9"/>
      <c r="Q20" s="17"/>
      <c r="R20" s="18"/>
      <c r="S20" t="str">
        <f>IF($B20="","",IF($I20&lt;&gt;"",$I20,IFERROR(INDEX(Kat_Metode,MATCH($D20,Kat_Nama,0)),"")))</f>
        <v/>
      </c>
      <c r="T20" t="str">
        <f>IF($B20="","",IF($J20&lt;&gt;"",$J20,IFERROR(INDEX(Kat_Umur,MATCH($D20,Kat_Nama,0)),0)))</f>
        <v/>
      </c>
      <c r="U20" t="str">
        <f>IF($B20="","",IF($N20&lt;&gt;"",$N20,IFERROR(INDEX(Kat_Kelompok,MATCH($D20,Kat_Nama,0)),"")))</f>
        <v/>
      </c>
      <c r="V20" t="str">
        <f>IF($B20="","",IF($U20="Masa Manfaat Sebenarnya",N($O20),IFERROR(INDEX(Kel_Masa,MATCH($U20,Kel_Nama,0)),0)))</f>
        <v/>
      </c>
      <c r="W20" t="str">
        <f>IF($B20="","",IF($P20&lt;&gt;"",$P20,IF(OR($U20="Tidak Disusutkan",$V20=0),"Tidak Disusutkan","Garis Lurus")))</f>
        <v/>
      </c>
      <c r="X20" t="str">
        <f>IF($B20="","",IF($Y20&gt;TahunBuku*12+12,"Belum Diperoleh",IF($Z20&lt;=TahunBuku*12,"Dilepas (thn lalu)",IF($AC20=1,"Dilepas thn ini",IF($AB20=1,"Perolehan baru","Aktif")))))</f>
        <v/>
      </c>
      <c r="Y20" s="20" t="str">
        <f>IF($B20="","",YEAR($F20)*12+MONTH($F20))</f>
        <v/>
      </c>
      <c r="Z20" s="20" t="str">
        <f>IF($B20="","",IF($Q20="",99999,YEAR($Q20)*12+MONTH($Q20)))</f>
        <v/>
      </c>
      <c r="AA20" s="20" t="str">
        <f>IF($B20="","",--AND($Y20&lt;=TahunBuku*12,$Z20&gt;TahunBuku*12))</f>
        <v/>
      </c>
      <c r="AB20" s="20" t="str">
        <f>IF($B20="","",--AND($Y20&gt;TahunBuku*12,$Y20&lt;=TahunBuku*12+12))</f>
        <v/>
      </c>
      <c r="AC20" s="20" t="str">
        <f>IF($B20="","",--AND($Z20&gt;TahunBuku*12,$Z20&lt;=TahunBuku*12+12,$Y20&lt;=$Z20))</f>
        <v/>
      </c>
      <c r="AD20" s="21" t="str">
        <f>IF($B20="","",IFERROR(IF($S20="Garis Lurus",$G20-($G20-$H20)*MIN($T20*12,MAX(0,TahunBuku*12-$Y20+1))/($T20*12),IF($S20="Saldo Menurun",IF(TahunBuku-1&lt;YEAR($F20),$G20,IF(TahunBuku-1&gt;=INT(($Y20+$T20*12-2)/12),$H20,MAX($H20,$G20*(1-2/$T20*(13-MONTH($F20))/12)*(1-2/$T20)^(TahunBuku-1-YEAR($F20))))),IF($S20="Unit Produksi",$G20-($G20-$H20)*MIN(1,N($L20)/$K20),$G20))),$G20))</f>
        <v/>
      </c>
      <c r="AE20" s="21" t="str">
        <f>IF($B20="","",IFERROR(IF($S20="Garis Lurus",$G20-($G20-$H20)*MIN($T20*12,MAX(0,TahunBuku*12+12-$Y20+1))/($T20*12),IF($S20="Saldo Menurun",IF(TahunBuku&lt;YEAR($F20),$G20,IF(TahunBuku&gt;=INT(($Y20+$T20*12-2)/12),$H20,MAX($H20,$G20*(1-2/$T20*(13-MONTH($F20))/12)*(1-2/$T20)^(TahunBuku-YEAR($F20))))),IF($S20="Unit Produksi",$G20-($G20-$H20)*MIN(1,(N($L20)+N($M20))/$K20),$G20))),$G20))</f>
        <v/>
      </c>
      <c r="AF20" s="20" t="str">
        <f>IF($B20="","",IF(OR($S20="Garis Lurus",$S20="Saldo Menurun",$S20="Unit Produksi"),MAX(0,IF($S20="Unit Produksi",TahunBuku*12+12,MIN(TahunBuku*12+12,$Y20+$T20*12-1))-MAX(TahunBuku*12+1,$Y20)+1),0))</f>
        <v/>
      </c>
      <c r="AG20" s="20" t="str">
        <f>IF($B20="","",IF(OR($S20="Garis Lurus",$S20="Saldo Menurun",$S20="Unit Produksi"),MAX(0,MIN($Z20,IF($S20="Unit Produksi",TahunBuku*12+12,MIN(TahunBuku*12+12,$Y20+$T20*12-1)))-MAX(TahunBuku*12+1,$Y20)+1),0))</f>
        <v/>
      </c>
      <c r="AH20" s="21" t="str">
        <f>IF($B20="","",IFERROR(IF($W20="Garis Lurus",$G20*(1-MIN($V20*12,MAX(0,TahunBuku*12-$Y20+1))/($V20*12)),IF($W20="Saldo Menurun",IF(TahunBuku-1&lt;YEAR($F20),$G20,IF(TahunBuku-1&gt;=INT(($Y20+$V20*12-2)/12),0,$G20*(1-2/$V20*(13-MONTH($F20))/12)*(1-2/$V20)^(TahunBuku-1-YEAR($F20)))),$G20)),$G20))</f>
        <v/>
      </c>
      <c r="AI20" s="21" t="str">
        <f>IF($B20="","",IFERROR(IF($W20="Garis Lurus",$G20*(1-MIN($V20*12,MAX(0,TahunBuku*12+12-$Y20+1))/($V20*12)),IF($W20="Saldo Menurun",IF(TahunBuku&lt;YEAR($F20),$G20,IF(TahunBuku&gt;=INT(($Y20+$V20*12-2)/12),0,$G20*(1-2/$V20*(13-MONTH($F20))/12)*(1-2/$V20)^(TahunBuku-YEAR($F20)))),$G20)),$G20))</f>
        <v/>
      </c>
      <c r="AJ20" s="20" t="str">
        <f>IF($B20="","",IF(OR($W20="Garis Lurus",$W20="Saldo Menurun"),MAX(0,MIN(TahunBuku*12+12,$Y20+$V20*12-1)-MAX(TahunBuku*12+1,$Y20)+1),0))</f>
        <v/>
      </c>
      <c r="AK20" s="20" t="str">
        <f>IF($B20="","",IF(OR($W20="Garis Lurus",$W20="Saldo Menurun"),MAX(0,MIN($Z20,TahunBuku*12+12,$Y20+$V20*12-1)-MAX(TahunBuku*12+1,$Y20)+1),0))</f>
        <v/>
      </c>
      <c r="AL20" s="22" t="str">
        <f>IF($B20="","",$G20*$AA20)</f>
        <v/>
      </c>
      <c r="AM20" s="22" t="str">
        <f>IF($B20="","",$G20*$AB20)</f>
        <v/>
      </c>
      <c r="AN20" s="22" t="str">
        <f>IF($B20="","",$G20*$AC20)</f>
        <v/>
      </c>
      <c r="AO20" s="22" t="str">
        <f>IF($B20="","",AL20+AM20-AN20)</f>
        <v/>
      </c>
      <c r="AP20" s="22" t="str">
        <f>IF($B20="","",($G20-$AD20)*$AA20)</f>
        <v/>
      </c>
      <c r="AQ20" s="22" t="str">
        <f>IF($B20="","",IF($AF20=0,0,($AD20-$AE20)*$AG20/$AF20)*MAX($AA20,$AB20))</f>
        <v/>
      </c>
      <c r="AR20" s="22" t="str">
        <f>IF($B20="","",(AP20+AQ20)*$AC20)</f>
        <v/>
      </c>
      <c r="AS20" s="22" t="str">
        <f>IF($B20="","",AP20+AQ20-AR20)</f>
        <v/>
      </c>
      <c r="AT20" s="22" t="str">
        <f>IF($B20="","",AO20-AS20)</f>
        <v/>
      </c>
      <c r="AU20" s="22" t="str">
        <f>IF($B20="","",IF($AC20=1,N($R20)-($G20-AR20),0))</f>
        <v/>
      </c>
      <c r="AV20" s="22" t="str">
        <f>IF($B20="","",($G20-$AH20)*$AA20)</f>
        <v/>
      </c>
      <c r="AW20" s="22" t="str">
        <f>IF($B20="","",IF($AJ20=0,0,($AH20-$AI20)*$AK20/$AJ20)*MAX($AA20,$AB20))</f>
        <v/>
      </c>
      <c r="AX20" s="22" t="str">
        <f>IF($B20="","",(AV20+AW20)*$AC20)</f>
        <v/>
      </c>
      <c r="AY20" s="22" t="str">
        <f>IF($B20="","",AV20+AW20-AX20)</f>
        <v/>
      </c>
      <c r="AZ20" s="22" t="str">
        <f>IF($B20="","",AO20-AY20)</f>
        <v/>
      </c>
      <c r="BA20" s="22" t="str">
        <f>IF($B20="","",IF($AC20=1,N($R20)-($G20-AX20),0))</f>
        <v/>
      </c>
      <c r="BB20" s="22" t="str">
        <f>IF($B20="","",ROUND(AQ20-AW20,0))</f>
        <v/>
      </c>
      <c r="BC20" s="22" t="str">
        <f>IF($B20="","",ROUND(BA20-AU20,0))</f>
        <v/>
      </c>
      <c r="BD20" s="22" t="str">
        <f>IF($B20="","",BB20+BC20)</f>
        <v/>
      </c>
      <c r="BE20" s="22" t="str">
        <f>IF($B20="","",ROUND(AV20-AP20,0))</f>
        <v/>
      </c>
      <c r="BF20" s="22" t="str">
        <f>IF($B20="","",ROUND(AT20-AZ20,0))</f>
        <v/>
      </c>
      <c r="BG20" s="22" t="str">
        <f>IF($B20="","",ROUND(BF20*TarifPPh,0))</f>
        <v/>
      </c>
      <c r="BH20" t="str">
        <f>IF($B20="","",IF($D20="","Kategori kosong",IF($F20="","Tgl perolehan kosong",IF(N($H20)&gt;$G20,"Residu &gt; harga perolehan",IF(AND(LEFT($U20,8)="Bangunan",$W20="Saldo Menurun"),"Bangunan wajib Garis Lurus (Ps.11 UU PPh)",IF(AND($S20="Unit Produksi",N($K20)=0),"Isi kapasitas unit",IF(AND(OR($S20="Garis Lurus",$S20="Saldo Menurun"),N($T20)&lt;=0),"Umur komersial kosong",IF(AND(OR($W20="Garis Lurus",$W20="Saldo Menurun"),N($V20)&lt;=0),"Masa manfaat fiskal kosong",IF(AND($Q20&lt;&gt;"",$Q20&lt;$F20),"Tgl pelepasan &lt; perolehan","OK")))))))))</f>
        <v/>
      </c>
    </row>
    <row r="21" spans="1:60" x14ac:dyDescent="0.25">
      <c r="A21" t="str">
        <f>IF($B21="","",ROW()-6)</f>
        <v/>
      </c>
      <c r="B21" s="9"/>
      <c r="C21" s="9"/>
      <c r="D21" s="9"/>
      <c r="E21" s="9"/>
      <c r="F21" s="17"/>
      <c r="G21" s="18"/>
      <c r="H21" s="18"/>
      <c r="I21" s="9"/>
      <c r="J21" s="9"/>
      <c r="K21" s="19"/>
      <c r="L21" s="19"/>
      <c r="M21" s="19"/>
      <c r="N21" s="9"/>
      <c r="O21" s="9"/>
      <c r="P21" s="9"/>
      <c r="Q21" s="17"/>
      <c r="R21" s="18"/>
      <c r="S21" t="str">
        <f>IF($B21="","",IF($I21&lt;&gt;"",$I21,IFERROR(INDEX(Kat_Metode,MATCH($D21,Kat_Nama,0)),"")))</f>
        <v/>
      </c>
      <c r="T21" t="str">
        <f>IF($B21="","",IF($J21&lt;&gt;"",$J21,IFERROR(INDEX(Kat_Umur,MATCH($D21,Kat_Nama,0)),0)))</f>
        <v/>
      </c>
      <c r="U21" t="str">
        <f>IF($B21="","",IF($N21&lt;&gt;"",$N21,IFERROR(INDEX(Kat_Kelompok,MATCH($D21,Kat_Nama,0)),"")))</f>
        <v/>
      </c>
      <c r="V21" t="str">
        <f>IF($B21="","",IF($U21="Masa Manfaat Sebenarnya",N($O21),IFERROR(INDEX(Kel_Masa,MATCH($U21,Kel_Nama,0)),0)))</f>
        <v/>
      </c>
      <c r="W21" t="str">
        <f>IF($B21="","",IF($P21&lt;&gt;"",$P21,IF(OR($U21="Tidak Disusutkan",$V21=0),"Tidak Disusutkan","Garis Lurus")))</f>
        <v/>
      </c>
      <c r="X21" t="str">
        <f>IF($B21="","",IF($Y21&gt;TahunBuku*12+12,"Belum Diperoleh",IF($Z21&lt;=TahunBuku*12,"Dilepas (thn lalu)",IF($AC21=1,"Dilepas thn ini",IF($AB21=1,"Perolehan baru","Aktif")))))</f>
        <v/>
      </c>
      <c r="Y21" s="20" t="str">
        <f>IF($B21="","",YEAR($F21)*12+MONTH($F21))</f>
        <v/>
      </c>
      <c r="Z21" s="20" t="str">
        <f>IF($B21="","",IF($Q21="",99999,YEAR($Q21)*12+MONTH($Q21)))</f>
        <v/>
      </c>
      <c r="AA21" s="20" t="str">
        <f>IF($B21="","",--AND($Y21&lt;=TahunBuku*12,$Z21&gt;TahunBuku*12))</f>
        <v/>
      </c>
      <c r="AB21" s="20" t="str">
        <f>IF($B21="","",--AND($Y21&gt;TahunBuku*12,$Y21&lt;=TahunBuku*12+12))</f>
        <v/>
      </c>
      <c r="AC21" s="20" t="str">
        <f>IF($B21="","",--AND($Z21&gt;TahunBuku*12,$Z21&lt;=TahunBuku*12+12,$Y21&lt;=$Z21))</f>
        <v/>
      </c>
      <c r="AD21" s="21" t="str">
        <f>IF($B21="","",IFERROR(IF($S21="Garis Lurus",$G21-($G21-$H21)*MIN($T21*12,MAX(0,TahunBuku*12-$Y21+1))/($T21*12),IF($S21="Saldo Menurun",IF(TahunBuku-1&lt;YEAR($F21),$G21,IF(TahunBuku-1&gt;=INT(($Y21+$T21*12-2)/12),$H21,MAX($H21,$G21*(1-2/$T21*(13-MONTH($F21))/12)*(1-2/$T21)^(TahunBuku-1-YEAR($F21))))),IF($S21="Unit Produksi",$G21-($G21-$H21)*MIN(1,N($L21)/$K21),$G21))),$G21))</f>
        <v/>
      </c>
      <c r="AE21" s="21" t="str">
        <f>IF($B21="","",IFERROR(IF($S21="Garis Lurus",$G21-($G21-$H21)*MIN($T21*12,MAX(0,TahunBuku*12+12-$Y21+1))/($T21*12),IF($S21="Saldo Menurun",IF(TahunBuku&lt;YEAR($F21),$G21,IF(TahunBuku&gt;=INT(($Y21+$T21*12-2)/12),$H21,MAX($H21,$G21*(1-2/$T21*(13-MONTH($F21))/12)*(1-2/$T21)^(TahunBuku-YEAR($F21))))),IF($S21="Unit Produksi",$G21-($G21-$H21)*MIN(1,(N($L21)+N($M21))/$K21),$G21))),$G21))</f>
        <v/>
      </c>
      <c r="AF21" s="20" t="str">
        <f>IF($B21="","",IF(OR($S21="Garis Lurus",$S21="Saldo Menurun",$S21="Unit Produksi"),MAX(0,IF($S21="Unit Produksi",TahunBuku*12+12,MIN(TahunBuku*12+12,$Y21+$T21*12-1))-MAX(TahunBuku*12+1,$Y21)+1),0))</f>
        <v/>
      </c>
      <c r="AG21" s="20" t="str">
        <f>IF($B21="","",IF(OR($S21="Garis Lurus",$S21="Saldo Menurun",$S21="Unit Produksi"),MAX(0,MIN($Z21,IF($S21="Unit Produksi",TahunBuku*12+12,MIN(TahunBuku*12+12,$Y21+$T21*12-1)))-MAX(TahunBuku*12+1,$Y21)+1),0))</f>
        <v/>
      </c>
      <c r="AH21" s="21" t="str">
        <f>IF($B21="","",IFERROR(IF($W21="Garis Lurus",$G21*(1-MIN($V21*12,MAX(0,TahunBuku*12-$Y21+1))/($V21*12)),IF($W21="Saldo Menurun",IF(TahunBuku-1&lt;YEAR($F21),$G21,IF(TahunBuku-1&gt;=INT(($Y21+$V21*12-2)/12),0,$G21*(1-2/$V21*(13-MONTH($F21))/12)*(1-2/$V21)^(TahunBuku-1-YEAR($F21)))),$G21)),$G21))</f>
        <v/>
      </c>
      <c r="AI21" s="21" t="str">
        <f>IF($B21="","",IFERROR(IF($W21="Garis Lurus",$G21*(1-MIN($V21*12,MAX(0,TahunBuku*12+12-$Y21+1))/($V21*12)),IF($W21="Saldo Menurun",IF(TahunBuku&lt;YEAR($F21),$G21,IF(TahunBuku&gt;=INT(($Y21+$V21*12-2)/12),0,$G21*(1-2/$V21*(13-MONTH($F21))/12)*(1-2/$V21)^(TahunBuku-YEAR($F21)))),$G21)),$G21))</f>
        <v/>
      </c>
      <c r="AJ21" s="20" t="str">
        <f>IF($B21="","",IF(OR($W21="Garis Lurus",$W21="Saldo Menurun"),MAX(0,MIN(TahunBuku*12+12,$Y21+$V21*12-1)-MAX(TahunBuku*12+1,$Y21)+1),0))</f>
        <v/>
      </c>
      <c r="AK21" s="20" t="str">
        <f>IF($B21="","",IF(OR($W21="Garis Lurus",$W21="Saldo Menurun"),MAX(0,MIN($Z21,TahunBuku*12+12,$Y21+$V21*12-1)-MAX(TahunBuku*12+1,$Y21)+1),0))</f>
        <v/>
      </c>
      <c r="AL21" s="22" t="str">
        <f>IF($B21="","",$G21*$AA21)</f>
        <v/>
      </c>
      <c r="AM21" s="22" t="str">
        <f>IF($B21="","",$G21*$AB21)</f>
        <v/>
      </c>
      <c r="AN21" s="22" t="str">
        <f>IF($B21="","",$G21*$AC21)</f>
        <v/>
      </c>
      <c r="AO21" s="22" t="str">
        <f>IF($B21="","",AL21+AM21-AN21)</f>
        <v/>
      </c>
      <c r="AP21" s="22" t="str">
        <f>IF($B21="","",($G21-$AD21)*$AA21)</f>
        <v/>
      </c>
      <c r="AQ21" s="22" t="str">
        <f>IF($B21="","",IF($AF21=0,0,($AD21-$AE21)*$AG21/$AF21)*MAX($AA21,$AB21))</f>
        <v/>
      </c>
      <c r="AR21" s="22" t="str">
        <f>IF($B21="","",(AP21+AQ21)*$AC21)</f>
        <v/>
      </c>
      <c r="AS21" s="22" t="str">
        <f>IF($B21="","",AP21+AQ21-AR21)</f>
        <v/>
      </c>
      <c r="AT21" s="22" t="str">
        <f>IF($B21="","",AO21-AS21)</f>
        <v/>
      </c>
      <c r="AU21" s="22" t="str">
        <f>IF($B21="","",IF($AC21=1,N($R21)-($G21-AR21),0))</f>
        <v/>
      </c>
      <c r="AV21" s="22" t="str">
        <f>IF($B21="","",($G21-$AH21)*$AA21)</f>
        <v/>
      </c>
      <c r="AW21" s="22" t="str">
        <f>IF($B21="","",IF($AJ21=0,0,($AH21-$AI21)*$AK21/$AJ21)*MAX($AA21,$AB21))</f>
        <v/>
      </c>
      <c r="AX21" s="22" t="str">
        <f>IF($B21="","",(AV21+AW21)*$AC21)</f>
        <v/>
      </c>
      <c r="AY21" s="22" t="str">
        <f>IF($B21="","",AV21+AW21-AX21)</f>
        <v/>
      </c>
      <c r="AZ21" s="22" t="str">
        <f>IF($B21="","",AO21-AY21)</f>
        <v/>
      </c>
      <c r="BA21" s="22" t="str">
        <f>IF($B21="","",IF($AC21=1,N($R21)-($G21-AX21),0))</f>
        <v/>
      </c>
      <c r="BB21" s="22" t="str">
        <f>IF($B21="","",ROUND(AQ21-AW21,0))</f>
        <v/>
      </c>
      <c r="BC21" s="22" t="str">
        <f>IF($B21="","",ROUND(BA21-AU21,0))</f>
        <v/>
      </c>
      <c r="BD21" s="22" t="str">
        <f>IF($B21="","",BB21+BC21)</f>
        <v/>
      </c>
      <c r="BE21" s="22" t="str">
        <f>IF($B21="","",ROUND(AV21-AP21,0))</f>
        <v/>
      </c>
      <c r="BF21" s="22" t="str">
        <f>IF($B21="","",ROUND(AT21-AZ21,0))</f>
        <v/>
      </c>
      <c r="BG21" s="22" t="str">
        <f>IF($B21="","",ROUND(BF21*TarifPPh,0))</f>
        <v/>
      </c>
      <c r="BH21" t="str">
        <f>IF($B21="","",IF($D21="","Kategori kosong",IF($F21="","Tgl perolehan kosong",IF(N($H21)&gt;$G21,"Residu &gt; harga perolehan",IF(AND(LEFT($U21,8)="Bangunan",$W21="Saldo Menurun"),"Bangunan wajib Garis Lurus (Ps.11 UU PPh)",IF(AND($S21="Unit Produksi",N($K21)=0),"Isi kapasitas unit",IF(AND(OR($S21="Garis Lurus",$S21="Saldo Menurun"),N($T21)&lt;=0),"Umur komersial kosong",IF(AND(OR($W21="Garis Lurus",$W21="Saldo Menurun"),N($V21)&lt;=0),"Masa manfaat fiskal kosong",IF(AND($Q21&lt;&gt;"",$Q21&lt;$F21),"Tgl pelepasan &lt; perolehan","OK")))))))))</f>
        <v/>
      </c>
    </row>
    <row r="22" spans="1:60" x14ac:dyDescent="0.25">
      <c r="A22" t="str">
        <f>IF($B22="","",ROW()-6)</f>
        <v/>
      </c>
      <c r="B22" s="9"/>
      <c r="C22" s="9"/>
      <c r="D22" s="9"/>
      <c r="E22" s="9"/>
      <c r="F22" s="17"/>
      <c r="G22" s="18"/>
      <c r="H22" s="18"/>
      <c r="I22" s="9"/>
      <c r="J22" s="9"/>
      <c r="K22" s="19"/>
      <c r="L22" s="19"/>
      <c r="M22" s="19"/>
      <c r="N22" s="9"/>
      <c r="O22" s="9"/>
      <c r="P22" s="9"/>
      <c r="Q22" s="17"/>
      <c r="R22" s="18"/>
      <c r="S22" t="str">
        <f>IF($B22="","",IF($I22&lt;&gt;"",$I22,IFERROR(INDEX(Kat_Metode,MATCH($D22,Kat_Nama,0)),"")))</f>
        <v/>
      </c>
      <c r="T22" t="str">
        <f>IF($B22="","",IF($J22&lt;&gt;"",$J22,IFERROR(INDEX(Kat_Umur,MATCH($D22,Kat_Nama,0)),0)))</f>
        <v/>
      </c>
      <c r="U22" t="str">
        <f>IF($B22="","",IF($N22&lt;&gt;"",$N22,IFERROR(INDEX(Kat_Kelompok,MATCH($D22,Kat_Nama,0)),"")))</f>
        <v/>
      </c>
      <c r="V22" t="str">
        <f>IF($B22="","",IF($U22="Masa Manfaat Sebenarnya",N($O22),IFERROR(INDEX(Kel_Masa,MATCH($U22,Kel_Nama,0)),0)))</f>
        <v/>
      </c>
      <c r="W22" t="str">
        <f>IF($B22="","",IF($P22&lt;&gt;"",$P22,IF(OR($U22="Tidak Disusutkan",$V22=0),"Tidak Disusutkan","Garis Lurus")))</f>
        <v/>
      </c>
      <c r="X22" t="str">
        <f>IF($B22="","",IF($Y22&gt;TahunBuku*12+12,"Belum Diperoleh",IF($Z22&lt;=TahunBuku*12,"Dilepas (thn lalu)",IF($AC22=1,"Dilepas thn ini",IF($AB22=1,"Perolehan baru","Aktif")))))</f>
        <v/>
      </c>
      <c r="Y22" s="20" t="str">
        <f>IF($B22="","",YEAR($F22)*12+MONTH($F22))</f>
        <v/>
      </c>
      <c r="Z22" s="20" t="str">
        <f>IF($B22="","",IF($Q22="",99999,YEAR($Q22)*12+MONTH($Q22)))</f>
        <v/>
      </c>
      <c r="AA22" s="20" t="str">
        <f>IF($B22="","",--AND($Y22&lt;=TahunBuku*12,$Z22&gt;TahunBuku*12))</f>
        <v/>
      </c>
      <c r="AB22" s="20" t="str">
        <f>IF($B22="","",--AND($Y22&gt;TahunBuku*12,$Y22&lt;=TahunBuku*12+12))</f>
        <v/>
      </c>
      <c r="AC22" s="20" t="str">
        <f>IF($B22="","",--AND($Z22&gt;TahunBuku*12,$Z22&lt;=TahunBuku*12+12,$Y22&lt;=$Z22))</f>
        <v/>
      </c>
      <c r="AD22" s="21" t="str">
        <f>IF($B22="","",IFERROR(IF($S22="Garis Lurus",$G22-($G22-$H22)*MIN($T22*12,MAX(0,TahunBuku*12-$Y22+1))/($T22*12),IF($S22="Saldo Menurun",IF(TahunBuku-1&lt;YEAR($F22),$G22,IF(TahunBuku-1&gt;=INT(($Y22+$T22*12-2)/12),$H22,MAX($H22,$G22*(1-2/$T22*(13-MONTH($F22))/12)*(1-2/$T22)^(TahunBuku-1-YEAR($F22))))),IF($S22="Unit Produksi",$G22-($G22-$H22)*MIN(1,N($L22)/$K22),$G22))),$G22))</f>
        <v/>
      </c>
      <c r="AE22" s="21" t="str">
        <f>IF($B22="","",IFERROR(IF($S22="Garis Lurus",$G22-($G22-$H22)*MIN($T22*12,MAX(0,TahunBuku*12+12-$Y22+1))/($T22*12),IF($S22="Saldo Menurun",IF(TahunBuku&lt;YEAR($F22),$G22,IF(TahunBuku&gt;=INT(($Y22+$T22*12-2)/12),$H22,MAX($H22,$G22*(1-2/$T22*(13-MONTH($F22))/12)*(1-2/$T22)^(TahunBuku-YEAR($F22))))),IF($S22="Unit Produksi",$G22-($G22-$H22)*MIN(1,(N($L22)+N($M22))/$K22),$G22))),$G22))</f>
        <v/>
      </c>
      <c r="AF22" s="20" t="str">
        <f>IF($B22="","",IF(OR($S22="Garis Lurus",$S22="Saldo Menurun",$S22="Unit Produksi"),MAX(0,IF($S22="Unit Produksi",TahunBuku*12+12,MIN(TahunBuku*12+12,$Y22+$T22*12-1))-MAX(TahunBuku*12+1,$Y22)+1),0))</f>
        <v/>
      </c>
      <c r="AG22" s="20" t="str">
        <f>IF($B22="","",IF(OR($S22="Garis Lurus",$S22="Saldo Menurun",$S22="Unit Produksi"),MAX(0,MIN($Z22,IF($S22="Unit Produksi",TahunBuku*12+12,MIN(TahunBuku*12+12,$Y22+$T22*12-1)))-MAX(TahunBuku*12+1,$Y22)+1),0))</f>
        <v/>
      </c>
      <c r="AH22" s="21" t="str">
        <f>IF($B22="","",IFERROR(IF($W22="Garis Lurus",$G22*(1-MIN($V22*12,MAX(0,TahunBuku*12-$Y22+1))/($V22*12)),IF($W22="Saldo Menurun",IF(TahunBuku-1&lt;YEAR($F22),$G22,IF(TahunBuku-1&gt;=INT(($Y22+$V22*12-2)/12),0,$G22*(1-2/$V22*(13-MONTH($F22))/12)*(1-2/$V22)^(TahunBuku-1-YEAR($F22)))),$G22)),$G22))</f>
        <v/>
      </c>
      <c r="AI22" s="21" t="str">
        <f>IF($B22="","",IFERROR(IF($W22="Garis Lurus",$G22*(1-MIN($V22*12,MAX(0,TahunBuku*12+12-$Y22+1))/($V22*12)),IF($W22="Saldo Menurun",IF(TahunBuku&lt;YEAR($F22),$G22,IF(TahunBuku&gt;=INT(($Y22+$V22*12-2)/12),0,$G22*(1-2/$V22*(13-MONTH($F22))/12)*(1-2/$V22)^(TahunBuku-YEAR($F22)))),$G22)),$G22))</f>
        <v/>
      </c>
      <c r="AJ22" s="20" t="str">
        <f>IF($B22="","",IF(OR($W22="Garis Lurus",$W22="Saldo Menurun"),MAX(0,MIN(TahunBuku*12+12,$Y22+$V22*12-1)-MAX(TahunBuku*12+1,$Y22)+1),0))</f>
        <v/>
      </c>
      <c r="AK22" s="20" t="str">
        <f>IF($B22="","",IF(OR($W22="Garis Lurus",$W22="Saldo Menurun"),MAX(0,MIN($Z22,TahunBuku*12+12,$Y22+$V22*12-1)-MAX(TahunBuku*12+1,$Y22)+1),0))</f>
        <v/>
      </c>
      <c r="AL22" s="22" t="str">
        <f>IF($B22="","",$G22*$AA22)</f>
        <v/>
      </c>
      <c r="AM22" s="22" t="str">
        <f>IF($B22="","",$G22*$AB22)</f>
        <v/>
      </c>
      <c r="AN22" s="22" t="str">
        <f>IF($B22="","",$G22*$AC22)</f>
        <v/>
      </c>
      <c r="AO22" s="22" t="str">
        <f>IF($B22="","",AL22+AM22-AN22)</f>
        <v/>
      </c>
      <c r="AP22" s="22" t="str">
        <f>IF($B22="","",($G22-$AD22)*$AA22)</f>
        <v/>
      </c>
      <c r="AQ22" s="22" t="str">
        <f>IF($B22="","",IF($AF22=0,0,($AD22-$AE22)*$AG22/$AF22)*MAX($AA22,$AB22))</f>
        <v/>
      </c>
      <c r="AR22" s="22" t="str">
        <f>IF($B22="","",(AP22+AQ22)*$AC22)</f>
        <v/>
      </c>
      <c r="AS22" s="22" t="str">
        <f>IF($B22="","",AP22+AQ22-AR22)</f>
        <v/>
      </c>
      <c r="AT22" s="22" t="str">
        <f>IF($B22="","",AO22-AS22)</f>
        <v/>
      </c>
      <c r="AU22" s="22" t="str">
        <f>IF($B22="","",IF($AC22=1,N($R22)-($G22-AR22),0))</f>
        <v/>
      </c>
      <c r="AV22" s="22" t="str">
        <f>IF($B22="","",($G22-$AH22)*$AA22)</f>
        <v/>
      </c>
      <c r="AW22" s="22" t="str">
        <f>IF($B22="","",IF($AJ22=0,0,($AH22-$AI22)*$AK22/$AJ22)*MAX($AA22,$AB22))</f>
        <v/>
      </c>
      <c r="AX22" s="22" t="str">
        <f>IF($B22="","",(AV22+AW22)*$AC22)</f>
        <v/>
      </c>
      <c r="AY22" s="22" t="str">
        <f>IF($B22="","",AV22+AW22-AX22)</f>
        <v/>
      </c>
      <c r="AZ22" s="22" t="str">
        <f>IF($B22="","",AO22-AY22)</f>
        <v/>
      </c>
      <c r="BA22" s="22" t="str">
        <f>IF($B22="","",IF($AC22=1,N($R22)-($G22-AX22),0))</f>
        <v/>
      </c>
      <c r="BB22" s="22" t="str">
        <f>IF($B22="","",ROUND(AQ22-AW22,0))</f>
        <v/>
      </c>
      <c r="BC22" s="22" t="str">
        <f>IF($B22="","",ROUND(BA22-AU22,0))</f>
        <v/>
      </c>
      <c r="BD22" s="22" t="str">
        <f>IF($B22="","",BB22+BC22)</f>
        <v/>
      </c>
      <c r="BE22" s="22" t="str">
        <f>IF($B22="","",ROUND(AV22-AP22,0))</f>
        <v/>
      </c>
      <c r="BF22" s="22" t="str">
        <f>IF($B22="","",ROUND(AT22-AZ22,0))</f>
        <v/>
      </c>
      <c r="BG22" s="22" t="str">
        <f>IF($B22="","",ROUND(BF22*TarifPPh,0))</f>
        <v/>
      </c>
      <c r="BH22" t="str">
        <f>IF($B22="","",IF($D22="","Kategori kosong",IF($F22="","Tgl perolehan kosong",IF(N($H22)&gt;$G22,"Residu &gt; harga perolehan",IF(AND(LEFT($U22,8)="Bangunan",$W22="Saldo Menurun"),"Bangunan wajib Garis Lurus (Ps.11 UU PPh)",IF(AND($S22="Unit Produksi",N($K22)=0),"Isi kapasitas unit",IF(AND(OR($S22="Garis Lurus",$S22="Saldo Menurun"),N($T22)&lt;=0),"Umur komersial kosong",IF(AND(OR($W22="Garis Lurus",$W22="Saldo Menurun"),N($V22)&lt;=0),"Masa manfaat fiskal kosong",IF(AND($Q22&lt;&gt;"",$Q22&lt;$F22),"Tgl pelepasan &lt; perolehan","OK")))))))))</f>
        <v/>
      </c>
    </row>
    <row r="23" spans="1:60" x14ac:dyDescent="0.25">
      <c r="A23" t="str">
        <f>IF($B23="","",ROW()-6)</f>
        <v/>
      </c>
      <c r="B23" s="9"/>
      <c r="C23" s="9"/>
      <c r="D23" s="9"/>
      <c r="E23" s="9"/>
      <c r="F23" s="17"/>
      <c r="G23" s="18"/>
      <c r="H23" s="18"/>
      <c r="I23" s="9"/>
      <c r="J23" s="9"/>
      <c r="K23" s="19"/>
      <c r="L23" s="19"/>
      <c r="M23" s="19"/>
      <c r="N23" s="9"/>
      <c r="O23" s="9"/>
      <c r="P23" s="9"/>
      <c r="Q23" s="17"/>
      <c r="R23" s="18"/>
      <c r="S23" t="str">
        <f>IF($B23="","",IF($I23&lt;&gt;"",$I23,IFERROR(INDEX(Kat_Metode,MATCH($D23,Kat_Nama,0)),"")))</f>
        <v/>
      </c>
      <c r="T23" t="str">
        <f>IF($B23="","",IF($J23&lt;&gt;"",$J23,IFERROR(INDEX(Kat_Umur,MATCH($D23,Kat_Nama,0)),0)))</f>
        <v/>
      </c>
      <c r="U23" t="str">
        <f>IF($B23="","",IF($N23&lt;&gt;"",$N23,IFERROR(INDEX(Kat_Kelompok,MATCH($D23,Kat_Nama,0)),"")))</f>
        <v/>
      </c>
      <c r="V23" t="str">
        <f>IF($B23="","",IF($U23="Masa Manfaat Sebenarnya",N($O23),IFERROR(INDEX(Kel_Masa,MATCH($U23,Kel_Nama,0)),0)))</f>
        <v/>
      </c>
      <c r="W23" t="str">
        <f>IF($B23="","",IF($P23&lt;&gt;"",$P23,IF(OR($U23="Tidak Disusutkan",$V23=0),"Tidak Disusutkan","Garis Lurus")))</f>
        <v/>
      </c>
      <c r="X23" t="str">
        <f>IF($B23="","",IF($Y23&gt;TahunBuku*12+12,"Belum Diperoleh",IF($Z23&lt;=TahunBuku*12,"Dilepas (thn lalu)",IF($AC23=1,"Dilepas thn ini",IF($AB23=1,"Perolehan baru","Aktif")))))</f>
        <v/>
      </c>
      <c r="Y23" s="20" t="str">
        <f>IF($B23="","",YEAR($F23)*12+MONTH($F23))</f>
        <v/>
      </c>
      <c r="Z23" s="20" t="str">
        <f>IF($B23="","",IF($Q23="",99999,YEAR($Q23)*12+MONTH($Q23)))</f>
        <v/>
      </c>
      <c r="AA23" s="20" t="str">
        <f>IF($B23="","",--AND($Y23&lt;=TahunBuku*12,$Z23&gt;TahunBuku*12))</f>
        <v/>
      </c>
      <c r="AB23" s="20" t="str">
        <f>IF($B23="","",--AND($Y23&gt;TahunBuku*12,$Y23&lt;=TahunBuku*12+12))</f>
        <v/>
      </c>
      <c r="AC23" s="20" t="str">
        <f>IF($B23="","",--AND($Z23&gt;TahunBuku*12,$Z23&lt;=TahunBuku*12+12,$Y23&lt;=$Z23))</f>
        <v/>
      </c>
      <c r="AD23" s="21" t="str">
        <f>IF($B23="","",IFERROR(IF($S23="Garis Lurus",$G23-($G23-$H23)*MIN($T23*12,MAX(0,TahunBuku*12-$Y23+1))/($T23*12),IF($S23="Saldo Menurun",IF(TahunBuku-1&lt;YEAR($F23),$G23,IF(TahunBuku-1&gt;=INT(($Y23+$T23*12-2)/12),$H23,MAX($H23,$G23*(1-2/$T23*(13-MONTH($F23))/12)*(1-2/$T23)^(TahunBuku-1-YEAR($F23))))),IF($S23="Unit Produksi",$G23-($G23-$H23)*MIN(1,N($L23)/$K23),$G23))),$G23))</f>
        <v/>
      </c>
      <c r="AE23" s="21" t="str">
        <f>IF($B23="","",IFERROR(IF($S23="Garis Lurus",$G23-($G23-$H23)*MIN($T23*12,MAX(0,TahunBuku*12+12-$Y23+1))/($T23*12),IF($S23="Saldo Menurun",IF(TahunBuku&lt;YEAR($F23),$G23,IF(TahunBuku&gt;=INT(($Y23+$T23*12-2)/12),$H23,MAX($H23,$G23*(1-2/$T23*(13-MONTH($F23))/12)*(1-2/$T23)^(TahunBuku-YEAR($F23))))),IF($S23="Unit Produksi",$G23-($G23-$H23)*MIN(1,(N($L23)+N($M23))/$K23),$G23))),$G23))</f>
        <v/>
      </c>
      <c r="AF23" s="20" t="str">
        <f>IF($B23="","",IF(OR($S23="Garis Lurus",$S23="Saldo Menurun",$S23="Unit Produksi"),MAX(0,IF($S23="Unit Produksi",TahunBuku*12+12,MIN(TahunBuku*12+12,$Y23+$T23*12-1))-MAX(TahunBuku*12+1,$Y23)+1),0))</f>
        <v/>
      </c>
      <c r="AG23" s="20" t="str">
        <f>IF($B23="","",IF(OR($S23="Garis Lurus",$S23="Saldo Menurun",$S23="Unit Produksi"),MAX(0,MIN($Z23,IF($S23="Unit Produksi",TahunBuku*12+12,MIN(TahunBuku*12+12,$Y23+$T23*12-1)))-MAX(TahunBuku*12+1,$Y23)+1),0))</f>
        <v/>
      </c>
      <c r="AH23" s="21" t="str">
        <f>IF($B23="","",IFERROR(IF($W23="Garis Lurus",$G23*(1-MIN($V23*12,MAX(0,TahunBuku*12-$Y23+1))/($V23*12)),IF($W23="Saldo Menurun",IF(TahunBuku-1&lt;YEAR($F23),$G23,IF(TahunBuku-1&gt;=INT(($Y23+$V23*12-2)/12),0,$G23*(1-2/$V23*(13-MONTH($F23))/12)*(1-2/$V23)^(TahunBuku-1-YEAR($F23)))),$G23)),$G23))</f>
        <v/>
      </c>
      <c r="AI23" s="21" t="str">
        <f>IF($B23="","",IFERROR(IF($W23="Garis Lurus",$G23*(1-MIN($V23*12,MAX(0,TahunBuku*12+12-$Y23+1))/($V23*12)),IF($W23="Saldo Menurun",IF(TahunBuku&lt;YEAR($F23),$G23,IF(TahunBuku&gt;=INT(($Y23+$V23*12-2)/12),0,$G23*(1-2/$V23*(13-MONTH($F23))/12)*(1-2/$V23)^(TahunBuku-YEAR($F23)))),$G23)),$G23))</f>
        <v/>
      </c>
      <c r="AJ23" s="20" t="str">
        <f>IF($B23="","",IF(OR($W23="Garis Lurus",$W23="Saldo Menurun"),MAX(0,MIN(TahunBuku*12+12,$Y23+$V23*12-1)-MAX(TahunBuku*12+1,$Y23)+1),0))</f>
        <v/>
      </c>
      <c r="AK23" s="20" t="str">
        <f>IF($B23="","",IF(OR($W23="Garis Lurus",$W23="Saldo Menurun"),MAX(0,MIN($Z23,TahunBuku*12+12,$Y23+$V23*12-1)-MAX(TahunBuku*12+1,$Y23)+1),0))</f>
        <v/>
      </c>
      <c r="AL23" s="22" t="str">
        <f>IF($B23="","",$G23*$AA23)</f>
        <v/>
      </c>
      <c r="AM23" s="22" t="str">
        <f>IF($B23="","",$G23*$AB23)</f>
        <v/>
      </c>
      <c r="AN23" s="22" t="str">
        <f>IF($B23="","",$G23*$AC23)</f>
        <v/>
      </c>
      <c r="AO23" s="22" t="str">
        <f>IF($B23="","",AL23+AM23-AN23)</f>
        <v/>
      </c>
      <c r="AP23" s="22" t="str">
        <f>IF($B23="","",($G23-$AD23)*$AA23)</f>
        <v/>
      </c>
      <c r="AQ23" s="22" t="str">
        <f>IF($B23="","",IF($AF23=0,0,($AD23-$AE23)*$AG23/$AF23)*MAX($AA23,$AB23))</f>
        <v/>
      </c>
      <c r="AR23" s="22" t="str">
        <f>IF($B23="","",(AP23+AQ23)*$AC23)</f>
        <v/>
      </c>
      <c r="AS23" s="22" t="str">
        <f>IF($B23="","",AP23+AQ23-AR23)</f>
        <v/>
      </c>
      <c r="AT23" s="22" t="str">
        <f>IF($B23="","",AO23-AS23)</f>
        <v/>
      </c>
      <c r="AU23" s="22" t="str">
        <f>IF($B23="","",IF($AC23=1,N($R23)-($G23-AR23),0))</f>
        <v/>
      </c>
      <c r="AV23" s="22" t="str">
        <f>IF($B23="","",($G23-$AH23)*$AA23)</f>
        <v/>
      </c>
      <c r="AW23" s="22" t="str">
        <f>IF($B23="","",IF($AJ23=0,0,($AH23-$AI23)*$AK23/$AJ23)*MAX($AA23,$AB23))</f>
        <v/>
      </c>
      <c r="AX23" s="22" t="str">
        <f>IF($B23="","",(AV23+AW23)*$AC23)</f>
        <v/>
      </c>
      <c r="AY23" s="22" t="str">
        <f>IF($B23="","",AV23+AW23-AX23)</f>
        <v/>
      </c>
      <c r="AZ23" s="22" t="str">
        <f>IF($B23="","",AO23-AY23)</f>
        <v/>
      </c>
      <c r="BA23" s="22" t="str">
        <f>IF($B23="","",IF($AC23=1,N($R23)-($G23-AX23),0))</f>
        <v/>
      </c>
      <c r="BB23" s="22" t="str">
        <f>IF($B23="","",ROUND(AQ23-AW23,0))</f>
        <v/>
      </c>
      <c r="BC23" s="22" t="str">
        <f>IF($B23="","",ROUND(BA23-AU23,0))</f>
        <v/>
      </c>
      <c r="BD23" s="22" t="str">
        <f>IF($B23="","",BB23+BC23)</f>
        <v/>
      </c>
      <c r="BE23" s="22" t="str">
        <f>IF($B23="","",ROUND(AV23-AP23,0))</f>
        <v/>
      </c>
      <c r="BF23" s="22" t="str">
        <f>IF($B23="","",ROUND(AT23-AZ23,0))</f>
        <v/>
      </c>
      <c r="BG23" s="22" t="str">
        <f>IF($B23="","",ROUND(BF23*TarifPPh,0))</f>
        <v/>
      </c>
      <c r="BH23" t="str">
        <f>IF($B23="","",IF($D23="","Kategori kosong",IF($F23="","Tgl perolehan kosong",IF(N($H23)&gt;$G23,"Residu &gt; harga perolehan",IF(AND(LEFT($U23,8)="Bangunan",$W23="Saldo Menurun"),"Bangunan wajib Garis Lurus (Ps.11 UU PPh)",IF(AND($S23="Unit Produksi",N($K23)=0),"Isi kapasitas unit",IF(AND(OR($S23="Garis Lurus",$S23="Saldo Menurun"),N($T23)&lt;=0),"Umur komersial kosong",IF(AND(OR($W23="Garis Lurus",$W23="Saldo Menurun"),N($V23)&lt;=0),"Masa manfaat fiskal kosong",IF(AND($Q23&lt;&gt;"",$Q23&lt;$F23),"Tgl pelepasan &lt; perolehan","OK")))))))))</f>
        <v/>
      </c>
    </row>
    <row r="24" spans="1:60" x14ac:dyDescent="0.25">
      <c r="A24" t="str">
        <f>IF($B24="","",ROW()-6)</f>
        <v/>
      </c>
      <c r="B24" s="9"/>
      <c r="C24" s="9"/>
      <c r="D24" s="9"/>
      <c r="E24" s="9"/>
      <c r="F24" s="17"/>
      <c r="G24" s="18"/>
      <c r="H24" s="18"/>
      <c r="I24" s="9"/>
      <c r="J24" s="9"/>
      <c r="K24" s="19"/>
      <c r="L24" s="19"/>
      <c r="M24" s="19"/>
      <c r="N24" s="9"/>
      <c r="O24" s="9"/>
      <c r="P24" s="9"/>
      <c r="Q24" s="17"/>
      <c r="R24" s="18"/>
      <c r="S24" t="str">
        <f>IF($B24="","",IF($I24&lt;&gt;"",$I24,IFERROR(INDEX(Kat_Metode,MATCH($D24,Kat_Nama,0)),"")))</f>
        <v/>
      </c>
      <c r="T24" t="str">
        <f>IF($B24="","",IF($J24&lt;&gt;"",$J24,IFERROR(INDEX(Kat_Umur,MATCH($D24,Kat_Nama,0)),0)))</f>
        <v/>
      </c>
      <c r="U24" t="str">
        <f>IF($B24="","",IF($N24&lt;&gt;"",$N24,IFERROR(INDEX(Kat_Kelompok,MATCH($D24,Kat_Nama,0)),"")))</f>
        <v/>
      </c>
      <c r="V24" t="str">
        <f>IF($B24="","",IF($U24="Masa Manfaat Sebenarnya",N($O24),IFERROR(INDEX(Kel_Masa,MATCH($U24,Kel_Nama,0)),0)))</f>
        <v/>
      </c>
      <c r="W24" t="str">
        <f>IF($B24="","",IF($P24&lt;&gt;"",$P24,IF(OR($U24="Tidak Disusutkan",$V24=0),"Tidak Disusutkan","Garis Lurus")))</f>
        <v/>
      </c>
      <c r="X24" t="str">
        <f>IF($B24="","",IF($Y24&gt;TahunBuku*12+12,"Belum Diperoleh",IF($Z24&lt;=TahunBuku*12,"Dilepas (thn lalu)",IF($AC24=1,"Dilepas thn ini",IF($AB24=1,"Perolehan baru","Aktif")))))</f>
        <v/>
      </c>
      <c r="Y24" s="20" t="str">
        <f>IF($B24="","",YEAR($F24)*12+MONTH($F24))</f>
        <v/>
      </c>
      <c r="Z24" s="20" t="str">
        <f>IF($B24="","",IF($Q24="",99999,YEAR($Q24)*12+MONTH($Q24)))</f>
        <v/>
      </c>
      <c r="AA24" s="20" t="str">
        <f>IF($B24="","",--AND($Y24&lt;=TahunBuku*12,$Z24&gt;TahunBuku*12))</f>
        <v/>
      </c>
      <c r="AB24" s="20" t="str">
        <f>IF($B24="","",--AND($Y24&gt;TahunBuku*12,$Y24&lt;=TahunBuku*12+12))</f>
        <v/>
      </c>
      <c r="AC24" s="20" t="str">
        <f>IF($B24="","",--AND($Z24&gt;TahunBuku*12,$Z24&lt;=TahunBuku*12+12,$Y24&lt;=$Z24))</f>
        <v/>
      </c>
      <c r="AD24" s="21" t="str">
        <f>IF($B24="","",IFERROR(IF($S24="Garis Lurus",$G24-($G24-$H24)*MIN($T24*12,MAX(0,TahunBuku*12-$Y24+1))/($T24*12),IF($S24="Saldo Menurun",IF(TahunBuku-1&lt;YEAR($F24),$G24,IF(TahunBuku-1&gt;=INT(($Y24+$T24*12-2)/12),$H24,MAX($H24,$G24*(1-2/$T24*(13-MONTH($F24))/12)*(1-2/$T24)^(TahunBuku-1-YEAR($F24))))),IF($S24="Unit Produksi",$G24-($G24-$H24)*MIN(1,N($L24)/$K24),$G24))),$G24))</f>
        <v/>
      </c>
      <c r="AE24" s="21" t="str">
        <f>IF($B24="","",IFERROR(IF($S24="Garis Lurus",$G24-($G24-$H24)*MIN($T24*12,MAX(0,TahunBuku*12+12-$Y24+1))/($T24*12),IF($S24="Saldo Menurun",IF(TahunBuku&lt;YEAR($F24),$G24,IF(TahunBuku&gt;=INT(($Y24+$T24*12-2)/12),$H24,MAX($H24,$G24*(1-2/$T24*(13-MONTH($F24))/12)*(1-2/$T24)^(TahunBuku-YEAR($F24))))),IF($S24="Unit Produksi",$G24-($G24-$H24)*MIN(1,(N($L24)+N($M24))/$K24),$G24))),$G24))</f>
        <v/>
      </c>
      <c r="AF24" s="20" t="str">
        <f>IF($B24="","",IF(OR($S24="Garis Lurus",$S24="Saldo Menurun",$S24="Unit Produksi"),MAX(0,IF($S24="Unit Produksi",TahunBuku*12+12,MIN(TahunBuku*12+12,$Y24+$T24*12-1))-MAX(TahunBuku*12+1,$Y24)+1),0))</f>
        <v/>
      </c>
      <c r="AG24" s="20" t="str">
        <f>IF($B24="","",IF(OR($S24="Garis Lurus",$S24="Saldo Menurun",$S24="Unit Produksi"),MAX(0,MIN($Z24,IF($S24="Unit Produksi",TahunBuku*12+12,MIN(TahunBuku*12+12,$Y24+$T24*12-1)))-MAX(TahunBuku*12+1,$Y24)+1),0))</f>
        <v/>
      </c>
      <c r="AH24" s="21" t="str">
        <f>IF($B24="","",IFERROR(IF($W24="Garis Lurus",$G24*(1-MIN($V24*12,MAX(0,TahunBuku*12-$Y24+1))/($V24*12)),IF($W24="Saldo Menurun",IF(TahunBuku-1&lt;YEAR($F24),$G24,IF(TahunBuku-1&gt;=INT(($Y24+$V24*12-2)/12),0,$G24*(1-2/$V24*(13-MONTH($F24))/12)*(1-2/$V24)^(TahunBuku-1-YEAR($F24)))),$G24)),$G24))</f>
        <v/>
      </c>
      <c r="AI24" s="21" t="str">
        <f>IF($B24="","",IFERROR(IF($W24="Garis Lurus",$G24*(1-MIN($V24*12,MAX(0,TahunBuku*12+12-$Y24+1))/($V24*12)),IF($W24="Saldo Menurun",IF(TahunBuku&lt;YEAR($F24),$G24,IF(TahunBuku&gt;=INT(($Y24+$V24*12-2)/12),0,$G24*(1-2/$V24*(13-MONTH($F24))/12)*(1-2/$V24)^(TahunBuku-YEAR($F24)))),$G24)),$G24))</f>
        <v/>
      </c>
      <c r="AJ24" s="20" t="str">
        <f>IF($B24="","",IF(OR($W24="Garis Lurus",$W24="Saldo Menurun"),MAX(0,MIN(TahunBuku*12+12,$Y24+$V24*12-1)-MAX(TahunBuku*12+1,$Y24)+1),0))</f>
        <v/>
      </c>
      <c r="AK24" s="20" t="str">
        <f>IF($B24="","",IF(OR($W24="Garis Lurus",$W24="Saldo Menurun"),MAX(0,MIN($Z24,TahunBuku*12+12,$Y24+$V24*12-1)-MAX(TahunBuku*12+1,$Y24)+1),0))</f>
        <v/>
      </c>
      <c r="AL24" s="22" t="str">
        <f>IF($B24="","",$G24*$AA24)</f>
        <v/>
      </c>
      <c r="AM24" s="22" t="str">
        <f>IF($B24="","",$G24*$AB24)</f>
        <v/>
      </c>
      <c r="AN24" s="22" t="str">
        <f>IF($B24="","",$G24*$AC24)</f>
        <v/>
      </c>
      <c r="AO24" s="22" t="str">
        <f>IF($B24="","",AL24+AM24-AN24)</f>
        <v/>
      </c>
      <c r="AP24" s="22" t="str">
        <f>IF($B24="","",($G24-$AD24)*$AA24)</f>
        <v/>
      </c>
      <c r="AQ24" s="22" t="str">
        <f>IF($B24="","",IF($AF24=0,0,($AD24-$AE24)*$AG24/$AF24)*MAX($AA24,$AB24))</f>
        <v/>
      </c>
      <c r="AR24" s="22" t="str">
        <f>IF($B24="","",(AP24+AQ24)*$AC24)</f>
        <v/>
      </c>
      <c r="AS24" s="22" t="str">
        <f>IF($B24="","",AP24+AQ24-AR24)</f>
        <v/>
      </c>
      <c r="AT24" s="22" t="str">
        <f>IF($B24="","",AO24-AS24)</f>
        <v/>
      </c>
      <c r="AU24" s="22" t="str">
        <f>IF($B24="","",IF($AC24=1,N($R24)-($G24-AR24),0))</f>
        <v/>
      </c>
      <c r="AV24" s="22" t="str">
        <f>IF($B24="","",($G24-$AH24)*$AA24)</f>
        <v/>
      </c>
      <c r="AW24" s="22" t="str">
        <f>IF($B24="","",IF($AJ24=0,0,($AH24-$AI24)*$AK24/$AJ24)*MAX($AA24,$AB24))</f>
        <v/>
      </c>
      <c r="AX24" s="22" t="str">
        <f>IF($B24="","",(AV24+AW24)*$AC24)</f>
        <v/>
      </c>
      <c r="AY24" s="22" t="str">
        <f>IF($B24="","",AV24+AW24-AX24)</f>
        <v/>
      </c>
      <c r="AZ24" s="22" t="str">
        <f>IF($B24="","",AO24-AY24)</f>
        <v/>
      </c>
      <c r="BA24" s="22" t="str">
        <f>IF($B24="","",IF($AC24=1,N($R24)-($G24-AX24),0))</f>
        <v/>
      </c>
      <c r="BB24" s="22" t="str">
        <f>IF($B24="","",ROUND(AQ24-AW24,0))</f>
        <v/>
      </c>
      <c r="BC24" s="22" t="str">
        <f>IF($B24="","",ROUND(BA24-AU24,0))</f>
        <v/>
      </c>
      <c r="BD24" s="22" t="str">
        <f>IF($B24="","",BB24+BC24)</f>
        <v/>
      </c>
      <c r="BE24" s="22" t="str">
        <f>IF($B24="","",ROUND(AV24-AP24,0))</f>
        <v/>
      </c>
      <c r="BF24" s="22" t="str">
        <f>IF($B24="","",ROUND(AT24-AZ24,0))</f>
        <v/>
      </c>
      <c r="BG24" s="22" t="str">
        <f>IF($B24="","",ROUND(BF24*TarifPPh,0))</f>
        <v/>
      </c>
      <c r="BH24" t="str">
        <f>IF($B24="","",IF($D24="","Kategori kosong",IF($F24="","Tgl perolehan kosong",IF(N($H24)&gt;$G24,"Residu &gt; harga perolehan",IF(AND(LEFT($U24,8)="Bangunan",$W24="Saldo Menurun"),"Bangunan wajib Garis Lurus (Ps.11 UU PPh)",IF(AND($S24="Unit Produksi",N($K24)=0),"Isi kapasitas unit",IF(AND(OR($S24="Garis Lurus",$S24="Saldo Menurun"),N($T24)&lt;=0),"Umur komersial kosong",IF(AND(OR($W24="Garis Lurus",$W24="Saldo Menurun"),N($V24)&lt;=0),"Masa manfaat fiskal kosong",IF(AND($Q24&lt;&gt;"",$Q24&lt;$F24),"Tgl pelepasan &lt; perolehan","OK")))))))))</f>
        <v/>
      </c>
    </row>
    <row r="25" spans="1:60" x14ac:dyDescent="0.25">
      <c r="A25" t="str">
        <f>IF($B25="","",ROW()-6)</f>
        <v/>
      </c>
      <c r="B25" s="9"/>
      <c r="C25" s="9"/>
      <c r="D25" s="9"/>
      <c r="E25" s="9"/>
      <c r="F25" s="17"/>
      <c r="G25" s="18"/>
      <c r="H25" s="18"/>
      <c r="I25" s="9"/>
      <c r="J25" s="9"/>
      <c r="K25" s="19"/>
      <c r="L25" s="19"/>
      <c r="M25" s="19"/>
      <c r="N25" s="9"/>
      <c r="O25" s="9"/>
      <c r="P25" s="9"/>
      <c r="Q25" s="17"/>
      <c r="R25" s="18"/>
      <c r="S25" t="str">
        <f>IF($B25="","",IF($I25&lt;&gt;"",$I25,IFERROR(INDEX(Kat_Metode,MATCH($D25,Kat_Nama,0)),"")))</f>
        <v/>
      </c>
      <c r="T25" t="str">
        <f>IF($B25="","",IF($J25&lt;&gt;"",$J25,IFERROR(INDEX(Kat_Umur,MATCH($D25,Kat_Nama,0)),0)))</f>
        <v/>
      </c>
      <c r="U25" t="str">
        <f>IF($B25="","",IF($N25&lt;&gt;"",$N25,IFERROR(INDEX(Kat_Kelompok,MATCH($D25,Kat_Nama,0)),"")))</f>
        <v/>
      </c>
      <c r="V25" t="str">
        <f>IF($B25="","",IF($U25="Masa Manfaat Sebenarnya",N($O25),IFERROR(INDEX(Kel_Masa,MATCH($U25,Kel_Nama,0)),0)))</f>
        <v/>
      </c>
      <c r="W25" t="str">
        <f>IF($B25="","",IF($P25&lt;&gt;"",$P25,IF(OR($U25="Tidak Disusutkan",$V25=0),"Tidak Disusutkan","Garis Lurus")))</f>
        <v/>
      </c>
      <c r="X25" t="str">
        <f>IF($B25="","",IF($Y25&gt;TahunBuku*12+12,"Belum Diperoleh",IF($Z25&lt;=TahunBuku*12,"Dilepas (thn lalu)",IF($AC25=1,"Dilepas thn ini",IF($AB25=1,"Perolehan baru","Aktif")))))</f>
        <v/>
      </c>
      <c r="Y25" s="20" t="str">
        <f>IF($B25="","",YEAR($F25)*12+MONTH($F25))</f>
        <v/>
      </c>
      <c r="Z25" s="20" t="str">
        <f>IF($B25="","",IF($Q25="",99999,YEAR($Q25)*12+MONTH($Q25)))</f>
        <v/>
      </c>
      <c r="AA25" s="20" t="str">
        <f>IF($B25="","",--AND($Y25&lt;=TahunBuku*12,$Z25&gt;TahunBuku*12))</f>
        <v/>
      </c>
      <c r="AB25" s="20" t="str">
        <f>IF($B25="","",--AND($Y25&gt;TahunBuku*12,$Y25&lt;=TahunBuku*12+12))</f>
        <v/>
      </c>
      <c r="AC25" s="20" t="str">
        <f>IF($B25="","",--AND($Z25&gt;TahunBuku*12,$Z25&lt;=TahunBuku*12+12,$Y25&lt;=$Z25))</f>
        <v/>
      </c>
      <c r="AD25" s="21" t="str">
        <f>IF($B25="","",IFERROR(IF($S25="Garis Lurus",$G25-($G25-$H25)*MIN($T25*12,MAX(0,TahunBuku*12-$Y25+1))/($T25*12),IF($S25="Saldo Menurun",IF(TahunBuku-1&lt;YEAR($F25),$G25,IF(TahunBuku-1&gt;=INT(($Y25+$T25*12-2)/12),$H25,MAX($H25,$G25*(1-2/$T25*(13-MONTH($F25))/12)*(1-2/$T25)^(TahunBuku-1-YEAR($F25))))),IF($S25="Unit Produksi",$G25-($G25-$H25)*MIN(1,N($L25)/$K25),$G25))),$G25))</f>
        <v/>
      </c>
      <c r="AE25" s="21" t="str">
        <f>IF($B25="","",IFERROR(IF($S25="Garis Lurus",$G25-($G25-$H25)*MIN($T25*12,MAX(0,TahunBuku*12+12-$Y25+1))/($T25*12),IF($S25="Saldo Menurun",IF(TahunBuku&lt;YEAR($F25),$G25,IF(TahunBuku&gt;=INT(($Y25+$T25*12-2)/12),$H25,MAX($H25,$G25*(1-2/$T25*(13-MONTH($F25))/12)*(1-2/$T25)^(TahunBuku-YEAR($F25))))),IF($S25="Unit Produksi",$G25-($G25-$H25)*MIN(1,(N($L25)+N($M25))/$K25),$G25))),$G25))</f>
        <v/>
      </c>
      <c r="AF25" s="20" t="str">
        <f>IF($B25="","",IF(OR($S25="Garis Lurus",$S25="Saldo Menurun",$S25="Unit Produksi"),MAX(0,IF($S25="Unit Produksi",TahunBuku*12+12,MIN(TahunBuku*12+12,$Y25+$T25*12-1))-MAX(TahunBuku*12+1,$Y25)+1),0))</f>
        <v/>
      </c>
      <c r="AG25" s="20" t="str">
        <f>IF($B25="","",IF(OR($S25="Garis Lurus",$S25="Saldo Menurun",$S25="Unit Produksi"),MAX(0,MIN($Z25,IF($S25="Unit Produksi",TahunBuku*12+12,MIN(TahunBuku*12+12,$Y25+$T25*12-1)))-MAX(TahunBuku*12+1,$Y25)+1),0))</f>
        <v/>
      </c>
      <c r="AH25" s="21" t="str">
        <f>IF($B25="","",IFERROR(IF($W25="Garis Lurus",$G25*(1-MIN($V25*12,MAX(0,TahunBuku*12-$Y25+1))/($V25*12)),IF($W25="Saldo Menurun",IF(TahunBuku-1&lt;YEAR($F25),$G25,IF(TahunBuku-1&gt;=INT(($Y25+$V25*12-2)/12),0,$G25*(1-2/$V25*(13-MONTH($F25))/12)*(1-2/$V25)^(TahunBuku-1-YEAR($F25)))),$G25)),$G25))</f>
        <v/>
      </c>
      <c r="AI25" s="21" t="str">
        <f>IF($B25="","",IFERROR(IF($W25="Garis Lurus",$G25*(1-MIN($V25*12,MAX(0,TahunBuku*12+12-$Y25+1))/($V25*12)),IF($W25="Saldo Menurun",IF(TahunBuku&lt;YEAR($F25),$G25,IF(TahunBuku&gt;=INT(($Y25+$V25*12-2)/12),0,$G25*(1-2/$V25*(13-MONTH($F25))/12)*(1-2/$V25)^(TahunBuku-YEAR($F25)))),$G25)),$G25))</f>
        <v/>
      </c>
      <c r="AJ25" s="20" t="str">
        <f>IF($B25="","",IF(OR($W25="Garis Lurus",$W25="Saldo Menurun"),MAX(0,MIN(TahunBuku*12+12,$Y25+$V25*12-1)-MAX(TahunBuku*12+1,$Y25)+1),0))</f>
        <v/>
      </c>
      <c r="AK25" s="20" t="str">
        <f>IF($B25="","",IF(OR($W25="Garis Lurus",$W25="Saldo Menurun"),MAX(0,MIN($Z25,TahunBuku*12+12,$Y25+$V25*12-1)-MAX(TahunBuku*12+1,$Y25)+1),0))</f>
        <v/>
      </c>
      <c r="AL25" s="22" t="str">
        <f>IF($B25="","",$G25*$AA25)</f>
        <v/>
      </c>
      <c r="AM25" s="22" t="str">
        <f>IF($B25="","",$G25*$AB25)</f>
        <v/>
      </c>
      <c r="AN25" s="22" t="str">
        <f>IF($B25="","",$G25*$AC25)</f>
        <v/>
      </c>
      <c r="AO25" s="22" t="str">
        <f>IF($B25="","",AL25+AM25-AN25)</f>
        <v/>
      </c>
      <c r="AP25" s="22" t="str">
        <f>IF($B25="","",($G25-$AD25)*$AA25)</f>
        <v/>
      </c>
      <c r="AQ25" s="22" t="str">
        <f>IF($B25="","",IF($AF25=0,0,($AD25-$AE25)*$AG25/$AF25)*MAX($AA25,$AB25))</f>
        <v/>
      </c>
      <c r="AR25" s="22" t="str">
        <f>IF($B25="","",(AP25+AQ25)*$AC25)</f>
        <v/>
      </c>
      <c r="AS25" s="22" t="str">
        <f>IF($B25="","",AP25+AQ25-AR25)</f>
        <v/>
      </c>
      <c r="AT25" s="22" t="str">
        <f>IF($B25="","",AO25-AS25)</f>
        <v/>
      </c>
      <c r="AU25" s="22" t="str">
        <f>IF($B25="","",IF($AC25=1,N($R25)-($G25-AR25),0))</f>
        <v/>
      </c>
      <c r="AV25" s="22" t="str">
        <f>IF($B25="","",($G25-$AH25)*$AA25)</f>
        <v/>
      </c>
      <c r="AW25" s="22" t="str">
        <f>IF($B25="","",IF($AJ25=0,0,($AH25-$AI25)*$AK25/$AJ25)*MAX($AA25,$AB25))</f>
        <v/>
      </c>
      <c r="AX25" s="22" t="str">
        <f>IF($B25="","",(AV25+AW25)*$AC25)</f>
        <v/>
      </c>
      <c r="AY25" s="22" t="str">
        <f>IF($B25="","",AV25+AW25-AX25)</f>
        <v/>
      </c>
      <c r="AZ25" s="22" t="str">
        <f>IF($B25="","",AO25-AY25)</f>
        <v/>
      </c>
      <c r="BA25" s="22" t="str">
        <f>IF($B25="","",IF($AC25=1,N($R25)-($G25-AX25),0))</f>
        <v/>
      </c>
      <c r="BB25" s="22" t="str">
        <f>IF($B25="","",ROUND(AQ25-AW25,0))</f>
        <v/>
      </c>
      <c r="BC25" s="22" t="str">
        <f>IF($B25="","",ROUND(BA25-AU25,0))</f>
        <v/>
      </c>
      <c r="BD25" s="22" t="str">
        <f>IF($B25="","",BB25+BC25)</f>
        <v/>
      </c>
      <c r="BE25" s="22" t="str">
        <f>IF($B25="","",ROUND(AV25-AP25,0))</f>
        <v/>
      </c>
      <c r="BF25" s="22" t="str">
        <f>IF($B25="","",ROUND(AT25-AZ25,0))</f>
        <v/>
      </c>
      <c r="BG25" s="22" t="str">
        <f>IF($B25="","",ROUND(BF25*TarifPPh,0))</f>
        <v/>
      </c>
      <c r="BH25" t="str">
        <f>IF($B25="","",IF($D25="","Kategori kosong",IF($F25="","Tgl perolehan kosong",IF(N($H25)&gt;$G25,"Residu &gt; harga perolehan",IF(AND(LEFT($U25,8)="Bangunan",$W25="Saldo Menurun"),"Bangunan wajib Garis Lurus (Ps.11 UU PPh)",IF(AND($S25="Unit Produksi",N($K25)=0),"Isi kapasitas unit",IF(AND(OR($S25="Garis Lurus",$S25="Saldo Menurun"),N($T25)&lt;=0),"Umur komersial kosong",IF(AND(OR($W25="Garis Lurus",$W25="Saldo Menurun"),N($V25)&lt;=0),"Masa manfaat fiskal kosong",IF(AND($Q25&lt;&gt;"",$Q25&lt;$F25),"Tgl pelepasan &lt; perolehan","OK")))))))))</f>
        <v/>
      </c>
    </row>
    <row r="26" spans="1:60" x14ac:dyDescent="0.25">
      <c r="A26" t="str">
        <f>IF($B26="","",ROW()-6)</f>
        <v/>
      </c>
      <c r="B26" s="9"/>
      <c r="C26" s="9"/>
      <c r="D26" s="9"/>
      <c r="E26" s="9"/>
      <c r="F26" s="17"/>
      <c r="G26" s="18"/>
      <c r="H26" s="18"/>
      <c r="I26" s="9"/>
      <c r="J26" s="9"/>
      <c r="K26" s="19"/>
      <c r="L26" s="19"/>
      <c r="M26" s="19"/>
      <c r="N26" s="9"/>
      <c r="O26" s="9"/>
      <c r="P26" s="9"/>
      <c r="Q26" s="17"/>
      <c r="R26" s="18"/>
      <c r="S26" t="str">
        <f>IF($B26="","",IF($I26&lt;&gt;"",$I26,IFERROR(INDEX(Kat_Metode,MATCH($D26,Kat_Nama,0)),"")))</f>
        <v/>
      </c>
      <c r="T26" t="str">
        <f>IF($B26="","",IF($J26&lt;&gt;"",$J26,IFERROR(INDEX(Kat_Umur,MATCH($D26,Kat_Nama,0)),0)))</f>
        <v/>
      </c>
      <c r="U26" t="str">
        <f>IF($B26="","",IF($N26&lt;&gt;"",$N26,IFERROR(INDEX(Kat_Kelompok,MATCH($D26,Kat_Nama,0)),"")))</f>
        <v/>
      </c>
      <c r="V26" t="str">
        <f>IF($B26="","",IF($U26="Masa Manfaat Sebenarnya",N($O26),IFERROR(INDEX(Kel_Masa,MATCH($U26,Kel_Nama,0)),0)))</f>
        <v/>
      </c>
      <c r="W26" t="str">
        <f>IF($B26="","",IF($P26&lt;&gt;"",$P26,IF(OR($U26="Tidak Disusutkan",$V26=0),"Tidak Disusutkan","Garis Lurus")))</f>
        <v/>
      </c>
      <c r="X26" t="str">
        <f>IF($B26="","",IF($Y26&gt;TahunBuku*12+12,"Belum Diperoleh",IF($Z26&lt;=TahunBuku*12,"Dilepas (thn lalu)",IF($AC26=1,"Dilepas thn ini",IF($AB26=1,"Perolehan baru","Aktif")))))</f>
        <v/>
      </c>
      <c r="Y26" s="20" t="str">
        <f>IF($B26="","",YEAR($F26)*12+MONTH($F26))</f>
        <v/>
      </c>
      <c r="Z26" s="20" t="str">
        <f>IF($B26="","",IF($Q26="",99999,YEAR($Q26)*12+MONTH($Q26)))</f>
        <v/>
      </c>
      <c r="AA26" s="20" t="str">
        <f>IF($B26="","",--AND($Y26&lt;=TahunBuku*12,$Z26&gt;TahunBuku*12))</f>
        <v/>
      </c>
      <c r="AB26" s="20" t="str">
        <f>IF($B26="","",--AND($Y26&gt;TahunBuku*12,$Y26&lt;=TahunBuku*12+12))</f>
        <v/>
      </c>
      <c r="AC26" s="20" t="str">
        <f>IF($B26="","",--AND($Z26&gt;TahunBuku*12,$Z26&lt;=TahunBuku*12+12,$Y26&lt;=$Z26))</f>
        <v/>
      </c>
      <c r="AD26" s="21" t="str">
        <f>IF($B26="","",IFERROR(IF($S26="Garis Lurus",$G26-($G26-$H26)*MIN($T26*12,MAX(0,TahunBuku*12-$Y26+1))/($T26*12),IF($S26="Saldo Menurun",IF(TahunBuku-1&lt;YEAR($F26),$G26,IF(TahunBuku-1&gt;=INT(($Y26+$T26*12-2)/12),$H26,MAX($H26,$G26*(1-2/$T26*(13-MONTH($F26))/12)*(1-2/$T26)^(TahunBuku-1-YEAR($F26))))),IF($S26="Unit Produksi",$G26-($G26-$H26)*MIN(1,N($L26)/$K26),$G26))),$G26))</f>
        <v/>
      </c>
      <c r="AE26" s="21" t="str">
        <f>IF($B26="","",IFERROR(IF($S26="Garis Lurus",$G26-($G26-$H26)*MIN($T26*12,MAX(0,TahunBuku*12+12-$Y26+1))/($T26*12),IF($S26="Saldo Menurun",IF(TahunBuku&lt;YEAR($F26),$G26,IF(TahunBuku&gt;=INT(($Y26+$T26*12-2)/12),$H26,MAX($H26,$G26*(1-2/$T26*(13-MONTH($F26))/12)*(1-2/$T26)^(TahunBuku-YEAR($F26))))),IF($S26="Unit Produksi",$G26-($G26-$H26)*MIN(1,(N($L26)+N($M26))/$K26),$G26))),$G26))</f>
        <v/>
      </c>
      <c r="AF26" s="20" t="str">
        <f>IF($B26="","",IF(OR($S26="Garis Lurus",$S26="Saldo Menurun",$S26="Unit Produksi"),MAX(0,IF($S26="Unit Produksi",TahunBuku*12+12,MIN(TahunBuku*12+12,$Y26+$T26*12-1))-MAX(TahunBuku*12+1,$Y26)+1),0))</f>
        <v/>
      </c>
      <c r="AG26" s="20" t="str">
        <f>IF($B26="","",IF(OR($S26="Garis Lurus",$S26="Saldo Menurun",$S26="Unit Produksi"),MAX(0,MIN($Z26,IF($S26="Unit Produksi",TahunBuku*12+12,MIN(TahunBuku*12+12,$Y26+$T26*12-1)))-MAX(TahunBuku*12+1,$Y26)+1),0))</f>
        <v/>
      </c>
      <c r="AH26" s="21" t="str">
        <f>IF($B26="","",IFERROR(IF($W26="Garis Lurus",$G26*(1-MIN($V26*12,MAX(0,TahunBuku*12-$Y26+1))/($V26*12)),IF($W26="Saldo Menurun",IF(TahunBuku-1&lt;YEAR($F26),$G26,IF(TahunBuku-1&gt;=INT(($Y26+$V26*12-2)/12),0,$G26*(1-2/$V26*(13-MONTH($F26))/12)*(1-2/$V26)^(TahunBuku-1-YEAR($F26)))),$G26)),$G26))</f>
        <v/>
      </c>
      <c r="AI26" s="21" t="str">
        <f>IF($B26="","",IFERROR(IF($W26="Garis Lurus",$G26*(1-MIN($V26*12,MAX(0,TahunBuku*12+12-$Y26+1))/($V26*12)),IF($W26="Saldo Menurun",IF(TahunBuku&lt;YEAR($F26),$G26,IF(TahunBuku&gt;=INT(($Y26+$V26*12-2)/12),0,$G26*(1-2/$V26*(13-MONTH($F26))/12)*(1-2/$V26)^(TahunBuku-YEAR($F26)))),$G26)),$G26))</f>
        <v/>
      </c>
      <c r="AJ26" s="20" t="str">
        <f>IF($B26="","",IF(OR($W26="Garis Lurus",$W26="Saldo Menurun"),MAX(0,MIN(TahunBuku*12+12,$Y26+$V26*12-1)-MAX(TahunBuku*12+1,$Y26)+1),0))</f>
        <v/>
      </c>
      <c r="AK26" s="20" t="str">
        <f>IF($B26="","",IF(OR($W26="Garis Lurus",$W26="Saldo Menurun"),MAX(0,MIN($Z26,TahunBuku*12+12,$Y26+$V26*12-1)-MAX(TahunBuku*12+1,$Y26)+1),0))</f>
        <v/>
      </c>
      <c r="AL26" s="22" t="str">
        <f>IF($B26="","",$G26*$AA26)</f>
        <v/>
      </c>
      <c r="AM26" s="22" t="str">
        <f>IF($B26="","",$G26*$AB26)</f>
        <v/>
      </c>
      <c r="AN26" s="22" t="str">
        <f>IF($B26="","",$G26*$AC26)</f>
        <v/>
      </c>
      <c r="AO26" s="22" t="str">
        <f>IF($B26="","",AL26+AM26-AN26)</f>
        <v/>
      </c>
      <c r="AP26" s="22" t="str">
        <f>IF($B26="","",($G26-$AD26)*$AA26)</f>
        <v/>
      </c>
      <c r="AQ26" s="22" t="str">
        <f>IF($B26="","",IF($AF26=0,0,($AD26-$AE26)*$AG26/$AF26)*MAX($AA26,$AB26))</f>
        <v/>
      </c>
      <c r="AR26" s="22" t="str">
        <f>IF($B26="","",(AP26+AQ26)*$AC26)</f>
        <v/>
      </c>
      <c r="AS26" s="22" t="str">
        <f>IF($B26="","",AP26+AQ26-AR26)</f>
        <v/>
      </c>
      <c r="AT26" s="22" t="str">
        <f>IF($B26="","",AO26-AS26)</f>
        <v/>
      </c>
      <c r="AU26" s="22" t="str">
        <f>IF($B26="","",IF($AC26=1,N($R26)-($G26-AR26),0))</f>
        <v/>
      </c>
      <c r="AV26" s="22" t="str">
        <f>IF($B26="","",($G26-$AH26)*$AA26)</f>
        <v/>
      </c>
      <c r="AW26" s="22" t="str">
        <f>IF($B26="","",IF($AJ26=0,0,($AH26-$AI26)*$AK26/$AJ26)*MAX($AA26,$AB26))</f>
        <v/>
      </c>
      <c r="AX26" s="22" t="str">
        <f>IF($B26="","",(AV26+AW26)*$AC26)</f>
        <v/>
      </c>
      <c r="AY26" s="22" t="str">
        <f>IF($B26="","",AV26+AW26-AX26)</f>
        <v/>
      </c>
      <c r="AZ26" s="22" t="str">
        <f>IF($B26="","",AO26-AY26)</f>
        <v/>
      </c>
      <c r="BA26" s="22" t="str">
        <f>IF($B26="","",IF($AC26=1,N($R26)-($G26-AX26),0))</f>
        <v/>
      </c>
      <c r="BB26" s="22" t="str">
        <f>IF($B26="","",ROUND(AQ26-AW26,0))</f>
        <v/>
      </c>
      <c r="BC26" s="22" t="str">
        <f>IF($B26="","",ROUND(BA26-AU26,0))</f>
        <v/>
      </c>
      <c r="BD26" s="22" t="str">
        <f>IF($B26="","",BB26+BC26)</f>
        <v/>
      </c>
      <c r="BE26" s="22" t="str">
        <f>IF($B26="","",ROUND(AV26-AP26,0))</f>
        <v/>
      </c>
      <c r="BF26" s="22" t="str">
        <f>IF($B26="","",ROUND(AT26-AZ26,0))</f>
        <v/>
      </c>
      <c r="BG26" s="22" t="str">
        <f>IF($B26="","",ROUND(BF26*TarifPPh,0))</f>
        <v/>
      </c>
      <c r="BH26" t="str">
        <f>IF($B26="","",IF($D26="","Kategori kosong",IF($F26="","Tgl perolehan kosong",IF(N($H26)&gt;$G26,"Residu &gt; harga perolehan",IF(AND(LEFT($U26,8)="Bangunan",$W26="Saldo Menurun"),"Bangunan wajib Garis Lurus (Ps.11 UU PPh)",IF(AND($S26="Unit Produksi",N($K26)=0),"Isi kapasitas unit",IF(AND(OR($S26="Garis Lurus",$S26="Saldo Menurun"),N($T26)&lt;=0),"Umur komersial kosong",IF(AND(OR($W26="Garis Lurus",$W26="Saldo Menurun"),N($V26)&lt;=0),"Masa manfaat fiskal kosong",IF(AND($Q26&lt;&gt;"",$Q26&lt;$F26),"Tgl pelepasan &lt; perolehan","OK")))))))))</f>
        <v/>
      </c>
    </row>
    <row r="27" spans="1:60" x14ac:dyDescent="0.25">
      <c r="A27" t="str">
        <f>IF($B27="","",ROW()-6)</f>
        <v/>
      </c>
      <c r="B27" s="9"/>
      <c r="C27" s="9"/>
      <c r="D27" s="9"/>
      <c r="E27" s="9"/>
      <c r="F27" s="17"/>
      <c r="G27" s="18"/>
      <c r="H27" s="18"/>
      <c r="I27" s="9"/>
      <c r="J27" s="9"/>
      <c r="K27" s="19"/>
      <c r="L27" s="19"/>
      <c r="M27" s="19"/>
      <c r="N27" s="9"/>
      <c r="O27" s="9"/>
      <c r="P27" s="9"/>
      <c r="Q27" s="17"/>
      <c r="R27" s="18"/>
      <c r="S27" t="str">
        <f>IF($B27="","",IF($I27&lt;&gt;"",$I27,IFERROR(INDEX(Kat_Metode,MATCH($D27,Kat_Nama,0)),"")))</f>
        <v/>
      </c>
      <c r="T27" t="str">
        <f>IF($B27="","",IF($J27&lt;&gt;"",$J27,IFERROR(INDEX(Kat_Umur,MATCH($D27,Kat_Nama,0)),0)))</f>
        <v/>
      </c>
      <c r="U27" t="str">
        <f>IF($B27="","",IF($N27&lt;&gt;"",$N27,IFERROR(INDEX(Kat_Kelompok,MATCH($D27,Kat_Nama,0)),"")))</f>
        <v/>
      </c>
      <c r="V27" t="str">
        <f>IF($B27="","",IF($U27="Masa Manfaat Sebenarnya",N($O27),IFERROR(INDEX(Kel_Masa,MATCH($U27,Kel_Nama,0)),0)))</f>
        <v/>
      </c>
      <c r="W27" t="str">
        <f>IF($B27="","",IF($P27&lt;&gt;"",$P27,IF(OR($U27="Tidak Disusutkan",$V27=0),"Tidak Disusutkan","Garis Lurus")))</f>
        <v/>
      </c>
      <c r="X27" t="str">
        <f>IF($B27="","",IF($Y27&gt;TahunBuku*12+12,"Belum Diperoleh",IF($Z27&lt;=TahunBuku*12,"Dilepas (thn lalu)",IF($AC27=1,"Dilepas thn ini",IF($AB27=1,"Perolehan baru","Aktif")))))</f>
        <v/>
      </c>
      <c r="Y27" s="20" t="str">
        <f>IF($B27="","",YEAR($F27)*12+MONTH($F27))</f>
        <v/>
      </c>
      <c r="Z27" s="20" t="str">
        <f>IF($B27="","",IF($Q27="",99999,YEAR($Q27)*12+MONTH($Q27)))</f>
        <v/>
      </c>
      <c r="AA27" s="20" t="str">
        <f>IF($B27="","",--AND($Y27&lt;=TahunBuku*12,$Z27&gt;TahunBuku*12))</f>
        <v/>
      </c>
      <c r="AB27" s="20" t="str">
        <f>IF($B27="","",--AND($Y27&gt;TahunBuku*12,$Y27&lt;=TahunBuku*12+12))</f>
        <v/>
      </c>
      <c r="AC27" s="20" t="str">
        <f>IF($B27="","",--AND($Z27&gt;TahunBuku*12,$Z27&lt;=TahunBuku*12+12,$Y27&lt;=$Z27))</f>
        <v/>
      </c>
      <c r="AD27" s="21" t="str">
        <f>IF($B27="","",IFERROR(IF($S27="Garis Lurus",$G27-($G27-$H27)*MIN($T27*12,MAX(0,TahunBuku*12-$Y27+1))/($T27*12),IF($S27="Saldo Menurun",IF(TahunBuku-1&lt;YEAR($F27),$G27,IF(TahunBuku-1&gt;=INT(($Y27+$T27*12-2)/12),$H27,MAX($H27,$G27*(1-2/$T27*(13-MONTH($F27))/12)*(1-2/$T27)^(TahunBuku-1-YEAR($F27))))),IF($S27="Unit Produksi",$G27-($G27-$H27)*MIN(1,N($L27)/$K27),$G27))),$G27))</f>
        <v/>
      </c>
      <c r="AE27" s="21" t="str">
        <f>IF($B27="","",IFERROR(IF($S27="Garis Lurus",$G27-($G27-$H27)*MIN($T27*12,MAX(0,TahunBuku*12+12-$Y27+1))/($T27*12),IF($S27="Saldo Menurun",IF(TahunBuku&lt;YEAR($F27),$G27,IF(TahunBuku&gt;=INT(($Y27+$T27*12-2)/12),$H27,MAX($H27,$G27*(1-2/$T27*(13-MONTH($F27))/12)*(1-2/$T27)^(TahunBuku-YEAR($F27))))),IF($S27="Unit Produksi",$G27-($G27-$H27)*MIN(1,(N($L27)+N($M27))/$K27),$G27))),$G27))</f>
        <v/>
      </c>
      <c r="AF27" s="20" t="str">
        <f>IF($B27="","",IF(OR($S27="Garis Lurus",$S27="Saldo Menurun",$S27="Unit Produksi"),MAX(0,IF($S27="Unit Produksi",TahunBuku*12+12,MIN(TahunBuku*12+12,$Y27+$T27*12-1))-MAX(TahunBuku*12+1,$Y27)+1),0))</f>
        <v/>
      </c>
      <c r="AG27" s="20" t="str">
        <f>IF($B27="","",IF(OR($S27="Garis Lurus",$S27="Saldo Menurun",$S27="Unit Produksi"),MAX(0,MIN($Z27,IF($S27="Unit Produksi",TahunBuku*12+12,MIN(TahunBuku*12+12,$Y27+$T27*12-1)))-MAX(TahunBuku*12+1,$Y27)+1),0))</f>
        <v/>
      </c>
      <c r="AH27" s="21" t="str">
        <f>IF($B27="","",IFERROR(IF($W27="Garis Lurus",$G27*(1-MIN($V27*12,MAX(0,TahunBuku*12-$Y27+1))/($V27*12)),IF($W27="Saldo Menurun",IF(TahunBuku-1&lt;YEAR($F27),$G27,IF(TahunBuku-1&gt;=INT(($Y27+$V27*12-2)/12),0,$G27*(1-2/$V27*(13-MONTH($F27))/12)*(1-2/$V27)^(TahunBuku-1-YEAR($F27)))),$G27)),$G27))</f>
        <v/>
      </c>
      <c r="AI27" s="21" t="str">
        <f>IF($B27="","",IFERROR(IF($W27="Garis Lurus",$G27*(1-MIN($V27*12,MAX(0,TahunBuku*12+12-$Y27+1))/($V27*12)),IF($W27="Saldo Menurun",IF(TahunBuku&lt;YEAR($F27),$G27,IF(TahunBuku&gt;=INT(($Y27+$V27*12-2)/12),0,$G27*(1-2/$V27*(13-MONTH($F27))/12)*(1-2/$V27)^(TahunBuku-YEAR($F27)))),$G27)),$G27))</f>
        <v/>
      </c>
      <c r="AJ27" s="20" t="str">
        <f>IF($B27="","",IF(OR($W27="Garis Lurus",$W27="Saldo Menurun"),MAX(0,MIN(TahunBuku*12+12,$Y27+$V27*12-1)-MAX(TahunBuku*12+1,$Y27)+1),0))</f>
        <v/>
      </c>
      <c r="AK27" s="20" t="str">
        <f>IF($B27="","",IF(OR($W27="Garis Lurus",$W27="Saldo Menurun"),MAX(0,MIN($Z27,TahunBuku*12+12,$Y27+$V27*12-1)-MAX(TahunBuku*12+1,$Y27)+1),0))</f>
        <v/>
      </c>
      <c r="AL27" s="22" t="str">
        <f>IF($B27="","",$G27*$AA27)</f>
        <v/>
      </c>
      <c r="AM27" s="22" t="str">
        <f>IF($B27="","",$G27*$AB27)</f>
        <v/>
      </c>
      <c r="AN27" s="22" t="str">
        <f>IF($B27="","",$G27*$AC27)</f>
        <v/>
      </c>
      <c r="AO27" s="22" t="str">
        <f>IF($B27="","",AL27+AM27-AN27)</f>
        <v/>
      </c>
      <c r="AP27" s="22" t="str">
        <f>IF($B27="","",($G27-$AD27)*$AA27)</f>
        <v/>
      </c>
      <c r="AQ27" s="22" t="str">
        <f>IF($B27="","",IF($AF27=0,0,($AD27-$AE27)*$AG27/$AF27)*MAX($AA27,$AB27))</f>
        <v/>
      </c>
      <c r="AR27" s="22" t="str">
        <f>IF($B27="","",(AP27+AQ27)*$AC27)</f>
        <v/>
      </c>
      <c r="AS27" s="22" t="str">
        <f>IF($B27="","",AP27+AQ27-AR27)</f>
        <v/>
      </c>
      <c r="AT27" s="22" t="str">
        <f>IF($B27="","",AO27-AS27)</f>
        <v/>
      </c>
      <c r="AU27" s="22" t="str">
        <f>IF($B27="","",IF($AC27=1,N($R27)-($G27-AR27),0))</f>
        <v/>
      </c>
      <c r="AV27" s="22" t="str">
        <f>IF($B27="","",($G27-$AH27)*$AA27)</f>
        <v/>
      </c>
      <c r="AW27" s="22" t="str">
        <f>IF($B27="","",IF($AJ27=0,0,($AH27-$AI27)*$AK27/$AJ27)*MAX($AA27,$AB27))</f>
        <v/>
      </c>
      <c r="AX27" s="22" t="str">
        <f>IF($B27="","",(AV27+AW27)*$AC27)</f>
        <v/>
      </c>
      <c r="AY27" s="22" t="str">
        <f>IF($B27="","",AV27+AW27-AX27)</f>
        <v/>
      </c>
      <c r="AZ27" s="22" t="str">
        <f>IF($B27="","",AO27-AY27)</f>
        <v/>
      </c>
      <c r="BA27" s="22" t="str">
        <f>IF($B27="","",IF($AC27=1,N($R27)-($G27-AX27),0))</f>
        <v/>
      </c>
      <c r="BB27" s="22" t="str">
        <f>IF($B27="","",ROUND(AQ27-AW27,0))</f>
        <v/>
      </c>
      <c r="BC27" s="22" t="str">
        <f>IF($B27="","",ROUND(BA27-AU27,0))</f>
        <v/>
      </c>
      <c r="BD27" s="22" t="str">
        <f>IF($B27="","",BB27+BC27)</f>
        <v/>
      </c>
      <c r="BE27" s="22" t="str">
        <f>IF($B27="","",ROUND(AV27-AP27,0))</f>
        <v/>
      </c>
      <c r="BF27" s="22" t="str">
        <f>IF($B27="","",ROUND(AT27-AZ27,0))</f>
        <v/>
      </c>
      <c r="BG27" s="22" t="str">
        <f>IF($B27="","",ROUND(BF27*TarifPPh,0))</f>
        <v/>
      </c>
      <c r="BH27" t="str">
        <f>IF($B27="","",IF($D27="","Kategori kosong",IF($F27="","Tgl perolehan kosong",IF(N($H27)&gt;$G27,"Residu &gt; harga perolehan",IF(AND(LEFT($U27,8)="Bangunan",$W27="Saldo Menurun"),"Bangunan wajib Garis Lurus (Ps.11 UU PPh)",IF(AND($S27="Unit Produksi",N($K27)=0),"Isi kapasitas unit",IF(AND(OR($S27="Garis Lurus",$S27="Saldo Menurun"),N($T27)&lt;=0),"Umur komersial kosong",IF(AND(OR($W27="Garis Lurus",$W27="Saldo Menurun"),N($V27)&lt;=0),"Masa manfaat fiskal kosong",IF(AND($Q27&lt;&gt;"",$Q27&lt;$F27),"Tgl pelepasan &lt; perolehan","OK")))))))))</f>
        <v/>
      </c>
    </row>
    <row r="28" spans="1:60" x14ac:dyDescent="0.25">
      <c r="A28" t="str">
        <f>IF($B28="","",ROW()-6)</f>
        <v/>
      </c>
      <c r="B28" s="9"/>
      <c r="C28" s="9"/>
      <c r="D28" s="9"/>
      <c r="E28" s="9"/>
      <c r="F28" s="17"/>
      <c r="G28" s="18"/>
      <c r="H28" s="18"/>
      <c r="I28" s="9"/>
      <c r="J28" s="9"/>
      <c r="K28" s="19"/>
      <c r="L28" s="19"/>
      <c r="M28" s="19"/>
      <c r="N28" s="9"/>
      <c r="O28" s="9"/>
      <c r="P28" s="9"/>
      <c r="Q28" s="17"/>
      <c r="R28" s="18"/>
      <c r="S28" t="str">
        <f>IF($B28="","",IF($I28&lt;&gt;"",$I28,IFERROR(INDEX(Kat_Metode,MATCH($D28,Kat_Nama,0)),"")))</f>
        <v/>
      </c>
      <c r="T28" t="str">
        <f>IF($B28="","",IF($J28&lt;&gt;"",$J28,IFERROR(INDEX(Kat_Umur,MATCH($D28,Kat_Nama,0)),0)))</f>
        <v/>
      </c>
      <c r="U28" t="str">
        <f>IF($B28="","",IF($N28&lt;&gt;"",$N28,IFERROR(INDEX(Kat_Kelompok,MATCH($D28,Kat_Nama,0)),"")))</f>
        <v/>
      </c>
      <c r="V28" t="str">
        <f>IF($B28="","",IF($U28="Masa Manfaat Sebenarnya",N($O28),IFERROR(INDEX(Kel_Masa,MATCH($U28,Kel_Nama,0)),0)))</f>
        <v/>
      </c>
      <c r="W28" t="str">
        <f>IF($B28="","",IF($P28&lt;&gt;"",$P28,IF(OR($U28="Tidak Disusutkan",$V28=0),"Tidak Disusutkan","Garis Lurus")))</f>
        <v/>
      </c>
      <c r="X28" t="str">
        <f>IF($B28="","",IF($Y28&gt;TahunBuku*12+12,"Belum Diperoleh",IF($Z28&lt;=TahunBuku*12,"Dilepas (thn lalu)",IF($AC28=1,"Dilepas thn ini",IF($AB28=1,"Perolehan baru","Aktif")))))</f>
        <v/>
      </c>
      <c r="Y28" s="20" t="str">
        <f>IF($B28="","",YEAR($F28)*12+MONTH($F28))</f>
        <v/>
      </c>
      <c r="Z28" s="20" t="str">
        <f>IF($B28="","",IF($Q28="",99999,YEAR($Q28)*12+MONTH($Q28)))</f>
        <v/>
      </c>
      <c r="AA28" s="20" t="str">
        <f>IF($B28="","",--AND($Y28&lt;=TahunBuku*12,$Z28&gt;TahunBuku*12))</f>
        <v/>
      </c>
      <c r="AB28" s="20" t="str">
        <f>IF($B28="","",--AND($Y28&gt;TahunBuku*12,$Y28&lt;=TahunBuku*12+12))</f>
        <v/>
      </c>
      <c r="AC28" s="20" t="str">
        <f>IF($B28="","",--AND($Z28&gt;TahunBuku*12,$Z28&lt;=TahunBuku*12+12,$Y28&lt;=$Z28))</f>
        <v/>
      </c>
      <c r="AD28" s="21" t="str">
        <f>IF($B28="","",IFERROR(IF($S28="Garis Lurus",$G28-($G28-$H28)*MIN($T28*12,MAX(0,TahunBuku*12-$Y28+1))/($T28*12),IF($S28="Saldo Menurun",IF(TahunBuku-1&lt;YEAR($F28),$G28,IF(TahunBuku-1&gt;=INT(($Y28+$T28*12-2)/12),$H28,MAX($H28,$G28*(1-2/$T28*(13-MONTH($F28))/12)*(1-2/$T28)^(TahunBuku-1-YEAR($F28))))),IF($S28="Unit Produksi",$G28-($G28-$H28)*MIN(1,N($L28)/$K28),$G28))),$G28))</f>
        <v/>
      </c>
      <c r="AE28" s="21" t="str">
        <f>IF($B28="","",IFERROR(IF($S28="Garis Lurus",$G28-($G28-$H28)*MIN($T28*12,MAX(0,TahunBuku*12+12-$Y28+1))/($T28*12),IF($S28="Saldo Menurun",IF(TahunBuku&lt;YEAR($F28),$G28,IF(TahunBuku&gt;=INT(($Y28+$T28*12-2)/12),$H28,MAX($H28,$G28*(1-2/$T28*(13-MONTH($F28))/12)*(1-2/$T28)^(TahunBuku-YEAR($F28))))),IF($S28="Unit Produksi",$G28-($G28-$H28)*MIN(1,(N($L28)+N($M28))/$K28),$G28))),$G28))</f>
        <v/>
      </c>
      <c r="AF28" s="20" t="str">
        <f>IF($B28="","",IF(OR($S28="Garis Lurus",$S28="Saldo Menurun",$S28="Unit Produksi"),MAX(0,IF($S28="Unit Produksi",TahunBuku*12+12,MIN(TahunBuku*12+12,$Y28+$T28*12-1))-MAX(TahunBuku*12+1,$Y28)+1),0))</f>
        <v/>
      </c>
      <c r="AG28" s="20" t="str">
        <f>IF($B28="","",IF(OR($S28="Garis Lurus",$S28="Saldo Menurun",$S28="Unit Produksi"),MAX(0,MIN($Z28,IF($S28="Unit Produksi",TahunBuku*12+12,MIN(TahunBuku*12+12,$Y28+$T28*12-1)))-MAX(TahunBuku*12+1,$Y28)+1),0))</f>
        <v/>
      </c>
      <c r="AH28" s="21" t="str">
        <f>IF($B28="","",IFERROR(IF($W28="Garis Lurus",$G28*(1-MIN($V28*12,MAX(0,TahunBuku*12-$Y28+1))/($V28*12)),IF($W28="Saldo Menurun",IF(TahunBuku-1&lt;YEAR($F28),$G28,IF(TahunBuku-1&gt;=INT(($Y28+$V28*12-2)/12),0,$G28*(1-2/$V28*(13-MONTH($F28))/12)*(1-2/$V28)^(TahunBuku-1-YEAR($F28)))),$G28)),$G28))</f>
        <v/>
      </c>
      <c r="AI28" s="21" t="str">
        <f>IF($B28="","",IFERROR(IF($W28="Garis Lurus",$G28*(1-MIN($V28*12,MAX(0,TahunBuku*12+12-$Y28+1))/($V28*12)),IF($W28="Saldo Menurun",IF(TahunBuku&lt;YEAR($F28),$G28,IF(TahunBuku&gt;=INT(($Y28+$V28*12-2)/12),0,$G28*(1-2/$V28*(13-MONTH($F28))/12)*(1-2/$V28)^(TahunBuku-YEAR($F28)))),$G28)),$G28))</f>
        <v/>
      </c>
      <c r="AJ28" s="20" t="str">
        <f>IF($B28="","",IF(OR($W28="Garis Lurus",$W28="Saldo Menurun"),MAX(0,MIN(TahunBuku*12+12,$Y28+$V28*12-1)-MAX(TahunBuku*12+1,$Y28)+1),0))</f>
        <v/>
      </c>
      <c r="AK28" s="20" t="str">
        <f>IF($B28="","",IF(OR($W28="Garis Lurus",$W28="Saldo Menurun"),MAX(0,MIN($Z28,TahunBuku*12+12,$Y28+$V28*12-1)-MAX(TahunBuku*12+1,$Y28)+1),0))</f>
        <v/>
      </c>
      <c r="AL28" s="22" t="str">
        <f>IF($B28="","",$G28*$AA28)</f>
        <v/>
      </c>
      <c r="AM28" s="22" t="str">
        <f>IF($B28="","",$G28*$AB28)</f>
        <v/>
      </c>
      <c r="AN28" s="22" t="str">
        <f>IF($B28="","",$G28*$AC28)</f>
        <v/>
      </c>
      <c r="AO28" s="22" t="str">
        <f>IF($B28="","",AL28+AM28-AN28)</f>
        <v/>
      </c>
      <c r="AP28" s="22" t="str">
        <f>IF($B28="","",($G28-$AD28)*$AA28)</f>
        <v/>
      </c>
      <c r="AQ28" s="22" t="str">
        <f>IF($B28="","",IF($AF28=0,0,($AD28-$AE28)*$AG28/$AF28)*MAX($AA28,$AB28))</f>
        <v/>
      </c>
      <c r="AR28" s="22" t="str">
        <f>IF($B28="","",(AP28+AQ28)*$AC28)</f>
        <v/>
      </c>
      <c r="AS28" s="22" t="str">
        <f>IF($B28="","",AP28+AQ28-AR28)</f>
        <v/>
      </c>
      <c r="AT28" s="22" t="str">
        <f>IF($B28="","",AO28-AS28)</f>
        <v/>
      </c>
      <c r="AU28" s="22" t="str">
        <f>IF($B28="","",IF($AC28=1,N($R28)-($G28-AR28),0))</f>
        <v/>
      </c>
      <c r="AV28" s="22" t="str">
        <f>IF($B28="","",($G28-$AH28)*$AA28)</f>
        <v/>
      </c>
      <c r="AW28" s="22" t="str">
        <f>IF($B28="","",IF($AJ28=0,0,($AH28-$AI28)*$AK28/$AJ28)*MAX($AA28,$AB28))</f>
        <v/>
      </c>
      <c r="AX28" s="22" t="str">
        <f>IF($B28="","",(AV28+AW28)*$AC28)</f>
        <v/>
      </c>
      <c r="AY28" s="22" t="str">
        <f>IF($B28="","",AV28+AW28-AX28)</f>
        <v/>
      </c>
      <c r="AZ28" s="22" t="str">
        <f>IF($B28="","",AO28-AY28)</f>
        <v/>
      </c>
      <c r="BA28" s="22" t="str">
        <f>IF($B28="","",IF($AC28=1,N($R28)-($G28-AX28),0))</f>
        <v/>
      </c>
      <c r="BB28" s="22" t="str">
        <f>IF($B28="","",ROUND(AQ28-AW28,0))</f>
        <v/>
      </c>
      <c r="BC28" s="22" t="str">
        <f>IF($B28="","",ROUND(BA28-AU28,0))</f>
        <v/>
      </c>
      <c r="BD28" s="22" t="str">
        <f>IF($B28="","",BB28+BC28)</f>
        <v/>
      </c>
      <c r="BE28" s="22" t="str">
        <f>IF($B28="","",ROUND(AV28-AP28,0))</f>
        <v/>
      </c>
      <c r="BF28" s="22" t="str">
        <f>IF($B28="","",ROUND(AT28-AZ28,0))</f>
        <v/>
      </c>
      <c r="BG28" s="22" t="str">
        <f>IF($B28="","",ROUND(BF28*TarifPPh,0))</f>
        <v/>
      </c>
      <c r="BH28" t="str">
        <f>IF($B28="","",IF($D28="","Kategori kosong",IF($F28="","Tgl perolehan kosong",IF(N($H28)&gt;$G28,"Residu &gt; harga perolehan",IF(AND(LEFT($U28,8)="Bangunan",$W28="Saldo Menurun"),"Bangunan wajib Garis Lurus (Ps.11 UU PPh)",IF(AND($S28="Unit Produksi",N($K28)=0),"Isi kapasitas unit",IF(AND(OR($S28="Garis Lurus",$S28="Saldo Menurun"),N($T28)&lt;=0),"Umur komersial kosong",IF(AND(OR($W28="Garis Lurus",$W28="Saldo Menurun"),N($V28)&lt;=0),"Masa manfaat fiskal kosong",IF(AND($Q28&lt;&gt;"",$Q28&lt;$F28),"Tgl pelepasan &lt; perolehan","OK")))))))))</f>
        <v/>
      </c>
    </row>
    <row r="29" spans="1:60" x14ac:dyDescent="0.25">
      <c r="A29" t="str">
        <f>IF($B29="","",ROW()-6)</f>
        <v/>
      </c>
      <c r="B29" s="9"/>
      <c r="C29" s="9"/>
      <c r="D29" s="9"/>
      <c r="E29" s="9"/>
      <c r="F29" s="17"/>
      <c r="G29" s="18"/>
      <c r="H29" s="18"/>
      <c r="I29" s="9"/>
      <c r="J29" s="9"/>
      <c r="K29" s="19"/>
      <c r="L29" s="19"/>
      <c r="M29" s="19"/>
      <c r="N29" s="9"/>
      <c r="O29" s="9"/>
      <c r="P29" s="9"/>
      <c r="Q29" s="17"/>
      <c r="R29" s="18"/>
      <c r="S29" t="str">
        <f>IF($B29="","",IF($I29&lt;&gt;"",$I29,IFERROR(INDEX(Kat_Metode,MATCH($D29,Kat_Nama,0)),"")))</f>
        <v/>
      </c>
      <c r="T29" t="str">
        <f>IF($B29="","",IF($J29&lt;&gt;"",$J29,IFERROR(INDEX(Kat_Umur,MATCH($D29,Kat_Nama,0)),0)))</f>
        <v/>
      </c>
      <c r="U29" t="str">
        <f>IF($B29="","",IF($N29&lt;&gt;"",$N29,IFERROR(INDEX(Kat_Kelompok,MATCH($D29,Kat_Nama,0)),"")))</f>
        <v/>
      </c>
      <c r="V29" t="str">
        <f>IF($B29="","",IF($U29="Masa Manfaat Sebenarnya",N($O29),IFERROR(INDEX(Kel_Masa,MATCH($U29,Kel_Nama,0)),0)))</f>
        <v/>
      </c>
      <c r="W29" t="str">
        <f>IF($B29="","",IF($P29&lt;&gt;"",$P29,IF(OR($U29="Tidak Disusutkan",$V29=0),"Tidak Disusutkan","Garis Lurus")))</f>
        <v/>
      </c>
      <c r="X29" t="str">
        <f>IF($B29="","",IF($Y29&gt;TahunBuku*12+12,"Belum Diperoleh",IF($Z29&lt;=TahunBuku*12,"Dilepas (thn lalu)",IF($AC29=1,"Dilepas thn ini",IF($AB29=1,"Perolehan baru","Aktif")))))</f>
        <v/>
      </c>
      <c r="Y29" s="20" t="str">
        <f>IF($B29="","",YEAR($F29)*12+MONTH($F29))</f>
        <v/>
      </c>
      <c r="Z29" s="20" t="str">
        <f>IF($B29="","",IF($Q29="",99999,YEAR($Q29)*12+MONTH($Q29)))</f>
        <v/>
      </c>
      <c r="AA29" s="20" t="str">
        <f>IF($B29="","",--AND($Y29&lt;=TahunBuku*12,$Z29&gt;TahunBuku*12))</f>
        <v/>
      </c>
      <c r="AB29" s="20" t="str">
        <f>IF($B29="","",--AND($Y29&gt;TahunBuku*12,$Y29&lt;=TahunBuku*12+12))</f>
        <v/>
      </c>
      <c r="AC29" s="20" t="str">
        <f>IF($B29="","",--AND($Z29&gt;TahunBuku*12,$Z29&lt;=TahunBuku*12+12,$Y29&lt;=$Z29))</f>
        <v/>
      </c>
      <c r="AD29" s="21" t="str">
        <f>IF($B29="","",IFERROR(IF($S29="Garis Lurus",$G29-($G29-$H29)*MIN($T29*12,MAX(0,TahunBuku*12-$Y29+1))/($T29*12),IF($S29="Saldo Menurun",IF(TahunBuku-1&lt;YEAR($F29),$G29,IF(TahunBuku-1&gt;=INT(($Y29+$T29*12-2)/12),$H29,MAX($H29,$G29*(1-2/$T29*(13-MONTH($F29))/12)*(1-2/$T29)^(TahunBuku-1-YEAR($F29))))),IF($S29="Unit Produksi",$G29-($G29-$H29)*MIN(1,N($L29)/$K29),$G29))),$G29))</f>
        <v/>
      </c>
      <c r="AE29" s="21" t="str">
        <f>IF($B29="","",IFERROR(IF($S29="Garis Lurus",$G29-($G29-$H29)*MIN($T29*12,MAX(0,TahunBuku*12+12-$Y29+1))/($T29*12),IF($S29="Saldo Menurun",IF(TahunBuku&lt;YEAR($F29),$G29,IF(TahunBuku&gt;=INT(($Y29+$T29*12-2)/12),$H29,MAX($H29,$G29*(1-2/$T29*(13-MONTH($F29))/12)*(1-2/$T29)^(TahunBuku-YEAR($F29))))),IF($S29="Unit Produksi",$G29-($G29-$H29)*MIN(1,(N($L29)+N($M29))/$K29),$G29))),$G29))</f>
        <v/>
      </c>
      <c r="AF29" s="20" t="str">
        <f>IF($B29="","",IF(OR($S29="Garis Lurus",$S29="Saldo Menurun",$S29="Unit Produksi"),MAX(0,IF($S29="Unit Produksi",TahunBuku*12+12,MIN(TahunBuku*12+12,$Y29+$T29*12-1))-MAX(TahunBuku*12+1,$Y29)+1),0))</f>
        <v/>
      </c>
      <c r="AG29" s="20" t="str">
        <f>IF($B29="","",IF(OR($S29="Garis Lurus",$S29="Saldo Menurun",$S29="Unit Produksi"),MAX(0,MIN($Z29,IF($S29="Unit Produksi",TahunBuku*12+12,MIN(TahunBuku*12+12,$Y29+$T29*12-1)))-MAX(TahunBuku*12+1,$Y29)+1),0))</f>
        <v/>
      </c>
      <c r="AH29" s="21" t="str">
        <f>IF($B29="","",IFERROR(IF($W29="Garis Lurus",$G29*(1-MIN($V29*12,MAX(0,TahunBuku*12-$Y29+1))/($V29*12)),IF($W29="Saldo Menurun",IF(TahunBuku-1&lt;YEAR($F29),$G29,IF(TahunBuku-1&gt;=INT(($Y29+$V29*12-2)/12),0,$G29*(1-2/$V29*(13-MONTH($F29))/12)*(1-2/$V29)^(TahunBuku-1-YEAR($F29)))),$G29)),$G29))</f>
        <v/>
      </c>
      <c r="AI29" s="21" t="str">
        <f>IF($B29="","",IFERROR(IF($W29="Garis Lurus",$G29*(1-MIN($V29*12,MAX(0,TahunBuku*12+12-$Y29+1))/($V29*12)),IF($W29="Saldo Menurun",IF(TahunBuku&lt;YEAR($F29),$G29,IF(TahunBuku&gt;=INT(($Y29+$V29*12-2)/12),0,$G29*(1-2/$V29*(13-MONTH($F29))/12)*(1-2/$V29)^(TahunBuku-YEAR($F29)))),$G29)),$G29))</f>
        <v/>
      </c>
      <c r="AJ29" s="20" t="str">
        <f>IF($B29="","",IF(OR($W29="Garis Lurus",$W29="Saldo Menurun"),MAX(0,MIN(TahunBuku*12+12,$Y29+$V29*12-1)-MAX(TahunBuku*12+1,$Y29)+1),0))</f>
        <v/>
      </c>
      <c r="AK29" s="20" t="str">
        <f>IF($B29="","",IF(OR($W29="Garis Lurus",$W29="Saldo Menurun"),MAX(0,MIN($Z29,TahunBuku*12+12,$Y29+$V29*12-1)-MAX(TahunBuku*12+1,$Y29)+1),0))</f>
        <v/>
      </c>
      <c r="AL29" s="22" t="str">
        <f>IF($B29="","",$G29*$AA29)</f>
        <v/>
      </c>
      <c r="AM29" s="22" t="str">
        <f>IF($B29="","",$G29*$AB29)</f>
        <v/>
      </c>
      <c r="AN29" s="22" t="str">
        <f>IF($B29="","",$G29*$AC29)</f>
        <v/>
      </c>
      <c r="AO29" s="22" t="str">
        <f>IF($B29="","",AL29+AM29-AN29)</f>
        <v/>
      </c>
      <c r="AP29" s="22" t="str">
        <f>IF($B29="","",($G29-$AD29)*$AA29)</f>
        <v/>
      </c>
      <c r="AQ29" s="22" t="str">
        <f>IF($B29="","",IF($AF29=0,0,($AD29-$AE29)*$AG29/$AF29)*MAX($AA29,$AB29))</f>
        <v/>
      </c>
      <c r="AR29" s="22" t="str">
        <f>IF($B29="","",(AP29+AQ29)*$AC29)</f>
        <v/>
      </c>
      <c r="AS29" s="22" t="str">
        <f>IF($B29="","",AP29+AQ29-AR29)</f>
        <v/>
      </c>
      <c r="AT29" s="22" t="str">
        <f>IF($B29="","",AO29-AS29)</f>
        <v/>
      </c>
      <c r="AU29" s="22" t="str">
        <f>IF($B29="","",IF($AC29=1,N($R29)-($G29-AR29),0))</f>
        <v/>
      </c>
      <c r="AV29" s="22" t="str">
        <f>IF($B29="","",($G29-$AH29)*$AA29)</f>
        <v/>
      </c>
      <c r="AW29" s="22" t="str">
        <f>IF($B29="","",IF($AJ29=0,0,($AH29-$AI29)*$AK29/$AJ29)*MAX($AA29,$AB29))</f>
        <v/>
      </c>
      <c r="AX29" s="22" t="str">
        <f>IF($B29="","",(AV29+AW29)*$AC29)</f>
        <v/>
      </c>
      <c r="AY29" s="22" t="str">
        <f>IF($B29="","",AV29+AW29-AX29)</f>
        <v/>
      </c>
      <c r="AZ29" s="22" t="str">
        <f>IF($B29="","",AO29-AY29)</f>
        <v/>
      </c>
      <c r="BA29" s="22" t="str">
        <f>IF($B29="","",IF($AC29=1,N($R29)-($G29-AX29),0))</f>
        <v/>
      </c>
      <c r="BB29" s="22" t="str">
        <f>IF($B29="","",ROUND(AQ29-AW29,0))</f>
        <v/>
      </c>
      <c r="BC29" s="22" t="str">
        <f>IF($B29="","",ROUND(BA29-AU29,0))</f>
        <v/>
      </c>
      <c r="BD29" s="22" t="str">
        <f>IF($B29="","",BB29+BC29)</f>
        <v/>
      </c>
      <c r="BE29" s="22" t="str">
        <f>IF($B29="","",ROUND(AV29-AP29,0))</f>
        <v/>
      </c>
      <c r="BF29" s="22" t="str">
        <f>IF($B29="","",ROUND(AT29-AZ29,0))</f>
        <v/>
      </c>
      <c r="BG29" s="22" t="str">
        <f>IF($B29="","",ROUND(BF29*TarifPPh,0))</f>
        <v/>
      </c>
      <c r="BH29" t="str">
        <f>IF($B29="","",IF($D29="","Kategori kosong",IF($F29="","Tgl perolehan kosong",IF(N($H29)&gt;$G29,"Residu &gt; harga perolehan",IF(AND(LEFT($U29,8)="Bangunan",$W29="Saldo Menurun"),"Bangunan wajib Garis Lurus (Ps.11 UU PPh)",IF(AND($S29="Unit Produksi",N($K29)=0),"Isi kapasitas unit",IF(AND(OR($S29="Garis Lurus",$S29="Saldo Menurun"),N($T29)&lt;=0),"Umur komersial kosong",IF(AND(OR($W29="Garis Lurus",$W29="Saldo Menurun"),N($V29)&lt;=0),"Masa manfaat fiskal kosong",IF(AND($Q29&lt;&gt;"",$Q29&lt;$F29),"Tgl pelepasan &lt; perolehan","OK")))))))))</f>
        <v/>
      </c>
    </row>
    <row r="30" spans="1:60" x14ac:dyDescent="0.25">
      <c r="A30" t="str">
        <f>IF($B30="","",ROW()-6)</f>
        <v/>
      </c>
      <c r="B30" s="9"/>
      <c r="C30" s="9"/>
      <c r="D30" s="9"/>
      <c r="E30" s="9"/>
      <c r="F30" s="17"/>
      <c r="G30" s="18"/>
      <c r="H30" s="18"/>
      <c r="I30" s="9"/>
      <c r="J30" s="9"/>
      <c r="K30" s="19"/>
      <c r="L30" s="19"/>
      <c r="M30" s="19"/>
      <c r="N30" s="9"/>
      <c r="O30" s="9"/>
      <c r="P30" s="9"/>
      <c r="Q30" s="17"/>
      <c r="R30" s="18"/>
      <c r="S30" t="str">
        <f>IF($B30="","",IF($I30&lt;&gt;"",$I30,IFERROR(INDEX(Kat_Metode,MATCH($D30,Kat_Nama,0)),"")))</f>
        <v/>
      </c>
      <c r="T30" t="str">
        <f>IF($B30="","",IF($J30&lt;&gt;"",$J30,IFERROR(INDEX(Kat_Umur,MATCH($D30,Kat_Nama,0)),0)))</f>
        <v/>
      </c>
      <c r="U30" t="str">
        <f>IF($B30="","",IF($N30&lt;&gt;"",$N30,IFERROR(INDEX(Kat_Kelompok,MATCH($D30,Kat_Nama,0)),"")))</f>
        <v/>
      </c>
      <c r="V30" t="str">
        <f>IF($B30="","",IF($U30="Masa Manfaat Sebenarnya",N($O30),IFERROR(INDEX(Kel_Masa,MATCH($U30,Kel_Nama,0)),0)))</f>
        <v/>
      </c>
      <c r="W30" t="str">
        <f>IF($B30="","",IF($P30&lt;&gt;"",$P30,IF(OR($U30="Tidak Disusutkan",$V30=0),"Tidak Disusutkan","Garis Lurus")))</f>
        <v/>
      </c>
      <c r="X30" t="str">
        <f>IF($B30="","",IF($Y30&gt;TahunBuku*12+12,"Belum Diperoleh",IF($Z30&lt;=TahunBuku*12,"Dilepas (thn lalu)",IF($AC30=1,"Dilepas thn ini",IF($AB30=1,"Perolehan baru","Aktif")))))</f>
        <v/>
      </c>
      <c r="Y30" s="20" t="str">
        <f>IF($B30="","",YEAR($F30)*12+MONTH($F30))</f>
        <v/>
      </c>
      <c r="Z30" s="20" t="str">
        <f>IF($B30="","",IF($Q30="",99999,YEAR($Q30)*12+MONTH($Q30)))</f>
        <v/>
      </c>
      <c r="AA30" s="20" t="str">
        <f>IF($B30="","",--AND($Y30&lt;=TahunBuku*12,$Z30&gt;TahunBuku*12))</f>
        <v/>
      </c>
      <c r="AB30" s="20" t="str">
        <f>IF($B30="","",--AND($Y30&gt;TahunBuku*12,$Y30&lt;=TahunBuku*12+12))</f>
        <v/>
      </c>
      <c r="AC30" s="20" t="str">
        <f>IF($B30="","",--AND($Z30&gt;TahunBuku*12,$Z30&lt;=TahunBuku*12+12,$Y30&lt;=$Z30))</f>
        <v/>
      </c>
      <c r="AD30" s="21" t="str">
        <f>IF($B30="","",IFERROR(IF($S30="Garis Lurus",$G30-($G30-$H30)*MIN($T30*12,MAX(0,TahunBuku*12-$Y30+1))/($T30*12),IF($S30="Saldo Menurun",IF(TahunBuku-1&lt;YEAR($F30),$G30,IF(TahunBuku-1&gt;=INT(($Y30+$T30*12-2)/12),$H30,MAX($H30,$G30*(1-2/$T30*(13-MONTH($F30))/12)*(1-2/$T30)^(TahunBuku-1-YEAR($F30))))),IF($S30="Unit Produksi",$G30-($G30-$H30)*MIN(1,N($L30)/$K30),$G30))),$G30))</f>
        <v/>
      </c>
      <c r="AE30" s="21" t="str">
        <f>IF($B30="","",IFERROR(IF($S30="Garis Lurus",$G30-($G30-$H30)*MIN($T30*12,MAX(0,TahunBuku*12+12-$Y30+1))/($T30*12),IF($S30="Saldo Menurun",IF(TahunBuku&lt;YEAR($F30),$G30,IF(TahunBuku&gt;=INT(($Y30+$T30*12-2)/12),$H30,MAX($H30,$G30*(1-2/$T30*(13-MONTH($F30))/12)*(1-2/$T30)^(TahunBuku-YEAR($F30))))),IF($S30="Unit Produksi",$G30-($G30-$H30)*MIN(1,(N($L30)+N($M30))/$K30),$G30))),$G30))</f>
        <v/>
      </c>
      <c r="AF30" s="20" t="str">
        <f>IF($B30="","",IF(OR($S30="Garis Lurus",$S30="Saldo Menurun",$S30="Unit Produksi"),MAX(0,IF($S30="Unit Produksi",TahunBuku*12+12,MIN(TahunBuku*12+12,$Y30+$T30*12-1))-MAX(TahunBuku*12+1,$Y30)+1),0))</f>
        <v/>
      </c>
      <c r="AG30" s="20" t="str">
        <f>IF($B30="","",IF(OR($S30="Garis Lurus",$S30="Saldo Menurun",$S30="Unit Produksi"),MAX(0,MIN($Z30,IF($S30="Unit Produksi",TahunBuku*12+12,MIN(TahunBuku*12+12,$Y30+$T30*12-1)))-MAX(TahunBuku*12+1,$Y30)+1),0))</f>
        <v/>
      </c>
      <c r="AH30" s="21" t="str">
        <f>IF($B30="","",IFERROR(IF($W30="Garis Lurus",$G30*(1-MIN($V30*12,MAX(0,TahunBuku*12-$Y30+1))/($V30*12)),IF($W30="Saldo Menurun",IF(TahunBuku-1&lt;YEAR($F30),$G30,IF(TahunBuku-1&gt;=INT(($Y30+$V30*12-2)/12),0,$G30*(1-2/$V30*(13-MONTH($F30))/12)*(1-2/$V30)^(TahunBuku-1-YEAR($F30)))),$G30)),$G30))</f>
        <v/>
      </c>
      <c r="AI30" s="21" t="str">
        <f>IF($B30="","",IFERROR(IF($W30="Garis Lurus",$G30*(1-MIN($V30*12,MAX(0,TahunBuku*12+12-$Y30+1))/($V30*12)),IF($W30="Saldo Menurun",IF(TahunBuku&lt;YEAR($F30),$G30,IF(TahunBuku&gt;=INT(($Y30+$V30*12-2)/12),0,$G30*(1-2/$V30*(13-MONTH($F30))/12)*(1-2/$V30)^(TahunBuku-YEAR($F30)))),$G30)),$G30))</f>
        <v/>
      </c>
      <c r="AJ30" s="20" t="str">
        <f>IF($B30="","",IF(OR($W30="Garis Lurus",$W30="Saldo Menurun"),MAX(0,MIN(TahunBuku*12+12,$Y30+$V30*12-1)-MAX(TahunBuku*12+1,$Y30)+1),0))</f>
        <v/>
      </c>
      <c r="AK30" s="20" t="str">
        <f>IF($B30="","",IF(OR($W30="Garis Lurus",$W30="Saldo Menurun"),MAX(0,MIN($Z30,TahunBuku*12+12,$Y30+$V30*12-1)-MAX(TahunBuku*12+1,$Y30)+1),0))</f>
        <v/>
      </c>
      <c r="AL30" s="22" t="str">
        <f>IF($B30="","",$G30*$AA30)</f>
        <v/>
      </c>
      <c r="AM30" s="22" t="str">
        <f>IF($B30="","",$G30*$AB30)</f>
        <v/>
      </c>
      <c r="AN30" s="22" t="str">
        <f>IF($B30="","",$G30*$AC30)</f>
        <v/>
      </c>
      <c r="AO30" s="22" t="str">
        <f>IF($B30="","",AL30+AM30-AN30)</f>
        <v/>
      </c>
      <c r="AP30" s="22" t="str">
        <f>IF($B30="","",($G30-$AD30)*$AA30)</f>
        <v/>
      </c>
      <c r="AQ30" s="22" t="str">
        <f>IF($B30="","",IF($AF30=0,0,($AD30-$AE30)*$AG30/$AF30)*MAX($AA30,$AB30))</f>
        <v/>
      </c>
      <c r="AR30" s="22" t="str">
        <f>IF($B30="","",(AP30+AQ30)*$AC30)</f>
        <v/>
      </c>
      <c r="AS30" s="22" t="str">
        <f>IF($B30="","",AP30+AQ30-AR30)</f>
        <v/>
      </c>
      <c r="AT30" s="22" t="str">
        <f>IF($B30="","",AO30-AS30)</f>
        <v/>
      </c>
      <c r="AU30" s="22" t="str">
        <f>IF($B30="","",IF($AC30=1,N($R30)-($G30-AR30),0))</f>
        <v/>
      </c>
      <c r="AV30" s="22" t="str">
        <f>IF($B30="","",($G30-$AH30)*$AA30)</f>
        <v/>
      </c>
      <c r="AW30" s="22" t="str">
        <f>IF($B30="","",IF($AJ30=0,0,($AH30-$AI30)*$AK30/$AJ30)*MAX($AA30,$AB30))</f>
        <v/>
      </c>
      <c r="AX30" s="22" t="str">
        <f>IF($B30="","",(AV30+AW30)*$AC30)</f>
        <v/>
      </c>
      <c r="AY30" s="22" t="str">
        <f>IF($B30="","",AV30+AW30-AX30)</f>
        <v/>
      </c>
      <c r="AZ30" s="22" t="str">
        <f>IF($B30="","",AO30-AY30)</f>
        <v/>
      </c>
      <c r="BA30" s="22" t="str">
        <f>IF($B30="","",IF($AC30=1,N($R30)-($G30-AX30),0))</f>
        <v/>
      </c>
      <c r="BB30" s="22" t="str">
        <f>IF($B30="","",ROUND(AQ30-AW30,0))</f>
        <v/>
      </c>
      <c r="BC30" s="22" t="str">
        <f>IF($B30="","",ROUND(BA30-AU30,0))</f>
        <v/>
      </c>
      <c r="BD30" s="22" t="str">
        <f>IF($B30="","",BB30+BC30)</f>
        <v/>
      </c>
      <c r="BE30" s="22" t="str">
        <f>IF($B30="","",ROUND(AV30-AP30,0))</f>
        <v/>
      </c>
      <c r="BF30" s="22" t="str">
        <f>IF($B30="","",ROUND(AT30-AZ30,0))</f>
        <v/>
      </c>
      <c r="BG30" s="22" t="str">
        <f>IF($B30="","",ROUND(BF30*TarifPPh,0))</f>
        <v/>
      </c>
      <c r="BH30" t="str">
        <f>IF($B30="","",IF($D30="","Kategori kosong",IF($F30="","Tgl perolehan kosong",IF(N($H30)&gt;$G30,"Residu &gt; harga perolehan",IF(AND(LEFT($U30,8)="Bangunan",$W30="Saldo Menurun"),"Bangunan wajib Garis Lurus (Ps.11 UU PPh)",IF(AND($S30="Unit Produksi",N($K30)=0),"Isi kapasitas unit",IF(AND(OR($S30="Garis Lurus",$S30="Saldo Menurun"),N($T30)&lt;=0),"Umur komersial kosong",IF(AND(OR($W30="Garis Lurus",$W30="Saldo Menurun"),N($V30)&lt;=0),"Masa manfaat fiskal kosong",IF(AND($Q30&lt;&gt;"",$Q30&lt;$F30),"Tgl pelepasan &lt; perolehan","OK")))))))))</f>
        <v/>
      </c>
    </row>
    <row r="31" spans="1:60" x14ac:dyDescent="0.25">
      <c r="A31" t="str">
        <f>IF($B31="","",ROW()-6)</f>
        <v/>
      </c>
      <c r="B31" s="9"/>
      <c r="C31" s="9"/>
      <c r="D31" s="9"/>
      <c r="E31" s="9"/>
      <c r="F31" s="17"/>
      <c r="G31" s="18"/>
      <c r="H31" s="18"/>
      <c r="I31" s="9"/>
      <c r="J31" s="9"/>
      <c r="K31" s="19"/>
      <c r="L31" s="19"/>
      <c r="M31" s="19"/>
      <c r="N31" s="9"/>
      <c r="O31" s="9"/>
      <c r="P31" s="9"/>
      <c r="Q31" s="17"/>
      <c r="R31" s="18"/>
      <c r="S31" t="str">
        <f>IF($B31="","",IF($I31&lt;&gt;"",$I31,IFERROR(INDEX(Kat_Metode,MATCH($D31,Kat_Nama,0)),"")))</f>
        <v/>
      </c>
      <c r="T31" t="str">
        <f>IF($B31="","",IF($J31&lt;&gt;"",$J31,IFERROR(INDEX(Kat_Umur,MATCH($D31,Kat_Nama,0)),0)))</f>
        <v/>
      </c>
      <c r="U31" t="str">
        <f>IF($B31="","",IF($N31&lt;&gt;"",$N31,IFERROR(INDEX(Kat_Kelompok,MATCH($D31,Kat_Nama,0)),"")))</f>
        <v/>
      </c>
      <c r="V31" t="str">
        <f>IF($B31="","",IF($U31="Masa Manfaat Sebenarnya",N($O31),IFERROR(INDEX(Kel_Masa,MATCH($U31,Kel_Nama,0)),0)))</f>
        <v/>
      </c>
      <c r="W31" t="str">
        <f>IF($B31="","",IF($P31&lt;&gt;"",$P31,IF(OR($U31="Tidak Disusutkan",$V31=0),"Tidak Disusutkan","Garis Lurus")))</f>
        <v/>
      </c>
      <c r="X31" t="str">
        <f>IF($B31="","",IF($Y31&gt;TahunBuku*12+12,"Belum Diperoleh",IF($Z31&lt;=TahunBuku*12,"Dilepas (thn lalu)",IF($AC31=1,"Dilepas thn ini",IF($AB31=1,"Perolehan baru","Aktif")))))</f>
        <v/>
      </c>
      <c r="Y31" s="20" t="str">
        <f>IF($B31="","",YEAR($F31)*12+MONTH($F31))</f>
        <v/>
      </c>
      <c r="Z31" s="20" t="str">
        <f>IF($B31="","",IF($Q31="",99999,YEAR($Q31)*12+MONTH($Q31)))</f>
        <v/>
      </c>
      <c r="AA31" s="20" t="str">
        <f>IF($B31="","",--AND($Y31&lt;=TahunBuku*12,$Z31&gt;TahunBuku*12))</f>
        <v/>
      </c>
      <c r="AB31" s="20" t="str">
        <f>IF($B31="","",--AND($Y31&gt;TahunBuku*12,$Y31&lt;=TahunBuku*12+12))</f>
        <v/>
      </c>
      <c r="AC31" s="20" t="str">
        <f>IF($B31="","",--AND($Z31&gt;TahunBuku*12,$Z31&lt;=TahunBuku*12+12,$Y31&lt;=$Z31))</f>
        <v/>
      </c>
      <c r="AD31" s="21" t="str">
        <f>IF($B31="","",IFERROR(IF($S31="Garis Lurus",$G31-($G31-$H31)*MIN($T31*12,MAX(0,TahunBuku*12-$Y31+1))/($T31*12),IF($S31="Saldo Menurun",IF(TahunBuku-1&lt;YEAR($F31),$G31,IF(TahunBuku-1&gt;=INT(($Y31+$T31*12-2)/12),$H31,MAX($H31,$G31*(1-2/$T31*(13-MONTH($F31))/12)*(1-2/$T31)^(TahunBuku-1-YEAR($F31))))),IF($S31="Unit Produksi",$G31-($G31-$H31)*MIN(1,N($L31)/$K31),$G31))),$G31))</f>
        <v/>
      </c>
      <c r="AE31" s="21" t="str">
        <f>IF($B31="","",IFERROR(IF($S31="Garis Lurus",$G31-($G31-$H31)*MIN($T31*12,MAX(0,TahunBuku*12+12-$Y31+1))/($T31*12),IF($S31="Saldo Menurun",IF(TahunBuku&lt;YEAR($F31),$G31,IF(TahunBuku&gt;=INT(($Y31+$T31*12-2)/12),$H31,MAX($H31,$G31*(1-2/$T31*(13-MONTH($F31))/12)*(1-2/$T31)^(TahunBuku-YEAR($F31))))),IF($S31="Unit Produksi",$G31-($G31-$H31)*MIN(1,(N($L31)+N($M31))/$K31),$G31))),$G31))</f>
        <v/>
      </c>
      <c r="AF31" s="20" t="str">
        <f>IF($B31="","",IF(OR($S31="Garis Lurus",$S31="Saldo Menurun",$S31="Unit Produksi"),MAX(0,IF($S31="Unit Produksi",TahunBuku*12+12,MIN(TahunBuku*12+12,$Y31+$T31*12-1))-MAX(TahunBuku*12+1,$Y31)+1),0))</f>
        <v/>
      </c>
      <c r="AG31" s="20" t="str">
        <f>IF($B31="","",IF(OR($S31="Garis Lurus",$S31="Saldo Menurun",$S31="Unit Produksi"),MAX(0,MIN($Z31,IF($S31="Unit Produksi",TahunBuku*12+12,MIN(TahunBuku*12+12,$Y31+$T31*12-1)))-MAX(TahunBuku*12+1,$Y31)+1),0))</f>
        <v/>
      </c>
      <c r="AH31" s="21" t="str">
        <f>IF($B31="","",IFERROR(IF($W31="Garis Lurus",$G31*(1-MIN($V31*12,MAX(0,TahunBuku*12-$Y31+1))/($V31*12)),IF($W31="Saldo Menurun",IF(TahunBuku-1&lt;YEAR($F31),$G31,IF(TahunBuku-1&gt;=INT(($Y31+$V31*12-2)/12),0,$G31*(1-2/$V31*(13-MONTH($F31))/12)*(1-2/$V31)^(TahunBuku-1-YEAR($F31)))),$G31)),$G31))</f>
        <v/>
      </c>
      <c r="AI31" s="21" t="str">
        <f>IF($B31="","",IFERROR(IF($W31="Garis Lurus",$G31*(1-MIN($V31*12,MAX(0,TahunBuku*12+12-$Y31+1))/($V31*12)),IF($W31="Saldo Menurun",IF(TahunBuku&lt;YEAR($F31),$G31,IF(TahunBuku&gt;=INT(($Y31+$V31*12-2)/12),0,$G31*(1-2/$V31*(13-MONTH($F31))/12)*(1-2/$V31)^(TahunBuku-YEAR($F31)))),$G31)),$G31))</f>
        <v/>
      </c>
      <c r="AJ31" s="20" t="str">
        <f>IF($B31="","",IF(OR($W31="Garis Lurus",$W31="Saldo Menurun"),MAX(0,MIN(TahunBuku*12+12,$Y31+$V31*12-1)-MAX(TahunBuku*12+1,$Y31)+1),0))</f>
        <v/>
      </c>
      <c r="AK31" s="20" t="str">
        <f>IF($B31="","",IF(OR($W31="Garis Lurus",$W31="Saldo Menurun"),MAX(0,MIN($Z31,TahunBuku*12+12,$Y31+$V31*12-1)-MAX(TahunBuku*12+1,$Y31)+1),0))</f>
        <v/>
      </c>
      <c r="AL31" s="22" t="str">
        <f>IF($B31="","",$G31*$AA31)</f>
        <v/>
      </c>
      <c r="AM31" s="22" t="str">
        <f>IF($B31="","",$G31*$AB31)</f>
        <v/>
      </c>
      <c r="AN31" s="22" t="str">
        <f>IF($B31="","",$G31*$AC31)</f>
        <v/>
      </c>
      <c r="AO31" s="22" t="str">
        <f>IF($B31="","",AL31+AM31-AN31)</f>
        <v/>
      </c>
      <c r="AP31" s="22" t="str">
        <f>IF($B31="","",($G31-$AD31)*$AA31)</f>
        <v/>
      </c>
      <c r="AQ31" s="22" t="str">
        <f>IF($B31="","",IF($AF31=0,0,($AD31-$AE31)*$AG31/$AF31)*MAX($AA31,$AB31))</f>
        <v/>
      </c>
      <c r="AR31" s="22" t="str">
        <f>IF($B31="","",(AP31+AQ31)*$AC31)</f>
        <v/>
      </c>
      <c r="AS31" s="22" t="str">
        <f>IF($B31="","",AP31+AQ31-AR31)</f>
        <v/>
      </c>
      <c r="AT31" s="22" t="str">
        <f>IF($B31="","",AO31-AS31)</f>
        <v/>
      </c>
      <c r="AU31" s="22" t="str">
        <f>IF($B31="","",IF($AC31=1,N($R31)-($G31-AR31),0))</f>
        <v/>
      </c>
      <c r="AV31" s="22" t="str">
        <f>IF($B31="","",($G31-$AH31)*$AA31)</f>
        <v/>
      </c>
      <c r="AW31" s="22" t="str">
        <f>IF($B31="","",IF($AJ31=0,0,($AH31-$AI31)*$AK31/$AJ31)*MAX($AA31,$AB31))</f>
        <v/>
      </c>
      <c r="AX31" s="22" t="str">
        <f>IF($B31="","",(AV31+AW31)*$AC31)</f>
        <v/>
      </c>
      <c r="AY31" s="22" t="str">
        <f>IF($B31="","",AV31+AW31-AX31)</f>
        <v/>
      </c>
      <c r="AZ31" s="22" t="str">
        <f>IF($B31="","",AO31-AY31)</f>
        <v/>
      </c>
      <c r="BA31" s="22" t="str">
        <f>IF($B31="","",IF($AC31=1,N($R31)-($G31-AX31),0))</f>
        <v/>
      </c>
      <c r="BB31" s="22" t="str">
        <f>IF($B31="","",ROUND(AQ31-AW31,0))</f>
        <v/>
      </c>
      <c r="BC31" s="22" t="str">
        <f>IF($B31="","",ROUND(BA31-AU31,0))</f>
        <v/>
      </c>
      <c r="BD31" s="22" t="str">
        <f>IF($B31="","",BB31+BC31)</f>
        <v/>
      </c>
      <c r="BE31" s="22" t="str">
        <f>IF($B31="","",ROUND(AV31-AP31,0))</f>
        <v/>
      </c>
      <c r="BF31" s="22" t="str">
        <f>IF($B31="","",ROUND(AT31-AZ31,0))</f>
        <v/>
      </c>
      <c r="BG31" s="22" t="str">
        <f>IF($B31="","",ROUND(BF31*TarifPPh,0))</f>
        <v/>
      </c>
      <c r="BH31" t="str">
        <f>IF($B31="","",IF($D31="","Kategori kosong",IF($F31="","Tgl perolehan kosong",IF(N($H31)&gt;$G31,"Residu &gt; harga perolehan",IF(AND(LEFT($U31,8)="Bangunan",$W31="Saldo Menurun"),"Bangunan wajib Garis Lurus (Ps.11 UU PPh)",IF(AND($S31="Unit Produksi",N($K31)=0),"Isi kapasitas unit",IF(AND(OR($S31="Garis Lurus",$S31="Saldo Menurun"),N($T31)&lt;=0),"Umur komersial kosong",IF(AND(OR($W31="Garis Lurus",$W31="Saldo Menurun"),N($V31)&lt;=0),"Masa manfaat fiskal kosong",IF(AND($Q31&lt;&gt;"",$Q31&lt;$F31),"Tgl pelepasan &lt; perolehan","OK")))))))))</f>
        <v/>
      </c>
    </row>
    <row r="32" spans="1:60" x14ac:dyDescent="0.25">
      <c r="A32" t="str">
        <f>IF($B32="","",ROW()-6)</f>
        <v/>
      </c>
      <c r="B32" s="9"/>
      <c r="C32" s="9"/>
      <c r="D32" s="9"/>
      <c r="E32" s="9"/>
      <c r="F32" s="17"/>
      <c r="G32" s="18"/>
      <c r="H32" s="18"/>
      <c r="I32" s="9"/>
      <c r="J32" s="9"/>
      <c r="K32" s="19"/>
      <c r="L32" s="19"/>
      <c r="M32" s="19"/>
      <c r="N32" s="9"/>
      <c r="O32" s="9"/>
      <c r="P32" s="9"/>
      <c r="Q32" s="17"/>
      <c r="R32" s="18"/>
      <c r="S32" t="str">
        <f>IF($B32="","",IF($I32&lt;&gt;"",$I32,IFERROR(INDEX(Kat_Metode,MATCH($D32,Kat_Nama,0)),"")))</f>
        <v/>
      </c>
      <c r="T32" t="str">
        <f>IF($B32="","",IF($J32&lt;&gt;"",$J32,IFERROR(INDEX(Kat_Umur,MATCH($D32,Kat_Nama,0)),0)))</f>
        <v/>
      </c>
      <c r="U32" t="str">
        <f>IF($B32="","",IF($N32&lt;&gt;"",$N32,IFERROR(INDEX(Kat_Kelompok,MATCH($D32,Kat_Nama,0)),"")))</f>
        <v/>
      </c>
      <c r="V32" t="str">
        <f>IF($B32="","",IF($U32="Masa Manfaat Sebenarnya",N($O32),IFERROR(INDEX(Kel_Masa,MATCH($U32,Kel_Nama,0)),0)))</f>
        <v/>
      </c>
      <c r="W32" t="str">
        <f>IF($B32="","",IF($P32&lt;&gt;"",$P32,IF(OR($U32="Tidak Disusutkan",$V32=0),"Tidak Disusutkan","Garis Lurus")))</f>
        <v/>
      </c>
      <c r="X32" t="str">
        <f>IF($B32="","",IF($Y32&gt;TahunBuku*12+12,"Belum Diperoleh",IF($Z32&lt;=TahunBuku*12,"Dilepas (thn lalu)",IF($AC32=1,"Dilepas thn ini",IF($AB32=1,"Perolehan baru","Aktif")))))</f>
        <v/>
      </c>
      <c r="Y32" s="20" t="str">
        <f>IF($B32="","",YEAR($F32)*12+MONTH($F32))</f>
        <v/>
      </c>
      <c r="Z32" s="20" t="str">
        <f>IF($B32="","",IF($Q32="",99999,YEAR($Q32)*12+MONTH($Q32)))</f>
        <v/>
      </c>
      <c r="AA32" s="20" t="str">
        <f>IF($B32="","",--AND($Y32&lt;=TahunBuku*12,$Z32&gt;TahunBuku*12))</f>
        <v/>
      </c>
      <c r="AB32" s="20" t="str">
        <f>IF($B32="","",--AND($Y32&gt;TahunBuku*12,$Y32&lt;=TahunBuku*12+12))</f>
        <v/>
      </c>
      <c r="AC32" s="20" t="str">
        <f>IF($B32="","",--AND($Z32&gt;TahunBuku*12,$Z32&lt;=TahunBuku*12+12,$Y32&lt;=$Z32))</f>
        <v/>
      </c>
      <c r="AD32" s="21" t="str">
        <f>IF($B32="","",IFERROR(IF($S32="Garis Lurus",$G32-($G32-$H32)*MIN($T32*12,MAX(0,TahunBuku*12-$Y32+1))/($T32*12),IF($S32="Saldo Menurun",IF(TahunBuku-1&lt;YEAR($F32),$G32,IF(TahunBuku-1&gt;=INT(($Y32+$T32*12-2)/12),$H32,MAX($H32,$G32*(1-2/$T32*(13-MONTH($F32))/12)*(1-2/$T32)^(TahunBuku-1-YEAR($F32))))),IF($S32="Unit Produksi",$G32-($G32-$H32)*MIN(1,N($L32)/$K32),$G32))),$G32))</f>
        <v/>
      </c>
      <c r="AE32" s="21" t="str">
        <f>IF($B32="","",IFERROR(IF($S32="Garis Lurus",$G32-($G32-$H32)*MIN($T32*12,MAX(0,TahunBuku*12+12-$Y32+1))/($T32*12),IF($S32="Saldo Menurun",IF(TahunBuku&lt;YEAR($F32),$G32,IF(TahunBuku&gt;=INT(($Y32+$T32*12-2)/12),$H32,MAX($H32,$G32*(1-2/$T32*(13-MONTH($F32))/12)*(1-2/$T32)^(TahunBuku-YEAR($F32))))),IF($S32="Unit Produksi",$G32-($G32-$H32)*MIN(1,(N($L32)+N($M32))/$K32),$G32))),$G32))</f>
        <v/>
      </c>
      <c r="AF32" s="20" t="str">
        <f>IF($B32="","",IF(OR($S32="Garis Lurus",$S32="Saldo Menurun",$S32="Unit Produksi"),MAX(0,IF($S32="Unit Produksi",TahunBuku*12+12,MIN(TahunBuku*12+12,$Y32+$T32*12-1))-MAX(TahunBuku*12+1,$Y32)+1),0))</f>
        <v/>
      </c>
      <c r="AG32" s="20" t="str">
        <f>IF($B32="","",IF(OR($S32="Garis Lurus",$S32="Saldo Menurun",$S32="Unit Produksi"),MAX(0,MIN($Z32,IF($S32="Unit Produksi",TahunBuku*12+12,MIN(TahunBuku*12+12,$Y32+$T32*12-1)))-MAX(TahunBuku*12+1,$Y32)+1),0))</f>
        <v/>
      </c>
      <c r="AH32" s="21" t="str">
        <f>IF($B32="","",IFERROR(IF($W32="Garis Lurus",$G32*(1-MIN($V32*12,MAX(0,TahunBuku*12-$Y32+1))/($V32*12)),IF($W32="Saldo Menurun",IF(TahunBuku-1&lt;YEAR($F32),$G32,IF(TahunBuku-1&gt;=INT(($Y32+$V32*12-2)/12),0,$G32*(1-2/$V32*(13-MONTH($F32))/12)*(1-2/$V32)^(TahunBuku-1-YEAR($F32)))),$G32)),$G32))</f>
        <v/>
      </c>
      <c r="AI32" s="21" t="str">
        <f>IF($B32="","",IFERROR(IF($W32="Garis Lurus",$G32*(1-MIN($V32*12,MAX(0,TahunBuku*12+12-$Y32+1))/($V32*12)),IF($W32="Saldo Menurun",IF(TahunBuku&lt;YEAR($F32),$G32,IF(TahunBuku&gt;=INT(($Y32+$V32*12-2)/12),0,$G32*(1-2/$V32*(13-MONTH($F32))/12)*(1-2/$V32)^(TahunBuku-YEAR($F32)))),$G32)),$G32))</f>
        <v/>
      </c>
      <c r="AJ32" s="20" t="str">
        <f>IF($B32="","",IF(OR($W32="Garis Lurus",$W32="Saldo Menurun"),MAX(0,MIN(TahunBuku*12+12,$Y32+$V32*12-1)-MAX(TahunBuku*12+1,$Y32)+1),0))</f>
        <v/>
      </c>
      <c r="AK32" s="20" t="str">
        <f>IF($B32="","",IF(OR($W32="Garis Lurus",$W32="Saldo Menurun"),MAX(0,MIN($Z32,TahunBuku*12+12,$Y32+$V32*12-1)-MAX(TahunBuku*12+1,$Y32)+1),0))</f>
        <v/>
      </c>
      <c r="AL32" s="22" t="str">
        <f>IF($B32="","",$G32*$AA32)</f>
        <v/>
      </c>
      <c r="AM32" s="22" t="str">
        <f>IF($B32="","",$G32*$AB32)</f>
        <v/>
      </c>
      <c r="AN32" s="22" t="str">
        <f>IF($B32="","",$G32*$AC32)</f>
        <v/>
      </c>
      <c r="AO32" s="22" t="str">
        <f>IF($B32="","",AL32+AM32-AN32)</f>
        <v/>
      </c>
      <c r="AP32" s="22" t="str">
        <f>IF($B32="","",($G32-$AD32)*$AA32)</f>
        <v/>
      </c>
      <c r="AQ32" s="22" t="str">
        <f>IF($B32="","",IF($AF32=0,0,($AD32-$AE32)*$AG32/$AF32)*MAX($AA32,$AB32))</f>
        <v/>
      </c>
      <c r="AR32" s="22" t="str">
        <f>IF($B32="","",(AP32+AQ32)*$AC32)</f>
        <v/>
      </c>
      <c r="AS32" s="22" t="str">
        <f>IF($B32="","",AP32+AQ32-AR32)</f>
        <v/>
      </c>
      <c r="AT32" s="22" t="str">
        <f>IF($B32="","",AO32-AS32)</f>
        <v/>
      </c>
      <c r="AU32" s="22" t="str">
        <f>IF($B32="","",IF($AC32=1,N($R32)-($G32-AR32),0))</f>
        <v/>
      </c>
      <c r="AV32" s="22" t="str">
        <f>IF($B32="","",($G32-$AH32)*$AA32)</f>
        <v/>
      </c>
      <c r="AW32" s="22" t="str">
        <f>IF($B32="","",IF($AJ32=0,0,($AH32-$AI32)*$AK32/$AJ32)*MAX($AA32,$AB32))</f>
        <v/>
      </c>
      <c r="AX32" s="22" t="str">
        <f>IF($B32="","",(AV32+AW32)*$AC32)</f>
        <v/>
      </c>
      <c r="AY32" s="22" t="str">
        <f>IF($B32="","",AV32+AW32-AX32)</f>
        <v/>
      </c>
      <c r="AZ32" s="22" t="str">
        <f>IF($B32="","",AO32-AY32)</f>
        <v/>
      </c>
      <c r="BA32" s="22" t="str">
        <f>IF($B32="","",IF($AC32=1,N($R32)-($G32-AX32),0))</f>
        <v/>
      </c>
      <c r="BB32" s="22" t="str">
        <f>IF($B32="","",ROUND(AQ32-AW32,0))</f>
        <v/>
      </c>
      <c r="BC32" s="22" t="str">
        <f>IF($B32="","",ROUND(BA32-AU32,0))</f>
        <v/>
      </c>
      <c r="BD32" s="22" t="str">
        <f>IF($B32="","",BB32+BC32)</f>
        <v/>
      </c>
      <c r="BE32" s="22" t="str">
        <f>IF($B32="","",ROUND(AV32-AP32,0))</f>
        <v/>
      </c>
      <c r="BF32" s="22" t="str">
        <f>IF($B32="","",ROUND(AT32-AZ32,0))</f>
        <v/>
      </c>
      <c r="BG32" s="22" t="str">
        <f>IF($B32="","",ROUND(BF32*TarifPPh,0))</f>
        <v/>
      </c>
      <c r="BH32" t="str">
        <f>IF($B32="","",IF($D32="","Kategori kosong",IF($F32="","Tgl perolehan kosong",IF(N($H32)&gt;$G32,"Residu &gt; harga perolehan",IF(AND(LEFT($U32,8)="Bangunan",$W32="Saldo Menurun"),"Bangunan wajib Garis Lurus (Ps.11 UU PPh)",IF(AND($S32="Unit Produksi",N($K32)=0),"Isi kapasitas unit",IF(AND(OR($S32="Garis Lurus",$S32="Saldo Menurun"),N($T32)&lt;=0),"Umur komersial kosong",IF(AND(OR($W32="Garis Lurus",$W32="Saldo Menurun"),N($V32)&lt;=0),"Masa manfaat fiskal kosong",IF(AND($Q32&lt;&gt;"",$Q32&lt;$F32),"Tgl pelepasan &lt; perolehan","OK")))))))))</f>
        <v/>
      </c>
    </row>
    <row r="33" spans="1:60" x14ac:dyDescent="0.25">
      <c r="A33" t="str">
        <f>IF($B33="","",ROW()-6)</f>
        <v/>
      </c>
      <c r="B33" s="9"/>
      <c r="C33" s="9"/>
      <c r="D33" s="9"/>
      <c r="E33" s="9"/>
      <c r="F33" s="17"/>
      <c r="G33" s="18"/>
      <c r="H33" s="18"/>
      <c r="I33" s="9"/>
      <c r="J33" s="9"/>
      <c r="K33" s="19"/>
      <c r="L33" s="19"/>
      <c r="M33" s="19"/>
      <c r="N33" s="9"/>
      <c r="O33" s="9"/>
      <c r="P33" s="9"/>
      <c r="Q33" s="17"/>
      <c r="R33" s="18"/>
      <c r="S33" t="str">
        <f>IF($B33="","",IF($I33&lt;&gt;"",$I33,IFERROR(INDEX(Kat_Metode,MATCH($D33,Kat_Nama,0)),"")))</f>
        <v/>
      </c>
      <c r="T33" t="str">
        <f>IF($B33="","",IF($J33&lt;&gt;"",$J33,IFERROR(INDEX(Kat_Umur,MATCH($D33,Kat_Nama,0)),0)))</f>
        <v/>
      </c>
      <c r="U33" t="str">
        <f>IF($B33="","",IF($N33&lt;&gt;"",$N33,IFERROR(INDEX(Kat_Kelompok,MATCH($D33,Kat_Nama,0)),"")))</f>
        <v/>
      </c>
      <c r="V33" t="str">
        <f>IF($B33="","",IF($U33="Masa Manfaat Sebenarnya",N($O33),IFERROR(INDEX(Kel_Masa,MATCH($U33,Kel_Nama,0)),0)))</f>
        <v/>
      </c>
      <c r="W33" t="str">
        <f>IF($B33="","",IF($P33&lt;&gt;"",$P33,IF(OR($U33="Tidak Disusutkan",$V33=0),"Tidak Disusutkan","Garis Lurus")))</f>
        <v/>
      </c>
      <c r="X33" t="str">
        <f>IF($B33="","",IF($Y33&gt;TahunBuku*12+12,"Belum Diperoleh",IF($Z33&lt;=TahunBuku*12,"Dilepas (thn lalu)",IF($AC33=1,"Dilepas thn ini",IF($AB33=1,"Perolehan baru","Aktif")))))</f>
        <v/>
      </c>
      <c r="Y33" s="20" t="str">
        <f>IF($B33="","",YEAR($F33)*12+MONTH($F33))</f>
        <v/>
      </c>
      <c r="Z33" s="20" t="str">
        <f>IF($B33="","",IF($Q33="",99999,YEAR($Q33)*12+MONTH($Q33)))</f>
        <v/>
      </c>
      <c r="AA33" s="20" t="str">
        <f>IF($B33="","",--AND($Y33&lt;=TahunBuku*12,$Z33&gt;TahunBuku*12))</f>
        <v/>
      </c>
      <c r="AB33" s="20" t="str">
        <f>IF($B33="","",--AND($Y33&gt;TahunBuku*12,$Y33&lt;=TahunBuku*12+12))</f>
        <v/>
      </c>
      <c r="AC33" s="20" t="str">
        <f>IF($B33="","",--AND($Z33&gt;TahunBuku*12,$Z33&lt;=TahunBuku*12+12,$Y33&lt;=$Z33))</f>
        <v/>
      </c>
      <c r="AD33" s="21" t="str">
        <f>IF($B33="","",IFERROR(IF($S33="Garis Lurus",$G33-($G33-$H33)*MIN($T33*12,MAX(0,TahunBuku*12-$Y33+1))/($T33*12),IF($S33="Saldo Menurun",IF(TahunBuku-1&lt;YEAR($F33),$G33,IF(TahunBuku-1&gt;=INT(($Y33+$T33*12-2)/12),$H33,MAX($H33,$G33*(1-2/$T33*(13-MONTH($F33))/12)*(1-2/$T33)^(TahunBuku-1-YEAR($F33))))),IF($S33="Unit Produksi",$G33-($G33-$H33)*MIN(1,N($L33)/$K33),$G33))),$G33))</f>
        <v/>
      </c>
      <c r="AE33" s="21" t="str">
        <f>IF($B33="","",IFERROR(IF($S33="Garis Lurus",$G33-($G33-$H33)*MIN($T33*12,MAX(0,TahunBuku*12+12-$Y33+1))/($T33*12),IF($S33="Saldo Menurun",IF(TahunBuku&lt;YEAR($F33),$G33,IF(TahunBuku&gt;=INT(($Y33+$T33*12-2)/12),$H33,MAX($H33,$G33*(1-2/$T33*(13-MONTH($F33))/12)*(1-2/$T33)^(TahunBuku-YEAR($F33))))),IF($S33="Unit Produksi",$G33-($G33-$H33)*MIN(1,(N($L33)+N($M33))/$K33),$G33))),$G33))</f>
        <v/>
      </c>
      <c r="AF33" s="20" t="str">
        <f>IF($B33="","",IF(OR($S33="Garis Lurus",$S33="Saldo Menurun",$S33="Unit Produksi"),MAX(0,IF($S33="Unit Produksi",TahunBuku*12+12,MIN(TahunBuku*12+12,$Y33+$T33*12-1))-MAX(TahunBuku*12+1,$Y33)+1),0))</f>
        <v/>
      </c>
      <c r="AG33" s="20" t="str">
        <f>IF($B33="","",IF(OR($S33="Garis Lurus",$S33="Saldo Menurun",$S33="Unit Produksi"),MAX(0,MIN($Z33,IF($S33="Unit Produksi",TahunBuku*12+12,MIN(TahunBuku*12+12,$Y33+$T33*12-1)))-MAX(TahunBuku*12+1,$Y33)+1),0))</f>
        <v/>
      </c>
      <c r="AH33" s="21" t="str">
        <f>IF($B33="","",IFERROR(IF($W33="Garis Lurus",$G33*(1-MIN($V33*12,MAX(0,TahunBuku*12-$Y33+1))/($V33*12)),IF($W33="Saldo Menurun",IF(TahunBuku-1&lt;YEAR($F33),$G33,IF(TahunBuku-1&gt;=INT(($Y33+$V33*12-2)/12),0,$G33*(1-2/$V33*(13-MONTH($F33))/12)*(1-2/$V33)^(TahunBuku-1-YEAR($F33)))),$G33)),$G33))</f>
        <v/>
      </c>
      <c r="AI33" s="21" t="str">
        <f>IF($B33="","",IFERROR(IF($W33="Garis Lurus",$G33*(1-MIN($V33*12,MAX(0,TahunBuku*12+12-$Y33+1))/($V33*12)),IF($W33="Saldo Menurun",IF(TahunBuku&lt;YEAR($F33),$G33,IF(TahunBuku&gt;=INT(($Y33+$V33*12-2)/12),0,$G33*(1-2/$V33*(13-MONTH($F33))/12)*(1-2/$V33)^(TahunBuku-YEAR($F33)))),$G33)),$G33))</f>
        <v/>
      </c>
      <c r="AJ33" s="20" t="str">
        <f>IF($B33="","",IF(OR($W33="Garis Lurus",$W33="Saldo Menurun"),MAX(0,MIN(TahunBuku*12+12,$Y33+$V33*12-1)-MAX(TahunBuku*12+1,$Y33)+1),0))</f>
        <v/>
      </c>
      <c r="AK33" s="20" t="str">
        <f>IF($B33="","",IF(OR($W33="Garis Lurus",$W33="Saldo Menurun"),MAX(0,MIN($Z33,TahunBuku*12+12,$Y33+$V33*12-1)-MAX(TahunBuku*12+1,$Y33)+1),0))</f>
        <v/>
      </c>
      <c r="AL33" s="22" t="str">
        <f>IF($B33="","",$G33*$AA33)</f>
        <v/>
      </c>
      <c r="AM33" s="22" t="str">
        <f>IF($B33="","",$G33*$AB33)</f>
        <v/>
      </c>
      <c r="AN33" s="22" t="str">
        <f>IF($B33="","",$G33*$AC33)</f>
        <v/>
      </c>
      <c r="AO33" s="22" t="str">
        <f>IF($B33="","",AL33+AM33-AN33)</f>
        <v/>
      </c>
      <c r="AP33" s="22" t="str">
        <f>IF($B33="","",($G33-$AD33)*$AA33)</f>
        <v/>
      </c>
      <c r="AQ33" s="22" t="str">
        <f>IF($B33="","",IF($AF33=0,0,($AD33-$AE33)*$AG33/$AF33)*MAX($AA33,$AB33))</f>
        <v/>
      </c>
      <c r="AR33" s="22" t="str">
        <f>IF($B33="","",(AP33+AQ33)*$AC33)</f>
        <v/>
      </c>
      <c r="AS33" s="22" t="str">
        <f>IF($B33="","",AP33+AQ33-AR33)</f>
        <v/>
      </c>
      <c r="AT33" s="22" t="str">
        <f>IF($B33="","",AO33-AS33)</f>
        <v/>
      </c>
      <c r="AU33" s="22" t="str">
        <f>IF($B33="","",IF($AC33=1,N($R33)-($G33-AR33),0))</f>
        <v/>
      </c>
      <c r="AV33" s="22" t="str">
        <f>IF($B33="","",($G33-$AH33)*$AA33)</f>
        <v/>
      </c>
      <c r="AW33" s="22" t="str">
        <f>IF($B33="","",IF($AJ33=0,0,($AH33-$AI33)*$AK33/$AJ33)*MAX($AA33,$AB33))</f>
        <v/>
      </c>
      <c r="AX33" s="22" t="str">
        <f>IF($B33="","",(AV33+AW33)*$AC33)</f>
        <v/>
      </c>
      <c r="AY33" s="22" t="str">
        <f>IF($B33="","",AV33+AW33-AX33)</f>
        <v/>
      </c>
      <c r="AZ33" s="22" t="str">
        <f>IF($B33="","",AO33-AY33)</f>
        <v/>
      </c>
      <c r="BA33" s="22" t="str">
        <f>IF($B33="","",IF($AC33=1,N($R33)-($G33-AX33),0))</f>
        <v/>
      </c>
      <c r="BB33" s="22" t="str">
        <f>IF($B33="","",ROUND(AQ33-AW33,0))</f>
        <v/>
      </c>
      <c r="BC33" s="22" t="str">
        <f>IF($B33="","",ROUND(BA33-AU33,0))</f>
        <v/>
      </c>
      <c r="BD33" s="22" t="str">
        <f>IF($B33="","",BB33+BC33)</f>
        <v/>
      </c>
      <c r="BE33" s="22" t="str">
        <f>IF($B33="","",ROUND(AV33-AP33,0))</f>
        <v/>
      </c>
      <c r="BF33" s="22" t="str">
        <f>IF($B33="","",ROUND(AT33-AZ33,0))</f>
        <v/>
      </c>
      <c r="BG33" s="22" t="str">
        <f>IF($B33="","",ROUND(BF33*TarifPPh,0))</f>
        <v/>
      </c>
      <c r="BH33" t="str">
        <f>IF($B33="","",IF($D33="","Kategori kosong",IF($F33="","Tgl perolehan kosong",IF(N($H33)&gt;$G33,"Residu &gt; harga perolehan",IF(AND(LEFT($U33,8)="Bangunan",$W33="Saldo Menurun"),"Bangunan wajib Garis Lurus (Ps.11 UU PPh)",IF(AND($S33="Unit Produksi",N($K33)=0),"Isi kapasitas unit",IF(AND(OR($S33="Garis Lurus",$S33="Saldo Menurun"),N($T33)&lt;=0),"Umur komersial kosong",IF(AND(OR($W33="Garis Lurus",$W33="Saldo Menurun"),N($V33)&lt;=0),"Masa manfaat fiskal kosong",IF(AND($Q33&lt;&gt;"",$Q33&lt;$F33),"Tgl pelepasan &lt; perolehan","OK")))))))))</f>
        <v/>
      </c>
    </row>
    <row r="34" spans="1:60" x14ac:dyDescent="0.25">
      <c r="A34" t="str">
        <f>IF($B34="","",ROW()-6)</f>
        <v/>
      </c>
      <c r="B34" s="9"/>
      <c r="C34" s="9"/>
      <c r="D34" s="9"/>
      <c r="E34" s="9"/>
      <c r="F34" s="17"/>
      <c r="G34" s="18"/>
      <c r="H34" s="18"/>
      <c r="I34" s="9"/>
      <c r="J34" s="9"/>
      <c r="K34" s="19"/>
      <c r="L34" s="19"/>
      <c r="M34" s="19"/>
      <c r="N34" s="9"/>
      <c r="O34" s="9"/>
      <c r="P34" s="9"/>
      <c r="Q34" s="17"/>
      <c r="R34" s="18"/>
      <c r="S34" t="str">
        <f>IF($B34="","",IF($I34&lt;&gt;"",$I34,IFERROR(INDEX(Kat_Metode,MATCH($D34,Kat_Nama,0)),"")))</f>
        <v/>
      </c>
      <c r="T34" t="str">
        <f>IF($B34="","",IF($J34&lt;&gt;"",$J34,IFERROR(INDEX(Kat_Umur,MATCH($D34,Kat_Nama,0)),0)))</f>
        <v/>
      </c>
      <c r="U34" t="str">
        <f>IF($B34="","",IF($N34&lt;&gt;"",$N34,IFERROR(INDEX(Kat_Kelompok,MATCH($D34,Kat_Nama,0)),"")))</f>
        <v/>
      </c>
      <c r="V34" t="str">
        <f>IF($B34="","",IF($U34="Masa Manfaat Sebenarnya",N($O34),IFERROR(INDEX(Kel_Masa,MATCH($U34,Kel_Nama,0)),0)))</f>
        <v/>
      </c>
      <c r="W34" t="str">
        <f>IF($B34="","",IF($P34&lt;&gt;"",$P34,IF(OR($U34="Tidak Disusutkan",$V34=0),"Tidak Disusutkan","Garis Lurus")))</f>
        <v/>
      </c>
      <c r="X34" t="str">
        <f>IF($B34="","",IF($Y34&gt;TahunBuku*12+12,"Belum Diperoleh",IF($Z34&lt;=TahunBuku*12,"Dilepas (thn lalu)",IF($AC34=1,"Dilepas thn ini",IF($AB34=1,"Perolehan baru","Aktif")))))</f>
        <v/>
      </c>
      <c r="Y34" s="20" t="str">
        <f>IF($B34="","",YEAR($F34)*12+MONTH($F34))</f>
        <v/>
      </c>
      <c r="Z34" s="20" t="str">
        <f>IF($B34="","",IF($Q34="",99999,YEAR($Q34)*12+MONTH($Q34)))</f>
        <v/>
      </c>
      <c r="AA34" s="20" t="str">
        <f>IF($B34="","",--AND($Y34&lt;=TahunBuku*12,$Z34&gt;TahunBuku*12))</f>
        <v/>
      </c>
      <c r="AB34" s="20" t="str">
        <f>IF($B34="","",--AND($Y34&gt;TahunBuku*12,$Y34&lt;=TahunBuku*12+12))</f>
        <v/>
      </c>
      <c r="AC34" s="20" t="str">
        <f>IF($B34="","",--AND($Z34&gt;TahunBuku*12,$Z34&lt;=TahunBuku*12+12,$Y34&lt;=$Z34))</f>
        <v/>
      </c>
      <c r="AD34" s="21" t="str">
        <f>IF($B34="","",IFERROR(IF($S34="Garis Lurus",$G34-($G34-$H34)*MIN($T34*12,MAX(0,TahunBuku*12-$Y34+1))/($T34*12),IF($S34="Saldo Menurun",IF(TahunBuku-1&lt;YEAR($F34),$G34,IF(TahunBuku-1&gt;=INT(($Y34+$T34*12-2)/12),$H34,MAX($H34,$G34*(1-2/$T34*(13-MONTH($F34))/12)*(1-2/$T34)^(TahunBuku-1-YEAR($F34))))),IF($S34="Unit Produksi",$G34-($G34-$H34)*MIN(1,N($L34)/$K34),$G34))),$G34))</f>
        <v/>
      </c>
      <c r="AE34" s="21" t="str">
        <f>IF($B34="","",IFERROR(IF($S34="Garis Lurus",$G34-($G34-$H34)*MIN($T34*12,MAX(0,TahunBuku*12+12-$Y34+1))/($T34*12),IF($S34="Saldo Menurun",IF(TahunBuku&lt;YEAR($F34),$G34,IF(TahunBuku&gt;=INT(($Y34+$T34*12-2)/12),$H34,MAX($H34,$G34*(1-2/$T34*(13-MONTH($F34))/12)*(1-2/$T34)^(TahunBuku-YEAR($F34))))),IF($S34="Unit Produksi",$G34-($G34-$H34)*MIN(1,(N($L34)+N($M34))/$K34),$G34))),$G34))</f>
        <v/>
      </c>
      <c r="AF34" s="20" t="str">
        <f>IF($B34="","",IF(OR($S34="Garis Lurus",$S34="Saldo Menurun",$S34="Unit Produksi"),MAX(0,IF($S34="Unit Produksi",TahunBuku*12+12,MIN(TahunBuku*12+12,$Y34+$T34*12-1))-MAX(TahunBuku*12+1,$Y34)+1),0))</f>
        <v/>
      </c>
      <c r="AG34" s="20" t="str">
        <f>IF($B34="","",IF(OR($S34="Garis Lurus",$S34="Saldo Menurun",$S34="Unit Produksi"),MAX(0,MIN($Z34,IF($S34="Unit Produksi",TahunBuku*12+12,MIN(TahunBuku*12+12,$Y34+$T34*12-1)))-MAX(TahunBuku*12+1,$Y34)+1),0))</f>
        <v/>
      </c>
      <c r="AH34" s="21" t="str">
        <f>IF($B34="","",IFERROR(IF($W34="Garis Lurus",$G34*(1-MIN($V34*12,MAX(0,TahunBuku*12-$Y34+1))/($V34*12)),IF($W34="Saldo Menurun",IF(TahunBuku-1&lt;YEAR($F34),$G34,IF(TahunBuku-1&gt;=INT(($Y34+$V34*12-2)/12),0,$G34*(1-2/$V34*(13-MONTH($F34))/12)*(1-2/$V34)^(TahunBuku-1-YEAR($F34)))),$G34)),$G34))</f>
        <v/>
      </c>
      <c r="AI34" s="21" t="str">
        <f>IF($B34="","",IFERROR(IF($W34="Garis Lurus",$G34*(1-MIN($V34*12,MAX(0,TahunBuku*12+12-$Y34+1))/($V34*12)),IF($W34="Saldo Menurun",IF(TahunBuku&lt;YEAR($F34),$G34,IF(TahunBuku&gt;=INT(($Y34+$V34*12-2)/12),0,$G34*(1-2/$V34*(13-MONTH($F34))/12)*(1-2/$V34)^(TahunBuku-YEAR($F34)))),$G34)),$G34))</f>
        <v/>
      </c>
      <c r="AJ34" s="20" t="str">
        <f>IF($B34="","",IF(OR($W34="Garis Lurus",$W34="Saldo Menurun"),MAX(0,MIN(TahunBuku*12+12,$Y34+$V34*12-1)-MAX(TahunBuku*12+1,$Y34)+1),0))</f>
        <v/>
      </c>
      <c r="AK34" s="20" t="str">
        <f>IF($B34="","",IF(OR($W34="Garis Lurus",$W34="Saldo Menurun"),MAX(0,MIN($Z34,TahunBuku*12+12,$Y34+$V34*12-1)-MAX(TahunBuku*12+1,$Y34)+1),0))</f>
        <v/>
      </c>
      <c r="AL34" s="22" t="str">
        <f>IF($B34="","",$G34*$AA34)</f>
        <v/>
      </c>
      <c r="AM34" s="22" t="str">
        <f>IF($B34="","",$G34*$AB34)</f>
        <v/>
      </c>
      <c r="AN34" s="22" t="str">
        <f>IF($B34="","",$G34*$AC34)</f>
        <v/>
      </c>
      <c r="AO34" s="22" t="str">
        <f>IF($B34="","",AL34+AM34-AN34)</f>
        <v/>
      </c>
      <c r="AP34" s="22" t="str">
        <f>IF($B34="","",($G34-$AD34)*$AA34)</f>
        <v/>
      </c>
      <c r="AQ34" s="22" t="str">
        <f>IF($B34="","",IF($AF34=0,0,($AD34-$AE34)*$AG34/$AF34)*MAX($AA34,$AB34))</f>
        <v/>
      </c>
      <c r="AR34" s="22" t="str">
        <f>IF($B34="","",(AP34+AQ34)*$AC34)</f>
        <v/>
      </c>
      <c r="AS34" s="22" t="str">
        <f>IF($B34="","",AP34+AQ34-AR34)</f>
        <v/>
      </c>
      <c r="AT34" s="22" t="str">
        <f>IF($B34="","",AO34-AS34)</f>
        <v/>
      </c>
      <c r="AU34" s="22" t="str">
        <f>IF($B34="","",IF($AC34=1,N($R34)-($G34-AR34),0))</f>
        <v/>
      </c>
      <c r="AV34" s="22" t="str">
        <f>IF($B34="","",($G34-$AH34)*$AA34)</f>
        <v/>
      </c>
      <c r="AW34" s="22" t="str">
        <f>IF($B34="","",IF($AJ34=0,0,($AH34-$AI34)*$AK34/$AJ34)*MAX($AA34,$AB34))</f>
        <v/>
      </c>
      <c r="AX34" s="22" t="str">
        <f>IF($B34="","",(AV34+AW34)*$AC34)</f>
        <v/>
      </c>
      <c r="AY34" s="22" t="str">
        <f>IF($B34="","",AV34+AW34-AX34)</f>
        <v/>
      </c>
      <c r="AZ34" s="22" t="str">
        <f>IF($B34="","",AO34-AY34)</f>
        <v/>
      </c>
      <c r="BA34" s="22" t="str">
        <f>IF($B34="","",IF($AC34=1,N($R34)-($G34-AX34),0))</f>
        <v/>
      </c>
      <c r="BB34" s="22" t="str">
        <f>IF($B34="","",ROUND(AQ34-AW34,0))</f>
        <v/>
      </c>
      <c r="BC34" s="22" t="str">
        <f>IF($B34="","",ROUND(BA34-AU34,0))</f>
        <v/>
      </c>
      <c r="BD34" s="22" t="str">
        <f>IF($B34="","",BB34+BC34)</f>
        <v/>
      </c>
      <c r="BE34" s="22" t="str">
        <f>IF($B34="","",ROUND(AV34-AP34,0))</f>
        <v/>
      </c>
      <c r="BF34" s="22" t="str">
        <f>IF($B34="","",ROUND(AT34-AZ34,0))</f>
        <v/>
      </c>
      <c r="BG34" s="22" t="str">
        <f>IF($B34="","",ROUND(BF34*TarifPPh,0))</f>
        <v/>
      </c>
      <c r="BH34" t="str">
        <f>IF($B34="","",IF($D34="","Kategori kosong",IF($F34="","Tgl perolehan kosong",IF(N($H34)&gt;$G34,"Residu &gt; harga perolehan",IF(AND(LEFT($U34,8)="Bangunan",$W34="Saldo Menurun"),"Bangunan wajib Garis Lurus (Ps.11 UU PPh)",IF(AND($S34="Unit Produksi",N($K34)=0),"Isi kapasitas unit",IF(AND(OR($S34="Garis Lurus",$S34="Saldo Menurun"),N($T34)&lt;=0),"Umur komersial kosong",IF(AND(OR($W34="Garis Lurus",$W34="Saldo Menurun"),N($V34)&lt;=0),"Masa manfaat fiskal kosong",IF(AND($Q34&lt;&gt;"",$Q34&lt;$F34),"Tgl pelepasan &lt; perolehan","OK")))))))))</f>
        <v/>
      </c>
    </row>
    <row r="35" spans="1:60" x14ac:dyDescent="0.25">
      <c r="A35" t="str">
        <f>IF($B35="","",ROW()-6)</f>
        <v/>
      </c>
      <c r="B35" s="9"/>
      <c r="C35" s="9"/>
      <c r="D35" s="9"/>
      <c r="E35" s="9"/>
      <c r="F35" s="17"/>
      <c r="G35" s="18"/>
      <c r="H35" s="18"/>
      <c r="I35" s="9"/>
      <c r="J35" s="9"/>
      <c r="K35" s="19"/>
      <c r="L35" s="19"/>
      <c r="M35" s="19"/>
      <c r="N35" s="9"/>
      <c r="O35" s="9"/>
      <c r="P35" s="9"/>
      <c r="Q35" s="17"/>
      <c r="R35" s="18"/>
      <c r="S35" t="str">
        <f>IF($B35="","",IF($I35&lt;&gt;"",$I35,IFERROR(INDEX(Kat_Metode,MATCH($D35,Kat_Nama,0)),"")))</f>
        <v/>
      </c>
      <c r="T35" t="str">
        <f>IF($B35="","",IF($J35&lt;&gt;"",$J35,IFERROR(INDEX(Kat_Umur,MATCH($D35,Kat_Nama,0)),0)))</f>
        <v/>
      </c>
      <c r="U35" t="str">
        <f>IF($B35="","",IF($N35&lt;&gt;"",$N35,IFERROR(INDEX(Kat_Kelompok,MATCH($D35,Kat_Nama,0)),"")))</f>
        <v/>
      </c>
      <c r="V35" t="str">
        <f>IF($B35="","",IF($U35="Masa Manfaat Sebenarnya",N($O35),IFERROR(INDEX(Kel_Masa,MATCH($U35,Kel_Nama,0)),0)))</f>
        <v/>
      </c>
      <c r="W35" t="str">
        <f>IF($B35="","",IF($P35&lt;&gt;"",$P35,IF(OR($U35="Tidak Disusutkan",$V35=0),"Tidak Disusutkan","Garis Lurus")))</f>
        <v/>
      </c>
      <c r="X35" t="str">
        <f>IF($B35="","",IF($Y35&gt;TahunBuku*12+12,"Belum Diperoleh",IF($Z35&lt;=TahunBuku*12,"Dilepas (thn lalu)",IF($AC35=1,"Dilepas thn ini",IF($AB35=1,"Perolehan baru","Aktif")))))</f>
        <v/>
      </c>
      <c r="Y35" s="20" t="str">
        <f>IF($B35="","",YEAR($F35)*12+MONTH($F35))</f>
        <v/>
      </c>
      <c r="Z35" s="20" t="str">
        <f>IF($B35="","",IF($Q35="",99999,YEAR($Q35)*12+MONTH($Q35)))</f>
        <v/>
      </c>
      <c r="AA35" s="20" t="str">
        <f>IF($B35="","",--AND($Y35&lt;=TahunBuku*12,$Z35&gt;TahunBuku*12))</f>
        <v/>
      </c>
      <c r="AB35" s="20" t="str">
        <f>IF($B35="","",--AND($Y35&gt;TahunBuku*12,$Y35&lt;=TahunBuku*12+12))</f>
        <v/>
      </c>
      <c r="AC35" s="20" t="str">
        <f>IF($B35="","",--AND($Z35&gt;TahunBuku*12,$Z35&lt;=TahunBuku*12+12,$Y35&lt;=$Z35))</f>
        <v/>
      </c>
      <c r="AD35" s="21" t="str">
        <f>IF($B35="","",IFERROR(IF($S35="Garis Lurus",$G35-($G35-$H35)*MIN($T35*12,MAX(0,TahunBuku*12-$Y35+1))/($T35*12),IF($S35="Saldo Menurun",IF(TahunBuku-1&lt;YEAR($F35),$G35,IF(TahunBuku-1&gt;=INT(($Y35+$T35*12-2)/12),$H35,MAX($H35,$G35*(1-2/$T35*(13-MONTH($F35))/12)*(1-2/$T35)^(TahunBuku-1-YEAR($F35))))),IF($S35="Unit Produksi",$G35-($G35-$H35)*MIN(1,N($L35)/$K35),$G35))),$G35))</f>
        <v/>
      </c>
      <c r="AE35" s="21" t="str">
        <f>IF($B35="","",IFERROR(IF($S35="Garis Lurus",$G35-($G35-$H35)*MIN($T35*12,MAX(0,TahunBuku*12+12-$Y35+1))/($T35*12),IF($S35="Saldo Menurun",IF(TahunBuku&lt;YEAR($F35),$G35,IF(TahunBuku&gt;=INT(($Y35+$T35*12-2)/12),$H35,MAX($H35,$G35*(1-2/$T35*(13-MONTH($F35))/12)*(1-2/$T35)^(TahunBuku-YEAR($F35))))),IF($S35="Unit Produksi",$G35-($G35-$H35)*MIN(1,(N($L35)+N($M35))/$K35),$G35))),$G35))</f>
        <v/>
      </c>
      <c r="AF35" s="20" t="str">
        <f>IF($B35="","",IF(OR($S35="Garis Lurus",$S35="Saldo Menurun",$S35="Unit Produksi"),MAX(0,IF($S35="Unit Produksi",TahunBuku*12+12,MIN(TahunBuku*12+12,$Y35+$T35*12-1))-MAX(TahunBuku*12+1,$Y35)+1),0))</f>
        <v/>
      </c>
      <c r="AG35" s="20" t="str">
        <f>IF($B35="","",IF(OR($S35="Garis Lurus",$S35="Saldo Menurun",$S35="Unit Produksi"),MAX(0,MIN($Z35,IF($S35="Unit Produksi",TahunBuku*12+12,MIN(TahunBuku*12+12,$Y35+$T35*12-1)))-MAX(TahunBuku*12+1,$Y35)+1),0))</f>
        <v/>
      </c>
      <c r="AH35" s="21" t="str">
        <f>IF($B35="","",IFERROR(IF($W35="Garis Lurus",$G35*(1-MIN($V35*12,MAX(0,TahunBuku*12-$Y35+1))/($V35*12)),IF($W35="Saldo Menurun",IF(TahunBuku-1&lt;YEAR($F35),$G35,IF(TahunBuku-1&gt;=INT(($Y35+$V35*12-2)/12),0,$G35*(1-2/$V35*(13-MONTH($F35))/12)*(1-2/$V35)^(TahunBuku-1-YEAR($F35)))),$G35)),$G35))</f>
        <v/>
      </c>
      <c r="AI35" s="21" t="str">
        <f>IF($B35="","",IFERROR(IF($W35="Garis Lurus",$G35*(1-MIN($V35*12,MAX(0,TahunBuku*12+12-$Y35+1))/($V35*12)),IF($W35="Saldo Menurun",IF(TahunBuku&lt;YEAR($F35),$G35,IF(TahunBuku&gt;=INT(($Y35+$V35*12-2)/12),0,$G35*(1-2/$V35*(13-MONTH($F35))/12)*(1-2/$V35)^(TahunBuku-YEAR($F35)))),$G35)),$G35))</f>
        <v/>
      </c>
      <c r="AJ35" s="20" t="str">
        <f>IF($B35="","",IF(OR($W35="Garis Lurus",$W35="Saldo Menurun"),MAX(0,MIN(TahunBuku*12+12,$Y35+$V35*12-1)-MAX(TahunBuku*12+1,$Y35)+1),0))</f>
        <v/>
      </c>
      <c r="AK35" s="20" t="str">
        <f>IF($B35="","",IF(OR($W35="Garis Lurus",$W35="Saldo Menurun"),MAX(0,MIN($Z35,TahunBuku*12+12,$Y35+$V35*12-1)-MAX(TahunBuku*12+1,$Y35)+1),0))</f>
        <v/>
      </c>
      <c r="AL35" s="22" t="str">
        <f>IF($B35="","",$G35*$AA35)</f>
        <v/>
      </c>
      <c r="AM35" s="22" t="str">
        <f>IF($B35="","",$G35*$AB35)</f>
        <v/>
      </c>
      <c r="AN35" s="22" t="str">
        <f>IF($B35="","",$G35*$AC35)</f>
        <v/>
      </c>
      <c r="AO35" s="22" t="str">
        <f>IF($B35="","",AL35+AM35-AN35)</f>
        <v/>
      </c>
      <c r="AP35" s="22" t="str">
        <f>IF($B35="","",($G35-$AD35)*$AA35)</f>
        <v/>
      </c>
      <c r="AQ35" s="22" t="str">
        <f>IF($B35="","",IF($AF35=0,0,($AD35-$AE35)*$AG35/$AF35)*MAX($AA35,$AB35))</f>
        <v/>
      </c>
      <c r="AR35" s="22" t="str">
        <f>IF($B35="","",(AP35+AQ35)*$AC35)</f>
        <v/>
      </c>
      <c r="AS35" s="22" t="str">
        <f>IF($B35="","",AP35+AQ35-AR35)</f>
        <v/>
      </c>
      <c r="AT35" s="22" t="str">
        <f>IF($B35="","",AO35-AS35)</f>
        <v/>
      </c>
      <c r="AU35" s="22" t="str">
        <f>IF($B35="","",IF($AC35=1,N($R35)-($G35-AR35),0))</f>
        <v/>
      </c>
      <c r="AV35" s="22" t="str">
        <f>IF($B35="","",($G35-$AH35)*$AA35)</f>
        <v/>
      </c>
      <c r="AW35" s="22" t="str">
        <f>IF($B35="","",IF($AJ35=0,0,($AH35-$AI35)*$AK35/$AJ35)*MAX($AA35,$AB35))</f>
        <v/>
      </c>
      <c r="AX35" s="22" t="str">
        <f>IF($B35="","",(AV35+AW35)*$AC35)</f>
        <v/>
      </c>
      <c r="AY35" s="22" t="str">
        <f>IF($B35="","",AV35+AW35-AX35)</f>
        <v/>
      </c>
      <c r="AZ35" s="22" t="str">
        <f>IF($B35="","",AO35-AY35)</f>
        <v/>
      </c>
      <c r="BA35" s="22" t="str">
        <f>IF($B35="","",IF($AC35=1,N($R35)-($G35-AX35),0))</f>
        <v/>
      </c>
      <c r="BB35" s="22" t="str">
        <f>IF($B35="","",ROUND(AQ35-AW35,0))</f>
        <v/>
      </c>
      <c r="BC35" s="22" t="str">
        <f>IF($B35="","",ROUND(BA35-AU35,0))</f>
        <v/>
      </c>
      <c r="BD35" s="22" t="str">
        <f>IF($B35="","",BB35+BC35)</f>
        <v/>
      </c>
      <c r="BE35" s="22" t="str">
        <f>IF($B35="","",ROUND(AV35-AP35,0))</f>
        <v/>
      </c>
      <c r="BF35" s="22" t="str">
        <f>IF($B35="","",ROUND(AT35-AZ35,0))</f>
        <v/>
      </c>
      <c r="BG35" s="22" t="str">
        <f>IF($B35="","",ROUND(BF35*TarifPPh,0))</f>
        <v/>
      </c>
      <c r="BH35" t="str">
        <f>IF($B35="","",IF($D35="","Kategori kosong",IF($F35="","Tgl perolehan kosong",IF(N($H35)&gt;$G35,"Residu &gt; harga perolehan",IF(AND(LEFT($U35,8)="Bangunan",$W35="Saldo Menurun"),"Bangunan wajib Garis Lurus (Ps.11 UU PPh)",IF(AND($S35="Unit Produksi",N($K35)=0),"Isi kapasitas unit",IF(AND(OR($S35="Garis Lurus",$S35="Saldo Menurun"),N($T35)&lt;=0),"Umur komersial kosong",IF(AND(OR($W35="Garis Lurus",$W35="Saldo Menurun"),N($V35)&lt;=0),"Masa manfaat fiskal kosong",IF(AND($Q35&lt;&gt;"",$Q35&lt;$F35),"Tgl pelepasan &lt; perolehan","OK")))))))))</f>
        <v/>
      </c>
    </row>
    <row r="36" spans="1:60" x14ac:dyDescent="0.25">
      <c r="A36" t="str">
        <f>IF($B36="","",ROW()-6)</f>
        <v/>
      </c>
      <c r="B36" s="9"/>
      <c r="C36" s="9"/>
      <c r="D36" s="9"/>
      <c r="E36" s="9"/>
      <c r="F36" s="17"/>
      <c r="G36" s="18"/>
      <c r="H36" s="18"/>
      <c r="I36" s="9"/>
      <c r="J36" s="9"/>
      <c r="K36" s="19"/>
      <c r="L36" s="19"/>
      <c r="M36" s="19"/>
      <c r="N36" s="9"/>
      <c r="O36" s="9"/>
      <c r="P36" s="9"/>
      <c r="Q36" s="17"/>
      <c r="R36" s="18"/>
      <c r="S36" t="str">
        <f>IF($B36="","",IF($I36&lt;&gt;"",$I36,IFERROR(INDEX(Kat_Metode,MATCH($D36,Kat_Nama,0)),"")))</f>
        <v/>
      </c>
      <c r="T36" t="str">
        <f>IF($B36="","",IF($J36&lt;&gt;"",$J36,IFERROR(INDEX(Kat_Umur,MATCH($D36,Kat_Nama,0)),0)))</f>
        <v/>
      </c>
      <c r="U36" t="str">
        <f>IF($B36="","",IF($N36&lt;&gt;"",$N36,IFERROR(INDEX(Kat_Kelompok,MATCH($D36,Kat_Nama,0)),"")))</f>
        <v/>
      </c>
      <c r="V36" t="str">
        <f>IF($B36="","",IF($U36="Masa Manfaat Sebenarnya",N($O36),IFERROR(INDEX(Kel_Masa,MATCH($U36,Kel_Nama,0)),0)))</f>
        <v/>
      </c>
      <c r="W36" t="str">
        <f>IF($B36="","",IF($P36&lt;&gt;"",$P36,IF(OR($U36="Tidak Disusutkan",$V36=0),"Tidak Disusutkan","Garis Lurus")))</f>
        <v/>
      </c>
      <c r="X36" t="str">
        <f>IF($B36="","",IF($Y36&gt;TahunBuku*12+12,"Belum Diperoleh",IF($Z36&lt;=TahunBuku*12,"Dilepas (thn lalu)",IF($AC36=1,"Dilepas thn ini",IF($AB36=1,"Perolehan baru","Aktif")))))</f>
        <v/>
      </c>
      <c r="Y36" s="20" t="str">
        <f>IF($B36="","",YEAR($F36)*12+MONTH($F36))</f>
        <v/>
      </c>
      <c r="Z36" s="20" t="str">
        <f>IF($B36="","",IF($Q36="",99999,YEAR($Q36)*12+MONTH($Q36)))</f>
        <v/>
      </c>
      <c r="AA36" s="20" t="str">
        <f>IF($B36="","",--AND($Y36&lt;=TahunBuku*12,$Z36&gt;TahunBuku*12))</f>
        <v/>
      </c>
      <c r="AB36" s="20" t="str">
        <f>IF($B36="","",--AND($Y36&gt;TahunBuku*12,$Y36&lt;=TahunBuku*12+12))</f>
        <v/>
      </c>
      <c r="AC36" s="20" t="str">
        <f>IF($B36="","",--AND($Z36&gt;TahunBuku*12,$Z36&lt;=TahunBuku*12+12,$Y36&lt;=$Z36))</f>
        <v/>
      </c>
      <c r="AD36" s="21" t="str">
        <f>IF($B36="","",IFERROR(IF($S36="Garis Lurus",$G36-($G36-$H36)*MIN($T36*12,MAX(0,TahunBuku*12-$Y36+1))/($T36*12),IF($S36="Saldo Menurun",IF(TahunBuku-1&lt;YEAR($F36),$G36,IF(TahunBuku-1&gt;=INT(($Y36+$T36*12-2)/12),$H36,MAX($H36,$G36*(1-2/$T36*(13-MONTH($F36))/12)*(1-2/$T36)^(TahunBuku-1-YEAR($F36))))),IF($S36="Unit Produksi",$G36-($G36-$H36)*MIN(1,N($L36)/$K36),$G36))),$G36))</f>
        <v/>
      </c>
      <c r="AE36" s="21" t="str">
        <f>IF($B36="","",IFERROR(IF($S36="Garis Lurus",$G36-($G36-$H36)*MIN($T36*12,MAX(0,TahunBuku*12+12-$Y36+1))/($T36*12),IF($S36="Saldo Menurun",IF(TahunBuku&lt;YEAR($F36),$G36,IF(TahunBuku&gt;=INT(($Y36+$T36*12-2)/12),$H36,MAX($H36,$G36*(1-2/$T36*(13-MONTH($F36))/12)*(1-2/$T36)^(TahunBuku-YEAR($F36))))),IF($S36="Unit Produksi",$G36-($G36-$H36)*MIN(1,(N($L36)+N($M36))/$K36),$G36))),$G36))</f>
        <v/>
      </c>
      <c r="AF36" s="20" t="str">
        <f>IF($B36="","",IF(OR($S36="Garis Lurus",$S36="Saldo Menurun",$S36="Unit Produksi"),MAX(0,IF($S36="Unit Produksi",TahunBuku*12+12,MIN(TahunBuku*12+12,$Y36+$T36*12-1))-MAX(TahunBuku*12+1,$Y36)+1),0))</f>
        <v/>
      </c>
      <c r="AG36" s="20" t="str">
        <f>IF($B36="","",IF(OR($S36="Garis Lurus",$S36="Saldo Menurun",$S36="Unit Produksi"),MAX(0,MIN($Z36,IF($S36="Unit Produksi",TahunBuku*12+12,MIN(TahunBuku*12+12,$Y36+$T36*12-1)))-MAX(TahunBuku*12+1,$Y36)+1),0))</f>
        <v/>
      </c>
      <c r="AH36" s="21" t="str">
        <f>IF($B36="","",IFERROR(IF($W36="Garis Lurus",$G36*(1-MIN($V36*12,MAX(0,TahunBuku*12-$Y36+1))/($V36*12)),IF($W36="Saldo Menurun",IF(TahunBuku-1&lt;YEAR($F36),$G36,IF(TahunBuku-1&gt;=INT(($Y36+$V36*12-2)/12),0,$G36*(1-2/$V36*(13-MONTH($F36))/12)*(1-2/$V36)^(TahunBuku-1-YEAR($F36)))),$G36)),$G36))</f>
        <v/>
      </c>
      <c r="AI36" s="21" t="str">
        <f>IF($B36="","",IFERROR(IF($W36="Garis Lurus",$G36*(1-MIN($V36*12,MAX(0,TahunBuku*12+12-$Y36+1))/($V36*12)),IF($W36="Saldo Menurun",IF(TahunBuku&lt;YEAR($F36),$G36,IF(TahunBuku&gt;=INT(($Y36+$V36*12-2)/12),0,$G36*(1-2/$V36*(13-MONTH($F36))/12)*(1-2/$V36)^(TahunBuku-YEAR($F36)))),$G36)),$G36))</f>
        <v/>
      </c>
      <c r="AJ36" s="20" t="str">
        <f>IF($B36="","",IF(OR($W36="Garis Lurus",$W36="Saldo Menurun"),MAX(0,MIN(TahunBuku*12+12,$Y36+$V36*12-1)-MAX(TahunBuku*12+1,$Y36)+1),0))</f>
        <v/>
      </c>
      <c r="AK36" s="20" t="str">
        <f>IF($B36="","",IF(OR($W36="Garis Lurus",$W36="Saldo Menurun"),MAX(0,MIN($Z36,TahunBuku*12+12,$Y36+$V36*12-1)-MAX(TahunBuku*12+1,$Y36)+1),0))</f>
        <v/>
      </c>
      <c r="AL36" s="22" t="str">
        <f>IF($B36="","",$G36*$AA36)</f>
        <v/>
      </c>
      <c r="AM36" s="22" t="str">
        <f>IF($B36="","",$G36*$AB36)</f>
        <v/>
      </c>
      <c r="AN36" s="22" t="str">
        <f>IF($B36="","",$G36*$AC36)</f>
        <v/>
      </c>
      <c r="AO36" s="22" t="str">
        <f>IF($B36="","",AL36+AM36-AN36)</f>
        <v/>
      </c>
      <c r="AP36" s="22" t="str">
        <f>IF($B36="","",($G36-$AD36)*$AA36)</f>
        <v/>
      </c>
      <c r="AQ36" s="22" t="str">
        <f>IF($B36="","",IF($AF36=0,0,($AD36-$AE36)*$AG36/$AF36)*MAX($AA36,$AB36))</f>
        <v/>
      </c>
      <c r="AR36" s="22" t="str">
        <f>IF($B36="","",(AP36+AQ36)*$AC36)</f>
        <v/>
      </c>
      <c r="AS36" s="22" t="str">
        <f>IF($B36="","",AP36+AQ36-AR36)</f>
        <v/>
      </c>
      <c r="AT36" s="22" t="str">
        <f>IF($B36="","",AO36-AS36)</f>
        <v/>
      </c>
      <c r="AU36" s="22" t="str">
        <f>IF($B36="","",IF($AC36=1,N($R36)-($G36-AR36),0))</f>
        <v/>
      </c>
      <c r="AV36" s="22" t="str">
        <f>IF($B36="","",($G36-$AH36)*$AA36)</f>
        <v/>
      </c>
      <c r="AW36" s="22" t="str">
        <f>IF($B36="","",IF($AJ36=0,0,($AH36-$AI36)*$AK36/$AJ36)*MAX($AA36,$AB36))</f>
        <v/>
      </c>
      <c r="AX36" s="22" t="str">
        <f>IF($B36="","",(AV36+AW36)*$AC36)</f>
        <v/>
      </c>
      <c r="AY36" s="22" t="str">
        <f>IF($B36="","",AV36+AW36-AX36)</f>
        <v/>
      </c>
      <c r="AZ36" s="22" t="str">
        <f>IF($B36="","",AO36-AY36)</f>
        <v/>
      </c>
      <c r="BA36" s="22" t="str">
        <f>IF($B36="","",IF($AC36=1,N($R36)-($G36-AX36),0))</f>
        <v/>
      </c>
      <c r="BB36" s="22" t="str">
        <f>IF($B36="","",ROUND(AQ36-AW36,0))</f>
        <v/>
      </c>
      <c r="BC36" s="22" t="str">
        <f>IF($B36="","",ROUND(BA36-AU36,0))</f>
        <v/>
      </c>
      <c r="BD36" s="22" t="str">
        <f>IF($B36="","",BB36+BC36)</f>
        <v/>
      </c>
      <c r="BE36" s="22" t="str">
        <f>IF($B36="","",ROUND(AV36-AP36,0))</f>
        <v/>
      </c>
      <c r="BF36" s="22" t="str">
        <f>IF($B36="","",ROUND(AT36-AZ36,0))</f>
        <v/>
      </c>
      <c r="BG36" s="22" t="str">
        <f>IF($B36="","",ROUND(BF36*TarifPPh,0))</f>
        <v/>
      </c>
      <c r="BH36" t="str">
        <f>IF($B36="","",IF($D36="","Kategori kosong",IF($F36="","Tgl perolehan kosong",IF(N($H36)&gt;$G36,"Residu &gt; harga perolehan",IF(AND(LEFT($U36,8)="Bangunan",$W36="Saldo Menurun"),"Bangunan wajib Garis Lurus (Ps.11 UU PPh)",IF(AND($S36="Unit Produksi",N($K36)=0),"Isi kapasitas unit",IF(AND(OR($S36="Garis Lurus",$S36="Saldo Menurun"),N($T36)&lt;=0),"Umur komersial kosong",IF(AND(OR($W36="Garis Lurus",$W36="Saldo Menurun"),N($V36)&lt;=0),"Masa manfaat fiskal kosong",IF(AND($Q36&lt;&gt;"",$Q36&lt;$F36),"Tgl pelepasan &lt; perolehan","OK")))))))))</f>
        <v/>
      </c>
    </row>
    <row r="37" spans="1:60" x14ac:dyDescent="0.25">
      <c r="A37" t="str">
        <f>IF($B37="","",ROW()-6)</f>
        <v/>
      </c>
      <c r="B37" s="9"/>
      <c r="C37" s="9"/>
      <c r="D37" s="9"/>
      <c r="E37" s="9"/>
      <c r="F37" s="17"/>
      <c r="G37" s="18"/>
      <c r="H37" s="18"/>
      <c r="I37" s="9"/>
      <c r="J37" s="9"/>
      <c r="K37" s="19"/>
      <c r="L37" s="19"/>
      <c r="M37" s="19"/>
      <c r="N37" s="9"/>
      <c r="O37" s="9"/>
      <c r="P37" s="9"/>
      <c r="Q37" s="17"/>
      <c r="R37" s="18"/>
      <c r="S37" t="str">
        <f>IF($B37="","",IF($I37&lt;&gt;"",$I37,IFERROR(INDEX(Kat_Metode,MATCH($D37,Kat_Nama,0)),"")))</f>
        <v/>
      </c>
      <c r="T37" t="str">
        <f>IF($B37="","",IF($J37&lt;&gt;"",$J37,IFERROR(INDEX(Kat_Umur,MATCH($D37,Kat_Nama,0)),0)))</f>
        <v/>
      </c>
      <c r="U37" t="str">
        <f>IF($B37="","",IF($N37&lt;&gt;"",$N37,IFERROR(INDEX(Kat_Kelompok,MATCH($D37,Kat_Nama,0)),"")))</f>
        <v/>
      </c>
      <c r="V37" t="str">
        <f>IF($B37="","",IF($U37="Masa Manfaat Sebenarnya",N($O37),IFERROR(INDEX(Kel_Masa,MATCH($U37,Kel_Nama,0)),0)))</f>
        <v/>
      </c>
      <c r="W37" t="str">
        <f>IF($B37="","",IF($P37&lt;&gt;"",$P37,IF(OR($U37="Tidak Disusutkan",$V37=0),"Tidak Disusutkan","Garis Lurus")))</f>
        <v/>
      </c>
      <c r="X37" t="str">
        <f>IF($B37="","",IF($Y37&gt;TahunBuku*12+12,"Belum Diperoleh",IF($Z37&lt;=TahunBuku*12,"Dilepas (thn lalu)",IF($AC37=1,"Dilepas thn ini",IF($AB37=1,"Perolehan baru","Aktif")))))</f>
        <v/>
      </c>
      <c r="Y37" s="20" t="str">
        <f>IF($B37="","",YEAR($F37)*12+MONTH($F37))</f>
        <v/>
      </c>
      <c r="Z37" s="20" t="str">
        <f>IF($B37="","",IF($Q37="",99999,YEAR($Q37)*12+MONTH($Q37)))</f>
        <v/>
      </c>
      <c r="AA37" s="20" t="str">
        <f>IF($B37="","",--AND($Y37&lt;=TahunBuku*12,$Z37&gt;TahunBuku*12))</f>
        <v/>
      </c>
      <c r="AB37" s="20" t="str">
        <f>IF($B37="","",--AND($Y37&gt;TahunBuku*12,$Y37&lt;=TahunBuku*12+12))</f>
        <v/>
      </c>
      <c r="AC37" s="20" t="str">
        <f>IF($B37="","",--AND($Z37&gt;TahunBuku*12,$Z37&lt;=TahunBuku*12+12,$Y37&lt;=$Z37))</f>
        <v/>
      </c>
      <c r="AD37" s="21" t="str">
        <f>IF($B37="","",IFERROR(IF($S37="Garis Lurus",$G37-($G37-$H37)*MIN($T37*12,MAX(0,TahunBuku*12-$Y37+1))/($T37*12),IF($S37="Saldo Menurun",IF(TahunBuku-1&lt;YEAR($F37),$G37,IF(TahunBuku-1&gt;=INT(($Y37+$T37*12-2)/12),$H37,MAX($H37,$G37*(1-2/$T37*(13-MONTH($F37))/12)*(1-2/$T37)^(TahunBuku-1-YEAR($F37))))),IF($S37="Unit Produksi",$G37-($G37-$H37)*MIN(1,N($L37)/$K37),$G37))),$G37))</f>
        <v/>
      </c>
      <c r="AE37" s="21" t="str">
        <f>IF($B37="","",IFERROR(IF($S37="Garis Lurus",$G37-($G37-$H37)*MIN($T37*12,MAX(0,TahunBuku*12+12-$Y37+1))/($T37*12),IF($S37="Saldo Menurun",IF(TahunBuku&lt;YEAR($F37),$G37,IF(TahunBuku&gt;=INT(($Y37+$T37*12-2)/12),$H37,MAX($H37,$G37*(1-2/$T37*(13-MONTH($F37))/12)*(1-2/$T37)^(TahunBuku-YEAR($F37))))),IF($S37="Unit Produksi",$G37-($G37-$H37)*MIN(1,(N($L37)+N($M37))/$K37),$G37))),$G37))</f>
        <v/>
      </c>
      <c r="AF37" s="20" t="str">
        <f>IF($B37="","",IF(OR($S37="Garis Lurus",$S37="Saldo Menurun",$S37="Unit Produksi"),MAX(0,IF($S37="Unit Produksi",TahunBuku*12+12,MIN(TahunBuku*12+12,$Y37+$T37*12-1))-MAX(TahunBuku*12+1,$Y37)+1),0))</f>
        <v/>
      </c>
      <c r="AG37" s="20" t="str">
        <f>IF($B37="","",IF(OR($S37="Garis Lurus",$S37="Saldo Menurun",$S37="Unit Produksi"),MAX(0,MIN($Z37,IF($S37="Unit Produksi",TahunBuku*12+12,MIN(TahunBuku*12+12,$Y37+$T37*12-1)))-MAX(TahunBuku*12+1,$Y37)+1),0))</f>
        <v/>
      </c>
      <c r="AH37" s="21" t="str">
        <f>IF($B37="","",IFERROR(IF($W37="Garis Lurus",$G37*(1-MIN($V37*12,MAX(0,TahunBuku*12-$Y37+1))/($V37*12)),IF($W37="Saldo Menurun",IF(TahunBuku-1&lt;YEAR($F37),$G37,IF(TahunBuku-1&gt;=INT(($Y37+$V37*12-2)/12),0,$G37*(1-2/$V37*(13-MONTH($F37))/12)*(1-2/$V37)^(TahunBuku-1-YEAR($F37)))),$G37)),$G37))</f>
        <v/>
      </c>
      <c r="AI37" s="21" t="str">
        <f>IF($B37="","",IFERROR(IF($W37="Garis Lurus",$G37*(1-MIN($V37*12,MAX(0,TahunBuku*12+12-$Y37+1))/($V37*12)),IF($W37="Saldo Menurun",IF(TahunBuku&lt;YEAR($F37),$G37,IF(TahunBuku&gt;=INT(($Y37+$V37*12-2)/12),0,$G37*(1-2/$V37*(13-MONTH($F37))/12)*(1-2/$V37)^(TahunBuku-YEAR($F37)))),$G37)),$G37))</f>
        <v/>
      </c>
      <c r="AJ37" s="20" t="str">
        <f>IF($B37="","",IF(OR($W37="Garis Lurus",$W37="Saldo Menurun"),MAX(0,MIN(TahunBuku*12+12,$Y37+$V37*12-1)-MAX(TahunBuku*12+1,$Y37)+1),0))</f>
        <v/>
      </c>
      <c r="AK37" s="20" t="str">
        <f>IF($B37="","",IF(OR($W37="Garis Lurus",$W37="Saldo Menurun"),MAX(0,MIN($Z37,TahunBuku*12+12,$Y37+$V37*12-1)-MAX(TahunBuku*12+1,$Y37)+1),0))</f>
        <v/>
      </c>
      <c r="AL37" s="22" t="str">
        <f>IF($B37="","",$G37*$AA37)</f>
        <v/>
      </c>
      <c r="AM37" s="22" t="str">
        <f>IF($B37="","",$G37*$AB37)</f>
        <v/>
      </c>
      <c r="AN37" s="22" t="str">
        <f>IF($B37="","",$G37*$AC37)</f>
        <v/>
      </c>
      <c r="AO37" s="22" t="str">
        <f>IF($B37="","",AL37+AM37-AN37)</f>
        <v/>
      </c>
      <c r="AP37" s="22" t="str">
        <f>IF($B37="","",($G37-$AD37)*$AA37)</f>
        <v/>
      </c>
      <c r="AQ37" s="22" t="str">
        <f>IF($B37="","",IF($AF37=0,0,($AD37-$AE37)*$AG37/$AF37)*MAX($AA37,$AB37))</f>
        <v/>
      </c>
      <c r="AR37" s="22" t="str">
        <f>IF($B37="","",(AP37+AQ37)*$AC37)</f>
        <v/>
      </c>
      <c r="AS37" s="22" t="str">
        <f>IF($B37="","",AP37+AQ37-AR37)</f>
        <v/>
      </c>
      <c r="AT37" s="22" t="str">
        <f>IF($B37="","",AO37-AS37)</f>
        <v/>
      </c>
      <c r="AU37" s="22" t="str">
        <f>IF($B37="","",IF($AC37=1,N($R37)-($G37-AR37),0))</f>
        <v/>
      </c>
      <c r="AV37" s="22" t="str">
        <f>IF($B37="","",($G37-$AH37)*$AA37)</f>
        <v/>
      </c>
      <c r="AW37" s="22" t="str">
        <f>IF($B37="","",IF($AJ37=0,0,($AH37-$AI37)*$AK37/$AJ37)*MAX($AA37,$AB37))</f>
        <v/>
      </c>
      <c r="AX37" s="22" t="str">
        <f>IF($B37="","",(AV37+AW37)*$AC37)</f>
        <v/>
      </c>
      <c r="AY37" s="22" t="str">
        <f>IF($B37="","",AV37+AW37-AX37)</f>
        <v/>
      </c>
      <c r="AZ37" s="22" t="str">
        <f>IF($B37="","",AO37-AY37)</f>
        <v/>
      </c>
      <c r="BA37" s="22" t="str">
        <f>IF($B37="","",IF($AC37=1,N($R37)-($G37-AX37),0))</f>
        <v/>
      </c>
      <c r="BB37" s="22" t="str">
        <f>IF($B37="","",ROUND(AQ37-AW37,0))</f>
        <v/>
      </c>
      <c r="BC37" s="22" t="str">
        <f>IF($B37="","",ROUND(BA37-AU37,0))</f>
        <v/>
      </c>
      <c r="BD37" s="22" t="str">
        <f>IF($B37="","",BB37+BC37)</f>
        <v/>
      </c>
      <c r="BE37" s="22" t="str">
        <f>IF($B37="","",ROUND(AV37-AP37,0))</f>
        <v/>
      </c>
      <c r="BF37" s="22" t="str">
        <f>IF($B37="","",ROUND(AT37-AZ37,0))</f>
        <v/>
      </c>
      <c r="BG37" s="22" t="str">
        <f>IF($B37="","",ROUND(BF37*TarifPPh,0))</f>
        <v/>
      </c>
      <c r="BH37" t="str">
        <f>IF($B37="","",IF($D37="","Kategori kosong",IF($F37="","Tgl perolehan kosong",IF(N($H37)&gt;$G37,"Residu &gt; harga perolehan",IF(AND(LEFT($U37,8)="Bangunan",$W37="Saldo Menurun"),"Bangunan wajib Garis Lurus (Ps.11 UU PPh)",IF(AND($S37="Unit Produksi",N($K37)=0),"Isi kapasitas unit",IF(AND(OR($S37="Garis Lurus",$S37="Saldo Menurun"),N($T37)&lt;=0),"Umur komersial kosong",IF(AND(OR($W37="Garis Lurus",$W37="Saldo Menurun"),N($V37)&lt;=0),"Masa manfaat fiskal kosong",IF(AND($Q37&lt;&gt;"",$Q37&lt;$F37),"Tgl pelepasan &lt; perolehan","OK")))))))))</f>
        <v/>
      </c>
    </row>
    <row r="38" spans="1:60" x14ac:dyDescent="0.25">
      <c r="A38" t="str">
        <f>IF($B38="","",ROW()-6)</f>
        <v/>
      </c>
      <c r="B38" s="9"/>
      <c r="C38" s="9"/>
      <c r="D38" s="9"/>
      <c r="E38" s="9"/>
      <c r="F38" s="17"/>
      <c r="G38" s="18"/>
      <c r="H38" s="18"/>
      <c r="I38" s="9"/>
      <c r="J38" s="9"/>
      <c r="K38" s="19"/>
      <c r="L38" s="19"/>
      <c r="M38" s="19"/>
      <c r="N38" s="9"/>
      <c r="O38" s="9"/>
      <c r="P38" s="9"/>
      <c r="Q38" s="17"/>
      <c r="R38" s="18"/>
      <c r="S38" t="str">
        <f>IF($B38="","",IF($I38&lt;&gt;"",$I38,IFERROR(INDEX(Kat_Metode,MATCH($D38,Kat_Nama,0)),"")))</f>
        <v/>
      </c>
      <c r="T38" t="str">
        <f>IF($B38="","",IF($J38&lt;&gt;"",$J38,IFERROR(INDEX(Kat_Umur,MATCH($D38,Kat_Nama,0)),0)))</f>
        <v/>
      </c>
      <c r="U38" t="str">
        <f>IF($B38="","",IF($N38&lt;&gt;"",$N38,IFERROR(INDEX(Kat_Kelompok,MATCH($D38,Kat_Nama,0)),"")))</f>
        <v/>
      </c>
      <c r="V38" t="str">
        <f>IF($B38="","",IF($U38="Masa Manfaat Sebenarnya",N($O38),IFERROR(INDEX(Kel_Masa,MATCH($U38,Kel_Nama,0)),0)))</f>
        <v/>
      </c>
      <c r="W38" t="str">
        <f>IF($B38="","",IF($P38&lt;&gt;"",$P38,IF(OR($U38="Tidak Disusutkan",$V38=0),"Tidak Disusutkan","Garis Lurus")))</f>
        <v/>
      </c>
      <c r="X38" t="str">
        <f>IF($B38="","",IF($Y38&gt;TahunBuku*12+12,"Belum Diperoleh",IF($Z38&lt;=TahunBuku*12,"Dilepas (thn lalu)",IF($AC38=1,"Dilepas thn ini",IF($AB38=1,"Perolehan baru","Aktif")))))</f>
        <v/>
      </c>
      <c r="Y38" s="20" t="str">
        <f>IF($B38="","",YEAR($F38)*12+MONTH($F38))</f>
        <v/>
      </c>
      <c r="Z38" s="20" t="str">
        <f>IF($B38="","",IF($Q38="",99999,YEAR($Q38)*12+MONTH($Q38)))</f>
        <v/>
      </c>
      <c r="AA38" s="20" t="str">
        <f>IF($B38="","",--AND($Y38&lt;=TahunBuku*12,$Z38&gt;TahunBuku*12))</f>
        <v/>
      </c>
      <c r="AB38" s="20" t="str">
        <f>IF($B38="","",--AND($Y38&gt;TahunBuku*12,$Y38&lt;=TahunBuku*12+12))</f>
        <v/>
      </c>
      <c r="AC38" s="20" t="str">
        <f>IF($B38="","",--AND($Z38&gt;TahunBuku*12,$Z38&lt;=TahunBuku*12+12,$Y38&lt;=$Z38))</f>
        <v/>
      </c>
      <c r="AD38" s="21" t="str">
        <f>IF($B38="","",IFERROR(IF($S38="Garis Lurus",$G38-($G38-$H38)*MIN($T38*12,MAX(0,TahunBuku*12-$Y38+1))/($T38*12),IF($S38="Saldo Menurun",IF(TahunBuku-1&lt;YEAR($F38),$G38,IF(TahunBuku-1&gt;=INT(($Y38+$T38*12-2)/12),$H38,MAX($H38,$G38*(1-2/$T38*(13-MONTH($F38))/12)*(1-2/$T38)^(TahunBuku-1-YEAR($F38))))),IF($S38="Unit Produksi",$G38-($G38-$H38)*MIN(1,N($L38)/$K38),$G38))),$G38))</f>
        <v/>
      </c>
      <c r="AE38" s="21" t="str">
        <f>IF($B38="","",IFERROR(IF($S38="Garis Lurus",$G38-($G38-$H38)*MIN($T38*12,MAX(0,TahunBuku*12+12-$Y38+1))/($T38*12),IF($S38="Saldo Menurun",IF(TahunBuku&lt;YEAR($F38),$G38,IF(TahunBuku&gt;=INT(($Y38+$T38*12-2)/12),$H38,MAX($H38,$G38*(1-2/$T38*(13-MONTH($F38))/12)*(1-2/$T38)^(TahunBuku-YEAR($F38))))),IF($S38="Unit Produksi",$G38-($G38-$H38)*MIN(1,(N($L38)+N($M38))/$K38),$G38))),$G38))</f>
        <v/>
      </c>
      <c r="AF38" s="20" t="str">
        <f>IF($B38="","",IF(OR($S38="Garis Lurus",$S38="Saldo Menurun",$S38="Unit Produksi"),MAX(0,IF($S38="Unit Produksi",TahunBuku*12+12,MIN(TahunBuku*12+12,$Y38+$T38*12-1))-MAX(TahunBuku*12+1,$Y38)+1),0))</f>
        <v/>
      </c>
      <c r="AG38" s="20" t="str">
        <f>IF($B38="","",IF(OR($S38="Garis Lurus",$S38="Saldo Menurun",$S38="Unit Produksi"),MAX(0,MIN($Z38,IF($S38="Unit Produksi",TahunBuku*12+12,MIN(TahunBuku*12+12,$Y38+$T38*12-1)))-MAX(TahunBuku*12+1,$Y38)+1),0))</f>
        <v/>
      </c>
      <c r="AH38" s="21" t="str">
        <f>IF($B38="","",IFERROR(IF($W38="Garis Lurus",$G38*(1-MIN($V38*12,MAX(0,TahunBuku*12-$Y38+1))/($V38*12)),IF($W38="Saldo Menurun",IF(TahunBuku-1&lt;YEAR($F38),$G38,IF(TahunBuku-1&gt;=INT(($Y38+$V38*12-2)/12),0,$G38*(1-2/$V38*(13-MONTH($F38))/12)*(1-2/$V38)^(TahunBuku-1-YEAR($F38)))),$G38)),$G38))</f>
        <v/>
      </c>
      <c r="AI38" s="21" t="str">
        <f>IF($B38="","",IFERROR(IF($W38="Garis Lurus",$G38*(1-MIN($V38*12,MAX(0,TahunBuku*12+12-$Y38+1))/($V38*12)),IF($W38="Saldo Menurun",IF(TahunBuku&lt;YEAR($F38),$G38,IF(TahunBuku&gt;=INT(($Y38+$V38*12-2)/12),0,$G38*(1-2/$V38*(13-MONTH($F38))/12)*(1-2/$V38)^(TahunBuku-YEAR($F38)))),$G38)),$G38))</f>
        <v/>
      </c>
      <c r="AJ38" s="20" t="str">
        <f>IF($B38="","",IF(OR($W38="Garis Lurus",$W38="Saldo Menurun"),MAX(0,MIN(TahunBuku*12+12,$Y38+$V38*12-1)-MAX(TahunBuku*12+1,$Y38)+1),0))</f>
        <v/>
      </c>
      <c r="AK38" s="20" t="str">
        <f>IF($B38="","",IF(OR($W38="Garis Lurus",$W38="Saldo Menurun"),MAX(0,MIN($Z38,TahunBuku*12+12,$Y38+$V38*12-1)-MAX(TahunBuku*12+1,$Y38)+1),0))</f>
        <v/>
      </c>
      <c r="AL38" s="22" t="str">
        <f>IF($B38="","",$G38*$AA38)</f>
        <v/>
      </c>
      <c r="AM38" s="22" t="str">
        <f>IF($B38="","",$G38*$AB38)</f>
        <v/>
      </c>
      <c r="AN38" s="22" t="str">
        <f>IF($B38="","",$G38*$AC38)</f>
        <v/>
      </c>
      <c r="AO38" s="22" t="str">
        <f>IF($B38="","",AL38+AM38-AN38)</f>
        <v/>
      </c>
      <c r="AP38" s="22" t="str">
        <f>IF($B38="","",($G38-$AD38)*$AA38)</f>
        <v/>
      </c>
      <c r="AQ38" s="22" t="str">
        <f>IF($B38="","",IF($AF38=0,0,($AD38-$AE38)*$AG38/$AF38)*MAX($AA38,$AB38))</f>
        <v/>
      </c>
      <c r="AR38" s="22" t="str">
        <f>IF($B38="","",(AP38+AQ38)*$AC38)</f>
        <v/>
      </c>
      <c r="AS38" s="22" t="str">
        <f>IF($B38="","",AP38+AQ38-AR38)</f>
        <v/>
      </c>
      <c r="AT38" s="22" t="str">
        <f>IF($B38="","",AO38-AS38)</f>
        <v/>
      </c>
      <c r="AU38" s="22" t="str">
        <f>IF($B38="","",IF($AC38=1,N($R38)-($G38-AR38),0))</f>
        <v/>
      </c>
      <c r="AV38" s="22" t="str">
        <f>IF($B38="","",($G38-$AH38)*$AA38)</f>
        <v/>
      </c>
      <c r="AW38" s="22" t="str">
        <f>IF($B38="","",IF($AJ38=0,0,($AH38-$AI38)*$AK38/$AJ38)*MAX($AA38,$AB38))</f>
        <v/>
      </c>
      <c r="AX38" s="22" t="str">
        <f>IF($B38="","",(AV38+AW38)*$AC38)</f>
        <v/>
      </c>
      <c r="AY38" s="22" t="str">
        <f>IF($B38="","",AV38+AW38-AX38)</f>
        <v/>
      </c>
      <c r="AZ38" s="22" t="str">
        <f>IF($B38="","",AO38-AY38)</f>
        <v/>
      </c>
      <c r="BA38" s="22" t="str">
        <f>IF($B38="","",IF($AC38=1,N($R38)-($G38-AX38),0))</f>
        <v/>
      </c>
      <c r="BB38" s="22" t="str">
        <f>IF($B38="","",ROUND(AQ38-AW38,0))</f>
        <v/>
      </c>
      <c r="BC38" s="22" t="str">
        <f>IF($B38="","",ROUND(BA38-AU38,0))</f>
        <v/>
      </c>
      <c r="BD38" s="22" t="str">
        <f>IF($B38="","",BB38+BC38)</f>
        <v/>
      </c>
      <c r="BE38" s="22" t="str">
        <f>IF($B38="","",ROUND(AV38-AP38,0))</f>
        <v/>
      </c>
      <c r="BF38" s="22" t="str">
        <f>IF($B38="","",ROUND(AT38-AZ38,0))</f>
        <v/>
      </c>
      <c r="BG38" s="22" t="str">
        <f>IF($B38="","",ROUND(BF38*TarifPPh,0))</f>
        <v/>
      </c>
      <c r="BH38" t="str">
        <f>IF($B38="","",IF($D38="","Kategori kosong",IF($F38="","Tgl perolehan kosong",IF(N($H38)&gt;$G38,"Residu &gt; harga perolehan",IF(AND(LEFT($U38,8)="Bangunan",$W38="Saldo Menurun"),"Bangunan wajib Garis Lurus (Ps.11 UU PPh)",IF(AND($S38="Unit Produksi",N($K38)=0),"Isi kapasitas unit",IF(AND(OR($S38="Garis Lurus",$S38="Saldo Menurun"),N($T38)&lt;=0),"Umur komersial kosong",IF(AND(OR($W38="Garis Lurus",$W38="Saldo Menurun"),N($V38)&lt;=0),"Masa manfaat fiskal kosong",IF(AND($Q38&lt;&gt;"",$Q38&lt;$F38),"Tgl pelepasan &lt; perolehan","OK")))))))))</f>
        <v/>
      </c>
    </row>
    <row r="39" spans="1:60" x14ac:dyDescent="0.25">
      <c r="A39" t="str">
        <f>IF($B39="","",ROW()-6)</f>
        <v/>
      </c>
      <c r="B39" s="9"/>
      <c r="C39" s="9"/>
      <c r="D39" s="9"/>
      <c r="E39" s="9"/>
      <c r="F39" s="17"/>
      <c r="G39" s="18"/>
      <c r="H39" s="18"/>
      <c r="I39" s="9"/>
      <c r="J39" s="9"/>
      <c r="K39" s="19"/>
      <c r="L39" s="19"/>
      <c r="M39" s="19"/>
      <c r="N39" s="9"/>
      <c r="O39" s="9"/>
      <c r="P39" s="9"/>
      <c r="Q39" s="17"/>
      <c r="R39" s="18"/>
      <c r="S39" t="str">
        <f>IF($B39="","",IF($I39&lt;&gt;"",$I39,IFERROR(INDEX(Kat_Metode,MATCH($D39,Kat_Nama,0)),"")))</f>
        <v/>
      </c>
      <c r="T39" t="str">
        <f>IF($B39="","",IF($J39&lt;&gt;"",$J39,IFERROR(INDEX(Kat_Umur,MATCH($D39,Kat_Nama,0)),0)))</f>
        <v/>
      </c>
      <c r="U39" t="str">
        <f>IF($B39="","",IF($N39&lt;&gt;"",$N39,IFERROR(INDEX(Kat_Kelompok,MATCH($D39,Kat_Nama,0)),"")))</f>
        <v/>
      </c>
      <c r="V39" t="str">
        <f>IF($B39="","",IF($U39="Masa Manfaat Sebenarnya",N($O39),IFERROR(INDEX(Kel_Masa,MATCH($U39,Kel_Nama,0)),0)))</f>
        <v/>
      </c>
      <c r="W39" t="str">
        <f>IF($B39="","",IF($P39&lt;&gt;"",$P39,IF(OR($U39="Tidak Disusutkan",$V39=0),"Tidak Disusutkan","Garis Lurus")))</f>
        <v/>
      </c>
      <c r="X39" t="str">
        <f>IF($B39="","",IF($Y39&gt;TahunBuku*12+12,"Belum Diperoleh",IF($Z39&lt;=TahunBuku*12,"Dilepas (thn lalu)",IF($AC39=1,"Dilepas thn ini",IF($AB39=1,"Perolehan baru","Aktif")))))</f>
        <v/>
      </c>
      <c r="Y39" s="20" t="str">
        <f>IF($B39="","",YEAR($F39)*12+MONTH($F39))</f>
        <v/>
      </c>
      <c r="Z39" s="20" t="str">
        <f>IF($B39="","",IF($Q39="",99999,YEAR($Q39)*12+MONTH($Q39)))</f>
        <v/>
      </c>
      <c r="AA39" s="20" t="str">
        <f>IF($B39="","",--AND($Y39&lt;=TahunBuku*12,$Z39&gt;TahunBuku*12))</f>
        <v/>
      </c>
      <c r="AB39" s="20" t="str">
        <f>IF($B39="","",--AND($Y39&gt;TahunBuku*12,$Y39&lt;=TahunBuku*12+12))</f>
        <v/>
      </c>
      <c r="AC39" s="20" t="str">
        <f>IF($B39="","",--AND($Z39&gt;TahunBuku*12,$Z39&lt;=TahunBuku*12+12,$Y39&lt;=$Z39))</f>
        <v/>
      </c>
      <c r="AD39" s="21" t="str">
        <f>IF($B39="","",IFERROR(IF($S39="Garis Lurus",$G39-($G39-$H39)*MIN($T39*12,MAX(0,TahunBuku*12-$Y39+1))/($T39*12),IF($S39="Saldo Menurun",IF(TahunBuku-1&lt;YEAR($F39),$G39,IF(TahunBuku-1&gt;=INT(($Y39+$T39*12-2)/12),$H39,MAX($H39,$G39*(1-2/$T39*(13-MONTH($F39))/12)*(1-2/$T39)^(TahunBuku-1-YEAR($F39))))),IF($S39="Unit Produksi",$G39-($G39-$H39)*MIN(1,N($L39)/$K39),$G39))),$G39))</f>
        <v/>
      </c>
      <c r="AE39" s="21" t="str">
        <f>IF($B39="","",IFERROR(IF($S39="Garis Lurus",$G39-($G39-$H39)*MIN($T39*12,MAX(0,TahunBuku*12+12-$Y39+1))/($T39*12),IF($S39="Saldo Menurun",IF(TahunBuku&lt;YEAR($F39),$G39,IF(TahunBuku&gt;=INT(($Y39+$T39*12-2)/12),$H39,MAX($H39,$G39*(1-2/$T39*(13-MONTH($F39))/12)*(1-2/$T39)^(TahunBuku-YEAR($F39))))),IF($S39="Unit Produksi",$G39-($G39-$H39)*MIN(1,(N($L39)+N($M39))/$K39),$G39))),$G39))</f>
        <v/>
      </c>
      <c r="AF39" s="20" t="str">
        <f>IF($B39="","",IF(OR($S39="Garis Lurus",$S39="Saldo Menurun",$S39="Unit Produksi"),MAX(0,IF($S39="Unit Produksi",TahunBuku*12+12,MIN(TahunBuku*12+12,$Y39+$T39*12-1))-MAX(TahunBuku*12+1,$Y39)+1),0))</f>
        <v/>
      </c>
      <c r="AG39" s="20" t="str">
        <f>IF($B39="","",IF(OR($S39="Garis Lurus",$S39="Saldo Menurun",$S39="Unit Produksi"),MAX(0,MIN($Z39,IF($S39="Unit Produksi",TahunBuku*12+12,MIN(TahunBuku*12+12,$Y39+$T39*12-1)))-MAX(TahunBuku*12+1,$Y39)+1),0))</f>
        <v/>
      </c>
      <c r="AH39" s="21" t="str">
        <f>IF($B39="","",IFERROR(IF($W39="Garis Lurus",$G39*(1-MIN($V39*12,MAX(0,TahunBuku*12-$Y39+1))/($V39*12)),IF($W39="Saldo Menurun",IF(TahunBuku-1&lt;YEAR($F39),$G39,IF(TahunBuku-1&gt;=INT(($Y39+$V39*12-2)/12),0,$G39*(1-2/$V39*(13-MONTH($F39))/12)*(1-2/$V39)^(TahunBuku-1-YEAR($F39)))),$G39)),$G39))</f>
        <v/>
      </c>
      <c r="AI39" s="21" t="str">
        <f>IF($B39="","",IFERROR(IF($W39="Garis Lurus",$G39*(1-MIN($V39*12,MAX(0,TahunBuku*12+12-$Y39+1))/($V39*12)),IF($W39="Saldo Menurun",IF(TahunBuku&lt;YEAR($F39),$G39,IF(TahunBuku&gt;=INT(($Y39+$V39*12-2)/12),0,$G39*(1-2/$V39*(13-MONTH($F39))/12)*(1-2/$V39)^(TahunBuku-YEAR($F39)))),$G39)),$G39))</f>
        <v/>
      </c>
      <c r="AJ39" s="20" t="str">
        <f>IF($B39="","",IF(OR($W39="Garis Lurus",$W39="Saldo Menurun"),MAX(0,MIN(TahunBuku*12+12,$Y39+$V39*12-1)-MAX(TahunBuku*12+1,$Y39)+1),0))</f>
        <v/>
      </c>
      <c r="AK39" s="20" t="str">
        <f>IF($B39="","",IF(OR($W39="Garis Lurus",$W39="Saldo Menurun"),MAX(0,MIN($Z39,TahunBuku*12+12,$Y39+$V39*12-1)-MAX(TahunBuku*12+1,$Y39)+1),0))</f>
        <v/>
      </c>
      <c r="AL39" s="22" t="str">
        <f>IF($B39="","",$G39*$AA39)</f>
        <v/>
      </c>
      <c r="AM39" s="22" t="str">
        <f>IF($B39="","",$G39*$AB39)</f>
        <v/>
      </c>
      <c r="AN39" s="22" t="str">
        <f>IF($B39="","",$G39*$AC39)</f>
        <v/>
      </c>
      <c r="AO39" s="22" t="str">
        <f>IF($B39="","",AL39+AM39-AN39)</f>
        <v/>
      </c>
      <c r="AP39" s="22" t="str">
        <f>IF($B39="","",($G39-$AD39)*$AA39)</f>
        <v/>
      </c>
      <c r="AQ39" s="22" t="str">
        <f>IF($B39="","",IF($AF39=0,0,($AD39-$AE39)*$AG39/$AF39)*MAX($AA39,$AB39))</f>
        <v/>
      </c>
      <c r="AR39" s="22" t="str">
        <f>IF($B39="","",(AP39+AQ39)*$AC39)</f>
        <v/>
      </c>
      <c r="AS39" s="22" t="str">
        <f>IF($B39="","",AP39+AQ39-AR39)</f>
        <v/>
      </c>
      <c r="AT39" s="22" t="str">
        <f>IF($B39="","",AO39-AS39)</f>
        <v/>
      </c>
      <c r="AU39" s="22" t="str">
        <f>IF($B39="","",IF($AC39=1,N($R39)-($G39-AR39),0))</f>
        <v/>
      </c>
      <c r="AV39" s="22" t="str">
        <f>IF($B39="","",($G39-$AH39)*$AA39)</f>
        <v/>
      </c>
      <c r="AW39" s="22" t="str">
        <f>IF($B39="","",IF($AJ39=0,0,($AH39-$AI39)*$AK39/$AJ39)*MAX($AA39,$AB39))</f>
        <v/>
      </c>
      <c r="AX39" s="22" t="str">
        <f>IF($B39="","",(AV39+AW39)*$AC39)</f>
        <v/>
      </c>
      <c r="AY39" s="22" t="str">
        <f>IF($B39="","",AV39+AW39-AX39)</f>
        <v/>
      </c>
      <c r="AZ39" s="22" t="str">
        <f>IF($B39="","",AO39-AY39)</f>
        <v/>
      </c>
      <c r="BA39" s="22" t="str">
        <f>IF($B39="","",IF($AC39=1,N($R39)-($G39-AX39),0))</f>
        <v/>
      </c>
      <c r="BB39" s="22" t="str">
        <f>IF($B39="","",ROUND(AQ39-AW39,0))</f>
        <v/>
      </c>
      <c r="BC39" s="22" t="str">
        <f>IF($B39="","",ROUND(BA39-AU39,0))</f>
        <v/>
      </c>
      <c r="BD39" s="22" t="str">
        <f>IF($B39="","",BB39+BC39)</f>
        <v/>
      </c>
      <c r="BE39" s="22" t="str">
        <f>IF($B39="","",ROUND(AV39-AP39,0))</f>
        <v/>
      </c>
      <c r="BF39" s="22" t="str">
        <f>IF($B39="","",ROUND(AT39-AZ39,0))</f>
        <v/>
      </c>
      <c r="BG39" s="22" t="str">
        <f>IF($B39="","",ROUND(BF39*TarifPPh,0))</f>
        <v/>
      </c>
      <c r="BH39" t="str">
        <f>IF($B39="","",IF($D39="","Kategori kosong",IF($F39="","Tgl perolehan kosong",IF(N($H39)&gt;$G39,"Residu &gt; harga perolehan",IF(AND(LEFT($U39,8)="Bangunan",$W39="Saldo Menurun"),"Bangunan wajib Garis Lurus (Ps.11 UU PPh)",IF(AND($S39="Unit Produksi",N($K39)=0),"Isi kapasitas unit",IF(AND(OR($S39="Garis Lurus",$S39="Saldo Menurun"),N($T39)&lt;=0),"Umur komersial kosong",IF(AND(OR($W39="Garis Lurus",$W39="Saldo Menurun"),N($V39)&lt;=0),"Masa manfaat fiskal kosong",IF(AND($Q39&lt;&gt;"",$Q39&lt;$F39),"Tgl pelepasan &lt; perolehan","OK")))))))))</f>
        <v/>
      </c>
    </row>
    <row r="40" spans="1:60" x14ac:dyDescent="0.25">
      <c r="A40" t="str">
        <f>IF($B40="","",ROW()-6)</f>
        <v/>
      </c>
      <c r="B40" s="9"/>
      <c r="C40" s="9"/>
      <c r="D40" s="9"/>
      <c r="E40" s="9"/>
      <c r="F40" s="17"/>
      <c r="G40" s="18"/>
      <c r="H40" s="18"/>
      <c r="I40" s="9"/>
      <c r="J40" s="9"/>
      <c r="K40" s="19"/>
      <c r="L40" s="19"/>
      <c r="M40" s="19"/>
      <c r="N40" s="9"/>
      <c r="O40" s="9"/>
      <c r="P40" s="9"/>
      <c r="Q40" s="17"/>
      <c r="R40" s="18"/>
      <c r="S40" t="str">
        <f>IF($B40="","",IF($I40&lt;&gt;"",$I40,IFERROR(INDEX(Kat_Metode,MATCH($D40,Kat_Nama,0)),"")))</f>
        <v/>
      </c>
      <c r="T40" t="str">
        <f>IF($B40="","",IF($J40&lt;&gt;"",$J40,IFERROR(INDEX(Kat_Umur,MATCH($D40,Kat_Nama,0)),0)))</f>
        <v/>
      </c>
      <c r="U40" t="str">
        <f>IF($B40="","",IF($N40&lt;&gt;"",$N40,IFERROR(INDEX(Kat_Kelompok,MATCH($D40,Kat_Nama,0)),"")))</f>
        <v/>
      </c>
      <c r="V40" t="str">
        <f>IF($B40="","",IF($U40="Masa Manfaat Sebenarnya",N($O40),IFERROR(INDEX(Kel_Masa,MATCH($U40,Kel_Nama,0)),0)))</f>
        <v/>
      </c>
      <c r="W40" t="str">
        <f>IF($B40="","",IF($P40&lt;&gt;"",$P40,IF(OR($U40="Tidak Disusutkan",$V40=0),"Tidak Disusutkan","Garis Lurus")))</f>
        <v/>
      </c>
      <c r="X40" t="str">
        <f>IF($B40="","",IF($Y40&gt;TahunBuku*12+12,"Belum Diperoleh",IF($Z40&lt;=TahunBuku*12,"Dilepas (thn lalu)",IF($AC40=1,"Dilepas thn ini",IF($AB40=1,"Perolehan baru","Aktif")))))</f>
        <v/>
      </c>
      <c r="Y40" s="20" t="str">
        <f>IF($B40="","",YEAR($F40)*12+MONTH($F40))</f>
        <v/>
      </c>
      <c r="Z40" s="20" t="str">
        <f>IF($B40="","",IF($Q40="",99999,YEAR($Q40)*12+MONTH($Q40)))</f>
        <v/>
      </c>
      <c r="AA40" s="20" t="str">
        <f>IF($B40="","",--AND($Y40&lt;=TahunBuku*12,$Z40&gt;TahunBuku*12))</f>
        <v/>
      </c>
      <c r="AB40" s="20" t="str">
        <f>IF($B40="","",--AND($Y40&gt;TahunBuku*12,$Y40&lt;=TahunBuku*12+12))</f>
        <v/>
      </c>
      <c r="AC40" s="20" t="str">
        <f>IF($B40="","",--AND($Z40&gt;TahunBuku*12,$Z40&lt;=TahunBuku*12+12,$Y40&lt;=$Z40))</f>
        <v/>
      </c>
      <c r="AD40" s="21" t="str">
        <f>IF($B40="","",IFERROR(IF($S40="Garis Lurus",$G40-($G40-$H40)*MIN($T40*12,MAX(0,TahunBuku*12-$Y40+1))/($T40*12),IF($S40="Saldo Menurun",IF(TahunBuku-1&lt;YEAR($F40),$G40,IF(TahunBuku-1&gt;=INT(($Y40+$T40*12-2)/12),$H40,MAX($H40,$G40*(1-2/$T40*(13-MONTH($F40))/12)*(1-2/$T40)^(TahunBuku-1-YEAR($F40))))),IF($S40="Unit Produksi",$G40-($G40-$H40)*MIN(1,N($L40)/$K40),$G40))),$G40))</f>
        <v/>
      </c>
      <c r="AE40" s="21" t="str">
        <f>IF($B40="","",IFERROR(IF($S40="Garis Lurus",$G40-($G40-$H40)*MIN($T40*12,MAX(0,TahunBuku*12+12-$Y40+1))/($T40*12),IF($S40="Saldo Menurun",IF(TahunBuku&lt;YEAR($F40),$G40,IF(TahunBuku&gt;=INT(($Y40+$T40*12-2)/12),$H40,MAX($H40,$G40*(1-2/$T40*(13-MONTH($F40))/12)*(1-2/$T40)^(TahunBuku-YEAR($F40))))),IF($S40="Unit Produksi",$G40-($G40-$H40)*MIN(1,(N($L40)+N($M40))/$K40),$G40))),$G40))</f>
        <v/>
      </c>
      <c r="AF40" s="20" t="str">
        <f>IF($B40="","",IF(OR($S40="Garis Lurus",$S40="Saldo Menurun",$S40="Unit Produksi"),MAX(0,IF($S40="Unit Produksi",TahunBuku*12+12,MIN(TahunBuku*12+12,$Y40+$T40*12-1))-MAX(TahunBuku*12+1,$Y40)+1),0))</f>
        <v/>
      </c>
      <c r="AG40" s="20" t="str">
        <f>IF($B40="","",IF(OR($S40="Garis Lurus",$S40="Saldo Menurun",$S40="Unit Produksi"),MAX(0,MIN($Z40,IF($S40="Unit Produksi",TahunBuku*12+12,MIN(TahunBuku*12+12,$Y40+$T40*12-1)))-MAX(TahunBuku*12+1,$Y40)+1),0))</f>
        <v/>
      </c>
      <c r="AH40" s="21" t="str">
        <f>IF($B40="","",IFERROR(IF($W40="Garis Lurus",$G40*(1-MIN($V40*12,MAX(0,TahunBuku*12-$Y40+1))/($V40*12)),IF($W40="Saldo Menurun",IF(TahunBuku-1&lt;YEAR($F40),$G40,IF(TahunBuku-1&gt;=INT(($Y40+$V40*12-2)/12),0,$G40*(1-2/$V40*(13-MONTH($F40))/12)*(1-2/$V40)^(TahunBuku-1-YEAR($F40)))),$G40)),$G40))</f>
        <v/>
      </c>
      <c r="AI40" s="21" t="str">
        <f>IF($B40="","",IFERROR(IF($W40="Garis Lurus",$G40*(1-MIN($V40*12,MAX(0,TahunBuku*12+12-$Y40+1))/($V40*12)),IF($W40="Saldo Menurun",IF(TahunBuku&lt;YEAR($F40),$G40,IF(TahunBuku&gt;=INT(($Y40+$V40*12-2)/12),0,$G40*(1-2/$V40*(13-MONTH($F40))/12)*(1-2/$V40)^(TahunBuku-YEAR($F40)))),$G40)),$G40))</f>
        <v/>
      </c>
      <c r="AJ40" s="20" t="str">
        <f>IF($B40="","",IF(OR($W40="Garis Lurus",$W40="Saldo Menurun"),MAX(0,MIN(TahunBuku*12+12,$Y40+$V40*12-1)-MAX(TahunBuku*12+1,$Y40)+1),0))</f>
        <v/>
      </c>
      <c r="AK40" s="20" t="str">
        <f>IF($B40="","",IF(OR($W40="Garis Lurus",$W40="Saldo Menurun"),MAX(0,MIN($Z40,TahunBuku*12+12,$Y40+$V40*12-1)-MAX(TahunBuku*12+1,$Y40)+1),0))</f>
        <v/>
      </c>
      <c r="AL40" s="22" t="str">
        <f>IF($B40="","",$G40*$AA40)</f>
        <v/>
      </c>
      <c r="AM40" s="22" t="str">
        <f>IF($B40="","",$G40*$AB40)</f>
        <v/>
      </c>
      <c r="AN40" s="22" t="str">
        <f>IF($B40="","",$G40*$AC40)</f>
        <v/>
      </c>
      <c r="AO40" s="22" t="str">
        <f>IF($B40="","",AL40+AM40-AN40)</f>
        <v/>
      </c>
      <c r="AP40" s="22" t="str">
        <f>IF($B40="","",($G40-$AD40)*$AA40)</f>
        <v/>
      </c>
      <c r="AQ40" s="22" t="str">
        <f>IF($B40="","",IF($AF40=0,0,($AD40-$AE40)*$AG40/$AF40)*MAX($AA40,$AB40))</f>
        <v/>
      </c>
      <c r="AR40" s="22" t="str">
        <f>IF($B40="","",(AP40+AQ40)*$AC40)</f>
        <v/>
      </c>
      <c r="AS40" s="22" t="str">
        <f>IF($B40="","",AP40+AQ40-AR40)</f>
        <v/>
      </c>
      <c r="AT40" s="22" t="str">
        <f>IF($B40="","",AO40-AS40)</f>
        <v/>
      </c>
      <c r="AU40" s="22" t="str">
        <f>IF($B40="","",IF($AC40=1,N($R40)-($G40-AR40),0))</f>
        <v/>
      </c>
      <c r="AV40" s="22" t="str">
        <f>IF($B40="","",($G40-$AH40)*$AA40)</f>
        <v/>
      </c>
      <c r="AW40" s="22" t="str">
        <f>IF($B40="","",IF($AJ40=0,0,($AH40-$AI40)*$AK40/$AJ40)*MAX($AA40,$AB40))</f>
        <v/>
      </c>
      <c r="AX40" s="22" t="str">
        <f>IF($B40="","",(AV40+AW40)*$AC40)</f>
        <v/>
      </c>
      <c r="AY40" s="22" t="str">
        <f>IF($B40="","",AV40+AW40-AX40)</f>
        <v/>
      </c>
      <c r="AZ40" s="22" t="str">
        <f>IF($B40="","",AO40-AY40)</f>
        <v/>
      </c>
      <c r="BA40" s="22" t="str">
        <f>IF($B40="","",IF($AC40=1,N($R40)-($G40-AX40),0))</f>
        <v/>
      </c>
      <c r="BB40" s="22" t="str">
        <f>IF($B40="","",ROUND(AQ40-AW40,0))</f>
        <v/>
      </c>
      <c r="BC40" s="22" t="str">
        <f>IF($B40="","",ROUND(BA40-AU40,0))</f>
        <v/>
      </c>
      <c r="BD40" s="22" t="str">
        <f>IF($B40="","",BB40+BC40)</f>
        <v/>
      </c>
      <c r="BE40" s="22" t="str">
        <f>IF($B40="","",ROUND(AV40-AP40,0))</f>
        <v/>
      </c>
      <c r="BF40" s="22" t="str">
        <f>IF($B40="","",ROUND(AT40-AZ40,0))</f>
        <v/>
      </c>
      <c r="BG40" s="22" t="str">
        <f>IF($B40="","",ROUND(BF40*TarifPPh,0))</f>
        <v/>
      </c>
      <c r="BH40" t="str">
        <f>IF($B40="","",IF($D40="","Kategori kosong",IF($F40="","Tgl perolehan kosong",IF(N($H40)&gt;$G40,"Residu &gt; harga perolehan",IF(AND(LEFT($U40,8)="Bangunan",$W40="Saldo Menurun"),"Bangunan wajib Garis Lurus (Ps.11 UU PPh)",IF(AND($S40="Unit Produksi",N($K40)=0),"Isi kapasitas unit",IF(AND(OR($S40="Garis Lurus",$S40="Saldo Menurun"),N($T40)&lt;=0),"Umur komersial kosong",IF(AND(OR($W40="Garis Lurus",$W40="Saldo Menurun"),N($V40)&lt;=0),"Masa manfaat fiskal kosong",IF(AND($Q40&lt;&gt;"",$Q40&lt;$F40),"Tgl pelepasan &lt; perolehan","OK")))))))))</f>
        <v/>
      </c>
    </row>
    <row r="41" spans="1:60" x14ac:dyDescent="0.25">
      <c r="A41" t="str">
        <f>IF($B41="","",ROW()-6)</f>
        <v/>
      </c>
      <c r="B41" s="9"/>
      <c r="C41" s="9"/>
      <c r="D41" s="9"/>
      <c r="E41" s="9"/>
      <c r="F41" s="17"/>
      <c r="G41" s="18"/>
      <c r="H41" s="18"/>
      <c r="I41" s="9"/>
      <c r="J41" s="9"/>
      <c r="K41" s="19"/>
      <c r="L41" s="19"/>
      <c r="M41" s="19"/>
      <c r="N41" s="9"/>
      <c r="O41" s="9"/>
      <c r="P41" s="9"/>
      <c r="Q41" s="17"/>
      <c r="R41" s="18"/>
      <c r="S41" t="str">
        <f>IF($B41="","",IF($I41&lt;&gt;"",$I41,IFERROR(INDEX(Kat_Metode,MATCH($D41,Kat_Nama,0)),"")))</f>
        <v/>
      </c>
      <c r="T41" t="str">
        <f>IF($B41="","",IF($J41&lt;&gt;"",$J41,IFERROR(INDEX(Kat_Umur,MATCH($D41,Kat_Nama,0)),0)))</f>
        <v/>
      </c>
      <c r="U41" t="str">
        <f>IF($B41="","",IF($N41&lt;&gt;"",$N41,IFERROR(INDEX(Kat_Kelompok,MATCH($D41,Kat_Nama,0)),"")))</f>
        <v/>
      </c>
      <c r="V41" t="str">
        <f>IF($B41="","",IF($U41="Masa Manfaat Sebenarnya",N($O41),IFERROR(INDEX(Kel_Masa,MATCH($U41,Kel_Nama,0)),0)))</f>
        <v/>
      </c>
      <c r="W41" t="str">
        <f>IF($B41="","",IF($P41&lt;&gt;"",$P41,IF(OR($U41="Tidak Disusutkan",$V41=0),"Tidak Disusutkan","Garis Lurus")))</f>
        <v/>
      </c>
      <c r="X41" t="str">
        <f>IF($B41="","",IF($Y41&gt;TahunBuku*12+12,"Belum Diperoleh",IF($Z41&lt;=TahunBuku*12,"Dilepas (thn lalu)",IF($AC41=1,"Dilepas thn ini",IF($AB41=1,"Perolehan baru","Aktif")))))</f>
        <v/>
      </c>
      <c r="Y41" s="20" t="str">
        <f>IF($B41="","",YEAR($F41)*12+MONTH($F41))</f>
        <v/>
      </c>
      <c r="Z41" s="20" t="str">
        <f>IF($B41="","",IF($Q41="",99999,YEAR($Q41)*12+MONTH($Q41)))</f>
        <v/>
      </c>
      <c r="AA41" s="20" t="str">
        <f>IF($B41="","",--AND($Y41&lt;=TahunBuku*12,$Z41&gt;TahunBuku*12))</f>
        <v/>
      </c>
      <c r="AB41" s="20" t="str">
        <f>IF($B41="","",--AND($Y41&gt;TahunBuku*12,$Y41&lt;=TahunBuku*12+12))</f>
        <v/>
      </c>
      <c r="AC41" s="20" t="str">
        <f>IF($B41="","",--AND($Z41&gt;TahunBuku*12,$Z41&lt;=TahunBuku*12+12,$Y41&lt;=$Z41))</f>
        <v/>
      </c>
      <c r="AD41" s="21" t="str">
        <f>IF($B41="","",IFERROR(IF($S41="Garis Lurus",$G41-($G41-$H41)*MIN($T41*12,MAX(0,TahunBuku*12-$Y41+1))/($T41*12),IF($S41="Saldo Menurun",IF(TahunBuku-1&lt;YEAR($F41),$G41,IF(TahunBuku-1&gt;=INT(($Y41+$T41*12-2)/12),$H41,MAX($H41,$G41*(1-2/$T41*(13-MONTH($F41))/12)*(1-2/$T41)^(TahunBuku-1-YEAR($F41))))),IF($S41="Unit Produksi",$G41-($G41-$H41)*MIN(1,N($L41)/$K41),$G41))),$G41))</f>
        <v/>
      </c>
      <c r="AE41" s="21" t="str">
        <f>IF($B41="","",IFERROR(IF($S41="Garis Lurus",$G41-($G41-$H41)*MIN($T41*12,MAX(0,TahunBuku*12+12-$Y41+1))/($T41*12),IF($S41="Saldo Menurun",IF(TahunBuku&lt;YEAR($F41),$G41,IF(TahunBuku&gt;=INT(($Y41+$T41*12-2)/12),$H41,MAX($H41,$G41*(1-2/$T41*(13-MONTH($F41))/12)*(1-2/$T41)^(TahunBuku-YEAR($F41))))),IF($S41="Unit Produksi",$G41-($G41-$H41)*MIN(1,(N($L41)+N($M41))/$K41),$G41))),$G41))</f>
        <v/>
      </c>
      <c r="AF41" s="20" t="str">
        <f>IF($B41="","",IF(OR($S41="Garis Lurus",$S41="Saldo Menurun",$S41="Unit Produksi"),MAX(0,IF($S41="Unit Produksi",TahunBuku*12+12,MIN(TahunBuku*12+12,$Y41+$T41*12-1))-MAX(TahunBuku*12+1,$Y41)+1),0))</f>
        <v/>
      </c>
      <c r="AG41" s="20" t="str">
        <f>IF($B41="","",IF(OR($S41="Garis Lurus",$S41="Saldo Menurun",$S41="Unit Produksi"),MAX(0,MIN($Z41,IF($S41="Unit Produksi",TahunBuku*12+12,MIN(TahunBuku*12+12,$Y41+$T41*12-1)))-MAX(TahunBuku*12+1,$Y41)+1),0))</f>
        <v/>
      </c>
      <c r="AH41" s="21" t="str">
        <f>IF($B41="","",IFERROR(IF($W41="Garis Lurus",$G41*(1-MIN($V41*12,MAX(0,TahunBuku*12-$Y41+1))/($V41*12)),IF($W41="Saldo Menurun",IF(TahunBuku-1&lt;YEAR($F41),$G41,IF(TahunBuku-1&gt;=INT(($Y41+$V41*12-2)/12),0,$G41*(1-2/$V41*(13-MONTH($F41))/12)*(1-2/$V41)^(TahunBuku-1-YEAR($F41)))),$G41)),$G41))</f>
        <v/>
      </c>
      <c r="AI41" s="21" t="str">
        <f>IF($B41="","",IFERROR(IF($W41="Garis Lurus",$G41*(1-MIN($V41*12,MAX(0,TahunBuku*12+12-$Y41+1))/($V41*12)),IF($W41="Saldo Menurun",IF(TahunBuku&lt;YEAR($F41),$G41,IF(TahunBuku&gt;=INT(($Y41+$V41*12-2)/12),0,$G41*(1-2/$V41*(13-MONTH($F41))/12)*(1-2/$V41)^(TahunBuku-YEAR($F41)))),$G41)),$G41))</f>
        <v/>
      </c>
      <c r="AJ41" s="20" t="str">
        <f>IF($B41="","",IF(OR($W41="Garis Lurus",$W41="Saldo Menurun"),MAX(0,MIN(TahunBuku*12+12,$Y41+$V41*12-1)-MAX(TahunBuku*12+1,$Y41)+1),0))</f>
        <v/>
      </c>
      <c r="AK41" s="20" t="str">
        <f>IF($B41="","",IF(OR($W41="Garis Lurus",$W41="Saldo Menurun"),MAX(0,MIN($Z41,TahunBuku*12+12,$Y41+$V41*12-1)-MAX(TahunBuku*12+1,$Y41)+1),0))</f>
        <v/>
      </c>
      <c r="AL41" s="22" t="str">
        <f>IF($B41="","",$G41*$AA41)</f>
        <v/>
      </c>
      <c r="AM41" s="22" t="str">
        <f>IF($B41="","",$G41*$AB41)</f>
        <v/>
      </c>
      <c r="AN41" s="22" t="str">
        <f>IF($B41="","",$G41*$AC41)</f>
        <v/>
      </c>
      <c r="AO41" s="22" t="str">
        <f>IF($B41="","",AL41+AM41-AN41)</f>
        <v/>
      </c>
      <c r="AP41" s="22" t="str">
        <f>IF($B41="","",($G41-$AD41)*$AA41)</f>
        <v/>
      </c>
      <c r="AQ41" s="22" t="str">
        <f>IF($B41="","",IF($AF41=0,0,($AD41-$AE41)*$AG41/$AF41)*MAX($AA41,$AB41))</f>
        <v/>
      </c>
      <c r="AR41" s="22" t="str">
        <f>IF($B41="","",(AP41+AQ41)*$AC41)</f>
        <v/>
      </c>
      <c r="AS41" s="22" t="str">
        <f>IF($B41="","",AP41+AQ41-AR41)</f>
        <v/>
      </c>
      <c r="AT41" s="22" t="str">
        <f>IF($B41="","",AO41-AS41)</f>
        <v/>
      </c>
      <c r="AU41" s="22" t="str">
        <f>IF($B41="","",IF($AC41=1,N($R41)-($G41-AR41),0))</f>
        <v/>
      </c>
      <c r="AV41" s="22" t="str">
        <f>IF($B41="","",($G41-$AH41)*$AA41)</f>
        <v/>
      </c>
      <c r="AW41" s="22" t="str">
        <f>IF($B41="","",IF($AJ41=0,0,($AH41-$AI41)*$AK41/$AJ41)*MAX($AA41,$AB41))</f>
        <v/>
      </c>
      <c r="AX41" s="22" t="str">
        <f>IF($B41="","",(AV41+AW41)*$AC41)</f>
        <v/>
      </c>
      <c r="AY41" s="22" t="str">
        <f>IF($B41="","",AV41+AW41-AX41)</f>
        <v/>
      </c>
      <c r="AZ41" s="22" t="str">
        <f>IF($B41="","",AO41-AY41)</f>
        <v/>
      </c>
      <c r="BA41" s="22" t="str">
        <f>IF($B41="","",IF($AC41=1,N($R41)-($G41-AX41),0))</f>
        <v/>
      </c>
      <c r="BB41" s="22" t="str">
        <f>IF($B41="","",ROUND(AQ41-AW41,0))</f>
        <v/>
      </c>
      <c r="BC41" s="22" t="str">
        <f>IF($B41="","",ROUND(BA41-AU41,0))</f>
        <v/>
      </c>
      <c r="BD41" s="22" t="str">
        <f>IF($B41="","",BB41+BC41)</f>
        <v/>
      </c>
      <c r="BE41" s="22" t="str">
        <f>IF($B41="","",ROUND(AV41-AP41,0))</f>
        <v/>
      </c>
      <c r="BF41" s="22" t="str">
        <f>IF($B41="","",ROUND(AT41-AZ41,0))</f>
        <v/>
      </c>
      <c r="BG41" s="22" t="str">
        <f>IF($B41="","",ROUND(BF41*TarifPPh,0))</f>
        <v/>
      </c>
      <c r="BH41" t="str">
        <f>IF($B41="","",IF($D41="","Kategori kosong",IF($F41="","Tgl perolehan kosong",IF(N($H41)&gt;$G41,"Residu &gt; harga perolehan",IF(AND(LEFT($U41,8)="Bangunan",$W41="Saldo Menurun"),"Bangunan wajib Garis Lurus (Ps.11 UU PPh)",IF(AND($S41="Unit Produksi",N($K41)=0),"Isi kapasitas unit",IF(AND(OR($S41="Garis Lurus",$S41="Saldo Menurun"),N($T41)&lt;=0),"Umur komersial kosong",IF(AND(OR($W41="Garis Lurus",$W41="Saldo Menurun"),N($V41)&lt;=0),"Masa manfaat fiskal kosong",IF(AND($Q41&lt;&gt;"",$Q41&lt;$F41),"Tgl pelepasan &lt; perolehan","OK")))))))))</f>
        <v/>
      </c>
    </row>
    <row r="42" spans="1:60" x14ac:dyDescent="0.25">
      <c r="A42" t="str">
        <f>IF($B42="","",ROW()-6)</f>
        <v/>
      </c>
      <c r="B42" s="9"/>
      <c r="C42" s="9"/>
      <c r="D42" s="9"/>
      <c r="E42" s="9"/>
      <c r="F42" s="17"/>
      <c r="G42" s="18"/>
      <c r="H42" s="18"/>
      <c r="I42" s="9"/>
      <c r="J42" s="9"/>
      <c r="K42" s="19"/>
      <c r="L42" s="19"/>
      <c r="M42" s="19"/>
      <c r="N42" s="9"/>
      <c r="O42" s="9"/>
      <c r="P42" s="9"/>
      <c r="Q42" s="17"/>
      <c r="R42" s="18"/>
      <c r="S42" t="str">
        <f>IF($B42="","",IF($I42&lt;&gt;"",$I42,IFERROR(INDEX(Kat_Metode,MATCH($D42,Kat_Nama,0)),"")))</f>
        <v/>
      </c>
      <c r="T42" t="str">
        <f>IF($B42="","",IF($J42&lt;&gt;"",$J42,IFERROR(INDEX(Kat_Umur,MATCH($D42,Kat_Nama,0)),0)))</f>
        <v/>
      </c>
      <c r="U42" t="str">
        <f>IF($B42="","",IF($N42&lt;&gt;"",$N42,IFERROR(INDEX(Kat_Kelompok,MATCH($D42,Kat_Nama,0)),"")))</f>
        <v/>
      </c>
      <c r="V42" t="str">
        <f>IF($B42="","",IF($U42="Masa Manfaat Sebenarnya",N($O42),IFERROR(INDEX(Kel_Masa,MATCH($U42,Kel_Nama,0)),0)))</f>
        <v/>
      </c>
      <c r="W42" t="str">
        <f>IF($B42="","",IF($P42&lt;&gt;"",$P42,IF(OR($U42="Tidak Disusutkan",$V42=0),"Tidak Disusutkan","Garis Lurus")))</f>
        <v/>
      </c>
      <c r="X42" t="str">
        <f>IF($B42="","",IF($Y42&gt;TahunBuku*12+12,"Belum Diperoleh",IF($Z42&lt;=TahunBuku*12,"Dilepas (thn lalu)",IF($AC42=1,"Dilepas thn ini",IF($AB42=1,"Perolehan baru","Aktif")))))</f>
        <v/>
      </c>
      <c r="Y42" s="20" t="str">
        <f>IF($B42="","",YEAR($F42)*12+MONTH($F42))</f>
        <v/>
      </c>
      <c r="Z42" s="20" t="str">
        <f>IF($B42="","",IF($Q42="",99999,YEAR($Q42)*12+MONTH($Q42)))</f>
        <v/>
      </c>
      <c r="AA42" s="20" t="str">
        <f>IF($B42="","",--AND($Y42&lt;=TahunBuku*12,$Z42&gt;TahunBuku*12))</f>
        <v/>
      </c>
      <c r="AB42" s="20" t="str">
        <f>IF($B42="","",--AND($Y42&gt;TahunBuku*12,$Y42&lt;=TahunBuku*12+12))</f>
        <v/>
      </c>
      <c r="AC42" s="20" t="str">
        <f>IF($B42="","",--AND($Z42&gt;TahunBuku*12,$Z42&lt;=TahunBuku*12+12,$Y42&lt;=$Z42))</f>
        <v/>
      </c>
      <c r="AD42" s="21" t="str">
        <f>IF($B42="","",IFERROR(IF($S42="Garis Lurus",$G42-($G42-$H42)*MIN($T42*12,MAX(0,TahunBuku*12-$Y42+1))/($T42*12),IF($S42="Saldo Menurun",IF(TahunBuku-1&lt;YEAR($F42),$G42,IF(TahunBuku-1&gt;=INT(($Y42+$T42*12-2)/12),$H42,MAX($H42,$G42*(1-2/$T42*(13-MONTH($F42))/12)*(1-2/$T42)^(TahunBuku-1-YEAR($F42))))),IF($S42="Unit Produksi",$G42-($G42-$H42)*MIN(1,N($L42)/$K42),$G42))),$G42))</f>
        <v/>
      </c>
      <c r="AE42" s="21" t="str">
        <f>IF($B42="","",IFERROR(IF($S42="Garis Lurus",$G42-($G42-$H42)*MIN($T42*12,MAX(0,TahunBuku*12+12-$Y42+1))/($T42*12),IF($S42="Saldo Menurun",IF(TahunBuku&lt;YEAR($F42),$G42,IF(TahunBuku&gt;=INT(($Y42+$T42*12-2)/12),$H42,MAX($H42,$G42*(1-2/$T42*(13-MONTH($F42))/12)*(1-2/$T42)^(TahunBuku-YEAR($F42))))),IF($S42="Unit Produksi",$G42-($G42-$H42)*MIN(1,(N($L42)+N($M42))/$K42),$G42))),$G42))</f>
        <v/>
      </c>
      <c r="AF42" s="20" t="str">
        <f>IF($B42="","",IF(OR($S42="Garis Lurus",$S42="Saldo Menurun",$S42="Unit Produksi"),MAX(0,IF($S42="Unit Produksi",TahunBuku*12+12,MIN(TahunBuku*12+12,$Y42+$T42*12-1))-MAX(TahunBuku*12+1,$Y42)+1),0))</f>
        <v/>
      </c>
      <c r="AG42" s="20" t="str">
        <f>IF($B42="","",IF(OR($S42="Garis Lurus",$S42="Saldo Menurun",$S42="Unit Produksi"),MAX(0,MIN($Z42,IF($S42="Unit Produksi",TahunBuku*12+12,MIN(TahunBuku*12+12,$Y42+$T42*12-1)))-MAX(TahunBuku*12+1,$Y42)+1),0))</f>
        <v/>
      </c>
      <c r="AH42" s="21" t="str">
        <f>IF($B42="","",IFERROR(IF($W42="Garis Lurus",$G42*(1-MIN($V42*12,MAX(0,TahunBuku*12-$Y42+1))/($V42*12)),IF($W42="Saldo Menurun",IF(TahunBuku-1&lt;YEAR($F42),$G42,IF(TahunBuku-1&gt;=INT(($Y42+$V42*12-2)/12),0,$G42*(1-2/$V42*(13-MONTH($F42))/12)*(1-2/$V42)^(TahunBuku-1-YEAR($F42)))),$G42)),$G42))</f>
        <v/>
      </c>
      <c r="AI42" s="21" t="str">
        <f>IF($B42="","",IFERROR(IF($W42="Garis Lurus",$G42*(1-MIN($V42*12,MAX(0,TahunBuku*12+12-$Y42+1))/($V42*12)),IF($W42="Saldo Menurun",IF(TahunBuku&lt;YEAR($F42),$G42,IF(TahunBuku&gt;=INT(($Y42+$V42*12-2)/12),0,$G42*(1-2/$V42*(13-MONTH($F42))/12)*(1-2/$V42)^(TahunBuku-YEAR($F42)))),$G42)),$G42))</f>
        <v/>
      </c>
      <c r="AJ42" s="20" t="str">
        <f>IF($B42="","",IF(OR($W42="Garis Lurus",$W42="Saldo Menurun"),MAX(0,MIN(TahunBuku*12+12,$Y42+$V42*12-1)-MAX(TahunBuku*12+1,$Y42)+1),0))</f>
        <v/>
      </c>
      <c r="AK42" s="20" t="str">
        <f>IF($B42="","",IF(OR($W42="Garis Lurus",$W42="Saldo Menurun"),MAX(0,MIN($Z42,TahunBuku*12+12,$Y42+$V42*12-1)-MAX(TahunBuku*12+1,$Y42)+1),0))</f>
        <v/>
      </c>
      <c r="AL42" s="22" t="str">
        <f>IF($B42="","",$G42*$AA42)</f>
        <v/>
      </c>
      <c r="AM42" s="22" t="str">
        <f>IF($B42="","",$G42*$AB42)</f>
        <v/>
      </c>
      <c r="AN42" s="22" t="str">
        <f>IF($B42="","",$G42*$AC42)</f>
        <v/>
      </c>
      <c r="AO42" s="22" t="str">
        <f>IF($B42="","",AL42+AM42-AN42)</f>
        <v/>
      </c>
      <c r="AP42" s="22" t="str">
        <f>IF($B42="","",($G42-$AD42)*$AA42)</f>
        <v/>
      </c>
      <c r="AQ42" s="22" t="str">
        <f>IF($B42="","",IF($AF42=0,0,($AD42-$AE42)*$AG42/$AF42)*MAX($AA42,$AB42))</f>
        <v/>
      </c>
      <c r="AR42" s="22" t="str">
        <f>IF($B42="","",(AP42+AQ42)*$AC42)</f>
        <v/>
      </c>
      <c r="AS42" s="22" t="str">
        <f>IF($B42="","",AP42+AQ42-AR42)</f>
        <v/>
      </c>
      <c r="AT42" s="22" t="str">
        <f>IF($B42="","",AO42-AS42)</f>
        <v/>
      </c>
      <c r="AU42" s="22" t="str">
        <f>IF($B42="","",IF($AC42=1,N($R42)-($G42-AR42),0))</f>
        <v/>
      </c>
      <c r="AV42" s="22" t="str">
        <f>IF($B42="","",($G42-$AH42)*$AA42)</f>
        <v/>
      </c>
      <c r="AW42" s="22" t="str">
        <f>IF($B42="","",IF($AJ42=0,0,($AH42-$AI42)*$AK42/$AJ42)*MAX($AA42,$AB42))</f>
        <v/>
      </c>
      <c r="AX42" s="22" t="str">
        <f>IF($B42="","",(AV42+AW42)*$AC42)</f>
        <v/>
      </c>
      <c r="AY42" s="22" t="str">
        <f>IF($B42="","",AV42+AW42-AX42)</f>
        <v/>
      </c>
      <c r="AZ42" s="22" t="str">
        <f>IF($B42="","",AO42-AY42)</f>
        <v/>
      </c>
      <c r="BA42" s="22" t="str">
        <f>IF($B42="","",IF($AC42=1,N($R42)-($G42-AX42),0))</f>
        <v/>
      </c>
      <c r="BB42" s="22" t="str">
        <f>IF($B42="","",ROUND(AQ42-AW42,0))</f>
        <v/>
      </c>
      <c r="BC42" s="22" t="str">
        <f>IF($B42="","",ROUND(BA42-AU42,0))</f>
        <v/>
      </c>
      <c r="BD42" s="22" t="str">
        <f>IF($B42="","",BB42+BC42)</f>
        <v/>
      </c>
      <c r="BE42" s="22" t="str">
        <f>IF($B42="","",ROUND(AV42-AP42,0))</f>
        <v/>
      </c>
      <c r="BF42" s="22" t="str">
        <f>IF($B42="","",ROUND(AT42-AZ42,0))</f>
        <v/>
      </c>
      <c r="BG42" s="22" t="str">
        <f>IF($B42="","",ROUND(BF42*TarifPPh,0))</f>
        <v/>
      </c>
      <c r="BH42" t="str">
        <f>IF($B42="","",IF($D42="","Kategori kosong",IF($F42="","Tgl perolehan kosong",IF(N($H42)&gt;$G42,"Residu &gt; harga perolehan",IF(AND(LEFT($U42,8)="Bangunan",$W42="Saldo Menurun"),"Bangunan wajib Garis Lurus (Ps.11 UU PPh)",IF(AND($S42="Unit Produksi",N($K42)=0),"Isi kapasitas unit",IF(AND(OR($S42="Garis Lurus",$S42="Saldo Menurun"),N($T42)&lt;=0),"Umur komersial kosong",IF(AND(OR($W42="Garis Lurus",$W42="Saldo Menurun"),N($V42)&lt;=0),"Masa manfaat fiskal kosong",IF(AND($Q42&lt;&gt;"",$Q42&lt;$F42),"Tgl pelepasan &lt; perolehan","OK")))))))))</f>
        <v/>
      </c>
    </row>
    <row r="43" spans="1:60" x14ac:dyDescent="0.25">
      <c r="A43" t="str">
        <f>IF($B43="","",ROW()-6)</f>
        <v/>
      </c>
      <c r="B43" s="9"/>
      <c r="C43" s="9"/>
      <c r="D43" s="9"/>
      <c r="E43" s="9"/>
      <c r="F43" s="17"/>
      <c r="G43" s="18"/>
      <c r="H43" s="18"/>
      <c r="I43" s="9"/>
      <c r="J43" s="9"/>
      <c r="K43" s="19"/>
      <c r="L43" s="19"/>
      <c r="M43" s="19"/>
      <c r="N43" s="9"/>
      <c r="O43" s="9"/>
      <c r="P43" s="9"/>
      <c r="Q43" s="17"/>
      <c r="R43" s="18"/>
      <c r="S43" t="str">
        <f>IF($B43="","",IF($I43&lt;&gt;"",$I43,IFERROR(INDEX(Kat_Metode,MATCH($D43,Kat_Nama,0)),"")))</f>
        <v/>
      </c>
      <c r="T43" t="str">
        <f>IF($B43="","",IF($J43&lt;&gt;"",$J43,IFERROR(INDEX(Kat_Umur,MATCH($D43,Kat_Nama,0)),0)))</f>
        <v/>
      </c>
      <c r="U43" t="str">
        <f>IF($B43="","",IF($N43&lt;&gt;"",$N43,IFERROR(INDEX(Kat_Kelompok,MATCH($D43,Kat_Nama,0)),"")))</f>
        <v/>
      </c>
      <c r="V43" t="str">
        <f>IF($B43="","",IF($U43="Masa Manfaat Sebenarnya",N($O43),IFERROR(INDEX(Kel_Masa,MATCH($U43,Kel_Nama,0)),0)))</f>
        <v/>
      </c>
      <c r="W43" t="str">
        <f>IF($B43="","",IF($P43&lt;&gt;"",$P43,IF(OR($U43="Tidak Disusutkan",$V43=0),"Tidak Disusutkan","Garis Lurus")))</f>
        <v/>
      </c>
      <c r="X43" t="str">
        <f>IF($B43="","",IF($Y43&gt;TahunBuku*12+12,"Belum Diperoleh",IF($Z43&lt;=TahunBuku*12,"Dilepas (thn lalu)",IF($AC43=1,"Dilepas thn ini",IF($AB43=1,"Perolehan baru","Aktif")))))</f>
        <v/>
      </c>
      <c r="Y43" s="20" t="str">
        <f>IF($B43="","",YEAR($F43)*12+MONTH($F43))</f>
        <v/>
      </c>
      <c r="Z43" s="20" t="str">
        <f>IF($B43="","",IF($Q43="",99999,YEAR($Q43)*12+MONTH($Q43)))</f>
        <v/>
      </c>
      <c r="AA43" s="20" t="str">
        <f>IF($B43="","",--AND($Y43&lt;=TahunBuku*12,$Z43&gt;TahunBuku*12))</f>
        <v/>
      </c>
      <c r="AB43" s="20" t="str">
        <f>IF($B43="","",--AND($Y43&gt;TahunBuku*12,$Y43&lt;=TahunBuku*12+12))</f>
        <v/>
      </c>
      <c r="AC43" s="20" t="str">
        <f>IF($B43="","",--AND($Z43&gt;TahunBuku*12,$Z43&lt;=TahunBuku*12+12,$Y43&lt;=$Z43))</f>
        <v/>
      </c>
      <c r="AD43" s="21" t="str">
        <f>IF($B43="","",IFERROR(IF($S43="Garis Lurus",$G43-($G43-$H43)*MIN($T43*12,MAX(0,TahunBuku*12-$Y43+1))/($T43*12),IF($S43="Saldo Menurun",IF(TahunBuku-1&lt;YEAR($F43),$G43,IF(TahunBuku-1&gt;=INT(($Y43+$T43*12-2)/12),$H43,MAX($H43,$G43*(1-2/$T43*(13-MONTH($F43))/12)*(1-2/$T43)^(TahunBuku-1-YEAR($F43))))),IF($S43="Unit Produksi",$G43-($G43-$H43)*MIN(1,N($L43)/$K43),$G43))),$G43))</f>
        <v/>
      </c>
      <c r="AE43" s="21" t="str">
        <f>IF($B43="","",IFERROR(IF($S43="Garis Lurus",$G43-($G43-$H43)*MIN($T43*12,MAX(0,TahunBuku*12+12-$Y43+1))/($T43*12),IF($S43="Saldo Menurun",IF(TahunBuku&lt;YEAR($F43),$G43,IF(TahunBuku&gt;=INT(($Y43+$T43*12-2)/12),$H43,MAX($H43,$G43*(1-2/$T43*(13-MONTH($F43))/12)*(1-2/$T43)^(TahunBuku-YEAR($F43))))),IF($S43="Unit Produksi",$G43-($G43-$H43)*MIN(1,(N($L43)+N($M43))/$K43),$G43))),$G43))</f>
        <v/>
      </c>
      <c r="AF43" s="20" t="str">
        <f>IF($B43="","",IF(OR($S43="Garis Lurus",$S43="Saldo Menurun",$S43="Unit Produksi"),MAX(0,IF($S43="Unit Produksi",TahunBuku*12+12,MIN(TahunBuku*12+12,$Y43+$T43*12-1))-MAX(TahunBuku*12+1,$Y43)+1),0))</f>
        <v/>
      </c>
      <c r="AG43" s="20" t="str">
        <f>IF($B43="","",IF(OR($S43="Garis Lurus",$S43="Saldo Menurun",$S43="Unit Produksi"),MAX(0,MIN($Z43,IF($S43="Unit Produksi",TahunBuku*12+12,MIN(TahunBuku*12+12,$Y43+$T43*12-1)))-MAX(TahunBuku*12+1,$Y43)+1),0))</f>
        <v/>
      </c>
      <c r="AH43" s="21" t="str">
        <f>IF($B43="","",IFERROR(IF($W43="Garis Lurus",$G43*(1-MIN($V43*12,MAX(0,TahunBuku*12-$Y43+1))/($V43*12)),IF($W43="Saldo Menurun",IF(TahunBuku-1&lt;YEAR($F43),$G43,IF(TahunBuku-1&gt;=INT(($Y43+$V43*12-2)/12),0,$G43*(1-2/$V43*(13-MONTH($F43))/12)*(1-2/$V43)^(TahunBuku-1-YEAR($F43)))),$G43)),$G43))</f>
        <v/>
      </c>
      <c r="AI43" s="21" t="str">
        <f>IF($B43="","",IFERROR(IF($W43="Garis Lurus",$G43*(1-MIN($V43*12,MAX(0,TahunBuku*12+12-$Y43+1))/($V43*12)),IF($W43="Saldo Menurun",IF(TahunBuku&lt;YEAR($F43),$G43,IF(TahunBuku&gt;=INT(($Y43+$V43*12-2)/12),0,$G43*(1-2/$V43*(13-MONTH($F43))/12)*(1-2/$V43)^(TahunBuku-YEAR($F43)))),$G43)),$G43))</f>
        <v/>
      </c>
      <c r="AJ43" s="20" t="str">
        <f>IF($B43="","",IF(OR($W43="Garis Lurus",$W43="Saldo Menurun"),MAX(0,MIN(TahunBuku*12+12,$Y43+$V43*12-1)-MAX(TahunBuku*12+1,$Y43)+1),0))</f>
        <v/>
      </c>
      <c r="AK43" s="20" t="str">
        <f>IF($B43="","",IF(OR($W43="Garis Lurus",$W43="Saldo Menurun"),MAX(0,MIN($Z43,TahunBuku*12+12,$Y43+$V43*12-1)-MAX(TahunBuku*12+1,$Y43)+1),0))</f>
        <v/>
      </c>
      <c r="AL43" s="22" t="str">
        <f>IF($B43="","",$G43*$AA43)</f>
        <v/>
      </c>
      <c r="AM43" s="22" t="str">
        <f>IF($B43="","",$G43*$AB43)</f>
        <v/>
      </c>
      <c r="AN43" s="22" t="str">
        <f>IF($B43="","",$G43*$AC43)</f>
        <v/>
      </c>
      <c r="AO43" s="22" t="str">
        <f>IF($B43="","",AL43+AM43-AN43)</f>
        <v/>
      </c>
      <c r="AP43" s="22" t="str">
        <f>IF($B43="","",($G43-$AD43)*$AA43)</f>
        <v/>
      </c>
      <c r="AQ43" s="22" t="str">
        <f>IF($B43="","",IF($AF43=0,0,($AD43-$AE43)*$AG43/$AF43)*MAX($AA43,$AB43))</f>
        <v/>
      </c>
      <c r="AR43" s="22" t="str">
        <f>IF($B43="","",(AP43+AQ43)*$AC43)</f>
        <v/>
      </c>
      <c r="AS43" s="22" t="str">
        <f>IF($B43="","",AP43+AQ43-AR43)</f>
        <v/>
      </c>
      <c r="AT43" s="22" t="str">
        <f>IF($B43="","",AO43-AS43)</f>
        <v/>
      </c>
      <c r="AU43" s="22" t="str">
        <f>IF($B43="","",IF($AC43=1,N($R43)-($G43-AR43),0))</f>
        <v/>
      </c>
      <c r="AV43" s="22" t="str">
        <f>IF($B43="","",($G43-$AH43)*$AA43)</f>
        <v/>
      </c>
      <c r="AW43" s="22" t="str">
        <f>IF($B43="","",IF($AJ43=0,0,($AH43-$AI43)*$AK43/$AJ43)*MAX($AA43,$AB43))</f>
        <v/>
      </c>
      <c r="AX43" s="22" t="str">
        <f>IF($B43="","",(AV43+AW43)*$AC43)</f>
        <v/>
      </c>
      <c r="AY43" s="22" t="str">
        <f>IF($B43="","",AV43+AW43-AX43)</f>
        <v/>
      </c>
      <c r="AZ43" s="22" t="str">
        <f>IF($B43="","",AO43-AY43)</f>
        <v/>
      </c>
      <c r="BA43" s="22" t="str">
        <f>IF($B43="","",IF($AC43=1,N($R43)-($G43-AX43),0))</f>
        <v/>
      </c>
      <c r="BB43" s="22" t="str">
        <f>IF($B43="","",ROUND(AQ43-AW43,0))</f>
        <v/>
      </c>
      <c r="BC43" s="22" t="str">
        <f>IF($B43="","",ROUND(BA43-AU43,0))</f>
        <v/>
      </c>
      <c r="BD43" s="22" t="str">
        <f>IF($B43="","",BB43+BC43)</f>
        <v/>
      </c>
      <c r="BE43" s="22" t="str">
        <f>IF($B43="","",ROUND(AV43-AP43,0))</f>
        <v/>
      </c>
      <c r="BF43" s="22" t="str">
        <f>IF($B43="","",ROUND(AT43-AZ43,0))</f>
        <v/>
      </c>
      <c r="BG43" s="22" t="str">
        <f>IF($B43="","",ROUND(BF43*TarifPPh,0))</f>
        <v/>
      </c>
      <c r="BH43" t="str">
        <f>IF($B43="","",IF($D43="","Kategori kosong",IF($F43="","Tgl perolehan kosong",IF(N($H43)&gt;$G43,"Residu &gt; harga perolehan",IF(AND(LEFT($U43,8)="Bangunan",$W43="Saldo Menurun"),"Bangunan wajib Garis Lurus (Ps.11 UU PPh)",IF(AND($S43="Unit Produksi",N($K43)=0),"Isi kapasitas unit",IF(AND(OR($S43="Garis Lurus",$S43="Saldo Menurun"),N($T43)&lt;=0),"Umur komersial kosong",IF(AND(OR($W43="Garis Lurus",$W43="Saldo Menurun"),N($V43)&lt;=0),"Masa manfaat fiskal kosong",IF(AND($Q43&lt;&gt;"",$Q43&lt;$F43),"Tgl pelepasan &lt; perolehan","OK")))))))))</f>
        <v/>
      </c>
    </row>
    <row r="44" spans="1:60" x14ac:dyDescent="0.25">
      <c r="A44" t="str">
        <f>IF($B44="","",ROW()-6)</f>
        <v/>
      </c>
      <c r="B44" s="9"/>
      <c r="C44" s="9"/>
      <c r="D44" s="9"/>
      <c r="E44" s="9"/>
      <c r="F44" s="17"/>
      <c r="G44" s="18"/>
      <c r="H44" s="18"/>
      <c r="I44" s="9"/>
      <c r="J44" s="9"/>
      <c r="K44" s="19"/>
      <c r="L44" s="19"/>
      <c r="M44" s="19"/>
      <c r="N44" s="9"/>
      <c r="O44" s="9"/>
      <c r="P44" s="9"/>
      <c r="Q44" s="17"/>
      <c r="R44" s="18"/>
      <c r="S44" t="str">
        <f>IF($B44="","",IF($I44&lt;&gt;"",$I44,IFERROR(INDEX(Kat_Metode,MATCH($D44,Kat_Nama,0)),"")))</f>
        <v/>
      </c>
      <c r="T44" t="str">
        <f>IF($B44="","",IF($J44&lt;&gt;"",$J44,IFERROR(INDEX(Kat_Umur,MATCH($D44,Kat_Nama,0)),0)))</f>
        <v/>
      </c>
      <c r="U44" t="str">
        <f>IF($B44="","",IF($N44&lt;&gt;"",$N44,IFERROR(INDEX(Kat_Kelompok,MATCH($D44,Kat_Nama,0)),"")))</f>
        <v/>
      </c>
      <c r="V44" t="str">
        <f>IF($B44="","",IF($U44="Masa Manfaat Sebenarnya",N($O44),IFERROR(INDEX(Kel_Masa,MATCH($U44,Kel_Nama,0)),0)))</f>
        <v/>
      </c>
      <c r="W44" t="str">
        <f>IF($B44="","",IF($P44&lt;&gt;"",$P44,IF(OR($U44="Tidak Disusutkan",$V44=0),"Tidak Disusutkan","Garis Lurus")))</f>
        <v/>
      </c>
      <c r="X44" t="str">
        <f>IF($B44="","",IF($Y44&gt;TahunBuku*12+12,"Belum Diperoleh",IF($Z44&lt;=TahunBuku*12,"Dilepas (thn lalu)",IF($AC44=1,"Dilepas thn ini",IF($AB44=1,"Perolehan baru","Aktif")))))</f>
        <v/>
      </c>
      <c r="Y44" s="20" t="str">
        <f>IF($B44="","",YEAR($F44)*12+MONTH($F44))</f>
        <v/>
      </c>
      <c r="Z44" s="20" t="str">
        <f>IF($B44="","",IF($Q44="",99999,YEAR($Q44)*12+MONTH($Q44)))</f>
        <v/>
      </c>
      <c r="AA44" s="20" t="str">
        <f>IF($B44="","",--AND($Y44&lt;=TahunBuku*12,$Z44&gt;TahunBuku*12))</f>
        <v/>
      </c>
      <c r="AB44" s="20" t="str">
        <f>IF($B44="","",--AND($Y44&gt;TahunBuku*12,$Y44&lt;=TahunBuku*12+12))</f>
        <v/>
      </c>
      <c r="AC44" s="20" t="str">
        <f>IF($B44="","",--AND($Z44&gt;TahunBuku*12,$Z44&lt;=TahunBuku*12+12,$Y44&lt;=$Z44))</f>
        <v/>
      </c>
      <c r="AD44" s="21" t="str">
        <f>IF($B44="","",IFERROR(IF($S44="Garis Lurus",$G44-($G44-$H44)*MIN($T44*12,MAX(0,TahunBuku*12-$Y44+1))/($T44*12),IF($S44="Saldo Menurun",IF(TahunBuku-1&lt;YEAR($F44),$G44,IF(TahunBuku-1&gt;=INT(($Y44+$T44*12-2)/12),$H44,MAX($H44,$G44*(1-2/$T44*(13-MONTH($F44))/12)*(1-2/$T44)^(TahunBuku-1-YEAR($F44))))),IF($S44="Unit Produksi",$G44-($G44-$H44)*MIN(1,N($L44)/$K44),$G44))),$G44))</f>
        <v/>
      </c>
      <c r="AE44" s="21" t="str">
        <f>IF($B44="","",IFERROR(IF($S44="Garis Lurus",$G44-($G44-$H44)*MIN($T44*12,MAX(0,TahunBuku*12+12-$Y44+1))/($T44*12),IF($S44="Saldo Menurun",IF(TahunBuku&lt;YEAR($F44),$G44,IF(TahunBuku&gt;=INT(($Y44+$T44*12-2)/12),$H44,MAX($H44,$G44*(1-2/$T44*(13-MONTH($F44))/12)*(1-2/$T44)^(TahunBuku-YEAR($F44))))),IF($S44="Unit Produksi",$G44-($G44-$H44)*MIN(1,(N($L44)+N($M44))/$K44),$G44))),$G44))</f>
        <v/>
      </c>
      <c r="AF44" s="20" t="str">
        <f>IF($B44="","",IF(OR($S44="Garis Lurus",$S44="Saldo Menurun",$S44="Unit Produksi"),MAX(0,IF($S44="Unit Produksi",TahunBuku*12+12,MIN(TahunBuku*12+12,$Y44+$T44*12-1))-MAX(TahunBuku*12+1,$Y44)+1),0))</f>
        <v/>
      </c>
      <c r="AG44" s="20" t="str">
        <f>IF($B44="","",IF(OR($S44="Garis Lurus",$S44="Saldo Menurun",$S44="Unit Produksi"),MAX(0,MIN($Z44,IF($S44="Unit Produksi",TahunBuku*12+12,MIN(TahunBuku*12+12,$Y44+$T44*12-1)))-MAX(TahunBuku*12+1,$Y44)+1),0))</f>
        <v/>
      </c>
      <c r="AH44" s="21" t="str">
        <f>IF($B44="","",IFERROR(IF($W44="Garis Lurus",$G44*(1-MIN($V44*12,MAX(0,TahunBuku*12-$Y44+1))/($V44*12)),IF($W44="Saldo Menurun",IF(TahunBuku-1&lt;YEAR($F44),$G44,IF(TahunBuku-1&gt;=INT(($Y44+$V44*12-2)/12),0,$G44*(1-2/$V44*(13-MONTH($F44))/12)*(1-2/$V44)^(TahunBuku-1-YEAR($F44)))),$G44)),$G44))</f>
        <v/>
      </c>
      <c r="AI44" s="21" t="str">
        <f>IF($B44="","",IFERROR(IF($W44="Garis Lurus",$G44*(1-MIN($V44*12,MAX(0,TahunBuku*12+12-$Y44+1))/($V44*12)),IF($W44="Saldo Menurun",IF(TahunBuku&lt;YEAR($F44),$G44,IF(TahunBuku&gt;=INT(($Y44+$V44*12-2)/12),0,$G44*(1-2/$V44*(13-MONTH($F44))/12)*(1-2/$V44)^(TahunBuku-YEAR($F44)))),$G44)),$G44))</f>
        <v/>
      </c>
      <c r="AJ44" s="20" t="str">
        <f>IF($B44="","",IF(OR($W44="Garis Lurus",$W44="Saldo Menurun"),MAX(0,MIN(TahunBuku*12+12,$Y44+$V44*12-1)-MAX(TahunBuku*12+1,$Y44)+1),0))</f>
        <v/>
      </c>
      <c r="AK44" s="20" t="str">
        <f>IF($B44="","",IF(OR($W44="Garis Lurus",$W44="Saldo Menurun"),MAX(0,MIN($Z44,TahunBuku*12+12,$Y44+$V44*12-1)-MAX(TahunBuku*12+1,$Y44)+1),0))</f>
        <v/>
      </c>
      <c r="AL44" s="22" t="str">
        <f>IF($B44="","",$G44*$AA44)</f>
        <v/>
      </c>
      <c r="AM44" s="22" t="str">
        <f>IF($B44="","",$G44*$AB44)</f>
        <v/>
      </c>
      <c r="AN44" s="22" t="str">
        <f>IF($B44="","",$G44*$AC44)</f>
        <v/>
      </c>
      <c r="AO44" s="22" t="str">
        <f>IF($B44="","",AL44+AM44-AN44)</f>
        <v/>
      </c>
      <c r="AP44" s="22" t="str">
        <f>IF($B44="","",($G44-$AD44)*$AA44)</f>
        <v/>
      </c>
      <c r="AQ44" s="22" t="str">
        <f>IF($B44="","",IF($AF44=0,0,($AD44-$AE44)*$AG44/$AF44)*MAX($AA44,$AB44))</f>
        <v/>
      </c>
      <c r="AR44" s="22" t="str">
        <f>IF($B44="","",(AP44+AQ44)*$AC44)</f>
        <v/>
      </c>
      <c r="AS44" s="22" t="str">
        <f>IF($B44="","",AP44+AQ44-AR44)</f>
        <v/>
      </c>
      <c r="AT44" s="22" t="str">
        <f>IF($B44="","",AO44-AS44)</f>
        <v/>
      </c>
      <c r="AU44" s="22" t="str">
        <f>IF($B44="","",IF($AC44=1,N($R44)-($G44-AR44),0))</f>
        <v/>
      </c>
      <c r="AV44" s="22" t="str">
        <f>IF($B44="","",($G44-$AH44)*$AA44)</f>
        <v/>
      </c>
      <c r="AW44" s="22" t="str">
        <f>IF($B44="","",IF($AJ44=0,0,($AH44-$AI44)*$AK44/$AJ44)*MAX($AA44,$AB44))</f>
        <v/>
      </c>
      <c r="AX44" s="22" t="str">
        <f>IF($B44="","",(AV44+AW44)*$AC44)</f>
        <v/>
      </c>
      <c r="AY44" s="22" t="str">
        <f>IF($B44="","",AV44+AW44-AX44)</f>
        <v/>
      </c>
      <c r="AZ44" s="22" t="str">
        <f>IF($B44="","",AO44-AY44)</f>
        <v/>
      </c>
      <c r="BA44" s="22" t="str">
        <f>IF($B44="","",IF($AC44=1,N($R44)-($G44-AX44),0))</f>
        <v/>
      </c>
      <c r="BB44" s="22" t="str">
        <f>IF($B44="","",ROUND(AQ44-AW44,0))</f>
        <v/>
      </c>
      <c r="BC44" s="22" t="str">
        <f>IF($B44="","",ROUND(BA44-AU44,0))</f>
        <v/>
      </c>
      <c r="BD44" s="22" t="str">
        <f>IF($B44="","",BB44+BC44)</f>
        <v/>
      </c>
      <c r="BE44" s="22" t="str">
        <f>IF($B44="","",ROUND(AV44-AP44,0))</f>
        <v/>
      </c>
      <c r="BF44" s="22" t="str">
        <f>IF($B44="","",ROUND(AT44-AZ44,0))</f>
        <v/>
      </c>
      <c r="BG44" s="22" t="str">
        <f>IF($B44="","",ROUND(BF44*TarifPPh,0))</f>
        <v/>
      </c>
      <c r="BH44" t="str">
        <f>IF($B44="","",IF($D44="","Kategori kosong",IF($F44="","Tgl perolehan kosong",IF(N($H44)&gt;$G44,"Residu &gt; harga perolehan",IF(AND(LEFT($U44,8)="Bangunan",$W44="Saldo Menurun"),"Bangunan wajib Garis Lurus (Ps.11 UU PPh)",IF(AND($S44="Unit Produksi",N($K44)=0),"Isi kapasitas unit",IF(AND(OR($S44="Garis Lurus",$S44="Saldo Menurun"),N($T44)&lt;=0),"Umur komersial kosong",IF(AND(OR($W44="Garis Lurus",$W44="Saldo Menurun"),N($V44)&lt;=0),"Masa manfaat fiskal kosong",IF(AND($Q44&lt;&gt;"",$Q44&lt;$F44),"Tgl pelepasan &lt; perolehan","OK")))))))))</f>
        <v/>
      </c>
    </row>
    <row r="45" spans="1:60" x14ac:dyDescent="0.25">
      <c r="A45" t="str">
        <f>IF($B45="","",ROW()-6)</f>
        <v/>
      </c>
      <c r="B45" s="9"/>
      <c r="C45" s="9"/>
      <c r="D45" s="9"/>
      <c r="E45" s="9"/>
      <c r="F45" s="17"/>
      <c r="G45" s="18"/>
      <c r="H45" s="18"/>
      <c r="I45" s="9"/>
      <c r="J45" s="9"/>
      <c r="K45" s="19"/>
      <c r="L45" s="19"/>
      <c r="M45" s="19"/>
      <c r="N45" s="9"/>
      <c r="O45" s="9"/>
      <c r="P45" s="9"/>
      <c r="Q45" s="17"/>
      <c r="R45" s="18"/>
      <c r="S45" t="str">
        <f>IF($B45="","",IF($I45&lt;&gt;"",$I45,IFERROR(INDEX(Kat_Metode,MATCH($D45,Kat_Nama,0)),"")))</f>
        <v/>
      </c>
      <c r="T45" t="str">
        <f>IF($B45="","",IF($J45&lt;&gt;"",$J45,IFERROR(INDEX(Kat_Umur,MATCH($D45,Kat_Nama,0)),0)))</f>
        <v/>
      </c>
      <c r="U45" t="str">
        <f>IF($B45="","",IF($N45&lt;&gt;"",$N45,IFERROR(INDEX(Kat_Kelompok,MATCH($D45,Kat_Nama,0)),"")))</f>
        <v/>
      </c>
      <c r="V45" t="str">
        <f>IF($B45="","",IF($U45="Masa Manfaat Sebenarnya",N($O45),IFERROR(INDEX(Kel_Masa,MATCH($U45,Kel_Nama,0)),0)))</f>
        <v/>
      </c>
      <c r="W45" t="str">
        <f>IF($B45="","",IF($P45&lt;&gt;"",$P45,IF(OR($U45="Tidak Disusutkan",$V45=0),"Tidak Disusutkan","Garis Lurus")))</f>
        <v/>
      </c>
      <c r="X45" t="str">
        <f>IF($B45="","",IF($Y45&gt;TahunBuku*12+12,"Belum Diperoleh",IF($Z45&lt;=TahunBuku*12,"Dilepas (thn lalu)",IF($AC45=1,"Dilepas thn ini",IF($AB45=1,"Perolehan baru","Aktif")))))</f>
        <v/>
      </c>
      <c r="Y45" s="20" t="str">
        <f>IF($B45="","",YEAR($F45)*12+MONTH($F45))</f>
        <v/>
      </c>
      <c r="Z45" s="20" t="str">
        <f>IF($B45="","",IF($Q45="",99999,YEAR($Q45)*12+MONTH($Q45)))</f>
        <v/>
      </c>
      <c r="AA45" s="20" t="str">
        <f>IF($B45="","",--AND($Y45&lt;=TahunBuku*12,$Z45&gt;TahunBuku*12))</f>
        <v/>
      </c>
      <c r="AB45" s="20" t="str">
        <f>IF($B45="","",--AND($Y45&gt;TahunBuku*12,$Y45&lt;=TahunBuku*12+12))</f>
        <v/>
      </c>
      <c r="AC45" s="20" t="str">
        <f>IF($B45="","",--AND($Z45&gt;TahunBuku*12,$Z45&lt;=TahunBuku*12+12,$Y45&lt;=$Z45))</f>
        <v/>
      </c>
      <c r="AD45" s="21" t="str">
        <f>IF($B45="","",IFERROR(IF($S45="Garis Lurus",$G45-($G45-$H45)*MIN($T45*12,MAX(0,TahunBuku*12-$Y45+1))/($T45*12),IF($S45="Saldo Menurun",IF(TahunBuku-1&lt;YEAR($F45),$G45,IF(TahunBuku-1&gt;=INT(($Y45+$T45*12-2)/12),$H45,MAX($H45,$G45*(1-2/$T45*(13-MONTH($F45))/12)*(1-2/$T45)^(TahunBuku-1-YEAR($F45))))),IF($S45="Unit Produksi",$G45-($G45-$H45)*MIN(1,N($L45)/$K45),$G45))),$G45))</f>
        <v/>
      </c>
      <c r="AE45" s="21" t="str">
        <f>IF($B45="","",IFERROR(IF($S45="Garis Lurus",$G45-($G45-$H45)*MIN($T45*12,MAX(0,TahunBuku*12+12-$Y45+1))/($T45*12),IF($S45="Saldo Menurun",IF(TahunBuku&lt;YEAR($F45),$G45,IF(TahunBuku&gt;=INT(($Y45+$T45*12-2)/12),$H45,MAX($H45,$G45*(1-2/$T45*(13-MONTH($F45))/12)*(1-2/$T45)^(TahunBuku-YEAR($F45))))),IF($S45="Unit Produksi",$G45-($G45-$H45)*MIN(1,(N($L45)+N($M45))/$K45),$G45))),$G45))</f>
        <v/>
      </c>
      <c r="AF45" s="20" t="str">
        <f>IF($B45="","",IF(OR($S45="Garis Lurus",$S45="Saldo Menurun",$S45="Unit Produksi"),MAX(0,IF($S45="Unit Produksi",TahunBuku*12+12,MIN(TahunBuku*12+12,$Y45+$T45*12-1))-MAX(TahunBuku*12+1,$Y45)+1),0))</f>
        <v/>
      </c>
      <c r="AG45" s="20" t="str">
        <f>IF($B45="","",IF(OR($S45="Garis Lurus",$S45="Saldo Menurun",$S45="Unit Produksi"),MAX(0,MIN($Z45,IF($S45="Unit Produksi",TahunBuku*12+12,MIN(TahunBuku*12+12,$Y45+$T45*12-1)))-MAX(TahunBuku*12+1,$Y45)+1),0))</f>
        <v/>
      </c>
      <c r="AH45" s="21" t="str">
        <f>IF($B45="","",IFERROR(IF($W45="Garis Lurus",$G45*(1-MIN($V45*12,MAX(0,TahunBuku*12-$Y45+1))/($V45*12)),IF($W45="Saldo Menurun",IF(TahunBuku-1&lt;YEAR($F45),$G45,IF(TahunBuku-1&gt;=INT(($Y45+$V45*12-2)/12),0,$G45*(1-2/$V45*(13-MONTH($F45))/12)*(1-2/$V45)^(TahunBuku-1-YEAR($F45)))),$G45)),$G45))</f>
        <v/>
      </c>
      <c r="AI45" s="21" t="str">
        <f>IF($B45="","",IFERROR(IF($W45="Garis Lurus",$G45*(1-MIN($V45*12,MAX(0,TahunBuku*12+12-$Y45+1))/($V45*12)),IF($W45="Saldo Menurun",IF(TahunBuku&lt;YEAR($F45),$G45,IF(TahunBuku&gt;=INT(($Y45+$V45*12-2)/12),0,$G45*(1-2/$V45*(13-MONTH($F45))/12)*(1-2/$V45)^(TahunBuku-YEAR($F45)))),$G45)),$G45))</f>
        <v/>
      </c>
      <c r="AJ45" s="20" t="str">
        <f>IF($B45="","",IF(OR($W45="Garis Lurus",$W45="Saldo Menurun"),MAX(0,MIN(TahunBuku*12+12,$Y45+$V45*12-1)-MAX(TahunBuku*12+1,$Y45)+1),0))</f>
        <v/>
      </c>
      <c r="AK45" s="20" t="str">
        <f>IF($B45="","",IF(OR($W45="Garis Lurus",$W45="Saldo Menurun"),MAX(0,MIN($Z45,TahunBuku*12+12,$Y45+$V45*12-1)-MAX(TahunBuku*12+1,$Y45)+1),0))</f>
        <v/>
      </c>
      <c r="AL45" s="22" t="str">
        <f>IF($B45="","",$G45*$AA45)</f>
        <v/>
      </c>
      <c r="AM45" s="22" t="str">
        <f>IF($B45="","",$G45*$AB45)</f>
        <v/>
      </c>
      <c r="AN45" s="22" t="str">
        <f>IF($B45="","",$G45*$AC45)</f>
        <v/>
      </c>
      <c r="AO45" s="22" t="str">
        <f>IF($B45="","",AL45+AM45-AN45)</f>
        <v/>
      </c>
      <c r="AP45" s="22" t="str">
        <f>IF($B45="","",($G45-$AD45)*$AA45)</f>
        <v/>
      </c>
      <c r="AQ45" s="22" t="str">
        <f>IF($B45="","",IF($AF45=0,0,($AD45-$AE45)*$AG45/$AF45)*MAX($AA45,$AB45))</f>
        <v/>
      </c>
      <c r="AR45" s="22" t="str">
        <f>IF($B45="","",(AP45+AQ45)*$AC45)</f>
        <v/>
      </c>
      <c r="AS45" s="22" t="str">
        <f>IF($B45="","",AP45+AQ45-AR45)</f>
        <v/>
      </c>
      <c r="AT45" s="22" t="str">
        <f>IF($B45="","",AO45-AS45)</f>
        <v/>
      </c>
      <c r="AU45" s="22" t="str">
        <f>IF($B45="","",IF($AC45=1,N($R45)-($G45-AR45),0))</f>
        <v/>
      </c>
      <c r="AV45" s="22" t="str">
        <f>IF($B45="","",($G45-$AH45)*$AA45)</f>
        <v/>
      </c>
      <c r="AW45" s="22" t="str">
        <f>IF($B45="","",IF($AJ45=0,0,($AH45-$AI45)*$AK45/$AJ45)*MAX($AA45,$AB45))</f>
        <v/>
      </c>
      <c r="AX45" s="22" t="str">
        <f>IF($B45="","",(AV45+AW45)*$AC45)</f>
        <v/>
      </c>
      <c r="AY45" s="22" t="str">
        <f>IF($B45="","",AV45+AW45-AX45)</f>
        <v/>
      </c>
      <c r="AZ45" s="22" t="str">
        <f>IF($B45="","",AO45-AY45)</f>
        <v/>
      </c>
      <c r="BA45" s="22" t="str">
        <f>IF($B45="","",IF($AC45=1,N($R45)-($G45-AX45),0))</f>
        <v/>
      </c>
      <c r="BB45" s="22" t="str">
        <f>IF($B45="","",ROUND(AQ45-AW45,0))</f>
        <v/>
      </c>
      <c r="BC45" s="22" t="str">
        <f>IF($B45="","",ROUND(BA45-AU45,0))</f>
        <v/>
      </c>
      <c r="BD45" s="22" t="str">
        <f>IF($B45="","",BB45+BC45)</f>
        <v/>
      </c>
      <c r="BE45" s="22" t="str">
        <f>IF($B45="","",ROUND(AV45-AP45,0))</f>
        <v/>
      </c>
      <c r="BF45" s="22" t="str">
        <f>IF($B45="","",ROUND(AT45-AZ45,0))</f>
        <v/>
      </c>
      <c r="BG45" s="22" t="str">
        <f>IF($B45="","",ROUND(BF45*TarifPPh,0))</f>
        <v/>
      </c>
      <c r="BH45" t="str">
        <f>IF($B45="","",IF($D45="","Kategori kosong",IF($F45="","Tgl perolehan kosong",IF(N($H45)&gt;$G45,"Residu &gt; harga perolehan",IF(AND(LEFT($U45,8)="Bangunan",$W45="Saldo Menurun"),"Bangunan wajib Garis Lurus (Ps.11 UU PPh)",IF(AND($S45="Unit Produksi",N($K45)=0),"Isi kapasitas unit",IF(AND(OR($S45="Garis Lurus",$S45="Saldo Menurun"),N($T45)&lt;=0),"Umur komersial kosong",IF(AND(OR($W45="Garis Lurus",$W45="Saldo Menurun"),N($V45)&lt;=0),"Masa manfaat fiskal kosong",IF(AND($Q45&lt;&gt;"",$Q45&lt;$F45),"Tgl pelepasan &lt; perolehan","OK")))))))))</f>
        <v/>
      </c>
    </row>
    <row r="46" spans="1:60" x14ac:dyDescent="0.25">
      <c r="A46" t="str">
        <f>IF($B46="","",ROW()-6)</f>
        <v/>
      </c>
      <c r="B46" s="9"/>
      <c r="C46" s="9"/>
      <c r="D46" s="9"/>
      <c r="E46" s="9"/>
      <c r="F46" s="17"/>
      <c r="G46" s="18"/>
      <c r="H46" s="18"/>
      <c r="I46" s="9"/>
      <c r="J46" s="9"/>
      <c r="K46" s="19"/>
      <c r="L46" s="19"/>
      <c r="M46" s="19"/>
      <c r="N46" s="9"/>
      <c r="O46" s="9"/>
      <c r="P46" s="9"/>
      <c r="Q46" s="17"/>
      <c r="R46" s="18"/>
      <c r="S46" t="str">
        <f>IF($B46="","",IF($I46&lt;&gt;"",$I46,IFERROR(INDEX(Kat_Metode,MATCH($D46,Kat_Nama,0)),"")))</f>
        <v/>
      </c>
      <c r="T46" t="str">
        <f>IF($B46="","",IF($J46&lt;&gt;"",$J46,IFERROR(INDEX(Kat_Umur,MATCH($D46,Kat_Nama,0)),0)))</f>
        <v/>
      </c>
      <c r="U46" t="str">
        <f>IF($B46="","",IF($N46&lt;&gt;"",$N46,IFERROR(INDEX(Kat_Kelompok,MATCH($D46,Kat_Nama,0)),"")))</f>
        <v/>
      </c>
      <c r="V46" t="str">
        <f>IF($B46="","",IF($U46="Masa Manfaat Sebenarnya",N($O46),IFERROR(INDEX(Kel_Masa,MATCH($U46,Kel_Nama,0)),0)))</f>
        <v/>
      </c>
      <c r="W46" t="str">
        <f>IF($B46="","",IF($P46&lt;&gt;"",$P46,IF(OR($U46="Tidak Disusutkan",$V46=0),"Tidak Disusutkan","Garis Lurus")))</f>
        <v/>
      </c>
      <c r="X46" t="str">
        <f>IF($B46="","",IF($Y46&gt;TahunBuku*12+12,"Belum Diperoleh",IF($Z46&lt;=TahunBuku*12,"Dilepas (thn lalu)",IF($AC46=1,"Dilepas thn ini",IF($AB46=1,"Perolehan baru","Aktif")))))</f>
        <v/>
      </c>
      <c r="Y46" s="20" t="str">
        <f>IF($B46="","",YEAR($F46)*12+MONTH($F46))</f>
        <v/>
      </c>
      <c r="Z46" s="20" t="str">
        <f>IF($B46="","",IF($Q46="",99999,YEAR($Q46)*12+MONTH($Q46)))</f>
        <v/>
      </c>
      <c r="AA46" s="20" t="str">
        <f>IF($B46="","",--AND($Y46&lt;=TahunBuku*12,$Z46&gt;TahunBuku*12))</f>
        <v/>
      </c>
      <c r="AB46" s="20" t="str">
        <f>IF($B46="","",--AND($Y46&gt;TahunBuku*12,$Y46&lt;=TahunBuku*12+12))</f>
        <v/>
      </c>
      <c r="AC46" s="20" t="str">
        <f>IF($B46="","",--AND($Z46&gt;TahunBuku*12,$Z46&lt;=TahunBuku*12+12,$Y46&lt;=$Z46))</f>
        <v/>
      </c>
      <c r="AD46" s="21" t="str">
        <f>IF($B46="","",IFERROR(IF($S46="Garis Lurus",$G46-($G46-$H46)*MIN($T46*12,MAX(0,TahunBuku*12-$Y46+1))/($T46*12),IF($S46="Saldo Menurun",IF(TahunBuku-1&lt;YEAR($F46),$G46,IF(TahunBuku-1&gt;=INT(($Y46+$T46*12-2)/12),$H46,MAX($H46,$G46*(1-2/$T46*(13-MONTH($F46))/12)*(1-2/$T46)^(TahunBuku-1-YEAR($F46))))),IF($S46="Unit Produksi",$G46-($G46-$H46)*MIN(1,N($L46)/$K46),$G46))),$G46))</f>
        <v/>
      </c>
      <c r="AE46" s="21" t="str">
        <f>IF($B46="","",IFERROR(IF($S46="Garis Lurus",$G46-($G46-$H46)*MIN($T46*12,MAX(0,TahunBuku*12+12-$Y46+1))/($T46*12),IF($S46="Saldo Menurun",IF(TahunBuku&lt;YEAR($F46),$G46,IF(TahunBuku&gt;=INT(($Y46+$T46*12-2)/12),$H46,MAX($H46,$G46*(1-2/$T46*(13-MONTH($F46))/12)*(1-2/$T46)^(TahunBuku-YEAR($F46))))),IF($S46="Unit Produksi",$G46-($G46-$H46)*MIN(1,(N($L46)+N($M46))/$K46),$G46))),$G46))</f>
        <v/>
      </c>
      <c r="AF46" s="20" t="str">
        <f>IF($B46="","",IF(OR($S46="Garis Lurus",$S46="Saldo Menurun",$S46="Unit Produksi"),MAX(0,IF($S46="Unit Produksi",TahunBuku*12+12,MIN(TahunBuku*12+12,$Y46+$T46*12-1))-MAX(TahunBuku*12+1,$Y46)+1),0))</f>
        <v/>
      </c>
      <c r="AG46" s="20" t="str">
        <f>IF($B46="","",IF(OR($S46="Garis Lurus",$S46="Saldo Menurun",$S46="Unit Produksi"),MAX(0,MIN($Z46,IF($S46="Unit Produksi",TahunBuku*12+12,MIN(TahunBuku*12+12,$Y46+$T46*12-1)))-MAX(TahunBuku*12+1,$Y46)+1),0))</f>
        <v/>
      </c>
      <c r="AH46" s="21" t="str">
        <f>IF($B46="","",IFERROR(IF($W46="Garis Lurus",$G46*(1-MIN($V46*12,MAX(0,TahunBuku*12-$Y46+1))/($V46*12)),IF($W46="Saldo Menurun",IF(TahunBuku-1&lt;YEAR($F46),$G46,IF(TahunBuku-1&gt;=INT(($Y46+$V46*12-2)/12),0,$G46*(1-2/$V46*(13-MONTH($F46))/12)*(1-2/$V46)^(TahunBuku-1-YEAR($F46)))),$G46)),$G46))</f>
        <v/>
      </c>
      <c r="AI46" s="21" t="str">
        <f>IF($B46="","",IFERROR(IF($W46="Garis Lurus",$G46*(1-MIN($V46*12,MAX(0,TahunBuku*12+12-$Y46+1))/($V46*12)),IF($W46="Saldo Menurun",IF(TahunBuku&lt;YEAR($F46),$G46,IF(TahunBuku&gt;=INT(($Y46+$V46*12-2)/12),0,$G46*(1-2/$V46*(13-MONTH($F46))/12)*(1-2/$V46)^(TahunBuku-YEAR($F46)))),$G46)),$G46))</f>
        <v/>
      </c>
      <c r="AJ46" s="20" t="str">
        <f>IF($B46="","",IF(OR($W46="Garis Lurus",$W46="Saldo Menurun"),MAX(0,MIN(TahunBuku*12+12,$Y46+$V46*12-1)-MAX(TahunBuku*12+1,$Y46)+1),0))</f>
        <v/>
      </c>
      <c r="AK46" s="20" t="str">
        <f>IF($B46="","",IF(OR($W46="Garis Lurus",$W46="Saldo Menurun"),MAX(0,MIN($Z46,TahunBuku*12+12,$Y46+$V46*12-1)-MAX(TahunBuku*12+1,$Y46)+1),0))</f>
        <v/>
      </c>
      <c r="AL46" s="22" t="str">
        <f>IF($B46="","",$G46*$AA46)</f>
        <v/>
      </c>
      <c r="AM46" s="22" t="str">
        <f>IF($B46="","",$G46*$AB46)</f>
        <v/>
      </c>
      <c r="AN46" s="22" t="str">
        <f>IF($B46="","",$G46*$AC46)</f>
        <v/>
      </c>
      <c r="AO46" s="22" t="str">
        <f>IF($B46="","",AL46+AM46-AN46)</f>
        <v/>
      </c>
      <c r="AP46" s="22" t="str">
        <f>IF($B46="","",($G46-$AD46)*$AA46)</f>
        <v/>
      </c>
      <c r="AQ46" s="22" t="str">
        <f>IF($B46="","",IF($AF46=0,0,($AD46-$AE46)*$AG46/$AF46)*MAX($AA46,$AB46))</f>
        <v/>
      </c>
      <c r="AR46" s="22" t="str">
        <f>IF($B46="","",(AP46+AQ46)*$AC46)</f>
        <v/>
      </c>
      <c r="AS46" s="22" t="str">
        <f>IF($B46="","",AP46+AQ46-AR46)</f>
        <v/>
      </c>
      <c r="AT46" s="22" t="str">
        <f>IF($B46="","",AO46-AS46)</f>
        <v/>
      </c>
      <c r="AU46" s="22" t="str">
        <f>IF($B46="","",IF($AC46=1,N($R46)-($G46-AR46),0))</f>
        <v/>
      </c>
      <c r="AV46" s="22" t="str">
        <f>IF($B46="","",($G46-$AH46)*$AA46)</f>
        <v/>
      </c>
      <c r="AW46" s="22" t="str">
        <f>IF($B46="","",IF($AJ46=0,0,($AH46-$AI46)*$AK46/$AJ46)*MAX($AA46,$AB46))</f>
        <v/>
      </c>
      <c r="AX46" s="22" t="str">
        <f>IF($B46="","",(AV46+AW46)*$AC46)</f>
        <v/>
      </c>
      <c r="AY46" s="22" t="str">
        <f>IF($B46="","",AV46+AW46-AX46)</f>
        <v/>
      </c>
      <c r="AZ46" s="22" t="str">
        <f>IF($B46="","",AO46-AY46)</f>
        <v/>
      </c>
      <c r="BA46" s="22" t="str">
        <f>IF($B46="","",IF($AC46=1,N($R46)-($G46-AX46),0))</f>
        <v/>
      </c>
      <c r="BB46" s="22" t="str">
        <f>IF($B46="","",ROUND(AQ46-AW46,0))</f>
        <v/>
      </c>
      <c r="BC46" s="22" t="str">
        <f>IF($B46="","",ROUND(BA46-AU46,0))</f>
        <v/>
      </c>
      <c r="BD46" s="22" t="str">
        <f>IF($B46="","",BB46+BC46)</f>
        <v/>
      </c>
      <c r="BE46" s="22" t="str">
        <f>IF($B46="","",ROUND(AV46-AP46,0))</f>
        <v/>
      </c>
      <c r="BF46" s="22" t="str">
        <f>IF($B46="","",ROUND(AT46-AZ46,0))</f>
        <v/>
      </c>
      <c r="BG46" s="22" t="str">
        <f>IF($B46="","",ROUND(BF46*TarifPPh,0))</f>
        <v/>
      </c>
      <c r="BH46" t="str">
        <f>IF($B46="","",IF($D46="","Kategori kosong",IF($F46="","Tgl perolehan kosong",IF(N($H46)&gt;$G46,"Residu &gt; harga perolehan",IF(AND(LEFT($U46,8)="Bangunan",$W46="Saldo Menurun"),"Bangunan wajib Garis Lurus (Ps.11 UU PPh)",IF(AND($S46="Unit Produksi",N($K46)=0),"Isi kapasitas unit",IF(AND(OR($S46="Garis Lurus",$S46="Saldo Menurun"),N($T46)&lt;=0),"Umur komersial kosong",IF(AND(OR($W46="Garis Lurus",$W46="Saldo Menurun"),N($V46)&lt;=0),"Masa manfaat fiskal kosong",IF(AND($Q46&lt;&gt;"",$Q46&lt;$F46),"Tgl pelepasan &lt; perolehan","OK")))))))))</f>
        <v/>
      </c>
    </row>
    <row r="47" spans="1:60" x14ac:dyDescent="0.25">
      <c r="A47" t="str">
        <f>IF($B47="","",ROW()-6)</f>
        <v/>
      </c>
      <c r="B47" s="9"/>
      <c r="C47" s="9"/>
      <c r="D47" s="9"/>
      <c r="E47" s="9"/>
      <c r="F47" s="17"/>
      <c r="G47" s="18"/>
      <c r="H47" s="18"/>
      <c r="I47" s="9"/>
      <c r="J47" s="9"/>
      <c r="K47" s="19"/>
      <c r="L47" s="19"/>
      <c r="M47" s="19"/>
      <c r="N47" s="9"/>
      <c r="O47" s="9"/>
      <c r="P47" s="9"/>
      <c r="Q47" s="17"/>
      <c r="R47" s="18"/>
      <c r="S47" t="str">
        <f>IF($B47="","",IF($I47&lt;&gt;"",$I47,IFERROR(INDEX(Kat_Metode,MATCH($D47,Kat_Nama,0)),"")))</f>
        <v/>
      </c>
      <c r="T47" t="str">
        <f>IF($B47="","",IF($J47&lt;&gt;"",$J47,IFERROR(INDEX(Kat_Umur,MATCH($D47,Kat_Nama,0)),0)))</f>
        <v/>
      </c>
      <c r="U47" t="str">
        <f>IF($B47="","",IF($N47&lt;&gt;"",$N47,IFERROR(INDEX(Kat_Kelompok,MATCH($D47,Kat_Nama,0)),"")))</f>
        <v/>
      </c>
      <c r="V47" t="str">
        <f>IF($B47="","",IF($U47="Masa Manfaat Sebenarnya",N($O47),IFERROR(INDEX(Kel_Masa,MATCH($U47,Kel_Nama,0)),0)))</f>
        <v/>
      </c>
      <c r="W47" t="str">
        <f>IF($B47="","",IF($P47&lt;&gt;"",$P47,IF(OR($U47="Tidak Disusutkan",$V47=0),"Tidak Disusutkan","Garis Lurus")))</f>
        <v/>
      </c>
      <c r="X47" t="str">
        <f>IF($B47="","",IF($Y47&gt;TahunBuku*12+12,"Belum Diperoleh",IF($Z47&lt;=TahunBuku*12,"Dilepas (thn lalu)",IF($AC47=1,"Dilepas thn ini",IF($AB47=1,"Perolehan baru","Aktif")))))</f>
        <v/>
      </c>
      <c r="Y47" s="20" t="str">
        <f>IF($B47="","",YEAR($F47)*12+MONTH($F47))</f>
        <v/>
      </c>
      <c r="Z47" s="20" t="str">
        <f>IF($B47="","",IF($Q47="",99999,YEAR($Q47)*12+MONTH($Q47)))</f>
        <v/>
      </c>
      <c r="AA47" s="20" t="str">
        <f>IF($B47="","",--AND($Y47&lt;=TahunBuku*12,$Z47&gt;TahunBuku*12))</f>
        <v/>
      </c>
      <c r="AB47" s="20" t="str">
        <f>IF($B47="","",--AND($Y47&gt;TahunBuku*12,$Y47&lt;=TahunBuku*12+12))</f>
        <v/>
      </c>
      <c r="AC47" s="20" t="str">
        <f>IF($B47="","",--AND($Z47&gt;TahunBuku*12,$Z47&lt;=TahunBuku*12+12,$Y47&lt;=$Z47))</f>
        <v/>
      </c>
      <c r="AD47" s="21" t="str">
        <f>IF($B47="","",IFERROR(IF($S47="Garis Lurus",$G47-($G47-$H47)*MIN($T47*12,MAX(0,TahunBuku*12-$Y47+1))/($T47*12),IF($S47="Saldo Menurun",IF(TahunBuku-1&lt;YEAR($F47),$G47,IF(TahunBuku-1&gt;=INT(($Y47+$T47*12-2)/12),$H47,MAX($H47,$G47*(1-2/$T47*(13-MONTH($F47))/12)*(1-2/$T47)^(TahunBuku-1-YEAR($F47))))),IF($S47="Unit Produksi",$G47-($G47-$H47)*MIN(1,N($L47)/$K47),$G47))),$G47))</f>
        <v/>
      </c>
      <c r="AE47" s="21" t="str">
        <f>IF($B47="","",IFERROR(IF($S47="Garis Lurus",$G47-($G47-$H47)*MIN($T47*12,MAX(0,TahunBuku*12+12-$Y47+1))/($T47*12),IF($S47="Saldo Menurun",IF(TahunBuku&lt;YEAR($F47),$G47,IF(TahunBuku&gt;=INT(($Y47+$T47*12-2)/12),$H47,MAX($H47,$G47*(1-2/$T47*(13-MONTH($F47))/12)*(1-2/$T47)^(TahunBuku-YEAR($F47))))),IF($S47="Unit Produksi",$G47-($G47-$H47)*MIN(1,(N($L47)+N($M47))/$K47),$G47))),$G47))</f>
        <v/>
      </c>
      <c r="AF47" s="20" t="str">
        <f>IF($B47="","",IF(OR($S47="Garis Lurus",$S47="Saldo Menurun",$S47="Unit Produksi"),MAX(0,IF($S47="Unit Produksi",TahunBuku*12+12,MIN(TahunBuku*12+12,$Y47+$T47*12-1))-MAX(TahunBuku*12+1,$Y47)+1),0))</f>
        <v/>
      </c>
      <c r="AG47" s="20" t="str">
        <f>IF($B47="","",IF(OR($S47="Garis Lurus",$S47="Saldo Menurun",$S47="Unit Produksi"),MAX(0,MIN($Z47,IF($S47="Unit Produksi",TahunBuku*12+12,MIN(TahunBuku*12+12,$Y47+$T47*12-1)))-MAX(TahunBuku*12+1,$Y47)+1),0))</f>
        <v/>
      </c>
      <c r="AH47" s="21" t="str">
        <f>IF($B47="","",IFERROR(IF($W47="Garis Lurus",$G47*(1-MIN($V47*12,MAX(0,TahunBuku*12-$Y47+1))/($V47*12)),IF($W47="Saldo Menurun",IF(TahunBuku-1&lt;YEAR($F47),$G47,IF(TahunBuku-1&gt;=INT(($Y47+$V47*12-2)/12),0,$G47*(1-2/$V47*(13-MONTH($F47))/12)*(1-2/$V47)^(TahunBuku-1-YEAR($F47)))),$G47)),$G47))</f>
        <v/>
      </c>
      <c r="AI47" s="21" t="str">
        <f>IF($B47="","",IFERROR(IF($W47="Garis Lurus",$G47*(1-MIN($V47*12,MAX(0,TahunBuku*12+12-$Y47+1))/($V47*12)),IF($W47="Saldo Menurun",IF(TahunBuku&lt;YEAR($F47),$G47,IF(TahunBuku&gt;=INT(($Y47+$V47*12-2)/12),0,$G47*(1-2/$V47*(13-MONTH($F47))/12)*(1-2/$V47)^(TahunBuku-YEAR($F47)))),$G47)),$G47))</f>
        <v/>
      </c>
      <c r="AJ47" s="20" t="str">
        <f>IF($B47="","",IF(OR($W47="Garis Lurus",$W47="Saldo Menurun"),MAX(0,MIN(TahunBuku*12+12,$Y47+$V47*12-1)-MAX(TahunBuku*12+1,$Y47)+1),0))</f>
        <v/>
      </c>
      <c r="AK47" s="20" t="str">
        <f>IF($B47="","",IF(OR($W47="Garis Lurus",$W47="Saldo Menurun"),MAX(0,MIN($Z47,TahunBuku*12+12,$Y47+$V47*12-1)-MAX(TahunBuku*12+1,$Y47)+1),0))</f>
        <v/>
      </c>
      <c r="AL47" s="22" t="str">
        <f>IF($B47="","",$G47*$AA47)</f>
        <v/>
      </c>
      <c r="AM47" s="22" t="str">
        <f>IF($B47="","",$G47*$AB47)</f>
        <v/>
      </c>
      <c r="AN47" s="22" t="str">
        <f>IF($B47="","",$G47*$AC47)</f>
        <v/>
      </c>
      <c r="AO47" s="22" t="str">
        <f>IF($B47="","",AL47+AM47-AN47)</f>
        <v/>
      </c>
      <c r="AP47" s="22" t="str">
        <f>IF($B47="","",($G47-$AD47)*$AA47)</f>
        <v/>
      </c>
      <c r="AQ47" s="22" t="str">
        <f>IF($B47="","",IF($AF47=0,0,($AD47-$AE47)*$AG47/$AF47)*MAX($AA47,$AB47))</f>
        <v/>
      </c>
      <c r="AR47" s="22" t="str">
        <f>IF($B47="","",(AP47+AQ47)*$AC47)</f>
        <v/>
      </c>
      <c r="AS47" s="22" t="str">
        <f>IF($B47="","",AP47+AQ47-AR47)</f>
        <v/>
      </c>
      <c r="AT47" s="22" t="str">
        <f>IF($B47="","",AO47-AS47)</f>
        <v/>
      </c>
      <c r="AU47" s="22" t="str">
        <f>IF($B47="","",IF($AC47=1,N($R47)-($G47-AR47),0))</f>
        <v/>
      </c>
      <c r="AV47" s="22" t="str">
        <f>IF($B47="","",($G47-$AH47)*$AA47)</f>
        <v/>
      </c>
      <c r="AW47" s="22" t="str">
        <f>IF($B47="","",IF($AJ47=0,0,($AH47-$AI47)*$AK47/$AJ47)*MAX($AA47,$AB47))</f>
        <v/>
      </c>
      <c r="AX47" s="22" t="str">
        <f>IF($B47="","",(AV47+AW47)*$AC47)</f>
        <v/>
      </c>
      <c r="AY47" s="22" t="str">
        <f>IF($B47="","",AV47+AW47-AX47)</f>
        <v/>
      </c>
      <c r="AZ47" s="22" t="str">
        <f>IF($B47="","",AO47-AY47)</f>
        <v/>
      </c>
      <c r="BA47" s="22" t="str">
        <f>IF($B47="","",IF($AC47=1,N($R47)-($G47-AX47),0))</f>
        <v/>
      </c>
      <c r="BB47" s="22" t="str">
        <f>IF($B47="","",ROUND(AQ47-AW47,0))</f>
        <v/>
      </c>
      <c r="BC47" s="22" t="str">
        <f>IF($B47="","",ROUND(BA47-AU47,0))</f>
        <v/>
      </c>
      <c r="BD47" s="22" t="str">
        <f>IF($B47="","",BB47+BC47)</f>
        <v/>
      </c>
      <c r="BE47" s="22" t="str">
        <f>IF($B47="","",ROUND(AV47-AP47,0))</f>
        <v/>
      </c>
      <c r="BF47" s="22" t="str">
        <f>IF($B47="","",ROUND(AT47-AZ47,0))</f>
        <v/>
      </c>
      <c r="BG47" s="22" t="str">
        <f>IF($B47="","",ROUND(BF47*TarifPPh,0))</f>
        <v/>
      </c>
      <c r="BH47" t="str">
        <f>IF($B47="","",IF($D47="","Kategori kosong",IF($F47="","Tgl perolehan kosong",IF(N($H47)&gt;$G47,"Residu &gt; harga perolehan",IF(AND(LEFT($U47,8)="Bangunan",$W47="Saldo Menurun"),"Bangunan wajib Garis Lurus (Ps.11 UU PPh)",IF(AND($S47="Unit Produksi",N($K47)=0),"Isi kapasitas unit",IF(AND(OR($S47="Garis Lurus",$S47="Saldo Menurun"),N($T47)&lt;=0),"Umur komersial kosong",IF(AND(OR($W47="Garis Lurus",$W47="Saldo Menurun"),N($V47)&lt;=0),"Masa manfaat fiskal kosong",IF(AND($Q47&lt;&gt;"",$Q47&lt;$F47),"Tgl pelepasan &lt; perolehan","OK")))))))))</f>
        <v/>
      </c>
    </row>
    <row r="48" spans="1:60" x14ac:dyDescent="0.25">
      <c r="A48" t="str">
        <f>IF($B48="","",ROW()-6)</f>
        <v/>
      </c>
      <c r="B48" s="9"/>
      <c r="C48" s="9"/>
      <c r="D48" s="9"/>
      <c r="E48" s="9"/>
      <c r="F48" s="17"/>
      <c r="G48" s="18"/>
      <c r="H48" s="18"/>
      <c r="I48" s="9"/>
      <c r="J48" s="9"/>
      <c r="K48" s="19"/>
      <c r="L48" s="19"/>
      <c r="M48" s="19"/>
      <c r="N48" s="9"/>
      <c r="O48" s="9"/>
      <c r="P48" s="9"/>
      <c r="Q48" s="17"/>
      <c r="R48" s="18"/>
      <c r="S48" t="str">
        <f>IF($B48="","",IF($I48&lt;&gt;"",$I48,IFERROR(INDEX(Kat_Metode,MATCH($D48,Kat_Nama,0)),"")))</f>
        <v/>
      </c>
      <c r="T48" t="str">
        <f>IF($B48="","",IF($J48&lt;&gt;"",$J48,IFERROR(INDEX(Kat_Umur,MATCH($D48,Kat_Nama,0)),0)))</f>
        <v/>
      </c>
      <c r="U48" t="str">
        <f>IF($B48="","",IF($N48&lt;&gt;"",$N48,IFERROR(INDEX(Kat_Kelompok,MATCH($D48,Kat_Nama,0)),"")))</f>
        <v/>
      </c>
      <c r="V48" t="str">
        <f>IF($B48="","",IF($U48="Masa Manfaat Sebenarnya",N($O48),IFERROR(INDEX(Kel_Masa,MATCH($U48,Kel_Nama,0)),0)))</f>
        <v/>
      </c>
      <c r="W48" t="str">
        <f>IF($B48="","",IF($P48&lt;&gt;"",$P48,IF(OR($U48="Tidak Disusutkan",$V48=0),"Tidak Disusutkan","Garis Lurus")))</f>
        <v/>
      </c>
      <c r="X48" t="str">
        <f>IF($B48="","",IF($Y48&gt;TahunBuku*12+12,"Belum Diperoleh",IF($Z48&lt;=TahunBuku*12,"Dilepas (thn lalu)",IF($AC48=1,"Dilepas thn ini",IF($AB48=1,"Perolehan baru","Aktif")))))</f>
        <v/>
      </c>
      <c r="Y48" s="20" t="str">
        <f>IF($B48="","",YEAR($F48)*12+MONTH($F48))</f>
        <v/>
      </c>
      <c r="Z48" s="20" t="str">
        <f>IF($B48="","",IF($Q48="",99999,YEAR($Q48)*12+MONTH($Q48)))</f>
        <v/>
      </c>
      <c r="AA48" s="20" t="str">
        <f>IF($B48="","",--AND($Y48&lt;=TahunBuku*12,$Z48&gt;TahunBuku*12))</f>
        <v/>
      </c>
      <c r="AB48" s="20" t="str">
        <f>IF($B48="","",--AND($Y48&gt;TahunBuku*12,$Y48&lt;=TahunBuku*12+12))</f>
        <v/>
      </c>
      <c r="AC48" s="20" t="str">
        <f>IF($B48="","",--AND($Z48&gt;TahunBuku*12,$Z48&lt;=TahunBuku*12+12,$Y48&lt;=$Z48))</f>
        <v/>
      </c>
      <c r="AD48" s="21" t="str">
        <f>IF($B48="","",IFERROR(IF($S48="Garis Lurus",$G48-($G48-$H48)*MIN($T48*12,MAX(0,TahunBuku*12-$Y48+1))/($T48*12),IF($S48="Saldo Menurun",IF(TahunBuku-1&lt;YEAR($F48),$G48,IF(TahunBuku-1&gt;=INT(($Y48+$T48*12-2)/12),$H48,MAX($H48,$G48*(1-2/$T48*(13-MONTH($F48))/12)*(1-2/$T48)^(TahunBuku-1-YEAR($F48))))),IF($S48="Unit Produksi",$G48-($G48-$H48)*MIN(1,N($L48)/$K48),$G48))),$G48))</f>
        <v/>
      </c>
      <c r="AE48" s="21" t="str">
        <f>IF($B48="","",IFERROR(IF($S48="Garis Lurus",$G48-($G48-$H48)*MIN($T48*12,MAX(0,TahunBuku*12+12-$Y48+1))/($T48*12),IF($S48="Saldo Menurun",IF(TahunBuku&lt;YEAR($F48),$G48,IF(TahunBuku&gt;=INT(($Y48+$T48*12-2)/12),$H48,MAX($H48,$G48*(1-2/$T48*(13-MONTH($F48))/12)*(1-2/$T48)^(TahunBuku-YEAR($F48))))),IF($S48="Unit Produksi",$G48-($G48-$H48)*MIN(1,(N($L48)+N($M48))/$K48),$G48))),$G48))</f>
        <v/>
      </c>
      <c r="AF48" s="20" t="str">
        <f>IF($B48="","",IF(OR($S48="Garis Lurus",$S48="Saldo Menurun",$S48="Unit Produksi"),MAX(0,IF($S48="Unit Produksi",TahunBuku*12+12,MIN(TahunBuku*12+12,$Y48+$T48*12-1))-MAX(TahunBuku*12+1,$Y48)+1),0))</f>
        <v/>
      </c>
      <c r="AG48" s="20" t="str">
        <f>IF($B48="","",IF(OR($S48="Garis Lurus",$S48="Saldo Menurun",$S48="Unit Produksi"),MAX(0,MIN($Z48,IF($S48="Unit Produksi",TahunBuku*12+12,MIN(TahunBuku*12+12,$Y48+$T48*12-1)))-MAX(TahunBuku*12+1,$Y48)+1),0))</f>
        <v/>
      </c>
      <c r="AH48" s="21" t="str">
        <f>IF($B48="","",IFERROR(IF($W48="Garis Lurus",$G48*(1-MIN($V48*12,MAX(0,TahunBuku*12-$Y48+1))/($V48*12)),IF($W48="Saldo Menurun",IF(TahunBuku-1&lt;YEAR($F48),$G48,IF(TahunBuku-1&gt;=INT(($Y48+$V48*12-2)/12),0,$G48*(1-2/$V48*(13-MONTH($F48))/12)*(1-2/$V48)^(TahunBuku-1-YEAR($F48)))),$G48)),$G48))</f>
        <v/>
      </c>
      <c r="AI48" s="21" t="str">
        <f>IF($B48="","",IFERROR(IF($W48="Garis Lurus",$G48*(1-MIN($V48*12,MAX(0,TahunBuku*12+12-$Y48+1))/($V48*12)),IF($W48="Saldo Menurun",IF(TahunBuku&lt;YEAR($F48),$G48,IF(TahunBuku&gt;=INT(($Y48+$V48*12-2)/12),0,$G48*(1-2/$V48*(13-MONTH($F48))/12)*(1-2/$V48)^(TahunBuku-YEAR($F48)))),$G48)),$G48))</f>
        <v/>
      </c>
      <c r="AJ48" s="20" t="str">
        <f>IF($B48="","",IF(OR($W48="Garis Lurus",$W48="Saldo Menurun"),MAX(0,MIN(TahunBuku*12+12,$Y48+$V48*12-1)-MAX(TahunBuku*12+1,$Y48)+1),0))</f>
        <v/>
      </c>
      <c r="AK48" s="20" t="str">
        <f>IF($B48="","",IF(OR($W48="Garis Lurus",$W48="Saldo Menurun"),MAX(0,MIN($Z48,TahunBuku*12+12,$Y48+$V48*12-1)-MAX(TahunBuku*12+1,$Y48)+1),0))</f>
        <v/>
      </c>
      <c r="AL48" s="22" t="str">
        <f>IF($B48="","",$G48*$AA48)</f>
        <v/>
      </c>
      <c r="AM48" s="22" t="str">
        <f>IF($B48="","",$G48*$AB48)</f>
        <v/>
      </c>
      <c r="AN48" s="22" t="str">
        <f>IF($B48="","",$G48*$AC48)</f>
        <v/>
      </c>
      <c r="AO48" s="22" t="str">
        <f>IF($B48="","",AL48+AM48-AN48)</f>
        <v/>
      </c>
      <c r="AP48" s="22" t="str">
        <f>IF($B48="","",($G48-$AD48)*$AA48)</f>
        <v/>
      </c>
      <c r="AQ48" s="22" t="str">
        <f>IF($B48="","",IF($AF48=0,0,($AD48-$AE48)*$AG48/$AF48)*MAX($AA48,$AB48))</f>
        <v/>
      </c>
      <c r="AR48" s="22" t="str">
        <f>IF($B48="","",(AP48+AQ48)*$AC48)</f>
        <v/>
      </c>
      <c r="AS48" s="22" t="str">
        <f>IF($B48="","",AP48+AQ48-AR48)</f>
        <v/>
      </c>
      <c r="AT48" s="22" t="str">
        <f>IF($B48="","",AO48-AS48)</f>
        <v/>
      </c>
      <c r="AU48" s="22" t="str">
        <f>IF($B48="","",IF($AC48=1,N($R48)-($G48-AR48),0))</f>
        <v/>
      </c>
      <c r="AV48" s="22" t="str">
        <f>IF($B48="","",($G48-$AH48)*$AA48)</f>
        <v/>
      </c>
      <c r="AW48" s="22" t="str">
        <f>IF($B48="","",IF($AJ48=0,0,($AH48-$AI48)*$AK48/$AJ48)*MAX($AA48,$AB48))</f>
        <v/>
      </c>
      <c r="AX48" s="22" t="str">
        <f>IF($B48="","",(AV48+AW48)*$AC48)</f>
        <v/>
      </c>
      <c r="AY48" s="22" t="str">
        <f>IF($B48="","",AV48+AW48-AX48)</f>
        <v/>
      </c>
      <c r="AZ48" s="22" t="str">
        <f>IF($B48="","",AO48-AY48)</f>
        <v/>
      </c>
      <c r="BA48" s="22" t="str">
        <f>IF($B48="","",IF($AC48=1,N($R48)-($G48-AX48),0))</f>
        <v/>
      </c>
      <c r="BB48" s="22" t="str">
        <f>IF($B48="","",ROUND(AQ48-AW48,0))</f>
        <v/>
      </c>
      <c r="BC48" s="22" t="str">
        <f>IF($B48="","",ROUND(BA48-AU48,0))</f>
        <v/>
      </c>
      <c r="BD48" s="22" t="str">
        <f>IF($B48="","",BB48+BC48)</f>
        <v/>
      </c>
      <c r="BE48" s="22" t="str">
        <f>IF($B48="","",ROUND(AV48-AP48,0))</f>
        <v/>
      </c>
      <c r="BF48" s="22" t="str">
        <f>IF($B48="","",ROUND(AT48-AZ48,0))</f>
        <v/>
      </c>
      <c r="BG48" s="22" t="str">
        <f>IF($B48="","",ROUND(BF48*TarifPPh,0))</f>
        <v/>
      </c>
      <c r="BH48" t="str">
        <f>IF($B48="","",IF($D48="","Kategori kosong",IF($F48="","Tgl perolehan kosong",IF(N($H48)&gt;$G48,"Residu &gt; harga perolehan",IF(AND(LEFT($U48,8)="Bangunan",$W48="Saldo Menurun"),"Bangunan wajib Garis Lurus (Ps.11 UU PPh)",IF(AND($S48="Unit Produksi",N($K48)=0),"Isi kapasitas unit",IF(AND(OR($S48="Garis Lurus",$S48="Saldo Menurun"),N($T48)&lt;=0),"Umur komersial kosong",IF(AND(OR($W48="Garis Lurus",$W48="Saldo Menurun"),N($V48)&lt;=0),"Masa manfaat fiskal kosong",IF(AND($Q48&lt;&gt;"",$Q48&lt;$F48),"Tgl pelepasan &lt; perolehan","OK")))))))))</f>
        <v/>
      </c>
    </row>
    <row r="49" spans="1:60" x14ac:dyDescent="0.25">
      <c r="A49" t="str">
        <f>IF($B49="","",ROW()-6)</f>
        <v/>
      </c>
      <c r="B49" s="9"/>
      <c r="C49" s="9"/>
      <c r="D49" s="9"/>
      <c r="E49" s="9"/>
      <c r="F49" s="17"/>
      <c r="G49" s="18"/>
      <c r="H49" s="18"/>
      <c r="I49" s="9"/>
      <c r="J49" s="9"/>
      <c r="K49" s="19"/>
      <c r="L49" s="19"/>
      <c r="M49" s="19"/>
      <c r="N49" s="9"/>
      <c r="O49" s="9"/>
      <c r="P49" s="9"/>
      <c r="Q49" s="17"/>
      <c r="R49" s="18"/>
      <c r="S49" t="str">
        <f>IF($B49="","",IF($I49&lt;&gt;"",$I49,IFERROR(INDEX(Kat_Metode,MATCH($D49,Kat_Nama,0)),"")))</f>
        <v/>
      </c>
      <c r="T49" t="str">
        <f>IF($B49="","",IF($J49&lt;&gt;"",$J49,IFERROR(INDEX(Kat_Umur,MATCH($D49,Kat_Nama,0)),0)))</f>
        <v/>
      </c>
      <c r="U49" t="str">
        <f>IF($B49="","",IF($N49&lt;&gt;"",$N49,IFERROR(INDEX(Kat_Kelompok,MATCH($D49,Kat_Nama,0)),"")))</f>
        <v/>
      </c>
      <c r="V49" t="str">
        <f>IF($B49="","",IF($U49="Masa Manfaat Sebenarnya",N($O49),IFERROR(INDEX(Kel_Masa,MATCH($U49,Kel_Nama,0)),0)))</f>
        <v/>
      </c>
      <c r="W49" t="str">
        <f>IF($B49="","",IF($P49&lt;&gt;"",$P49,IF(OR($U49="Tidak Disusutkan",$V49=0),"Tidak Disusutkan","Garis Lurus")))</f>
        <v/>
      </c>
      <c r="X49" t="str">
        <f>IF($B49="","",IF($Y49&gt;TahunBuku*12+12,"Belum Diperoleh",IF($Z49&lt;=TahunBuku*12,"Dilepas (thn lalu)",IF($AC49=1,"Dilepas thn ini",IF($AB49=1,"Perolehan baru","Aktif")))))</f>
        <v/>
      </c>
      <c r="Y49" s="20" t="str">
        <f>IF($B49="","",YEAR($F49)*12+MONTH($F49))</f>
        <v/>
      </c>
      <c r="Z49" s="20" t="str">
        <f>IF($B49="","",IF($Q49="",99999,YEAR($Q49)*12+MONTH($Q49)))</f>
        <v/>
      </c>
      <c r="AA49" s="20" t="str">
        <f>IF($B49="","",--AND($Y49&lt;=TahunBuku*12,$Z49&gt;TahunBuku*12))</f>
        <v/>
      </c>
      <c r="AB49" s="20" t="str">
        <f>IF($B49="","",--AND($Y49&gt;TahunBuku*12,$Y49&lt;=TahunBuku*12+12))</f>
        <v/>
      </c>
      <c r="AC49" s="20" t="str">
        <f>IF($B49="","",--AND($Z49&gt;TahunBuku*12,$Z49&lt;=TahunBuku*12+12,$Y49&lt;=$Z49))</f>
        <v/>
      </c>
      <c r="AD49" s="21" t="str">
        <f>IF($B49="","",IFERROR(IF($S49="Garis Lurus",$G49-($G49-$H49)*MIN($T49*12,MAX(0,TahunBuku*12-$Y49+1))/($T49*12),IF($S49="Saldo Menurun",IF(TahunBuku-1&lt;YEAR($F49),$G49,IF(TahunBuku-1&gt;=INT(($Y49+$T49*12-2)/12),$H49,MAX($H49,$G49*(1-2/$T49*(13-MONTH($F49))/12)*(1-2/$T49)^(TahunBuku-1-YEAR($F49))))),IF($S49="Unit Produksi",$G49-($G49-$H49)*MIN(1,N($L49)/$K49),$G49))),$G49))</f>
        <v/>
      </c>
      <c r="AE49" s="21" t="str">
        <f>IF($B49="","",IFERROR(IF($S49="Garis Lurus",$G49-($G49-$H49)*MIN($T49*12,MAX(0,TahunBuku*12+12-$Y49+1))/($T49*12),IF($S49="Saldo Menurun",IF(TahunBuku&lt;YEAR($F49),$G49,IF(TahunBuku&gt;=INT(($Y49+$T49*12-2)/12),$H49,MAX($H49,$G49*(1-2/$T49*(13-MONTH($F49))/12)*(1-2/$T49)^(TahunBuku-YEAR($F49))))),IF($S49="Unit Produksi",$G49-($G49-$H49)*MIN(1,(N($L49)+N($M49))/$K49),$G49))),$G49))</f>
        <v/>
      </c>
      <c r="AF49" s="20" t="str">
        <f>IF($B49="","",IF(OR($S49="Garis Lurus",$S49="Saldo Menurun",$S49="Unit Produksi"),MAX(0,IF($S49="Unit Produksi",TahunBuku*12+12,MIN(TahunBuku*12+12,$Y49+$T49*12-1))-MAX(TahunBuku*12+1,$Y49)+1),0))</f>
        <v/>
      </c>
      <c r="AG49" s="20" t="str">
        <f>IF($B49="","",IF(OR($S49="Garis Lurus",$S49="Saldo Menurun",$S49="Unit Produksi"),MAX(0,MIN($Z49,IF($S49="Unit Produksi",TahunBuku*12+12,MIN(TahunBuku*12+12,$Y49+$T49*12-1)))-MAX(TahunBuku*12+1,$Y49)+1),0))</f>
        <v/>
      </c>
      <c r="AH49" s="21" t="str">
        <f>IF($B49="","",IFERROR(IF($W49="Garis Lurus",$G49*(1-MIN($V49*12,MAX(0,TahunBuku*12-$Y49+1))/($V49*12)),IF($W49="Saldo Menurun",IF(TahunBuku-1&lt;YEAR($F49),$G49,IF(TahunBuku-1&gt;=INT(($Y49+$V49*12-2)/12),0,$G49*(1-2/$V49*(13-MONTH($F49))/12)*(1-2/$V49)^(TahunBuku-1-YEAR($F49)))),$G49)),$G49))</f>
        <v/>
      </c>
      <c r="AI49" s="21" t="str">
        <f>IF($B49="","",IFERROR(IF($W49="Garis Lurus",$G49*(1-MIN($V49*12,MAX(0,TahunBuku*12+12-$Y49+1))/($V49*12)),IF($W49="Saldo Menurun",IF(TahunBuku&lt;YEAR($F49),$G49,IF(TahunBuku&gt;=INT(($Y49+$V49*12-2)/12),0,$G49*(1-2/$V49*(13-MONTH($F49))/12)*(1-2/$V49)^(TahunBuku-YEAR($F49)))),$G49)),$G49))</f>
        <v/>
      </c>
      <c r="AJ49" s="20" t="str">
        <f>IF($B49="","",IF(OR($W49="Garis Lurus",$W49="Saldo Menurun"),MAX(0,MIN(TahunBuku*12+12,$Y49+$V49*12-1)-MAX(TahunBuku*12+1,$Y49)+1),0))</f>
        <v/>
      </c>
      <c r="AK49" s="20" t="str">
        <f>IF($B49="","",IF(OR($W49="Garis Lurus",$W49="Saldo Menurun"),MAX(0,MIN($Z49,TahunBuku*12+12,$Y49+$V49*12-1)-MAX(TahunBuku*12+1,$Y49)+1),0))</f>
        <v/>
      </c>
      <c r="AL49" s="22" t="str">
        <f>IF($B49="","",$G49*$AA49)</f>
        <v/>
      </c>
      <c r="AM49" s="22" t="str">
        <f>IF($B49="","",$G49*$AB49)</f>
        <v/>
      </c>
      <c r="AN49" s="22" t="str">
        <f>IF($B49="","",$G49*$AC49)</f>
        <v/>
      </c>
      <c r="AO49" s="22" t="str">
        <f>IF($B49="","",AL49+AM49-AN49)</f>
        <v/>
      </c>
      <c r="AP49" s="22" t="str">
        <f>IF($B49="","",($G49-$AD49)*$AA49)</f>
        <v/>
      </c>
      <c r="AQ49" s="22" t="str">
        <f>IF($B49="","",IF($AF49=0,0,($AD49-$AE49)*$AG49/$AF49)*MAX($AA49,$AB49))</f>
        <v/>
      </c>
      <c r="AR49" s="22" t="str">
        <f>IF($B49="","",(AP49+AQ49)*$AC49)</f>
        <v/>
      </c>
      <c r="AS49" s="22" t="str">
        <f>IF($B49="","",AP49+AQ49-AR49)</f>
        <v/>
      </c>
      <c r="AT49" s="22" t="str">
        <f>IF($B49="","",AO49-AS49)</f>
        <v/>
      </c>
      <c r="AU49" s="22" t="str">
        <f>IF($B49="","",IF($AC49=1,N($R49)-($G49-AR49),0))</f>
        <v/>
      </c>
      <c r="AV49" s="22" t="str">
        <f>IF($B49="","",($G49-$AH49)*$AA49)</f>
        <v/>
      </c>
      <c r="AW49" s="22" t="str">
        <f>IF($B49="","",IF($AJ49=0,0,($AH49-$AI49)*$AK49/$AJ49)*MAX($AA49,$AB49))</f>
        <v/>
      </c>
      <c r="AX49" s="22" t="str">
        <f>IF($B49="","",(AV49+AW49)*$AC49)</f>
        <v/>
      </c>
      <c r="AY49" s="22" t="str">
        <f>IF($B49="","",AV49+AW49-AX49)</f>
        <v/>
      </c>
      <c r="AZ49" s="22" t="str">
        <f>IF($B49="","",AO49-AY49)</f>
        <v/>
      </c>
      <c r="BA49" s="22" t="str">
        <f>IF($B49="","",IF($AC49=1,N($R49)-($G49-AX49),0))</f>
        <v/>
      </c>
      <c r="BB49" s="22" t="str">
        <f>IF($B49="","",ROUND(AQ49-AW49,0))</f>
        <v/>
      </c>
      <c r="BC49" s="22" t="str">
        <f>IF($B49="","",ROUND(BA49-AU49,0))</f>
        <v/>
      </c>
      <c r="BD49" s="22" t="str">
        <f>IF($B49="","",BB49+BC49)</f>
        <v/>
      </c>
      <c r="BE49" s="22" t="str">
        <f>IF($B49="","",ROUND(AV49-AP49,0))</f>
        <v/>
      </c>
      <c r="BF49" s="22" t="str">
        <f>IF($B49="","",ROUND(AT49-AZ49,0))</f>
        <v/>
      </c>
      <c r="BG49" s="22" t="str">
        <f>IF($B49="","",ROUND(BF49*TarifPPh,0))</f>
        <v/>
      </c>
      <c r="BH49" t="str">
        <f>IF($B49="","",IF($D49="","Kategori kosong",IF($F49="","Tgl perolehan kosong",IF(N($H49)&gt;$G49,"Residu &gt; harga perolehan",IF(AND(LEFT($U49,8)="Bangunan",$W49="Saldo Menurun"),"Bangunan wajib Garis Lurus (Ps.11 UU PPh)",IF(AND($S49="Unit Produksi",N($K49)=0),"Isi kapasitas unit",IF(AND(OR($S49="Garis Lurus",$S49="Saldo Menurun"),N($T49)&lt;=0),"Umur komersial kosong",IF(AND(OR($W49="Garis Lurus",$W49="Saldo Menurun"),N($V49)&lt;=0),"Masa manfaat fiskal kosong",IF(AND($Q49&lt;&gt;"",$Q49&lt;$F49),"Tgl pelepasan &lt; perolehan","OK")))))))))</f>
        <v/>
      </c>
    </row>
    <row r="50" spans="1:60" x14ac:dyDescent="0.25">
      <c r="A50" t="str">
        <f>IF($B50="","",ROW()-6)</f>
        <v/>
      </c>
      <c r="B50" s="9"/>
      <c r="C50" s="9"/>
      <c r="D50" s="9"/>
      <c r="E50" s="9"/>
      <c r="F50" s="17"/>
      <c r="G50" s="18"/>
      <c r="H50" s="18"/>
      <c r="I50" s="9"/>
      <c r="J50" s="9"/>
      <c r="K50" s="19"/>
      <c r="L50" s="19"/>
      <c r="M50" s="19"/>
      <c r="N50" s="9"/>
      <c r="O50" s="9"/>
      <c r="P50" s="9"/>
      <c r="Q50" s="17"/>
      <c r="R50" s="18"/>
      <c r="S50" t="str">
        <f>IF($B50="","",IF($I50&lt;&gt;"",$I50,IFERROR(INDEX(Kat_Metode,MATCH($D50,Kat_Nama,0)),"")))</f>
        <v/>
      </c>
      <c r="T50" t="str">
        <f>IF($B50="","",IF($J50&lt;&gt;"",$J50,IFERROR(INDEX(Kat_Umur,MATCH($D50,Kat_Nama,0)),0)))</f>
        <v/>
      </c>
      <c r="U50" t="str">
        <f>IF($B50="","",IF($N50&lt;&gt;"",$N50,IFERROR(INDEX(Kat_Kelompok,MATCH($D50,Kat_Nama,0)),"")))</f>
        <v/>
      </c>
      <c r="V50" t="str">
        <f>IF($B50="","",IF($U50="Masa Manfaat Sebenarnya",N($O50),IFERROR(INDEX(Kel_Masa,MATCH($U50,Kel_Nama,0)),0)))</f>
        <v/>
      </c>
      <c r="W50" t="str">
        <f>IF($B50="","",IF($P50&lt;&gt;"",$P50,IF(OR($U50="Tidak Disusutkan",$V50=0),"Tidak Disusutkan","Garis Lurus")))</f>
        <v/>
      </c>
      <c r="X50" t="str">
        <f>IF($B50="","",IF($Y50&gt;TahunBuku*12+12,"Belum Diperoleh",IF($Z50&lt;=TahunBuku*12,"Dilepas (thn lalu)",IF($AC50=1,"Dilepas thn ini",IF($AB50=1,"Perolehan baru","Aktif")))))</f>
        <v/>
      </c>
      <c r="Y50" s="20" t="str">
        <f>IF($B50="","",YEAR($F50)*12+MONTH($F50))</f>
        <v/>
      </c>
      <c r="Z50" s="20" t="str">
        <f>IF($B50="","",IF($Q50="",99999,YEAR($Q50)*12+MONTH($Q50)))</f>
        <v/>
      </c>
      <c r="AA50" s="20" t="str">
        <f>IF($B50="","",--AND($Y50&lt;=TahunBuku*12,$Z50&gt;TahunBuku*12))</f>
        <v/>
      </c>
      <c r="AB50" s="20" t="str">
        <f>IF($B50="","",--AND($Y50&gt;TahunBuku*12,$Y50&lt;=TahunBuku*12+12))</f>
        <v/>
      </c>
      <c r="AC50" s="20" t="str">
        <f>IF($B50="","",--AND($Z50&gt;TahunBuku*12,$Z50&lt;=TahunBuku*12+12,$Y50&lt;=$Z50))</f>
        <v/>
      </c>
      <c r="AD50" s="21" t="str">
        <f>IF($B50="","",IFERROR(IF($S50="Garis Lurus",$G50-($G50-$H50)*MIN($T50*12,MAX(0,TahunBuku*12-$Y50+1))/($T50*12),IF($S50="Saldo Menurun",IF(TahunBuku-1&lt;YEAR($F50),$G50,IF(TahunBuku-1&gt;=INT(($Y50+$T50*12-2)/12),$H50,MAX($H50,$G50*(1-2/$T50*(13-MONTH($F50))/12)*(1-2/$T50)^(TahunBuku-1-YEAR($F50))))),IF($S50="Unit Produksi",$G50-($G50-$H50)*MIN(1,N($L50)/$K50),$G50))),$G50))</f>
        <v/>
      </c>
      <c r="AE50" s="21" t="str">
        <f>IF($B50="","",IFERROR(IF($S50="Garis Lurus",$G50-($G50-$H50)*MIN($T50*12,MAX(0,TahunBuku*12+12-$Y50+1))/($T50*12),IF($S50="Saldo Menurun",IF(TahunBuku&lt;YEAR($F50),$G50,IF(TahunBuku&gt;=INT(($Y50+$T50*12-2)/12),$H50,MAX($H50,$G50*(1-2/$T50*(13-MONTH($F50))/12)*(1-2/$T50)^(TahunBuku-YEAR($F50))))),IF($S50="Unit Produksi",$G50-($G50-$H50)*MIN(1,(N($L50)+N($M50))/$K50),$G50))),$G50))</f>
        <v/>
      </c>
      <c r="AF50" s="20" t="str">
        <f>IF($B50="","",IF(OR($S50="Garis Lurus",$S50="Saldo Menurun",$S50="Unit Produksi"),MAX(0,IF($S50="Unit Produksi",TahunBuku*12+12,MIN(TahunBuku*12+12,$Y50+$T50*12-1))-MAX(TahunBuku*12+1,$Y50)+1),0))</f>
        <v/>
      </c>
      <c r="AG50" s="20" t="str">
        <f>IF($B50="","",IF(OR($S50="Garis Lurus",$S50="Saldo Menurun",$S50="Unit Produksi"),MAX(0,MIN($Z50,IF($S50="Unit Produksi",TahunBuku*12+12,MIN(TahunBuku*12+12,$Y50+$T50*12-1)))-MAX(TahunBuku*12+1,$Y50)+1),0))</f>
        <v/>
      </c>
      <c r="AH50" s="21" t="str">
        <f>IF($B50="","",IFERROR(IF($W50="Garis Lurus",$G50*(1-MIN($V50*12,MAX(0,TahunBuku*12-$Y50+1))/($V50*12)),IF($W50="Saldo Menurun",IF(TahunBuku-1&lt;YEAR($F50),$G50,IF(TahunBuku-1&gt;=INT(($Y50+$V50*12-2)/12),0,$G50*(1-2/$V50*(13-MONTH($F50))/12)*(1-2/$V50)^(TahunBuku-1-YEAR($F50)))),$G50)),$G50))</f>
        <v/>
      </c>
      <c r="AI50" s="21" t="str">
        <f>IF($B50="","",IFERROR(IF($W50="Garis Lurus",$G50*(1-MIN($V50*12,MAX(0,TahunBuku*12+12-$Y50+1))/($V50*12)),IF($W50="Saldo Menurun",IF(TahunBuku&lt;YEAR($F50),$G50,IF(TahunBuku&gt;=INT(($Y50+$V50*12-2)/12),0,$G50*(1-2/$V50*(13-MONTH($F50))/12)*(1-2/$V50)^(TahunBuku-YEAR($F50)))),$G50)),$G50))</f>
        <v/>
      </c>
      <c r="AJ50" s="20" t="str">
        <f>IF($B50="","",IF(OR($W50="Garis Lurus",$W50="Saldo Menurun"),MAX(0,MIN(TahunBuku*12+12,$Y50+$V50*12-1)-MAX(TahunBuku*12+1,$Y50)+1),0))</f>
        <v/>
      </c>
      <c r="AK50" s="20" t="str">
        <f>IF($B50="","",IF(OR($W50="Garis Lurus",$W50="Saldo Menurun"),MAX(0,MIN($Z50,TahunBuku*12+12,$Y50+$V50*12-1)-MAX(TahunBuku*12+1,$Y50)+1),0))</f>
        <v/>
      </c>
      <c r="AL50" s="22" t="str">
        <f>IF($B50="","",$G50*$AA50)</f>
        <v/>
      </c>
      <c r="AM50" s="22" t="str">
        <f>IF($B50="","",$G50*$AB50)</f>
        <v/>
      </c>
      <c r="AN50" s="22" t="str">
        <f>IF($B50="","",$G50*$AC50)</f>
        <v/>
      </c>
      <c r="AO50" s="22" t="str">
        <f>IF($B50="","",AL50+AM50-AN50)</f>
        <v/>
      </c>
      <c r="AP50" s="22" t="str">
        <f>IF($B50="","",($G50-$AD50)*$AA50)</f>
        <v/>
      </c>
      <c r="AQ50" s="22" t="str">
        <f>IF($B50="","",IF($AF50=0,0,($AD50-$AE50)*$AG50/$AF50)*MAX($AA50,$AB50))</f>
        <v/>
      </c>
      <c r="AR50" s="22" t="str">
        <f>IF($B50="","",(AP50+AQ50)*$AC50)</f>
        <v/>
      </c>
      <c r="AS50" s="22" t="str">
        <f>IF($B50="","",AP50+AQ50-AR50)</f>
        <v/>
      </c>
      <c r="AT50" s="22" t="str">
        <f>IF($B50="","",AO50-AS50)</f>
        <v/>
      </c>
      <c r="AU50" s="22" t="str">
        <f>IF($B50="","",IF($AC50=1,N($R50)-($G50-AR50),0))</f>
        <v/>
      </c>
      <c r="AV50" s="22" t="str">
        <f>IF($B50="","",($G50-$AH50)*$AA50)</f>
        <v/>
      </c>
      <c r="AW50" s="22" t="str">
        <f>IF($B50="","",IF($AJ50=0,0,($AH50-$AI50)*$AK50/$AJ50)*MAX($AA50,$AB50))</f>
        <v/>
      </c>
      <c r="AX50" s="22" t="str">
        <f>IF($B50="","",(AV50+AW50)*$AC50)</f>
        <v/>
      </c>
      <c r="AY50" s="22" t="str">
        <f>IF($B50="","",AV50+AW50-AX50)</f>
        <v/>
      </c>
      <c r="AZ50" s="22" t="str">
        <f>IF($B50="","",AO50-AY50)</f>
        <v/>
      </c>
      <c r="BA50" s="22" t="str">
        <f>IF($B50="","",IF($AC50=1,N($R50)-($G50-AX50),0))</f>
        <v/>
      </c>
      <c r="BB50" s="22" t="str">
        <f>IF($B50="","",ROUND(AQ50-AW50,0))</f>
        <v/>
      </c>
      <c r="BC50" s="22" t="str">
        <f>IF($B50="","",ROUND(BA50-AU50,0))</f>
        <v/>
      </c>
      <c r="BD50" s="22" t="str">
        <f>IF($B50="","",BB50+BC50)</f>
        <v/>
      </c>
      <c r="BE50" s="22" t="str">
        <f>IF($B50="","",ROUND(AV50-AP50,0))</f>
        <v/>
      </c>
      <c r="BF50" s="22" t="str">
        <f>IF($B50="","",ROUND(AT50-AZ50,0))</f>
        <v/>
      </c>
      <c r="BG50" s="22" t="str">
        <f>IF($B50="","",ROUND(BF50*TarifPPh,0))</f>
        <v/>
      </c>
      <c r="BH50" t="str">
        <f>IF($B50="","",IF($D50="","Kategori kosong",IF($F50="","Tgl perolehan kosong",IF(N($H50)&gt;$G50,"Residu &gt; harga perolehan",IF(AND(LEFT($U50,8)="Bangunan",$W50="Saldo Menurun"),"Bangunan wajib Garis Lurus (Ps.11 UU PPh)",IF(AND($S50="Unit Produksi",N($K50)=0),"Isi kapasitas unit",IF(AND(OR($S50="Garis Lurus",$S50="Saldo Menurun"),N($T50)&lt;=0),"Umur komersial kosong",IF(AND(OR($W50="Garis Lurus",$W50="Saldo Menurun"),N($V50)&lt;=0),"Masa manfaat fiskal kosong",IF(AND($Q50&lt;&gt;"",$Q50&lt;$F50),"Tgl pelepasan &lt; perolehan","OK")))))))))</f>
        <v/>
      </c>
    </row>
    <row r="51" spans="1:60" x14ac:dyDescent="0.25">
      <c r="A51" t="str">
        <f>IF($B51="","",ROW()-6)</f>
        <v/>
      </c>
      <c r="B51" s="9"/>
      <c r="C51" s="9"/>
      <c r="D51" s="9"/>
      <c r="E51" s="9"/>
      <c r="F51" s="17"/>
      <c r="G51" s="18"/>
      <c r="H51" s="18"/>
      <c r="I51" s="9"/>
      <c r="J51" s="9"/>
      <c r="K51" s="19"/>
      <c r="L51" s="19"/>
      <c r="M51" s="19"/>
      <c r="N51" s="9"/>
      <c r="O51" s="9"/>
      <c r="P51" s="9"/>
      <c r="Q51" s="17"/>
      <c r="R51" s="18"/>
      <c r="S51" t="str">
        <f>IF($B51="","",IF($I51&lt;&gt;"",$I51,IFERROR(INDEX(Kat_Metode,MATCH($D51,Kat_Nama,0)),"")))</f>
        <v/>
      </c>
      <c r="T51" t="str">
        <f>IF($B51="","",IF($J51&lt;&gt;"",$J51,IFERROR(INDEX(Kat_Umur,MATCH($D51,Kat_Nama,0)),0)))</f>
        <v/>
      </c>
      <c r="U51" t="str">
        <f>IF($B51="","",IF($N51&lt;&gt;"",$N51,IFERROR(INDEX(Kat_Kelompok,MATCH($D51,Kat_Nama,0)),"")))</f>
        <v/>
      </c>
      <c r="V51" t="str">
        <f>IF($B51="","",IF($U51="Masa Manfaat Sebenarnya",N($O51),IFERROR(INDEX(Kel_Masa,MATCH($U51,Kel_Nama,0)),0)))</f>
        <v/>
      </c>
      <c r="W51" t="str">
        <f>IF($B51="","",IF($P51&lt;&gt;"",$P51,IF(OR($U51="Tidak Disusutkan",$V51=0),"Tidak Disusutkan","Garis Lurus")))</f>
        <v/>
      </c>
      <c r="X51" t="str">
        <f>IF($B51="","",IF($Y51&gt;TahunBuku*12+12,"Belum Diperoleh",IF($Z51&lt;=TahunBuku*12,"Dilepas (thn lalu)",IF($AC51=1,"Dilepas thn ini",IF($AB51=1,"Perolehan baru","Aktif")))))</f>
        <v/>
      </c>
      <c r="Y51" s="20" t="str">
        <f>IF($B51="","",YEAR($F51)*12+MONTH($F51))</f>
        <v/>
      </c>
      <c r="Z51" s="20" t="str">
        <f>IF($B51="","",IF($Q51="",99999,YEAR($Q51)*12+MONTH($Q51)))</f>
        <v/>
      </c>
      <c r="AA51" s="20" t="str">
        <f>IF($B51="","",--AND($Y51&lt;=TahunBuku*12,$Z51&gt;TahunBuku*12))</f>
        <v/>
      </c>
      <c r="AB51" s="20" t="str">
        <f>IF($B51="","",--AND($Y51&gt;TahunBuku*12,$Y51&lt;=TahunBuku*12+12))</f>
        <v/>
      </c>
      <c r="AC51" s="20" t="str">
        <f>IF($B51="","",--AND($Z51&gt;TahunBuku*12,$Z51&lt;=TahunBuku*12+12,$Y51&lt;=$Z51))</f>
        <v/>
      </c>
      <c r="AD51" s="21" t="str">
        <f>IF($B51="","",IFERROR(IF($S51="Garis Lurus",$G51-($G51-$H51)*MIN($T51*12,MAX(0,TahunBuku*12-$Y51+1))/($T51*12),IF($S51="Saldo Menurun",IF(TahunBuku-1&lt;YEAR($F51),$G51,IF(TahunBuku-1&gt;=INT(($Y51+$T51*12-2)/12),$H51,MAX($H51,$G51*(1-2/$T51*(13-MONTH($F51))/12)*(1-2/$T51)^(TahunBuku-1-YEAR($F51))))),IF($S51="Unit Produksi",$G51-($G51-$H51)*MIN(1,N($L51)/$K51),$G51))),$G51))</f>
        <v/>
      </c>
      <c r="AE51" s="21" t="str">
        <f>IF($B51="","",IFERROR(IF($S51="Garis Lurus",$G51-($G51-$H51)*MIN($T51*12,MAX(0,TahunBuku*12+12-$Y51+1))/($T51*12),IF($S51="Saldo Menurun",IF(TahunBuku&lt;YEAR($F51),$G51,IF(TahunBuku&gt;=INT(($Y51+$T51*12-2)/12),$H51,MAX($H51,$G51*(1-2/$T51*(13-MONTH($F51))/12)*(1-2/$T51)^(TahunBuku-YEAR($F51))))),IF($S51="Unit Produksi",$G51-($G51-$H51)*MIN(1,(N($L51)+N($M51))/$K51),$G51))),$G51))</f>
        <v/>
      </c>
      <c r="AF51" s="20" t="str">
        <f>IF($B51="","",IF(OR($S51="Garis Lurus",$S51="Saldo Menurun",$S51="Unit Produksi"),MAX(0,IF($S51="Unit Produksi",TahunBuku*12+12,MIN(TahunBuku*12+12,$Y51+$T51*12-1))-MAX(TahunBuku*12+1,$Y51)+1),0))</f>
        <v/>
      </c>
      <c r="AG51" s="20" t="str">
        <f>IF($B51="","",IF(OR($S51="Garis Lurus",$S51="Saldo Menurun",$S51="Unit Produksi"),MAX(0,MIN($Z51,IF($S51="Unit Produksi",TahunBuku*12+12,MIN(TahunBuku*12+12,$Y51+$T51*12-1)))-MAX(TahunBuku*12+1,$Y51)+1),0))</f>
        <v/>
      </c>
      <c r="AH51" s="21" t="str">
        <f>IF($B51="","",IFERROR(IF($W51="Garis Lurus",$G51*(1-MIN($V51*12,MAX(0,TahunBuku*12-$Y51+1))/($V51*12)),IF($W51="Saldo Menurun",IF(TahunBuku-1&lt;YEAR($F51),$G51,IF(TahunBuku-1&gt;=INT(($Y51+$V51*12-2)/12),0,$G51*(1-2/$V51*(13-MONTH($F51))/12)*(1-2/$V51)^(TahunBuku-1-YEAR($F51)))),$G51)),$G51))</f>
        <v/>
      </c>
      <c r="AI51" s="21" t="str">
        <f>IF($B51="","",IFERROR(IF($W51="Garis Lurus",$G51*(1-MIN($V51*12,MAX(0,TahunBuku*12+12-$Y51+1))/($V51*12)),IF($W51="Saldo Menurun",IF(TahunBuku&lt;YEAR($F51),$G51,IF(TahunBuku&gt;=INT(($Y51+$V51*12-2)/12),0,$G51*(1-2/$V51*(13-MONTH($F51))/12)*(1-2/$V51)^(TahunBuku-YEAR($F51)))),$G51)),$G51))</f>
        <v/>
      </c>
      <c r="AJ51" s="20" t="str">
        <f>IF($B51="","",IF(OR($W51="Garis Lurus",$W51="Saldo Menurun"),MAX(0,MIN(TahunBuku*12+12,$Y51+$V51*12-1)-MAX(TahunBuku*12+1,$Y51)+1),0))</f>
        <v/>
      </c>
      <c r="AK51" s="20" t="str">
        <f>IF($B51="","",IF(OR($W51="Garis Lurus",$W51="Saldo Menurun"),MAX(0,MIN($Z51,TahunBuku*12+12,$Y51+$V51*12-1)-MAX(TahunBuku*12+1,$Y51)+1),0))</f>
        <v/>
      </c>
      <c r="AL51" s="22" t="str">
        <f>IF($B51="","",$G51*$AA51)</f>
        <v/>
      </c>
      <c r="AM51" s="22" t="str">
        <f>IF($B51="","",$G51*$AB51)</f>
        <v/>
      </c>
      <c r="AN51" s="22" t="str">
        <f>IF($B51="","",$G51*$AC51)</f>
        <v/>
      </c>
      <c r="AO51" s="22" t="str">
        <f>IF($B51="","",AL51+AM51-AN51)</f>
        <v/>
      </c>
      <c r="AP51" s="22" t="str">
        <f>IF($B51="","",($G51-$AD51)*$AA51)</f>
        <v/>
      </c>
      <c r="AQ51" s="22" t="str">
        <f>IF($B51="","",IF($AF51=0,0,($AD51-$AE51)*$AG51/$AF51)*MAX($AA51,$AB51))</f>
        <v/>
      </c>
      <c r="AR51" s="22" t="str">
        <f>IF($B51="","",(AP51+AQ51)*$AC51)</f>
        <v/>
      </c>
      <c r="AS51" s="22" t="str">
        <f>IF($B51="","",AP51+AQ51-AR51)</f>
        <v/>
      </c>
      <c r="AT51" s="22" t="str">
        <f>IF($B51="","",AO51-AS51)</f>
        <v/>
      </c>
      <c r="AU51" s="22" t="str">
        <f>IF($B51="","",IF($AC51=1,N($R51)-($G51-AR51),0))</f>
        <v/>
      </c>
      <c r="AV51" s="22" t="str">
        <f>IF($B51="","",($G51-$AH51)*$AA51)</f>
        <v/>
      </c>
      <c r="AW51" s="22" t="str">
        <f>IF($B51="","",IF($AJ51=0,0,($AH51-$AI51)*$AK51/$AJ51)*MAX($AA51,$AB51))</f>
        <v/>
      </c>
      <c r="AX51" s="22" t="str">
        <f>IF($B51="","",(AV51+AW51)*$AC51)</f>
        <v/>
      </c>
      <c r="AY51" s="22" t="str">
        <f>IF($B51="","",AV51+AW51-AX51)</f>
        <v/>
      </c>
      <c r="AZ51" s="22" t="str">
        <f>IF($B51="","",AO51-AY51)</f>
        <v/>
      </c>
      <c r="BA51" s="22" t="str">
        <f>IF($B51="","",IF($AC51=1,N($R51)-($G51-AX51),0))</f>
        <v/>
      </c>
      <c r="BB51" s="22" t="str">
        <f>IF($B51="","",ROUND(AQ51-AW51,0))</f>
        <v/>
      </c>
      <c r="BC51" s="22" t="str">
        <f>IF($B51="","",ROUND(BA51-AU51,0))</f>
        <v/>
      </c>
      <c r="BD51" s="22" t="str">
        <f>IF($B51="","",BB51+BC51)</f>
        <v/>
      </c>
      <c r="BE51" s="22" t="str">
        <f>IF($B51="","",ROUND(AV51-AP51,0))</f>
        <v/>
      </c>
      <c r="BF51" s="22" t="str">
        <f>IF($B51="","",ROUND(AT51-AZ51,0))</f>
        <v/>
      </c>
      <c r="BG51" s="22" t="str">
        <f>IF($B51="","",ROUND(BF51*TarifPPh,0))</f>
        <v/>
      </c>
      <c r="BH51" t="str">
        <f>IF($B51="","",IF($D51="","Kategori kosong",IF($F51="","Tgl perolehan kosong",IF(N($H51)&gt;$G51,"Residu &gt; harga perolehan",IF(AND(LEFT($U51,8)="Bangunan",$W51="Saldo Menurun"),"Bangunan wajib Garis Lurus (Ps.11 UU PPh)",IF(AND($S51="Unit Produksi",N($K51)=0),"Isi kapasitas unit",IF(AND(OR($S51="Garis Lurus",$S51="Saldo Menurun"),N($T51)&lt;=0),"Umur komersial kosong",IF(AND(OR($W51="Garis Lurus",$W51="Saldo Menurun"),N($V51)&lt;=0),"Masa manfaat fiskal kosong",IF(AND($Q51&lt;&gt;"",$Q51&lt;$F51),"Tgl pelepasan &lt; perolehan","OK")))))))))</f>
        <v/>
      </c>
    </row>
    <row r="52" spans="1:60" x14ac:dyDescent="0.25">
      <c r="A52" t="str">
        <f>IF($B52="","",ROW()-6)</f>
        <v/>
      </c>
      <c r="B52" s="9"/>
      <c r="C52" s="9"/>
      <c r="D52" s="9"/>
      <c r="E52" s="9"/>
      <c r="F52" s="17"/>
      <c r="G52" s="18"/>
      <c r="H52" s="18"/>
      <c r="I52" s="9"/>
      <c r="J52" s="9"/>
      <c r="K52" s="19"/>
      <c r="L52" s="19"/>
      <c r="M52" s="19"/>
      <c r="N52" s="9"/>
      <c r="O52" s="9"/>
      <c r="P52" s="9"/>
      <c r="Q52" s="17"/>
      <c r="R52" s="18"/>
      <c r="S52" t="str">
        <f>IF($B52="","",IF($I52&lt;&gt;"",$I52,IFERROR(INDEX(Kat_Metode,MATCH($D52,Kat_Nama,0)),"")))</f>
        <v/>
      </c>
      <c r="T52" t="str">
        <f>IF($B52="","",IF($J52&lt;&gt;"",$J52,IFERROR(INDEX(Kat_Umur,MATCH($D52,Kat_Nama,0)),0)))</f>
        <v/>
      </c>
      <c r="U52" t="str">
        <f>IF($B52="","",IF($N52&lt;&gt;"",$N52,IFERROR(INDEX(Kat_Kelompok,MATCH($D52,Kat_Nama,0)),"")))</f>
        <v/>
      </c>
      <c r="V52" t="str">
        <f>IF($B52="","",IF($U52="Masa Manfaat Sebenarnya",N($O52),IFERROR(INDEX(Kel_Masa,MATCH($U52,Kel_Nama,0)),0)))</f>
        <v/>
      </c>
      <c r="W52" t="str">
        <f>IF($B52="","",IF($P52&lt;&gt;"",$P52,IF(OR($U52="Tidak Disusutkan",$V52=0),"Tidak Disusutkan","Garis Lurus")))</f>
        <v/>
      </c>
      <c r="X52" t="str">
        <f>IF($B52="","",IF($Y52&gt;TahunBuku*12+12,"Belum Diperoleh",IF($Z52&lt;=TahunBuku*12,"Dilepas (thn lalu)",IF($AC52=1,"Dilepas thn ini",IF($AB52=1,"Perolehan baru","Aktif")))))</f>
        <v/>
      </c>
      <c r="Y52" s="20" t="str">
        <f>IF($B52="","",YEAR($F52)*12+MONTH($F52))</f>
        <v/>
      </c>
      <c r="Z52" s="20" t="str">
        <f>IF($B52="","",IF($Q52="",99999,YEAR($Q52)*12+MONTH($Q52)))</f>
        <v/>
      </c>
      <c r="AA52" s="20" t="str">
        <f>IF($B52="","",--AND($Y52&lt;=TahunBuku*12,$Z52&gt;TahunBuku*12))</f>
        <v/>
      </c>
      <c r="AB52" s="20" t="str">
        <f>IF($B52="","",--AND($Y52&gt;TahunBuku*12,$Y52&lt;=TahunBuku*12+12))</f>
        <v/>
      </c>
      <c r="AC52" s="20" t="str">
        <f>IF($B52="","",--AND($Z52&gt;TahunBuku*12,$Z52&lt;=TahunBuku*12+12,$Y52&lt;=$Z52))</f>
        <v/>
      </c>
      <c r="AD52" s="21" t="str">
        <f>IF($B52="","",IFERROR(IF($S52="Garis Lurus",$G52-($G52-$H52)*MIN($T52*12,MAX(0,TahunBuku*12-$Y52+1))/($T52*12),IF($S52="Saldo Menurun",IF(TahunBuku-1&lt;YEAR($F52),$G52,IF(TahunBuku-1&gt;=INT(($Y52+$T52*12-2)/12),$H52,MAX($H52,$G52*(1-2/$T52*(13-MONTH($F52))/12)*(1-2/$T52)^(TahunBuku-1-YEAR($F52))))),IF($S52="Unit Produksi",$G52-($G52-$H52)*MIN(1,N($L52)/$K52),$G52))),$G52))</f>
        <v/>
      </c>
      <c r="AE52" s="21" t="str">
        <f>IF($B52="","",IFERROR(IF($S52="Garis Lurus",$G52-($G52-$H52)*MIN($T52*12,MAX(0,TahunBuku*12+12-$Y52+1))/($T52*12),IF($S52="Saldo Menurun",IF(TahunBuku&lt;YEAR($F52),$G52,IF(TahunBuku&gt;=INT(($Y52+$T52*12-2)/12),$H52,MAX($H52,$G52*(1-2/$T52*(13-MONTH($F52))/12)*(1-2/$T52)^(TahunBuku-YEAR($F52))))),IF($S52="Unit Produksi",$G52-($G52-$H52)*MIN(1,(N($L52)+N($M52))/$K52),$G52))),$G52))</f>
        <v/>
      </c>
      <c r="AF52" s="20" t="str">
        <f>IF($B52="","",IF(OR($S52="Garis Lurus",$S52="Saldo Menurun",$S52="Unit Produksi"),MAX(0,IF($S52="Unit Produksi",TahunBuku*12+12,MIN(TahunBuku*12+12,$Y52+$T52*12-1))-MAX(TahunBuku*12+1,$Y52)+1),0))</f>
        <v/>
      </c>
      <c r="AG52" s="20" t="str">
        <f>IF($B52="","",IF(OR($S52="Garis Lurus",$S52="Saldo Menurun",$S52="Unit Produksi"),MAX(0,MIN($Z52,IF($S52="Unit Produksi",TahunBuku*12+12,MIN(TahunBuku*12+12,$Y52+$T52*12-1)))-MAX(TahunBuku*12+1,$Y52)+1),0))</f>
        <v/>
      </c>
      <c r="AH52" s="21" t="str">
        <f>IF($B52="","",IFERROR(IF($W52="Garis Lurus",$G52*(1-MIN($V52*12,MAX(0,TahunBuku*12-$Y52+1))/($V52*12)),IF($W52="Saldo Menurun",IF(TahunBuku-1&lt;YEAR($F52),$G52,IF(TahunBuku-1&gt;=INT(($Y52+$V52*12-2)/12),0,$G52*(1-2/$V52*(13-MONTH($F52))/12)*(1-2/$V52)^(TahunBuku-1-YEAR($F52)))),$G52)),$G52))</f>
        <v/>
      </c>
      <c r="AI52" s="21" t="str">
        <f>IF($B52="","",IFERROR(IF($W52="Garis Lurus",$G52*(1-MIN($V52*12,MAX(0,TahunBuku*12+12-$Y52+1))/($V52*12)),IF($W52="Saldo Menurun",IF(TahunBuku&lt;YEAR($F52),$G52,IF(TahunBuku&gt;=INT(($Y52+$V52*12-2)/12),0,$G52*(1-2/$V52*(13-MONTH($F52))/12)*(1-2/$V52)^(TahunBuku-YEAR($F52)))),$G52)),$G52))</f>
        <v/>
      </c>
      <c r="AJ52" s="20" t="str">
        <f>IF($B52="","",IF(OR($W52="Garis Lurus",$W52="Saldo Menurun"),MAX(0,MIN(TahunBuku*12+12,$Y52+$V52*12-1)-MAX(TahunBuku*12+1,$Y52)+1),0))</f>
        <v/>
      </c>
      <c r="AK52" s="20" t="str">
        <f>IF($B52="","",IF(OR($W52="Garis Lurus",$W52="Saldo Menurun"),MAX(0,MIN($Z52,TahunBuku*12+12,$Y52+$V52*12-1)-MAX(TahunBuku*12+1,$Y52)+1),0))</f>
        <v/>
      </c>
      <c r="AL52" s="22" t="str">
        <f>IF($B52="","",$G52*$AA52)</f>
        <v/>
      </c>
      <c r="AM52" s="22" t="str">
        <f>IF($B52="","",$G52*$AB52)</f>
        <v/>
      </c>
      <c r="AN52" s="22" t="str">
        <f>IF($B52="","",$G52*$AC52)</f>
        <v/>
      </c>
      <c r="AO52" s="22" t="str">
        <f>IF($B52="","",AL52+AM52-AN52)</f>
        <v/>
      </c>
      <c r="AP52" s="22" t="str">
        <f>IF($B52="","",($G52-$AD52)*$AA52)</f>
        <v/>
      </c>
      <c r="AQ52" s="22" t="str">
        <f>IF($B52="","",IF($AF52=0,0,($AD52-$AE52)*$AG52/$AF52)*MAX($AA52,$AB52))</f>
        <v/>
      </c>
      <c r="AR52" s="22" t="str">
        <f>IF($B52="","",(AP52+AQ52)*$AC52)</f>
        <v/>
      </c>
      <c r="AS52" s="22" t="str">
        <f>IF($B52="","",AP52+AQ52-AR52)</f>
        <v/>
      </c>
      <c r="AT52" s="22" t="str">
        <f>IF($B52="","",AO52-AS52)</f>
        <v/>
      </c>
      <c r="AU52" s="22" t="str">
        <f>IF($B52="","",IF($AC52=1,N($R52)-($G52-AR52),0))</f>
        <v/>
      </c>
      <c r="AV52" s="22" t="str">
        <f>IF($B52="","",($G52-$AH52)*$AA52)</f>
        <v/>
      </c>
      <c r="AW52" s="22" t="str">
        <f>IF($B52="","",IF($AJ52=0,0,($AH52-$AI52)*$AK52/$AJ52)*MAX($AA52,$AB52))</f>
        <v/>
      </c>
      <c r="AX52" s="22" t="str">
        <f>IF($B52="","",(AV52+AW52)*$AC52)</f>
        <v/>
      </c>
      <c r="AY52" s="22" t="str">
        <f>IF($B52="","",AV52+AW52-AX52)</f>
        <v/>
      </c>
      <c r="AZ52" s="22" t="str">
        <f>IF($B52="","",AO52-AY52)</f>
        <v/>
      </c>
      <c r="BA52" s="22" t="str">
        <f>IF($B52="","",IF($AC52=1,N($R52)-($G52-AX52),0))</f>
        <v/>
      </c>
      <c r="BB52" s="22" t="str">
        <f>IF($B52="","",ROUND(AQ52-AW52,0))</f>
        <v/>
      </c>
      <c r="BC52" s="22" t="str">
        <f>IF($B52="","",ROUND(BA52-AU52,0))</f>
        <v/>
      </c>
      <c r="BD52" s="22" t="str">
        <f>IF($B52="","",BB52+BC52)</f>
        <v/>
      </c>
      <c r="BE52" s="22" t="str">
        <f>IF($B52="","",ROUND(AV52-AP52,0))</f>
        <v/>
      </c>
      <c r="BF52" s="22" t="str">
        <f>IF($B52="","",ROUND(AT52-AZ52,0))</f>
        <v/>
      </c>
      <c r="BG52" s="22" t="str">
        <f>IF($B52="","",ROUND(BF52*TarifPPh,0))</f>
        <v/>
      </c>
      <c r="BH52" t="str">
        <f>IF($B52="","",IF($D52="","Kategori kosong",IF($F52="","Tgl perolehan kosong",IF(N($H52)&gt;$G52,"Residu &gt; harga perolehan",IF(AND(LEFT($U52,8)="Bangunan",$W52="Saldo Menurun"),"Bangunan wajib Garis Lurus (Ps.11 UU PPh)",IF(AND($S52="Unit Produksi",N($K52)=0),"Isi kapasitas unit",IF(AND(OR($S52="Garis Lurus",$S52="Saldo Menurun"),N($T52)&lt;=0),"Umur komersial kosong",IF(AND(OR($W52="Garis Lurus",$W52="Saldo Menurun"),N($V52)&lt;=0),"Masa manfaat fiskal kosong",IF(AND($Q52&lt;&gt;"",$Q52&lt;$F52),"Tgl pelepasan &lt; perolehan","OK")))))))))</f>
        <v/>
      </c>
    </row>
    <row r="53" spans="1:60" x14ac:dyDescent="0.25">
      <c r="A53" t="str">
        <f>IF($B53="","",ROW()-6)</f>
        <v/>
      </c>
      <c r="B53" s="9"/>
      <c r="C53" s="9"/>
      <c r="D53" s="9"/>
      <c r="E53" s="9"/>
      <c r="F53" s="17"/>
      <c r="G53" s="18"/>
      <c r="H53" s="18"/>
      <c r="I53" s="9"/>
      <c r="J53" s="9"/>
      <c r="K53" s="19"/>
      <c r="L53" s="19"/>
      <c r="M53" s="19"/>
      <c r="N53" s="9"/>
      <c r="O53" s="9"/>
      <c r="P53" s="9"/>
      <c r="Q53" s="17"/>
      <c r="R53" s="18"/>
      <c r="S53" t="str">
        <f>IF($B53="","",IF($I53&lt;&gt;"",$I53,IFERROR(INDEX(Kat_Metode,MATCH($D53,Kat_Nama,0)),"")))</f>
        <v/>
      </c>
      <c r="T53" t="str">
        <f>IF($B53="","",IF($J53&lt;&gt;"",$J53,IFERROR(INDEX(Kat_Umur,MATCH($D53,Kat_Nama,0)),0)))</f>
        <v/>
      </c>
      <c r="U53" t="str">
        <f>IF($B53="","",IF($N53&lt;&gt;"",$N53,IFERROR(INDEX(Kat_Kelompok,MATCH($D53,Kat_Nama,0)),"")))</f>
        <v/>
      </c>
      <c r="V53" t="str">
        <f>IF($B53="","",IF($U53="Masa Manfaat Sebenarnya",N($O53),IFERROR(INDEX(Kel_Masa,MATCH($U53,Kel_Nama,0)),0)))</f>
        <v/>
      </c>
      <c r="W53" t="str">
        <f>IF($B53="","",IF($P53&lt;&gt;"",$P53,IF(OR($U53="Tidak Disusutkan",$V53=0),"Tidak Disusutkan","Garis Lurus")))</f>
        <v/>
      </c>
      <c r="X53" t="str">
        <f>IF($B53="","",IF($Y53&gt;TahunBuku*12+12,"Belum Diperoleh",IF($Z53&lt;=TahunBuku*12,"Dilepas (thn lalu)",IF($AC53=1,"Dilepas thn ini",IF($AB53=1,"Perolehan baru","Aktif")))))</f>
        <v/>
      </c>
      <c r="Y53" s="20" t="str">
        <f>IF($B53="","",YEAR($F53)*12+MONTH($F53))</f>
        <v/>
      </c>
      <c r="Z53" s="20" t="str">
        <f>IF($B53="","",IF($Q53="",99999,YEAR($Q53)*12+MONTH($Q53)))</f>
        <v/>
      </c>
      <c r="AA53" s="20" t="str">
        <f>IF($B53="","",--AND($Y53&lt;=TahunBuku*12,$Z53&gt;TahunBuku*12))</f>
        <v/>
      </c>
      <c r="AB53" s="20" t="str">
        <f>IF($B53="","",--AND($Y53&gt;TahunBuku*12,$Y53&lt;=TahunBuku*12+12))</f>
        <v/>
      </c>
      <c r="AC53" s="20" t="str">
        <f>IF($B53="","",--AND($Z53&gt;TahunBuku*12,$Z53&lt;=TahunBuku*12+12,$Y53&lt;=$Z53))</f>
        <v/>
      </c>
      <c r="AD53" s="21" t="str">
        <f>IF($B53="","",IFERROR(IF($S53="Garis Lurus",$G53-($G53-$H53)*MIN($T53*12,MAX(0,TahunBuku*12-$Y53+1))/($T53*12),IF($S53="Saldo Menurun",IF(TahunBuku-1&lt;YEAR($F53),$G53,IF(TahunBuku-1&gt;=INT(($Y53+$T53*12-2)/12),$H53,MAX($H53,$G53*(1-2/$T53*(13-MONTH($F53))/12)*(1-2/$T53)^(TahunBuku-1-YEAR($F53))))),IF($S53="Unit Produksi",$G53-($G53-$H53)*MIN(1,N($L53)/$K53),$G53))),$G53))</f>
        <v/>
      </c>
      <c r="AE53" s="21" t="str">
        <f>IF($B53="","",IFERROR(IF($S53="Garis Lurus",$G53-($G53-$H53)*MIN($T53*12,MAX(0,TahunBuku*12+12-$Y53+1))/($T53*12),IF($S53="Saldo Menurun",IF(TahunBuku&lt;YEAR($F53),$G53,IF(TahunBuku&gt;=INT(($Y53+$T53*12-2)/12),$H53,MAX($H53,$G53*(1-2/$T53*(13-MONTH($F53))/12)*(1-2/$T53)^(TahunBuku-YEAR($F53))))),IF($S53="Unit Produksi",$G53-($G53-$H53)*MIN(1,(N($L53)+N($M53))/$K53),$G53))),$G53))</f>
        <v/>
      </c>
      <c r="AF53" s="20" t="str">
        <f>IF($B53="","",IF(OR($S53="Garis Lurus",$S53="Saldo Menurun",$S53="Unit Produksi"),MAX(0,IF($S53="Unit Produksi",TahunBuku*12+12,MIN(TahunBuku*12+12,$Y53+$T53*12-1))-MAX(TahunBuku*12+1,$Y53)+1),0))</f>
        <v/>
      </c>
      <c r="AG53" s="20" t="str">
        <f>IF($B53="","",IF(OR($S53="Garis Lurus",$S53="Saldo Menurun",$S53="Unit Produksi"),MAX(0,MIN($Z53,IF($S53="Unit Produksi",TahunBuku*12+12,MIN(TahunBuku*12+12,$Y53+$T53*12-1)))-MAX(TahunBuku*12+1,$Y53)+1),0))</f>
        <v/>
      </c>
      <c r="AH53" s="21" t="str">
        <f>IF($B53="","",IFERROR(IF($W53="Garis Lurus",$G53*(1-MIN($V53*12,MAX(0,TahunBuku*12-$Y53+1))/($V53*12)),IF($W53="Saldo Menurun",IF(TahunBuku-1&lt;YEAR($F53),$G53,IF(TahunBuku-1&gt;=INT(($Y53+$V53*12-2)/12),0,$G53*(1-2/$V53*(13-MONTH($F53))/12)*(1-2/$V53)^(TahunBuku-1-YEAR($F53)))),$G53)),$G53))</f>
        <v/>
      </c>
      <c r="AI53" s="21" t="str">
        <f>IF($B53="","",IFERROR(IF($W53="Garis Lurus",$G53*(1-MIN($V53*12,MAX(0,TahunBuku*12+12-$Y53+1))/($V53*12)),IF($W53="Saldo Menurun",IF(TahunBuku&lt;YEAR($F53),$G53,IF(TahunBuku&gt;=INT(($Y53+$V53*12-2)/12),0,$G53*(1-2/$V53*(13-MONTH($F53))/12)*(1-2/$V53)^(TahunBuku-YEAR($F53)))),$G53)),$G53))</f>
        <v/>
      </c>
      <c r="AJ53" s="20" t="str">
        <f>IF($B53="","",IF(OR($W53="Garis Lurus",$W53="Saldo Menurun"),MAX(0,MIN(TahunBuku*12+12,$Y53+$V53*12-1)-MAX(TahunBuku*12+1,$Y53)+1),0))</f>
        <v/>
      </c>
      <c r="AK53" s="20" t="str">
        <f>IF($B53="","",IF(OR($W53="Garis Lurus",$W53="Saldo Menurun"),MAX(0,MIN($Z53,TahunBuku*12+12,$Y53+$V53*12-1)-MAX(TahunBuku*12+1,$Y53)+1),0))</f>
        <v/>
      </c>
      <c r="AL53" s="22" t="str">
        <f>IF($B53="","",$G53*$AA53)</f>
        <v/>
      </c>
      <c r="AM53" s="22" t="str">
        <f>IF($B53="","",$G53*$AB53)</f>
        <v/>
      </c>
      <c r="AN53" s="22" t="str">
        <f>IF($B53="","",$G53*$AC53)</f>
        <v/>
      </c>
      <c r="AO53" s="22" t="str">
        <f>IF($B53="","",AL53+AM53-AN53)</f>
        <v/>
      </c>
      <c r="AP53" s="22" t="str">
        <f>IF($B53="","",($G53-$AD53)*$AA53)</f>
        <v/>
      </c>
      <c r="AQ53" s="22" t="str">
        <f>IF($B53="","",IF($AF53=0,0,($AD53-$AE53)*$AG53/$AF53)*MAX($AA53,$AB53))</f>
        <v/>
      </c>
      <c r="AR53" s="22" t="str">
        <f>IF($B53="","",(AP53+AQ53)*$AC53)</f>
        <v/>
      </c>
      <c r="AS53" s="22" t="str">
        <f>IF($B53="","",AP53+AQ53-AR53)</f>
        <v/>
      </c>
      <c r="AT53" s="22" t="str">
        <f>IF($B53="","",AO53-AS53)</f>
        <v/>
      </c>
      <c r="AU53" s="22" t="str">
        <f>IF($B53="","",IF($AC53=1,N($R53)-($G53-AR53),0))</f>
        <v/>
      </c>
      <c r="AV53" s="22" t="str">
        <f>IF($B53="","",($G53-$AH53)*$AA53)</f>
        <v/>
      </c>
      <c r="AW53" s="22" t="str">
        <f>IF($B53="","",IF($AJ53=0,0,($AH53-$AI53)*$AK53/$AJ53)*MAX($AA53,$AB53))</f>
        <v/>
      </c>
      <c r="AX53" s="22" t="str">
        <f>IF($B53="","",(AV53+AW53)*$AC53)</f>
        <v/>
      </c>
      <c r="AY53" s="22" t="str">
        <f>IF($B53="","",AV53+AW53-AX53)</f>
        <v/>
      </c>
      <c r="AZ53" s="22" t="str">
        <f>IF($B53="","",AO53-AY53)</f>
        <v/>
      </c>
      <c r="BA53" s="22" t="str">
        <f>IF($B53="","",IF($AC53=1,N($R53)-($G53-AX53),0))</f>
        <v/>
      </c>
      <c r="BB53" s="22" t="str">
        <f>IF($B53="","",ROUND(AQ53-AW53,0))</f>
        <v/>
      </c>
      <c r="BC53" s="22" t="str">
        <f>IF($B53="","",ROUND(BA53-AU53,0))</f>
        <v/>
      </c>
      <c r="BD53" s="22" t="str">
        <f>IF($B53="","",BB53+BC53)</f>
        <v/>
      </c>
      <c r="BE53" s="22" t="str">
        <f>IF($B53="","",ROUND(AV53-AP53,0))</f>
        <v/>
      </c>
      <c r="BF53" s="22" t="str">
        <f>IF($B53="","",ROUND(AT53-AZ53,0))</f>
        <v/>
      </c>
      <c r="BG53" s="22" t="str">
        <f>IF($B53="","",ROUND(BF53*TarifPPh,0))</f>
        <v/>
      </c>
      <c r="BH53" t="str">
        <f>IF($B53="","",IF($D53="","Kategori kosong",IF($F53="","Tgl perolehan kosong",IF(N($H53)&gt;$G53,"Residu &gt; harga perolehan",IF(AND(LEFT($U53,8)="Bangunan",$W53="Saldo Menurun"),"Bangunan wajib Garis Lurus (Ps.11 UU PPh)",IF(AND($S53="Unit Produksi",N($K53)=0),"Isi kapasitas unit",IF(AND(OR($S53="Garis Lurus",$S53="Saldo Menurun"),N($T53)&lt;=0),"Umur komersial kosong",IF(AND(OR($W53="Garis Lurus",$W53="Saldo Menurun"),N($V53)&lt;=0),"Masa manfaat fiskal kosong",IF(AND($Q53&lt;&gt;"",$Q53&lt;$F53),"Tgl pelepasan &lt; perolehan","OK")))))))))</f>
        <v/>
      </c>
    </row>
    <row r="54" spans="1:60" x14ac:dyDescent="0.25">
      <c r="A54" t="str">
        <f>IF($B54="","",ROW()-6)</f>
        <v/>
      </c>
      <c r="B54" s="9"/>
      <c r="C54" s="9"/>
      <c r="D54" s="9"/>
      <c r="E54" s="9"/>
      <c r="F54" s="17"/>
      <c r="G54" s="18"/>
      <c r="H54" s="18"/>
      <c r="I54" s="9"/>
      <c r="J54" s="9"/>
      <c r="K54" s="19"/>
      <c r="L54" s="19"/>
      <c r="M54" s="19"/>
      <c r="N54" s="9"/>
      <c r="O54" s="9"/>
      <c r="P54" s="9"/>
      <c r="Q54" s="17"/>
      <c r="R54" s="18"/>
      <c r="S54" t="str">
        <f>IF($B54="","",IF($I54&lt;&gt;"",$I54,IFERROR(INDEX(Kat_Metode,MATCH($D54,Kat_Nama,0)),"")))</f>
        <v/>
      </c>
      <c r="T54" t="str">
        <f>IF($B54="","",IF($J54&lt;&gt;"",$J54,IFERROR(INDEX(Kat_Umur,MATCH($D54,Kat_Nama,0)),0)))</f>
        <v/>
      </c>
      <c r="U54" t="str">
        <f>IF($B54="","",IF($N54&lt;&gt;"",$N54,IFERROR(INDEX(Kat_Kelompok,MATCH($D54,Kat_Nama,0)),"")))</f>
        <v/>
      </c>
      <c r="V54" t="str">
        <f>IF($B54="","",IF($U54="Masa Manfaat Sebenarnya",N($O54),IFERROR(INDEX(Kel_Masa,MATCH($U54,Kel_Nama,0)),0)))</f>
        <v/>
      </c>
      <c r="W54" t="str">
        <f>IF($B54="","",IF($P54&lt;&gt;"",$P54,IF(OR($U54="Tidak Disusutkan",$V54=0),"Tidak Disusutkan","Garis Lurus")))</f>
        <v/>
      </c>
      <c r="X54" t="str">
        <f>IF($B54="","",IF($Y54&gt;TahunBuku*12+12,"Belum Diperoleh",IF($Z54&lt;=TahunBuku*12,"Dilepas (thn lalu)",IF($AC54=1,"Dilepas thn ini",IF($AB54=1,"Perolehan baru","Aktif")))))</f>
        <v/>
      </c>
      <c r="Y54" s="20" t="str">
        <f>IF($B54="","",YEAR($F54)*12+MONTH($F54))</f>
        <v/>
      </c>
      <c r="Z54" s="20" t="str">
        <f>IF($B54="","",IF($Q54="",99999,YEAR($Q54)*12+MONTH($Q54)))</f>
        <v/>
      </c>
      <c r="AA54" s="20" t="str">
        <f>IF($B54="","",--AND($Y54&lt;=TahunBuku*12,$Z54&gt;TahunBuku*12))</f>
        <v/>
      </c>
      <c r="AB54" s="20" t="str">
        <f>IF($B54="","",--AND($Y54&gt;TahunBuku*12,$Y54&lt;=TahunBuku*12+12))</f>
        <v/>
      </c>
      <c r="AC54" s="20" t="str">
        <f>IF($B54="","",--AND($Z54&gt;TahunBuku*12,$Z54&lt;=TahunBuku*12+12,$Y54&lt;=$Z54))</f>
        <v/>
      </c>
      <c r="AD54" s="21" t="str">
        <f>IF($B54="","",IFERROR(IF($S54="Garis Lurus",$G54-($G54-$H54)*MIN($T54*12,MAX(0,TahunBuku*12-$Y54+1))/($T54*12),IF($S54="Saldo Menurun",IF(TahunBuku-1&lt;YEAR($F54),$G54,IF(TahunBuku-1&gt;=INT(($Y54+$T54*12-2)/12),$H54,MAX($H54,$G54*(1-2/$T54*(13-MONTH($F54))/12)*(1-2/$T54)^(TahunBuku-1-YEAR($F54))))),IF($S54="Unit Produksi",$G54-($G54-$H54)*MIN(1,N($L54)/$K54),$G54))),$G54))</f>
        <v/>
      </c>
      <c r="AE54" s="21" t="str">
        <f>IF($B54="","",IFERROR(IF($S54="Garis Lurus",$G54-($G54-$H54)*MIN($T54*12,MAX(0,TahunBuku*12+12-$Y54+1))/($T54*12),IF($S54="Saldo Menurun",IF(TahunBuku&lt;YEAR($F54),$G54,IF(TahunBuku&gt;=INT(($Y54+$T54*12-2)/12),$H54,MAX($H54,$G54*(1-2/$T54*(13-MONTH($F54))/12)*(1-2/$T54)^(TahunBuku-YEAR($F54))))),IF($S54="Unit Produksi",$G54-($G54-$H54)*MIN(1,(N($L54)+N($M54))/$K54),$G54))),$G54))</f>
        <v/>
      </c>
      <c r="AF54" s="20" t="str">
        <f>IF($B54="","",IF(OR($S54="Garis Lurus",$S54="Saldo Menurun",$S54="Unit Produksi"),MAX(0,IF($S54="Unit Produksi",TahunBuku*12+12,MIN(TahunBuku*12+12,$Y54+$T54*12-1))-MAX(TahunBuku*12+1,$Y54)+1),0))</f>
        <v/>
      </c>
      <c r="AG54" s="20" t="str">
        <f>IF($B54="","",IF(OR($S54="Garis Lurus",$S54="Saldo Menurun",$S54="Unit Produksi"),MAX(0,MIN($Z54,IF($S54="Unit Produksi",TahunBuku*12+12,MIN(TahunBuku*12+12,$Y54+$T54*12-1)))-MAX(TahunBuku*12+1,$Y54)+1),0))</f>
        <v/>
      </c>
      <c r="AH54" s="21" t="str">
        <f>IF($B54="","",IFERROR(IF($W54="Garis Lurus",$G54*(1-MIN($V54*12,MAX(0,TahunBuku*12-$Y54+1))/($V54*12)),IF($W54="Saldo Menurun",IF(TahunBuku-1&lt;YEAR($F54),$G54,IF(TahunBuku-1&gt;=INT(($Y54+$V54*12-2)/12),0,$G54*(1-2/$V54*(13-MONTH($F54))/12)*(1-2/$V54)^(TahunBuku-1-YEAR($F54)))),$G54)),$G54))</f>
        <v/>
      </c>
      <c r="AI54" s="21" t="str">
        <f>IF($B54="","",IFERROR(IF($W54="Garis Lurus",$G54*(1-MIN($V54*12,MAX(0,TahunBuku*12+12-$Y54+1))/($V54*12)),IF($W54="Saldo Menurun",IF(TahunBuku&lt;YEAR($F54),$G54,IF(TahunBuku&gt;=INT(($Y54+$V54*12-2)/12),0,$G54*(1-2/$V54*(13-MONTH($F54))/12)*(1-2/$V54)^(TahunBuku-YEAR($F54)))),$G54)),$G54))</f>
        <v/>
      </c>
      <c r="AJ54" s="20" t="str">
        <f>IF($B54="","",IF(OR($W54="Garis Lurus",$W54="Saldo Menurun"),MAX(0,MIN(TahunBuku*12+12,$Y54+$V54*12-1)-MAX(TahunBuku*12+1,$Y54)+1),0))</f>
        <v/>
      </c>
      <c r="AK54" s="20" t="str">
        <f>IF($B54="","",IF(OR($W54="Garis Lurus",$W54="Saldo Menurun"),MAX(0,MIN($Z54,TahunBuku*12+12,$Y54+$V54*12-1)-MAX(TahunBuku*12+1,$Y54)+1),0))</f>
        <v/>
      </c>
      <c r="AL54" s="22" t="str">
        <f>IF($B54="","",$G54*$AA54)</f>
        <v/>
      </c>
      <c r="AM54" s="22" t="str">
        <f>IF($B54="","",$G54*$AB54)</f>
        <v/>
      </c>
      <c r="AN54" s="22" t="str">
        <f>IF($B54="","",$G54*$AC54)</f>
        <v/>
      </c>
      <c r="AO54" s="22" t="str">
        <f>IF($B54="","",AL54+AM54-AN54)</f>
        <v/>
      </c>
      <c r="AP54" s="22" t="str">
        <f>IF($B54="","",($G54-$AD54)*$AA54)</f>
        <v/>
      </c>
      <c r="AQ54" s="22" t="str">
        <f>IF($B54="","",IF($AF54=0,0,($AD54-$AE54)*$AG54/$AF54)*MAX($AA54,$AB54))</f>
        <v/>
      </c>
      <c r="AR54" s="22" t="str">
        <f>IF($B54="","",(AP54+AQ54)*$AC54)</f>
        <v/>
      </c>
      <c r="AS54" s="22" t="str">
        <f>IF($B54="","",AP54+AQ54-AR54)</f>
        <v/>
      </c>
      <c r="AT54" s="22" t="str">
        <f>IF($B54="","",AO54-AS54)</f>
        <v/>
      </c>
      <c r="AU54" s="22" t="str">
        <f>IF($B54="","",IF($AC54=1,N($R54)-($G54-AR54),0))</f>
        <v/>
      </c>
      <c r="AV54" s="22" t="str">
        <f>IF($B54="","",($G54-$AH54)*$AA54)</f>
        <v/>
      </c>
      <c r="AW54" s="22" t="str">
        <f>IF($B54="","",IF($AJ54=0,0,($AH54-$AI54)*$AK54/$AJ54)*MAX($AA54,$AB54))</f>
        <v/>
      </c>
      <c r="AX54" s="22" t="str">
        <f>IF($B54="","",(AV54+AW54)*$AC54)</f>
        <v/>
      </c>
      <c r="AY54" s="22" t="str">
        <f>IF($B54="","",AV54+AW54-AX54)</f>
        <v/>
      </c>
      <c r="AZ54" s="22" t="str">
        <f>IF($B54="","",AO54-AY54)</f>
        <v/>
      </c>
      <c r="BA54" s="22" t="str">
        <f>IF($B54="","",IF($AC54=1,N($R54)-($G54-AX54),0))</f>
        <v/>
      </c>
      <c r="BB54" s="22" t="str">
        <f>IF($B54="","",ROUND(AQ54-AW54,0))</f>
        <v/>
      </c>
      <c r="BC54" s="22" t="str">
        <f>IF($B54="","",ROUND(BA54-AU54,0))</f>
        <v/>
      </c>
      <c r="BD54" s="22" t="str">
        <f>IF($B54="","",BB54+BC54)</f>
        <v/>
      </c>
      <c r="BE54" s="22" t="str">
        <f>IF($B54="","",ROUND(AV54-AP54,0))</f>
        <v/>
      </c>
      <c r="BF54" s="22" t="str">
        <f>IF($B54="","",ROUND(AT54-AZ54,0))</f>
        <v/>
      </c>
      <c r="BG54" s="22" t="str">
        <f>IF($B54="","",ROUND(BF54*TarifPPh,0))</f>
        <v/>
      </c>
      <c r="BH54" t="str">
        <f>IF($B54="","",IF($D54="","Kategori kosong",IF($F54="","Tgl perolehan kosong",IF(N($H54)&gt;$G54,"Residu &gt; harga perolehan",IF(AND(LEFT($U54,8)="Bangunan",$W54="Saldo Menurun"),"Bangunan wajib Garis Lurus (Ps.11 UU PPh)",IF(AND($S54="Unit Produksi",N($K54)=0),"Isi kapasitas unit",IF(AND(OR($S54="Garis Lurus",$S54="Saldo Menurun"),N($T54)&lt;=0),"Umur komersial kosong",IF(AND(OR($W54="Garis Lurus",$W54="Saldo Menurun"),N($V54)&lt;=0),"Masa manfaat fiskal kosong",IF(AND($Q54&lt;&gt;"",$Q54&lt;$F54),"Tgl pelepasan &lt; perolehan","OK")))))))))</f>
        <v/>
      </c>
    </row>
    <row r="55" spans="1:60" x14ac:dyDescent="0.25">
      <c r="A55" t="str">
        <f>IF($B55="","",ROW()-6)</f>
        <v/>
      </c>
      <c r="B55" s="9"/>
      <c r="C55" s="9"/>
      <c r="D55" s="9"/>
      <c r="E55" s="9"/>
      <c r="F55" s="17"/>
      <c r="G55" s="18"/>
      <c r="H55" s="18"/>
      <c r="I55" s="9"/>
      <c r="J55" s="9"/>
      <c r="K55" s="19"/>
      <c r="L55" s="19"/>
      <c r="M55" s="19"/>
      <c r="N55" s="9"/>
      <c r="O55" s="9"/>
      <c r="P55" s="9"/>
      <c r="Q55" s="17"/>
      <c r="R55" s="18"/>
      <c r="S55" t="str">
        <f>IF($B55="","",IF($I55&lt;&gt;"",$I55,IFERROR(INDEX(Kat_Metode,MATCH($D55,Kat_Nama,0)),"")))</f>
        <v/>
      </c>
      <c r="T55" t="str">
        <f>IF($B55="","",IF($J55&lt;&gt;"",$J55,IFERROR(INDEX(Kat_Umur,MATCH($D55,Kat_Nama,0)),0)))</f>
        <v/>
      </c>
      <c r="U55" t="str">
        <f>IF($B55="","",IF($N55&lt;&gt;"",$N55,IFERROR(INDEX(Kat_Kelompok,MATCH($D55,Kat_Nama,0)),"")))</f>
        <v/>
      </c>
      <c r="V55" t="str">
        <f>IF($B55="","",IF($U55="Masa Manfaat Sebenarnya",N($O55),IFERROR(INDEX(Kel_Masa,MATCH($U55,Kel_Nama,0)),0)))</f>
        <v/>
      </c>
      <c r="W55" t="str">
        <f>IF($B55="","",IF($P55&lt;&gt;"",$P55,IF(OR($U55="Tidak Disusutkan",$V55=0),"Tidak Disusutkan","Garis Lurus")))</f>
        <v/>
      </c>
      <c r="X55" t="str">
        <f>IF($B55="","",IF($Y55&gt;TahunBuku*12+12,"Belum Diperoleh",IF($Z55&lt;=TahunBuku*12,"Dilepas (thn lalu)",IF($AC55=1,"Dilepas thn ini",IF($AB55=1,"Perolehan baru","Aktif")))))</f>
        <v/>
      </c>
      <c r="Y55" s="20" t="str">
        <f>IF($B55="","",YEAR($F55)*12+MONTH($F55))</f>
        <v/>
      </c>
      <c r="Z55" s="20" t="str">
        <f>IF($B55="","",IF($Q55="",99999,YEAR($Q55)*12+MONTH($Q55)))</f>
        <v/>
      </c>
      <c r="AA55" s="20" t="str">
        <f>IF($B55="","",--AND($Y55&lt;=TahunBuku*12,$Z55&gt;TahunBuku*12))</f>
        <v/>
      </c>
      <c r="AB55" s="20" t="str">
        <f>IF($B55="","",--AND($Y55&gt;TahunBuku*12,$Y55&lt;=TahunBuku*12+12))</f>
        <v/>
      </c>
      <c r="AC55" s="20" t="str">
        <f>IF($B55="","",--AND($Z55&gt;TahunBuku*12,$Z55&lt;=TahunBuku*12+12,$Y55&lt;=$Z55))</f>
        <v/>
      </c>
      <c r="AD55" s="21" t="str">
        <f>IF($B55="","",IFERROR(IF($S55="Garis Lurus",$G55-($G55-$H55)*MIN($T55*12,MAX(0,TahunBuku*12-$Y55+1))/($T55*12),IF($S55="Saldo Menurun",IF(TahunBuku-1&lt;YEAR($F55),$G55,IF(TahunBuku-1&gt;=INT(($Y55+$T55*12-2)/12),$H55,MAX($H55,$G55*(1-2/$T55*(13-MONTH($F55))/12)*(1-2/$T55)^(TahunBuku-1-YEAR($F55))))),IF($S55="Unit Produksi",$G55-($G55-$H55)*MIN(1,N($L55)/$K55),$G55))),$G55))</f>
        <v/>
      </c>
      <c r="AE55" s="21" t="str">
        <f>IF($B55="","",IFERROR(IF($S55="Garis Lurus",$G55-($G55-$H55)*MIN($T55*12,MAX(0,TahunBuku*12+12-$Y55+1))/($T55*12),IF($S55="Saldo Menurun",IF(TahunBuku&lt;YEAR($F55),$G55,IF(TahunBuku&gt;=INT(($Y55+$T55*12-2)/12),$H55,MAX($H55,$G55*(1-2/$T55*(13-MONTH($F55))/12)*(1-2/$T55)^(TahunBuku-YEAR($F55))))),IF($S55="Unit Produksi",$G55-($G55-$H55)*MIN(1,(N($L55)+N($M55))/$K55),$G55))),$G55))</f>
        <v/>
      </c>
      <c r="AF55" s="20" t="str">
        <f>IF($B55="","",IF(OR($S55="Garis Lurus",$S55="Saldo Menurun",$S55="Unit Produksi"),MAX(0,IF($S55="Unit Produksi",TahunBuku*12+12,MIN(TahunBuku*12+12,$Y55+$T55*12-1))-MAX(TahunBuku*12+1,$Y55)+1),0))</f>
        <v/>
      </c>
      <c r="AG55" s="20" t="str">
        <f>IF($B55="","",IF(OR($S55="Garis Lurus",$S55="Saldo Menurun",$S55="Unit Produksi"),MAX(0,MIN($Z55,IF($S55="Unit Produksi",TahunBuku*12+12,MIN(TahunBuku*12+12,$Y55+$T55*12-1)))-MAX(TahunBuku*12+1,$Y55)+1),0))</f>
        <v/>
      </c>
      <c r="AH55" s="21" t="str">
        <f>IF($B55="","",IFERROR(IF($W55="Garis Lurus",$G55*(1-MIN($V55*12,MAX(0,TahunBuku*12-$Y55+1))/($V55*12)),IF($W55="Saldo Menurun",IF(TahunBuku-1&lt;YEAR($F55),$G55,IF(TahunBuku-1&gt;=INT(($Y55+$V55*12-2)/12),0,$G55*(1-2/$V55*(13-MONTH($F55))/12)*(1-2/$V55)^(TahunBuku-1-YEAR($F55)))),$G55)),$G55))</f>
        <v/>
      </c>
      <c r="AI55" s="21" t="str">
        <f>IF($B55="","",IFERROR(IF($W55="Garis Lurus",$G55*(1-MIN($V55*12,MAX(0,TahunBuku*12+12-$Y55+1))/($V55*12)),IF($W55="Saldo Menurun",IF(TahunBuku&lt;YEAR($F55),$G55,IF(TahunBuku&gt;=INT(($Y55+$V55*12-2)/12),0,$G55*(1-2/$V55*(13-MONTH($F55))/12)*(1-2/$V55)^(TahunBuku-YEAR($F55)))),$G55)),$G55))</f>
        <v/>
      </c>
      <c r="AJ55" s="20" t="str">
        <f>IF($B55="","",IF(OR($W55="Garis Lurus",$W55="Saldo Menurun"),MAX(0,MIN(TahunBuku*12+12,$Y55+$V55*12-1)-MAX(TahunBuku*12+1,$Y55)+1),0))</f>
        <v/>
      </c>
      <c r="AK55" s="20" t="str">
        <f>IF($B55="","",IF(OR($W55="Garis Lurus",$W55="Saldo Menurun"),MAX(0,MIN($Z55,TahunBuku*12+12,$Y55+$V55*12-1)-MAX(TahunBuku*12+1,$Y55)+1),0))</f>
        <v/>
      </c>
      <c r="AL55" s="22" t="str">
        <f>IF($B55="","",$G55*$AA55)</f>
        <v/>
      </c>
      <c r="AM55" s="22" t="str">
        <f>IF($B55="","",$G55*$AB55)</f>
        <v/>
      </c>
      <c r="AN55" s="22" t="str">
        <f>IF($B55="","",$G55*$AC55)</f>
        <v/>
      </c>
      <c r="AO55" s="22" t="str">
        <f>IF($B55="","",AL55+AM55-AN55)</f>
        <v/>
      </c>
      <c r="AP55" s="22" t="str">
        <f>IF($B55="","",($G55-$AD55)*$AA55)</f>
        <v/>
      </c>
      <c r="AQ55" s="22" t="str">
        <f>IF($B55="","",IF($AF55=0,0,($AD55-$AE55)*$AG55/$AF55)*MAX($AA55,$AB55))</f>
        <v/>
      </c>
      <c r="AR55" s="22" t="str">
        <f>IF($B55="","",(AP55+AQ55)*$AC55)</f>
        <v/>
      </c>
      <c r="AS55" s="22" t="str">
        <f>IF($B55="","",AP55+AQ55-AR55)</f>
        <v/>
      </c>
      <c r="AT55" s="22" t="str">
        <f>IF($B55="","",AO55-AS55)</f>
        <v/>
      </c>
      <c r="AU55" s="22" t="str">
        <f>IF($B55="","",IF($AC55=1,N($R55)-($G55-AR55),0))</f>
        <v/>
      </c>
      <c r="AV55" s="22" t="str">
        <f>IF($B55="","",($G55-$AH55)*$AA55)</f>
        <v/>
      </c>
      <c r="AW55" s="22" t="str">
        <f>IF($B55="","",IF($AJ55=0,0,($AH55-$AI55)*$AK55/$AJ55)*MAX($AA55,$AB55))</f>
        <v/>
      </c>
      <c r="AX55" s="22" t="str">
        <f>IF($B55="","",(AV55+AW55)*$AC55)</f>
        <v/>
      </c>
      <c r="AY55" s="22" t="str">
        <f>IF($B55="","",AV55+AW55-AX55)</f>
        <v/>
      </c>
      <c r="AZ55" s="22" t="str">
        <f>IF($B55="","",AO55-AY55)</f>
        <v/>
      </c>
      <c r="BA55" s="22" t="str">
        <f>IF($B55="","",IF($AC55=1,N($R55)-($G55-AX55),0))</f>
        <v/>
      </c>
      <c r="BB55" s="22" t="str">
        <f>IF($B55="","",ROUND(AQ55-AW55,0))</f>
        <v/>
      </c>
      <c r="BC55" s="22" t="str">
        <f>IF($B55="","",ROUND(BA55-AU55,0))</f>
        <v/>
      </c>
      <c r="BD55" s="22" t="str">
        <f>IF($B55="","",BB55+BC55)</f>
        <v/>
      </c>
      <c r="BE55" s="22" t="str">
        <f>IF($B55="","",ROUND(AV55-AP55,0))</f>
        <v/>
      </c>
      <c r="BF55" s="22" t="str">
        <f>IF($B55="","",ROUND(AT55-AZ55,0))</f>
        <v/>
      </c>
      <c r="BG55" s="22" t="str">
        <f>IF($B55="","",ROUND(BF55*TarifPPh,0))</f>
        <v/>
      </c>
      <c r="BH55" t="str">
        <f>IF($B55="","",IF($D55="","Kategori kosong",IF($F55="","Tgl perolehan kosong",IF(N($H55)&gt;$G55,"Residu &gt; harga perolehan",IF(AND(LEFT($U55,8)="Bangunan",$W55="Saldo Menurun"),"Bangunan wajib Garis Lurus (Ps.11 UU PPh)",IF(AND($S55="Unit Produksi",N($K55)=0),"Isi kapasitas unit",IF(AND(OR($S55="Garis Lurus",$S55="Saldo Menurun"),N($T55)&lt;=0),"Umur komersial kosong",IF(AND(OR($W55="Garis Lurus",$W55="Saldo Menurun"),N($V55)&lt;=0),"Masa manfaat fiskal kosong",IF(AND($Q55&lt;&gt;"",$Q55&lt;$F55),"Tgl pelepasan &lt; perolehan","OK")))))))))</f>
        <v/>
      </c>
    </row>
    <row r="56" spans="1:60" x14ac:dyDescent="0.25">
      <c r="A56" t="str">
        <f>IF($B56="","",ROW()-6)</f>
        <v/>
      </c>
      <c r="B56" s="9"/>
      <c r="C56" s="9"/>
      <c r="D56" s="9"/>
      <c r="E56" s="9"/>
      <c r="F56" s="17"/>
      <c r="G56" s="18"/>
      <c r="H56" s="18"/>
      <c r="I56" s="9"/>
      <c r="J56" s="9"/>
      <c r="K56" s="19"/>
      <c r="L56" s="19"/>
      <c r="M56" s="19"/>
      <c r="N56" s="9"/>
      <c r="O56" s="9"/>
      <c r="P56" s="9"/>
      <c r="Q56" s="17"/>
      <c r="R56" s="18"/>
      <c r="S56" t="str">
        <f>IF($B56="","",IF($I56&lt;&gt;"",$I56,IFERROR(INDEX(Kat_Metode,MATCH($D56,Kat_Nama,0)),"")))</f>
        <v/>
      </c>
      <c r="T56" t="str">
        <f>IF($B56="","",IF($J56&lt;&gt;"",$J56,IFERROR(INDEX(Kat_Umur,MATCH($D56,Kat_Nama,0)),0)))</f>
        <v/>
      </c>
      <c r="U56" t="str">
        <f>IF($B56="","",IF($N56&lt;&gt;"",$N56,IFERROR(INDEX(Kat_Kelompok,MATCH($D56,Kat_Nama,0)),"")))</f>
        <v/>
      </c>
      <c r="V56" t="str">
        <f>IF($B56="","",IF($U56="Masa Manfaat Sebenarnya",N($O56),IFERROR(INDEX(Kel_Masa,MATCH($U56,Kel_Nama,0)),0)))</f>
        <v/>
      </c>
      <c r="W56" t="str">
        <f>IF($B56="","",IF($P56&lt;&gt;"",$P56,IF(OR($U56="Tidak Disusutkan",$V56=0),"Tidak Disusutkan","Garis Lurus")))</f>
        <v/>
      </c>
      <c r="X56" t="str">
        <f>IF($B56="","",IF($Y56&gt;TahunBuku*12+12,"Belum Diperoleh",IF($Z56&lt;=TahunBuku*12,"Dilepas (thn lalu)",IF($AC56=1,"Dilepas thn ini",IF($AB56=1,"Perolehan baru","Aktif")))))</f>
        <v/>
      </c>
      <c r="Y56" s="20" t="str">
        <f>IF($B56="","",YEAR($F56)*12+MONTH($F56))</f>
        <v/>
      </c>
      <c r="Z56" s="20" t="str">
        <f>IF($B56="","",IF($Q56="",99999,YEAR($Q56)*12+MONTH($Q56)))</f>
        <v/>
      </c>
      <c r="AA56" s="20" t="str">
        <f>IF($B56="","",--AND($Y56&lt;=TahunBuku*12,$Z56&gt;TahunBuku*12))</f>
        <v/>
      </c>
      <c r="AB56" s="20" t="str">
        <f>IF($B56="","",--AND($Y56&gt;TahunBuku*12,$Y56&lt;=TahunBuku*12+12))</f>
        <v/>
      </c>
      <c r="AC56" s="20" t="str">
        <f>IF($B56="","",--AND($Z56&gt;TahunBuku*12,$Z56&lt;=TahunBuku*12+12,$Y56&lt;=$Z56))</f>
        <v/>
      </c>
      <c r="AD56" s="21" t="str">
        <f>IF($B56="","",IFERROR(IF($S56="Garis Lurus",$G56-($G56-$H56)*MIN($T56*12,MAX(0,TahunBuku*12-$Y56+1))/($T56*12),IF($S56="Saldo Menurun",IF(TahunBuku-1&lt;YEAR($F56),$G56,IF(TahunBuku-1&gt;=INT(($Y56+$T56*12-2)/12),$H56,MAX($H56,$G56*(1-2/$T56*(13-MONTH($F56))/12)*(1-2/$T56)^(TahunBuku-1-YEAR($F56))))),IF($S56="Unit Produksi",$G56-($G56-$H56)*MIN(1,N($L56)/$K56),$G56))),$G56))</f>
        <v/>
      </c>
      <c r="AE56" s="21" t="str">
        <f>IF($B56="","",IFERROR(IF($S56="Garis Lurus",$G56-($G56-$H56)*MIN($T56*12,MAX(0,TahunBuku*12+12-$Y56+1))/($T56*12),IF($S56="Saldo Menurun",IF(TahunBuku&lt;YEAR($F56),$G56,IF(TahunBuku&gt;=INT(($Y56+$T56*12-2)/12),$H56,MAX($H56,$G56*(1-2/$T56*(13-MONTH($F56))/12)*(1-2/$T56)^(TahunBuku-YEAR($F56))))),IF($S56="Unit Produksi",$G56-($G56-$H56)*MIN(1,(N($L56)+N($M56))/$K56),$G56))),$G56))</f>
        <v/>
      </c>
      <c r="AF56" s="20" t="str">
        <f>IF($B56="","",IF(OR($S56="Garis Lurus",$S56="Saldo Menurun",$S56="Unit Produksi"),MAX(0,IF($S56="Unit Produksi",TahunBuku*12+12,MIN(TahunBuku*12+12,$Y56+$T56*12-1))-MAX(TahunBuku*12+1,$Y56)+1),0))</f>
        <v/>
      </c>
      <c r="AG56" s="20" t="str">
        <f>IF($B56="","",IF(OR($S56="Garis Lurus",$S56="Saldo Menurun",$S56="Unit Produksi"),MAX(0,MIN($Z56,IF($S56="Unit Produksi",TahunBuku*12+12,MIN(TahunBuku*12+12,$Y56+$T56*12-1)))-MAX(TahunBuku*12+1,$Y56)+1),0))</f>
        <v/>
      </c>
      <c r="AH56" s="21" t="str">
        <f>IF($B56="","",IFERROR(IF($W56="Garis Lurus",$G56*(1-MIN($V56*12,MAX(0,TahunBuku*12-$Y56+1))/($V56*12)),IF($W56="Saldo Menurun",IF(TahunBuku-1&lt;YEAR($F56),$G56,IF(TahunBuku-1&gt;=INT(($Y56+$V56*12-2)/12),0,$G56*(1-2/$V56*(13-MONTH($F56))/12)*(1-2/$V56)^(TahunBuku-1-YEAR($F56)))),$G56)),$G56))</f>
        <v/>
      </c>
      <c r="AI56" s="21" t="str">
        <f>IF($B56="","",IFERROR(IF($W56="Garis Lurus",$G56*(1-MIN($V56*12,MAX(0,TahunBuku*12+12-$Y56+1))/($V56*12)),IF($W56="Saldo Menurun",IF(TahunBuku&lt;YEAR($F56),$G56,IF(TahunBuku&gt;=INT(($Y56+$V56*12-2)/12),0,$G56*(1-2/$V56*(13-MONTH($F56))/12)*(1-2/$V56)^(TahunBuku-YEAR($F56)))),$G56)),$G56))</f>
        <v/>
      </c>
      <c r="AJ56" s="20" t="str">
        <f>IF($B56="","",IF(OR($W56="Garis Lurus",$W56="Saldo Menurun"),MAX(0,MIN(TahunBuku*12+12,$Y56+$V56*12-1)-MAX(TahunBuku*12+1,$Y56)+1),0))</f>
        <v/>
      </c>
      <c r="AK56" s="20" t="str">
        <f>IF($B56="","",IF(OR($W56="Garis Lurus",$W56="Saldo Menurun"),MAX(0,MIN($Z56,TahunBuku*12+12,$Y56+$V56*12-1)-MAX(TahunBuku*12+1,$Y56)+1),0))</f>
        <v/>
      </c>
      <c r="AL56" s="22" t="str">
        <f>IF($B56="","",$G56*$AA56)</f>
        <v/>
      </c>
      <c r="AM56" s="22" t="str">
        <f>IF($B56="","",$G56*$AB56)</f>
        <v/>
      </c>
      <c r="AN56" s="22" t="str">
        <f>IF($B56="","",$G56*$AC56)</f>
        <v/>
      </c>
      <c r="AO56" s="22" t="str">
        <f>IF($B56="","",AL56+AM56-AN56)</f>
        <v/>
      </c>
      <c r="AP56" s="22" t="str">
        <f>IF($B56="","",($G56-$AD56)*$AA56)</f>
        <v/>
      </c>
      <c r="AQ56" s="22" t="str">
        <f>IF($B56="","",IF($AF56=0,0,($AD56-$AE56)*$AG56/$AF56)*MAX($AA56,$AB56))</f>
        <v/>
      </c>
      <c r="AR56" s="22" t="str">
        <f>IF($B56="","",(AP56+AQ56)*$AC56)</f>
        <v/>
      </c>
      <c r="AS56" s="22" t="str">
        <f>IF($B56="","",AP56+AQ56-AR56)</f>
        <v/>
      </c>
      <c r="AT56" s="22" t="str">
        <f>IF($B56="","",AO56-AS56)</f>
        <v/>
      </c>
      <c r="AU56" s="22" t="str">
        <f>IF($B56="","",IF($AC56=1,N($R56)-($G56-AR56),0))</f>
        <v/>
      </c>
      <c r="AV56" s="22" t="str">
        <f>IF($B56="","",($G56-$AH56)*$AA56)</f>
        <v/>
      </c>
      <c r="AW56" s="22" t="str">
        <f>IF($B56="","",IF($AJ56=0,0,($AH56-$AI56)*$AK56/$AJ56)*MAX($AA56,$AB56))</f>
        <v/>
      </c>
      <c r="AX56" s="22" t="str">
        <f>IF($B56="","",(AV56+AW56)*$AC56)</f>
        <v/>
      </c>
      <c r="AY56" s="22" t="str">
        <f>IF($B56="","",AV56+AW56-AX56)</f>
        <v/>
      </c>
      <c r="AZ56" s="22" t="str">
        <f>IF($B56="","",AO56-AY56)</f>
        <v/>
      </c>
      <c r="BA56" s="22" t="str">
        <f>IF($B56="","",IF($AC56=1,N($R56)-($G56-AX56),0))</f>
        <v/>
      </c>
      <c r="BB56" s="22" t="str">
        <f>IF($B56="","",ROUND(AQ56-AW56,0))</f>
        <v/>
      </c>
      <c r="BC56" s="22" t="str">
        <f>IF($B56="","",ROUND(BA56-AU56,0))</f>
        <v/>
      </c>
      <c r="BD56" s="22" t="str">
        <f>IF($B56="","",BB56+BC56)</f>
        <v/>
      </c>
      <c r="BE56" s="22" t="str">
        <f>IF($B56="","",ROUND(AV56-AP56,0))</f>
        <v/>
      </c>
      <c r="BF56" s="22" t="str">
        <f>IF($B56="","",ROUND(AT56-AZ56,0))</f>
        <v/>
      </c>
      <c r="BG56" s="22" t="str">
        <f>IF($B56="","",ROUND(BF56*TarifPPh,0))</f>
        <v/>
      </c>
      <c r="BH56" t="str">
        <f>IF($B56="","",IF($D56="","Kategori kosong",IF($F56="","Tgl perolehan kosong",IF(N($H56)&gt;$G56,"Residu &gt; harga perolehan",IF(AND(LEFT($U56,8)="Bangunan",$W56="Saldo Menurun"),"Bangunan wajib Garis Lurus (Ps.11 UU PPh)",IF(AND($S56="Unit Produksi",N($K56)=0),"Isi kapasitas unit",IF(AND(OR($S56="Garis Lurus",$S56="Saldo Menurun"),N($T56)&lt;=0),"Umur komersial kosong",IF(AND(OR($W56="Garis Lurus",$W56="Saldo Menurun"),N($V56)&lt;=0),"Masa manfaat fiskal kosong",IF(AND($Q56&lt;&gt;"",$Q56&lt;$F56),"Tgl pelepasan &lt; perolehan","OK")))))))))</f>
        <v/>
      </c>
    </row>
    <row r="57" spans="1:60" x14ac:dyDescent="0.25">
      <c r="A57" t="str">
        <f>IF($B57="","",ROW()-6)</f>
        <v/>
      </c>
      <c r="B57" s="9"/>
      <c r="C57" s="9"/>
      <c r="D57" s="9"/>
      <c r="E57" s="9"/>
      <c r="F57" s="17"/>
      <c r="G57" s="18"/>
      <c r="H57" s="18"/>
      <c r="I57" s="9"/>
      <c r="J57" s="9"/>
      <c r="K57" s="19"/>
      <c r="L57" s="19"/>
      <c r="M57" s="19"/>
      <c r="N57" s="9"/>
      <c r="O57" s="9"/>
      <c r="P57" s="9"/>
      <c r="Q57" s="17"/>
      <c r="R57" s="18"/>
      <c r="S57" t="str">
        <f>IF($B57="","",IF($I57&lt;&gt;"",$I57,IFERROR(INDEX(Kat_Metode,MATCH($D57,Kat_Nama,0)),"")))</f>
        <v/>
      </c>
      <c r="T57" t="str">
        <f>IF($B57="","",IF($J57&lt;&gt;"",$J57,IFERROR(INDEX(Kat_Umur,MATCH($D57,Kat_Nama,0)),0)))</f>
        <v/>
      </c>
      <c r="U57" t="str">
        <f>IF($B57="","",IF($N57&lt;&gt;"",$N57,IFERROR(INDEX(Kat_Kelompok,MATCH($D57,Kat_Nama,0)),"")))</f>
        <v/>
      </c>
      <c r="V57" t="str">
        <f>IF($B57="","",IF($U57="Masa Manfaat Sebenarnya",N($O57),IFERROR(INDEX(Kel_Masa,MATCH($U57,Kel_Nama,0)),0)))</f>
        <v/>
      </c>
      <c r="W57" t="str">
        <f>IF($B57="","",IF($P57&lt;&gt;"",$P57,IF(OR($U57="Tidak Disusutkan",$V57=0),"Tidak Disusutkan","Garis Lurus")))</f>
        <v/>
      </c>
      <c r="X57" t="str">
        <f>IF($B57="","",IF($Y57&gt;TahunBuku*12+12,"Belum Diperoleh",IF($Z57&lt;=TahunBuku*12,"Dilepas (thn lalu)",IF($AC57=1,"Dilepas thn ini",IF($AB57=1,"Perolehan baru","Aktif")))))</f>
        <v/>
      </c>
      <c r="Y57" s="20" t="str">
        <f>IF($B57="","",YEAR($F57)*12+MONTH($F57))</f>
        <v/>
      </c>
      <c r="Z57" s="20" t="str">
        <f>IF($B57="","",IF($Q57="",99999,YEAR($Q57)*12+MONTH($Q57)))</f>
        <v/>
      </c>
      <c r="AA57" s="20" t="str">
        <f>IF($B57="","",--AND($Y57&lt;=TahunBuku*12,$Z57&gt;TahunBuku*12))</f>
        <v/>
      </c>
      <c r="AB57" s="20" t="str">
        <f>IF($B57="","",--AND($Y57&gt;TahunBuku*12,$Y57&lt;=TahunBuku*12+12))</f>
        <v/>
      </c>
      <c r="AC57" s="20" t="str">
        <f>IF($B57="","",--AND($Z57&gt;TahunBuku*12,$Z57&lt;=TahunBuku*12+12,$Y57&lt;=$Z57))</f>
        <v/>
      </c>
      <c r="AD57" s="21" t="str">
        <f>IF($B57="","",IFERROR(IF($S57="Garis Lurus",$G57-($G57-$H57)*MIN($T57*12,MAX(0,TahunBuku*12-$Y57+1))/($T57*12),IF($S57="Saldo Menurun",IF(TahunBuku-1&lt;YEAR($F57),$G57,IF(TahunBuku-1&gt;=INT(($Y57+$T57*12-2)/12),$H57,MAX($H57,$G57*(1-2/$T57*(13-MONTH($F57))/12)*(1-2/$T57)^(TahunBuku-1-YEAR($F57))))),IF($S57="Unit Produksi",$G57-($G57-$H57)*MIN(1,N($L57)/$K57),$G57))),$G57))</f>
        <v/>
      </c>
      <c r="AE57" s="21" t="str">
        <f>IF($B57="","",IFERROR(IF($S57="Garis Lurus",$G57-($G57-$H57)*MIN($T57*12,MAX(0,TahunBuku*12+12-$Y57+1))/($T57*12),IF($S57="Saldo Menurun",IF(TahunBuku&lt;YEAR($F57),$G57,IF(TahunBuku&gt;=INT(($Y57+$T57*12-2)/12),$H57,MAX($H57,$G57*(1-2/$T57*(13-MONTH($F57))/12)*(1-2/$T57)^(TahunBuku-YEAR($F57))))),IF($S57="Unit Produksi",$G57-($G57-$H57)*MIN(1,(N($L57)+N($M57))/$K57),$G57))),$G57))</f>
        <v/>
      </c>
      <c r="AF57" s="20" t="str">
        <f>IF($B57="","",IF(OR($S57="Garis Lurus",$S57="Saldo Menurun",$S57="Unit Produksi"),MAX(0,IF($S57="Unit Produksi",TahunBuku*12+12,MIN(TahunBuku*12+12,$Y57+$T57*12-1))-MAX(TahunBuku*12+1,$Y57)+1),0))</f>
        <v/>
      </c>
      <c r="AG57" s="20" t="str">
        <f>IF($B57="","",IF(OR($S57="Garis Lurus",$S57="Saldo Menurun",$S57="Unit Produksi"),MAX(0,MIN($Z57,IF($S57="Unit Produksi",TahunBuku*12+12,MIN(TahunBuku*12+12,$Y57+$T57*12-1)))-MAX(TahunBuku*12+1,$Y57)+1),0))</f>
        <v/>
      </c>
      <c r="AH57" s="21" t="str">
        <f>IF($B57="","",IFERROR(IF($W57="Garis Lurus",$G57*(1-MIN($V57*12,MAX(0,TahunBuku*12-$Y57+1))/($V57*12)),IF($W57="Saldo Menurun",IF(TahunBuku-1&lt;YEAR($F57),$G57,IF(TahunBuku-1&gt;=INT(($Y57+$V57*12-2)/12),0,$G57*(1-2/$V57*(13-MONTH($F57))/12)*(1-2/$V57)^(TahunBuku-1-YEAR($F57)))),$G57)),$G57))</f>
        <v/>
      </c>
      <c r="AI57" s="21" t="str">
        <f>IF($B57="","",IFERROR(IF($W57="Garis Lurus",$G57*(1-MIN($V57*12,MAX(0,TahunBuku*12+12-$Y57+1))/($V57*12)),IF($W57="Saldo Menurun",IF(TahunBuku&lt;YEAR($F57),$G57,IF(TahunBuku&gt;=INT(($Y57+$V57*12-2)/12),0,$G57*(1-2/$V57*(13-MONTH($F57))/12)*(1-2/$V57)^(TahunBuku-YEAR($F57)))),$G57)),$G57))</f>
        <v/>
      </c>
      <c r="AJ57" s="20" t="str">
        <f>IF($B57="","",IF(OR($W57="Garis Lurus",$W57="Saldo Menurun"),MAX(0,MIN(TahunBuku*12+12,$Y57+$V57*12-1)-MAX(TahunBuku*12+1,$Y57)+1),0))</f>
        <v/>
      </c>
      <c r="AK57" s="20" t="str">
        <f>IF($B57="","",IF(OR($W57="Garis Lurus",$W57="Saldo Menurun"),MAX(0,MIN($Z57,TahunBuku*12+12,$Y57+$V57*12-1)-MAX(TahunBuku*12+1,$Y57)+1),0))</f>
        <v/>
      </c>
      <c r="AL57" s="22" t="str">
        <f>IF($B57="","",$G57*$AA57)</f>
        <v/>
      </c>
      <c r="AM57" s="22" t="str">
        <f>IF($B57="","",$G57*$AB57)</f>
        <v/>
      </c>
      <c r="AN57" s="22" t="str">
        <f>IF($B57="","",$G57*$AC57)</f>
        <v/>
      </c>
      <c r="AO57" s="22" t="str">
        <f>IF($B57="","",AL57+AM57-AN57)</f>
        <v/>
      </c>
      <c r="AP57" s="22" t="str">
        <f>IF($B57="","",($G57-$AD57)*$AA57)</f>
        <v/>
      </c>
      <c r="AQ57" s="22" t="str">
        <f>IF($B57="","",IF($AF57=0,0,($AD57-$AE57)*$AG57/$AF57)*MAX($AA57,$AB57))</f>
        <v/>
      </c>
      <c r="AR57" s="22" t="str">
        <f>IF($B57="","",(AP57+AQ57)*$AC57)</f>
        <v/>
      </c>
      <c r="AS57" s="22" t="str">
        <f>IF($B57="","",AP57+AQ57-AR57)</f>
        <v/>
      </c>
      <c r="AT57" s="22" t="str">
        <f>IF($B57="","",AO57-AS57)</f>
        <v/>
      </c>
      <c r="AU57" s="22" t="str">
        <f>IF($B57="","",IF($AC57=1,N($R57)-($G57-AR57),0))</f>
        <v/>
      </c>
      <c r="AV57" s="22" t="str">
        <f>IF($B57="","",($G57-$AH57)*$AA57)</f>
        <v/>
      </c>
      <c r="AW57" s="22" t="str">
        <f>IF($B57="","",IF($AJ57=0,0,($AH57-$AI57)*$AK57/$AJ57)*MAX($AA57,$AB57))</f>
        <v/>
      </c>
      <c r="AX57" s="22" t="str">
        <f>IF($B57="","",(AV57+AW57)*$AC57)</f>
        <v/>
      </c>
      <c r="AY57" s="22" t="str">
        <f>IF($B57="","",AV57+AW57-AX57)</f>
        <v/>
      </c>
      <c r="AZ57" s="22" t="str">
        <f>IF($B57="","",AO57-AY57)</f>
        <v/>
      </c>
      <c r="BA57" s="22" t="str">
        <f>IF($B57="","",IF($AC57=1,N($R57)-($G57-AX57),0))</f>
        <v/>
      </c>
      <c r="BB57" s="22" t="str">
        <f>IF($B57="","",ROUND(AQ57-AW57,0))</f>
        <v/>
      </c>
      <c r="BC57" s="22" t="str">
        <f>IF($B57="","",ROUND(BA57-AU57,0))</f>
        <v/>
      </c>
      <c r="BD57" s="22" t="str">
        <f>IF($B57="","",BB57+BC57)</f>
        <v/>
      </c>
      <c r="BE57" s="22" t="str">
        <f>IF($B57="","",ROUND(AV57-AP57,0))</f>
        <v/>
      </c>
      <c r="BF57" s="22" t="str">
        <f>IF($B57="","",ROUND(AT57-AZ57,0))</f>
        <v/>
      </c>
      <c r="BG57" s="22" t="str">
        <f>IF($B57="","",ROUND(BF57*TarifPPh,0))</f>
        <v/>
      </c>
      <c r="BH57" t="str">
        <f>IF($B57="","",IF($D57="","Kategori kosong",IF($F57="","Tgl perolehan kosong",IF(N($H57)&gt;$G57,"Residu &gt; harga perolehan",IF(AND(LEFT($U57,8)="Bangunan",$W57="Saldo Menurun"),"Bangunan wajib Garis Lurus (Ps.11 UU PPh)",IF(AND($S57="Unit Produksi",N($K57)=0),"Isi kapasitas unit",IF(AND(OR($S57="Garis Lurus",$S57="Saldo Menurun"),N($T57)&lt;=0),"Umur komersial kosong",IF(AND(OR($W57="Garis Lurus",$W57="Saldo Menurun"),N($V57)&lt;=0),"Masa manfaat fiskal kosong",IF(AND($Q57&lt;&gt;"",$Q57&lt;$F57),"Tgl pelepasan &lt; perolehan","OK")))))))))</f>
        <v/>
      </c>
    </row>
    <row r="58" spans="1:60" x14ac:dyDescent="0.25">
      <c r="A58" t="str">
        <f>IF($B58="","",ROW()-6)</f>
        <v/>
      </c>
      <c r="B58" s="9"/>
      <c r="C58" s="9"/>
      <c r="D58" s="9"/>
      <c r="E58" s="9"/>
      <c r="F58" s="17"/>
      <c r="G58" s="18"/>
      <c r="H58" s="18"/>
      <c r="I58" s="9"/>
      <c r="J58" s="9"/>
      <c r="K58" s="19"/>
      <c r="L58" s="19"/>
      <c r="M58" s="19"/>
      <c r="N58" s="9"/>
      <c r="O58" s="9"/>
      <c r="P58" s="9"/>
      <c r="Q58" s="17"/>
      <c r="R58" s="18"/>
      <c r="S58" t="str">
        <f>IF($B58="","",IF($I58&lt;&gt;"",$I58,IFERROR(INDEX(Kat_Metode,MATCH($D58,Kat_Nama,0)),"")))</f>
        <v/>
      </c>
      <c r="T58" t="str">
        <f>IF($B58="","",IF($J58&lt;&gt;"",$J58,IFERROR(INDEX(Kat_Umur,MATCH($D58,Kat_Nama,0)),0)))</f>
        <v/>
      </c>
      <c r="U58" t="str">
        <f>IF($B58="","",IF($N58&lt;&gt;"",$N58,IFERROR(INDEX(Kat_Kelompok,MATCH($D58,Kat_Nama,0)),"")))</f>
        <v/>
      </c>
      <c r="V58" t="str">
        <f>IF($B58="","",IF($U58="Masa Manfaat Sebenarnya",N($O58),IFERROR(INDEX(Kel_Masa,MATCH($U58,Kel_Nama,0)),0)))</f>
        <v/>
      </c>
      <c r="W58" t="str">
        <f>IF($B58="","",IF($P58&lt;&gt;"",$P58,IF(OR($U58="Tidak Disusutkan",$V58=0),"Tidak Disusutkan","Garis Lurus")))</f>
        <v/>
      </c>
      <c r="X58" t="str">
        <f>IF($B58="","",IF($Y58&gt;TahunBuku*12+12,"Belum Diperoleh",IF($Z58&lt;=TahunBuku*12,"Dilepas (thn lalu)",IF($AC58=1,"Dilepas thn ini",IF($AB58=1,"Perolehan baru","Aktif")))))</f>
        <v/>
      </c>
      <c r="Y58" s="20" t="str">
        <f>IF($B58="","",YEAR($F58)*12+MONTH($F58))</f>
        <v/>
      </c>
      <c r="Z58" s="20" t="str">
        <f>IF($B58="","",IF($Q58="",99999,YEAR($Q58)*12+MONTH($Q58)))</f>
        <v/>
      </c>
      <c r="AA58" s="20" t="str">
        <f>IF($B58="","",--AND($Y58&lt;=TahunBuku*12,$Z58&gt;TahunBuku*12))</f>
        <v/>
      </c>
      <c r="AB58" s="20" t="str">
        <f>IF($B58="","",--AND($Y58&gt;TahunBuku*12,$Y58&lt;=TahunBuku*12+12))</f>
        <v/>
      </c>
      <c r="AC58" s="20" t="str">
        <f>IF($B58="","",--AND($Z58&gt;TahunBuku*12,$Z58&lt;=TahunBuku*12+12,$Y58&lt;=$Z58))</f>
        <v/>
      </c>
      <c r="AD58" s="21" t="str">
        <f>IF($B58="","",IFERROR(IF($S58="Garis Lurus",$G58-($G58-$H58)*MIN($T58*12,MAX(0,TahunBuku*12-$Y58+1))/($T58*12),IF($S58="Saldo Menurun",IF(TahunBuku-1&lt;YEAR($F58),$G58,IF(TahunBuku-1&gt;=INT(($Y58+$T58*12-2)/12),$H58,MAX($H58,$G58*(1-2/$T58*(13-MONTH($F58))/12)*(1-2/$T58)^(TahunBuku-1-YEAR($F58))))),IF($S58="Unit Produksi",$G58-($G58-$H58)*MIN(1,N($L58)/$K58),$G58))),$G58))</f>
        <v/>
      </c>
      <c r="AE58" s="21" t="str">
        <f>IF($B58="","",IFERROR(IF($S58="Garis Lurus",$G58-($G58-$H58)*MIN($T58*12,MAX(0,TahunBuku*12+12-$Y58+1))/($T58*12),IF($S58="Saldo Menurun",IF(TahunBuku&lt;YEAR($F58),$G58,IF(TahunBuku&gt;=INT(($Y58+$T58*12-2)/12),$H58,MAX($H58,$G58*(1-2/$T58*(13-MONTH($F58))/12)*(1-2/$T58)^(TahunBuku-YEAR($F58))))),IF($S58="Unit Produksi",$G58-($G58-$H58)*MIN(1,(N($L58)+N($M58))/$K58),$G58))),$G58))</f>
        <v/>
      </c>
      <c r="AF58" s="20" t="str">
        <f>IF($B58="","",IF(OR($S58="Garis Lurus",$S58="Saldo Menurun",$S58="Unit Produksi"),MAX(0,IF($S58="Unit Produksi",TahunBuku*12+12,MIN(TahunBuku*12+12,$Y58+$T58*12-1))-MAX(TahunBuku*12+1,$Y58)+1),0))</f>
        <v/>
      </c>
      <c r="AG58" s="20" t="str">
        <f>IF($B58="","",IF(OR($S58="Garis Lurus",$S58="Saldo Menurun",$S58="Unit Produksi"),MAX(0,MIN($Z58,IF($S58="Unit Produksi",TahunBuku*12+12,MIN(TahunBuku*12+12,$Y58+$T58*12-1)))-MAX(TahunBuku*12+1,$Y58)+1),0))</f>
        <v/>
      </c>
      <c r="AH58" s="21" t="str">
        <f>IF($B58="","",IFERROR(IF($W58="Garis Lurus",$G58*(1-MIN($V58*12,MAX(0,TahunBuku*12-$Y58+1))/($V58*12)),IF($W58="Saldo Menurun",IF(TahunBuku-1&lt;YEAR($F58),$G58,IF(TahunBuku-1&gt;=INT(($Y58+$V58*12-2)/12),0,$G58*(1-2/$V58*(13-MONTH($F58))/12)*(1-2/$V58)^(TahunBuku-1-YEAR($F58)))),$G58)),$G58))</f>
        <v/>
      </c>
      <c r="AI58" s="21" t="str">
        <f>IF($B58="","",IFERROR(IF($W58="Garis Lurus",$G58*(1-MIN($V58*12,MAX(0,TahunBuku*12+12-$Y58+1))/($V58*12)),IF($W58="Saldo Menurun",IF(TahunBuku&lt;YEAR($F58),$G58,IF(TahunBuku&gt;=INT(($Y58+$V58*12-2)/12),0,$G58*(1-2/$V58*(13-MONTH($F58))/12)*(1-2/$V58)^(TahunBuku-YEAR($F58)))),$G58)),$G58))</f>
        <v/>
      </c>
      <c r="AJ58" s="20" t="str">
        <f>IF($B58="","",IF(OR($W58="Garis Lurus",$W58="Saldo Menurun"),MAX(0,MIN(TahunBuku*12+12,$Y58+$V58*12-1)-MAX(TahunBuku*12+1,$Y58)+1),0))</f>
        <v/>
      </c>
      <c r="AK58" s="20" t="str">
        <f>IF($B58="","",IF(OR($W58="Garis Lurus",$W58="Saldo Menurun"),MAX(0,MIN($Z58,TahunBuku*12+12,$Y58+$V58*12-1)-MAX(TahunBuku*12+1,$Y58)+1),0))</f>
        <v/>
      </c>
      <c r="AL58" s="22" t="str">
        <f>IF($B58="","",$G58*$AA58)</f>
        <v/>
      </c>
      <c r="AM58" s="22" t="str">
        <f>IF($B58="","",$G58*$AB58)</f>
        <v/>
      </c>
      <c r="AN58" s="22" t="str">
        <f>IF($B58="","",$G58*$AC58)</f>
        <v/>
      </c>
      <c r="AO58" s="22" t="str">
        <f>IF($B58="","",AL58+AM58-AN58)</f>
        <v/>
      </c>
      <c r="AP58" s="22" t="str">
        <f>IF($B58="","",($G58-$AD58)*$AA58)</f>
        <v/>
      </c>
      <c r="AQ58" s="22" t="str">
        <f>IF($B58="","",IF($AF58=0,0,($AD58-$AE58)*$AG58/$AF58)*MAX($AA58,$AB58))</f>
        <v/>
      </c>
      <c r="AR58" s="22" t="str">
        <f>IF($B58="","",(AP58+AQ58)*$AC58)</f>
        <v/>
      </c>
      <c r="AS58" s="22" t="str">
        <f>IF($B58="","",AP58+AQ58-AR58)</f>
        <v/>
      </c>
      <c r="AT58" s="22" t="str">
        <f>IF($B58="","",AO58-AS58)</f>
        <v/>
      </c>
      <c r="AU58" s="22" t="str">
        <f>IF($B58="","",IF($AC58=1,N($R58)-($G58-AR58),0))</f>
        <v/>
      </c>
      <c r="AV58" s="22" t="str">
        <f>IF($B58="","",($G58-$AH58)*$AA58)</f>
        <v/>
      </c>
      <c r="AW58" s="22" t="str">
        <f>IF($B58="","",IF($AJ58=0,0,($AH58-$AI58)*$AK58/$AJ58)*MAX($AA58,$AB58))</f>
        <v/>
      </c>
      <c r="AX58" s="22" t="str">
        <f>IF($B58="","",(AV58+AW58)*$AC58)</f>
        <v/>
      </c>
      <c r="AY58" s="22" t="str">
        <f>IF($B58="","",AV58+AW58-AX58)</f>
        <v/>
      </c>
      <c r="AZ58" s="22" t="str">
        <f>IF($B58="","",AO58-AY58)</f>
        <v/>
      </c>
      <c r="BA58" s="22" t="str">
        <f>IF($B58="","",IF($AC58=1,N($R58)-($G58-AX58),0))</f>
        <v/>
      </c>
      <c r="BB58" s="22" t="str">
        <f>IF($B58="","",ROUND(AQ58-AW58,0))</f>
        <v/>
      </c>
      <c r="BC58" s="22" t="str">
        <f>IF($B58="","",ROUND(BA58-AU58,0))</f>
        <v/>
      </c>
      <c r="BD58" s="22" t="str">
        <f>IF($B58="","",BB58+BC58)</f>
        <v/>
      </c>
      <c r="BE58" s="22" t="str">
        <f>IF($B58="","",ROUND(AV58-AP58,0))</f>
        <v/>
      </c>
      <c r="BF58" s="22" t="str">
        <f>IF($B58="","",ROUND(AT58-AZ58,0))</f>
        <v/>
      </c>
      <c r="BG58" s="22" t="str">
        <f>IF($B58="","",ROUND(BF58*TarifPPh,0))</f>
        <v/>
      </c>
      <c r="BH58" t="str">
        <f>IF($B58="","",IF($D58="","Kategori kosong",IF($F58="","Tgl perolehan kosong",IF(N($H58)&gt;$G58,"Residu &gt; harga perolehan",IF(AND(LEFT($U58,8)="Bangunan",$W58="Saldo Menurun"),"Bangunan wajib Garis Lurus (Ps.11 UU PPh)",IF(AND($S58="Unit Produksi",N($K58)=0),"Isi kapasitas unit",IF(AND(OR($S58="Garis Lurus",$S58="Saldo Menurun"),N($T58)&lt;=0),"Umur komersial kosong",IF(AND(OR($W58="Garis Lurus",$W58="Saldo Menurun"),N($V58)&lt;=0),"Masa manfaat fiskal kosong",IF(AND($Q58&lt;&gt;"",$Q58&lt;$F58),"Tgl pelepasan &lt; perolehan","OK")))))))))</f>
        <v/>
      </c>
    </row>
    <row r="59" spans="1:60" x14ac:dyDescent="0.25">
      <c r="A59" t="str">
        <f>IF($B59="","",ROW()-6)</f>
        <v/>
      </c>
      <c r="B59" s="9"/>
      <c r="C59" s="9"/>
      <c r="D59" s="9"/>
      <c r="E59" s="9"/>
      <c r="F59" s="17"/>
      <c r="G59" s="18"/>
      <c r="H59" s="18"/>
      <c r="I59" s="9"/>
      <c r="J59" s="9"/>
      <c r="K59" s="19"/>
      <c r="L59" s="19"/>
      <c r="M59" s="19"/>
      <c r="N59" s="9"/>
      <c r="O59" s="9"/>
      <c r="P59" s="9"/>
      <c r="Q59" s="17"/>
      <c r="R59" s="18"/>
      <c r="S59" t="str">
        <f>IF($B59="","",IF($I59&lt;&gt;"",$I59,IFERROR(INDEX(Kat_Metode,MATCH($D59,Kat_Nama,0)),"")))</f>
        <v/>
      </c>
      <c r="T59" t="str">
        <f>IF($B59="","",IF($J59&lt;&gt;"",$J59,IFERROR(INDEX(Kat_Umur,MATCH($D59,Kat_Nama,0)),0)))</f>
        <v/>
      </c>
      <c r="U59" t="str">
        <f>IF($B59="","",IF($N59&lt;&gt;"",$N59,IFERROR(INDEX(Kat_Kelompok,MATCH($D59,Kat_Nama,0)),"")))</f>
        <v/>
      </c>
      <c r="V59" t="str">
        <f>IF($B59="","",IF($U59="Masa Manfaat Sebenarnya",N($O59),IFERROR(INDEX(Kel_Masa,MATCH($U59,Kel_Nama,0)),0)))</f>
        <v/>
      </c>
      <c r="W59" t="str">
        <f>IF($B59="","",IF($P59&lt;&gt;"",$P59,IF(OR($U59="Tidak Disusutkan",$V59=0),"Tidak Disusutkan","Garis Lurus")))</f>
        <v/>
      </c>
      <c r="X59" t="str">
        <f>IF($B59="","",IF($Y59&gt;TahunBuku*12+12,"Belum Diperoleh",IF($Z59&lt;=TahunBuku*12,"Dilepas (thn lalu)",IF($AC59=1,"Dilepas thn ini",IF($AB59=1,"Perolehan baru","Aktif")))))</f>
        <v/>
      </c>
      <c r="Y59" s="20" t="str">
        <f>IF($B59="","",YEAR($F59)*12+MONTH($F59))</f>
        <v/>
      </c>
      <c r="Z59" s="20" t="str">
        <f>IF($B59="","",IF($Q59="",99999,YEAR($Q59)*12+MONTH($Q59)))</f>
        <v/>
      </c>
      <c r="AA59" s="20" t="str">
        <f>IF($B59="","",--AND($Y59&lt;=TahunBuku*12,$Z59&gt;TahunBuku*12))</f>
        <v/>
      </c>
      <c r="AB59" s="20" t="str">
        <f>IF($B59="","",--AND($Y59&gt;TahunBuku*12,$Y59&lt;=TahunBuku*12+12))</f>
        <v/>
      </c>
      <c r="AC59" s="20" t="str">
        <f>IF($B59="","",--AND($Z59&gt;TahunBuku*12,$Z59&lt;=TahunBuku*12+12,$Y59&lt;=$Z59))</f>
        <v/>
      </c>
      <c r="AD59" s="21" t="str">
        <f>IF($B59="","",IFERROR(IF($S59="Garis Lurus",$G59-($G59-$H59)*MIN($T59*12,MAX(0,TahunBuku*12-$Y59+1))/($T59*12),IF($S59="Saldo Menurun",IF(TahunBuku-1&lt;YEAR($F59),$G59,IF(TahunBuku-1&gt;=INT(($Y59+$T59*12-2)/12),$H59,MAX($H59,$G59*(1-2/$T59*(13-MONTH($F59))/12)*(1-2/$T59)^(TahunBuku-1-YEAR($F59))))),IF($S59="Unit Produksi",$G59-($G59-$H59)*MIN(1,N($L59)/$K59),$G59))),$G59))</f>
        <v/>
      </c>
      <c r="AE59" s="21" t="str">
        <f>IF($B59="","",IFERROR(IF($S59="Garis Lurus",$G59-($G59-$H59)*MIN($T59*12,MAX(0,TahunBuku*12+12-$Y59+1))/($T59*12),IF($S59="Saldo Menurun",IF(TahunBuku&lt;YEAR($F59),$G59,IF(TahunBuku&gt;=INT(($Y59+$T59*12-2)/12),$H59,MAX($H59,$G59*(1-2/$T59*(13-MONTH($F59))/12)*(1-2/$T59)^(TahunBuku-YEAR($F59))))),IF($S59="Unit Produksi",$G59-($G59-$H59)*MIN(1,(N($L59)+N($M59))/$K59),$G59))),$G59))</f>
        <v/>
      </c>
      <c r="AF59" s="20" t="str">
        <f>IF($B59="","",IF(OR($S59="Garis Lurus",$S59="Saldo Menurun",$S59="Unit Produksi"),MAX(0,IF($S59="Unit Produksi",TahunBuku*12+12,MIN(TahunBuku*12+12,$Y59+$T59*12-1))-MAX(TahunBuku*12+1,$Y59)+1),0))</f>
        <v/>
      </c>
      <c r="AG59" s="20" t="str">
        <f>IF($B59="","",IF(OR($S59="Garis Lurus",$S59="Saldo Menurun",$S59="Unit Produksi"),MAX(0,MIN($Z59,IF($S59="Unit Produksi",TahunBuku*12+12,MIN(TahunBuku*12+12,$Y59+$T59*12-1)))-MAX(TahunBuku*12+1,$Y59)+1),0))</f>
        <v/>
      </c>
      <c r="AH59" s="21" t="str">
        <f>IF($B59="","",IFERROR(IF($W59="Garis Lurus",$G59*(1-MIN($V59*12,MAX(0,TahunBuku*12-$Y59+1))/($V59*12)),IF($W59="Saldo Menurun",IF(TahunBuku-1&lt;YEAR($F59),$G59,IF(TahunBuku-1&gt;=INT(($Y59+$V59*12-2)/12),0,$G59*(1-2/$V59*(13-MONTH($F59))/12)*(1-2/$V59)^(TahunBuku-1-YEAR($F59)))),$G59)),$G59))</f>
        <v/>
      </c>
      <c r="AI59" s="21" t="str">
        <f>IF($B59="","",IFERROR(IF($W59="Garis Lurus",$G59*(1-MIN($V59*12,MAX(0,TahunBuku*12+12-$Y59+1))/($V59*12)),IF($W59="Saldo Menurun",IF(TahunBuku&lt;YEAR($F59),$G59,IF(TahunBuku&gt;=INT(($Y59+$V59*12-2)/12),0,$G59*(1-2/$V59*(13-MONTH($F59))/12)*(1-2/$V59)^(TahunBuku-YEAR($F59)))),$G59)),$G59))</f>
        <v/>
      </c>
      <c r="AJ59" s="20" t="str">
        <f>IF($B59="","",IF(OR($W59="Garis Lurus",$W59="Saldo Menurun"),MAX(0,MIN(TahunBuku*12+12,$Y59+$V59*12-1)-MAX(TahunBuku*12+1,$Y59)+1),0))</f>
        <v/>
      </c>
      <c r="AK59" s="20" t="str">
        <f>IF($B59="","",IF(OR($W59="Garis Lurus",$W59="Saldo Menurun"),MAX(0,MIN($Z59,TahunBuku*12+12,$Y59+$V59*12-1)-MAX(TahunBuku*12+1,$Y59)+1),0))</f>
        <v/>
      </c>
      <c r="AL59" s="22" t="str">
        <f>IF($B59="","",$G59*$AA59)</f>
        <v/>
      </c>
      <c r="AM59" s="22" t="str">
        <f>IF($B59="","",$G59*$AB59)</f>
        <v/>
      </c>
      <c r="AN59" s="22" t="str">
        <f>IF($B59="","",$G59*$AC59)</f>
        <v/>
      </c>
      <c r="AO59" s="22" t="str">
        <f>IF($B59="","",AL59+AM59-AN59)</f>
        <v/>
      </c>
      <c r="AP59" s="22" t="str">
        <f>IF($B59="","",($G59-$AD59)*$AA59)</f>
        <v/>
      </c>
      <c r="AQ59" s="22" t="str">
        <f>IF($B59="","",IF($AF59=0,0,($AD59-$AE59)*$AG59/$AF59)*MAX($AA59,$AB59))</f>
        <v/>
      </c>
      <c r="AR59" s="22" t="str">
        <f>IF($B59="","",(AP59+AQ59)*$AC59)</f>
        <v/>
      </c>
      <c r="AS59" s="22" t="str">
        <f>IF($B59="","",AP59+AQ59-AR59)</f>
        <v/>
      </c>
      <c r="AT59" s="22" t="str">
        <f>IF($B59="","",AO59-AS59)</f>
        <v/>
      </c>
      <c r="AU59" s="22" t="str">
        <f>IF($B59="","",IF($AC59=1,N($R59)-($G59-AR59),0))</f>
        <v/>
      </c>
      <c r="AV59" s="22" t="str">
        <f>IF($B59="","",($G59-$AH59)*$AA59)</f>
        <v/>
      </c>
      <c r="AW59" s="22" t="str">
        <f>IF($B59="","",IF($AJ59=0,0,($AH59-$AI59)*$AK59/$AJ59)*MAX($AA59,$AB59))</f>
        <v/>
      </c>
      <c r="AX59" s="22" t="str">
        <f>IF($B59="","",(AV59+AW59)*$AC59)</f>
        <v/>
      </c>
      <c r="AY59" s="22" t="str">
        <f>IF($B59="","",AV59+AW59-AX59)</f>
        <v/>
      </c>
      <c r="AZ59" s="22" t="str">
        <f>IF($B59="","",AO59-AY59)</f>
        <v/>
      </c>
      <c r="BA59" s="22" t="str">
        <f>IF($B59="","",IF($AC59=1,N($R59)-($G59-AX59),0))</f>
        <v/>
      </c>
      <c r="BB59" s="22" t="str">
        <f>IF($B59="","",ROUND(AQ59-AW59,0))</f>
        <v/>
      </c>
      <c r="BC59" s="22" t="str">
        <f>IF($B59="","",ROUND(BA59-AU59,0))</f>
        <v/>
      </c>
      <c r="BD59" s="22" t="str">
        <f>IF($B59="","",BB59+BC59)</f>
        <v/>
      </c>
      <c r="BE59" s="22" t="str">
        <f>IF($B59="","",ROUND(AV59-AP59,0))</f>
        <v/>
      </c>
      <c r="BF59" s="22" t="str">
        <f>IF($B59="","",ROUND(AT59-AZ59,0))</f>
        <v/>
      </c>
      <c r="BG59" s="22" t="str">
        <f>IF($B59="","",ROUND(BF59*TarifPPh,0))</f>
        <v/>
      </c>
      <c r="BH59" t="str">
        <f>IF($B59="","",IF($D59="","Kategori kosong",IF($F59="","Tgl perolehan kosong",IF(N($H59)&gt;$G59,"Residu &gt; harga perolehan",IF(AND(LEFT($U59,8)="Bangunan",$W59="Saldo Menurun"),"Bangunan wajib Garis Lurus (Ps.11 UU PPh)",IF(AND($S59="Unit Produksi",N($K59)=0),"Isi kapasitas unit",IF(AND(OR($S59="Garis Lurus",$S59="Saldo Menurun"),N($T59)&lt;=0),"Umur komersial kosong",IF(AND(OR($W59="Garis Lurus",$W59="Saldo Menurun"),N($V59)&lt;=0),"Masa manfaat fiskal kosong",IF(AND($Q59&lt;&gt;"",$Q59&lt;$F59),"Tgl pelepasan &lt; perolehan","OK")))))))))</f>
        <v/>
      </c>
    </row>
    <row r="60" spans="1:60" x14ac:dyDescent="0.25">
      <c r="A60" t="str">
        <f>IF($B60="","",ROW()-6)</f>
        <v/>
      </c>
      <c r="B60" s="9"/>
      <c r="C60" s="9"/>
      <c r="D60" s="9"/>
      <c r="E60" s="9"/>
      <c r="F60" s="17"/>
      <c r="G60" s="18"/>
      <c r="H60" s="18"/>
      <c r="I60" s="9"/>
      <c r="J60" s="9"/>
      <c r="K60" s="19"/>
      <c r="L60" s="19"/>
      <c r="M60" s="19"/>
      <c r="N60" s="9"/>
      <c r="O60" s="9"/>
      <c r="P60" s="9"/>
      <c r="Q60" s="17"/>
      <c r="R60" s="18"/>
      <c r="S60" t="str">
        <f>IF($B60="","",IF($I60&lt;&gt;"",$I60,IFERROR(INDEX(Kat_Metode,MATCH($D60,Kat_Nama,0)),"")))</f>
        <v/>
      </c>
      <c r="T60" t="str">
        <f>IF($B60="","",IF($J60&lt;&gt;"",$J60,IFERROR(INDEX(Kat_Umur,MATCH($D60,Kat_Nama,0)),0)))</f>
        <v/>
      </c>
      <c r="U60" t="str">
        <f>IF($B60="","",IF($N60&lt;&gt;"",$N60,IFERROR(INDEX(Kat_Kelompok,MATCH($D60,Kat_Nama,0)),"")))</f>
        <v/>
      </c>
      <c r="V60" t="str">
        <f>IF($B60="","",IF($U60="Masa Manfaat Sebenarnya",N($O60),IFERROR(INDEX(Kel_Masa,MATCH($U60,Kel_Nama,0)),0)))</f>
        <v/>
      </c>
      <c r="W60" t="str">
        <f>IF($B60="","",IF($P60&lt;&gt;"",$P60,IF(OR($U60="Tidak Disusutkan",$V60=0),"Tidak Disusutkan","Garis Lurus")))</f>
        <v/>
      </c>
      <c r="X60" t="str">
        <f>IF($B60="","",IF($Y60&gt;TahunBuku*12+12,"Belum Diperoleh",IF($Z60&lt;=TahunBuku*12,"Dilepas (thn lalu)",IF($AC60=1,"Dilepas thn ini",IF($AB60=1,"Perolehan baru","Aktif")))))</f>
        <v/>
      </c>
      <c r="Y60" s="20" t="str">
        <f>IF($B60="","",YEAR($F60)*12+MONTH($F60))</f>
        <v/>
      </c>
      <c r="Z60" s="20" t="str">
        <f>IF($B60="","",IF($Q60="",99999,YEAR($Q60)*12+MONTH($Q60)))</f>
        <v/>
      </c>
      <c r="AA60" s="20" t="str">
        <f>IF($B60="","",--AND($Y60&lt;=TahunBuku*12,$Z60&gt;TahunBuku*12))</f>
        <v/>
      </c>
      <c r="AB60" s="20" t="str">
        <f>IF($B60="","",--AND($Y60&gt;TahunBuku*12,$Y60&lt;=TahunBuku*12+12))</f>
        <v/>
      </c>
      <c r="AC60" s="20" t="str">
        <f>IF($B60="","",--AND($Z60&gt;TahunBuku*12,$Z60&lt;=TahunBuku*12+12,$Y60&lt;=$Z60))</f>
        <v/>
      </c>
      <c r="AD60" s="21" t="str">
        <f>IF($B60="","",IFERROR(IF($S60="Garis Lurus",$G60-($G60-$H60)*MIN($T60*12,MAX(0,TahunBuku*12-$Y60+1))/($T60*12),IF($S60="Saldo Menurun",IF(TahunBuku-1&lt;YEAR($F60),$G60,IF(TahunBuku-1&gt;=INT(($Y60+$T60*12-2)/12),$H60,MAX($H60,$G60*(1-2/$T60*(13-MONTH($F60))/12)*(1-2/$T60)^(TahunBuku-1-YEAR($F60))))),IF($S60="Unit Produksi",$G60-($G60-$H60)*MIN(1,N($L60)/$K60),$G60))),$G60))</f>
        <v/>
      </c>
      <c r="AE60" s="21" t="str">
        <f>IF($B60="","",IFERROR(IF($S60="Garis Lurus",$G60-($G60-$H60)*MIN($T60*12,MAX(0,TahunBuku*12+12-$Y60+1))/($T60*12),IF($S60="Saldo Menurun",IF(TahunBuku&lt;YEAR($F60),$G60,IF(TahunBuku&gt;=INT(($Y60+$T60*12-2)/12),$H60,MAX($H60,$G60*(1-2/$T60*(13-MONTH($F60))/12)*(1-2/$T60)^(TahunBuku-YEAR($F60))))),IF($S60="Unit Produksi",$G60-($G60-$H60)*MIN(1,(N($L60)+N($M60))/$K60),$G60))),$G60))</f>
        <v/>
      </c>
      <c r="AF60" s="20" t="str">
        <f>IF($B60="","",IF(OR($S60="Garis Lurus",$S60="Saldo Menurun",$S60="Unit Produksi"),MAX(0,IF($S60="Unit Produksi",TahunBuku*12+12,MIN(TahunBuku*12+12,$Y60+$T60*12-1))-MAX(TahunBuku*12+1,$Y60)+1),0))</f>
        <v/>
      </c>
      <c r="AG60" s="20" t="str">
        <f>IF($B60="","",IF(OR($S60="Garis Lurus",$S60="Saldo Menurun",$S60="Unit Produksi"),MAX(0,MIN($Z60,IF($S60="Unit Produksi",TahunBuku*12+12,MIN(TahunBuku*12+12,$Y60+$T60*12-1)))-MAX(TahunBuku*12+1,$Y60)+1),0))</f>
        <v/>
      </c>
      <c r="AH60" s="21" t="str">
        <f>IF($B60="","",IFERROR(IF($W60="Garis Lurus",$G60*(1-MIN($V60*12,MAX(0,TahunBuku*12-$Y60+1))/($V60*12)),IF($W60="Saldo Menurun",IF(TahunBuku-1&lt;YEAR($F60),$G60,IF(TahunBuku-1&gt;=INT(($Y60+$V60*12-2)/12),0,$G60*(1-2/$V60*(13-MONTH($F60))/12)*(1-2/$V60)^(TahunBuku-1-YEAR($F60)))),$G60)),$G60))</f>
        <v/>
      </c>
      <c r="AI60" s="21" t="str">
        <f>IF($B60="","",IFERROR(IF($W60="Garis Lurus",$G60*(1-MIN($V60*12,MAX(0,TahunBuku*12+12-$Y60+1))/($V60*12)),IF($W60="Saldo Menurun",IF(TahunBuku&lt;YEAR($F60),$G60,IF(TahunBuku&gt;=INT(($Y60+$V60*12-2)/12),0,$G60*(1-2/$V60*(13-MONTH($F60))/12)*(1-2/$V60)^(TahunBuku-YEAR($F60)))),$G60)),$G60))</f>
        <v/>
      </c>
      <c r="AJ60" s="20" t="str">
        <f>IF($B60="","",IF(OR($W60="Garis Lurus",$W60="Saldo Menurun"),MAX(0,MIN(TahunBuku*12+12,$Y60+$V60*12-1)-MAX(TahunBuku*12+1,$Y60)+1),0))</f>
        <v/>
      </c>
      <c r="AK60" s="20" t="str">
        <f>IF($B60="","",IF(OR($W60="Garis Lurus",$W60="Saldo Menurun"),MAX(0,MIN($Z60,TahunBuku*12+12,$Y60+$V60*12-1)-MAX(TahunBuku*12+1,$Y60)+1),0))</f>
        <v/>
      </c>
      <c r="AL60" s="22" t="str">
        <f>IF($B60="","",$G60*$AA60)</f>
        <v/>
      </c>
      <c r="AM60" s="22" t="str">
        <f>IF($B60="","",$G60*$AB60)</f>
        <v/>
      </c>
      <c r="AN60" s="22" t="str">
        <f>IF($B60="","",$G60*$AC60)</f>
        <v/>
      </c>
      <c r="AO60" s="22" t="str">
        <f>IF($B60="","",AL60+AM60-AN60)</f>
        <v/>
      </c>
      <c r="AP60" s="22" t="str">
        <f>IF($B60="","",($G60-$AD60)*$AA60)</f>
        <v/>
      </c>
      <c r="AQ60" s="22" t="str">
        <f>IF($B60="","",IF($AF60=0,0,($AD60-$AE60)*$AG60/$AF60)*MAX($AA60,$AB60))</f>
        <v/>
      </c>
      <c r="AR60" s="22" t="str">
        <f>IF($B60="","",(AP60+AQ60)*$AC60)</f>
        <v/>
      </c>
      <c r="AS60" s="22" t="str">
        <f>IF($B60="","",AP60+AQ60-AR60)</f>
        <v/>
      </c>
      <c r="AT60" s="22" t="str">
        <f>IF($B60="","",AO60-AS60)</f>
        <v/>
      </c>
      <c r="AU60" s="22" t="str">
        <f>IF($B60="","",IF($AC60=1,N($R60)-($G60-AR60),0))</f>
        <v/>
      </c>
      <c r="AV60" s="22" t="str">
        <f>IF($B60="","",($G60-$AH60)*$AA60)</f>
        <v/>
      </c>
      <c r="AW60" s="22" t="str">
        <f>IF($B60="","",IF($AJ60=0,0,($AH60-$AI60)*$AK60/$AJ60)*MAX($AA60,$AB60))</f>
        <v/>
      </c>
      <c r="AX60" s="22" t="str">
        <f>IF($B60="","",(AV60+AW60)*$AC60)</f>
        <v/>
      </c>
      <c r="AY60" s="22" t="str">
        <f>IF($B60="","",AV60+AW60-AX60)</f>
        <v/>
      </c>
      <c r="AZ60" s="22" t="str">
        <f>IF($B60="","",AO60-AY60)</f>
        <v/>
      </c>
      <c r="BA60" s="22" t="str">
        <f>IF($B60="","",IF($AC60=1,N($R60)-($G60-AX60),0))</f>
        <v/>
      </c>
      <c r="BB60" s="22" t="str">
        <f>IF($B60="","",ROUND(AQ60-AW60,0))</f>
        <v/>
      </c>
      <c r="BC60" s="22" t="str">
        <f>IF($B60="","",ROUND(BA60-AU60,0))</f>
        <v/>
      </c>
      <c r="BD60" s="22" t="str">
        <f>IF($B60="","",BB60+BC60)</f>
        <v/>
      </c>
      <c r="BE60" s="22" t="str">
        <f>IF($B60="","",ROUND(AV60-AP60,0))</f>
        <v/>
      </c>
      <c r="BF60" s="22" t="str">
        <f>IF($B60="","",ROUND(AT60-AZ60,0))</f>
        <v/>
      </c>
      <c r="BG60" s="22" t="str">
        <f>IF($B60="","",ROUND(BF60*TarifPPh,0))</f>
        <v/>
      </c>
      <c r="BH60" t="str">
        <f>IF($B60="","",IF($D60="","Kategori kosong",IF($F60="","Tgl perolehan kosong",IF(N($H60)&gt;$G60,"Residu &gt; harga perolehan",IF(AND(LEFT($U60,8)="Bangunan",$W60="Saldo Menurun"),"Bangunan wajib Garis Lurus (Ps.11 UU PPh)",IF(AND($S60="Unit Produksi",N($K60)=0),"Isi kapasitas unit",IF(AND(OR($S60="Garis Lurus",$S60="Saldo Menurun"),N($T60)&lt;=0),"Umur komersial kosong",IF(AND(OR($W60="Garis Lurus",$W60="Saldo Menurun"),N($V60)&lt;=0),"Masa manfaat fiskal kosong",IF(AND($Q60&lt;&gt;"",$Q60&lt;$F60),"Tgl pelepasan &lt; perolehan","OK")))))))))</f>
        <v/>
      </c>
    </row>
    <row r="61" spans="1:60" x14ac:dyDescent="0.25">
      <c r="A61" t="str">
        <f>IF($B61="","",ROW()-6)</f>
        <v/>
      </c>
      <c r="B61" s="9"/>
      <c r="C61" s="9"/>
      <c r="D61" s="9"/>
      <c r="E61" s="9"/>
      <c r="F61" s="17"/>
      <c r="G61" s="18"/>
      <c r="H61" s="18"/>
      <c r="I61" s="9"/>
      <c r="J61" s="9"/>
      <c r="K61" s="19"/>
      <c r="L61" s="19"/>
      <c r="M61" s="19"/>
      <c r="N61" s="9"/>
      <c r="O61" s="9"/>
      <c r="P61" s="9"/>
      <c r="Q61" s="17"/>
      <c r="R61" s="18"/>
      <c r="S61" t="str">
        <f>IF($B61="","",IF($I61&lt;&gt;"",$I61,IFERROR(INDEX(Kat_Metode,MATCH($D61,Kat_Nama,0)),"")))</f>
        <v/>
      </c>
      <c r="T61" t="str">
        <f>IF($B61="","",IF($J61&lt;&gt;"",$J61,IFERROR(INDEX(Kat_Umur,MATCH($D61,Kat_Nama,0)),0)))</f>
        <v/>
      </c>
      <c r="U61" t="str">
        <f>IF($B61="","",IF($N61&lt;&gt;"",$N61,IFERROR(INDEX(Kat_Kelompok,MATCH($D61,Kat_Nama,0)),"")))</f>
        <v/>
      </c>
      <c r="V61" t="str">
        <f>IF($B61="","",IF($U61="Masa Manfaat Sebenarnya",N($O61),IFERROR(INDEX(Kel_Masa,MATCH($U61,Kel_Nama,0)),0)))</f>
        <v/>
      </c>
      <c r="W61" t="str">
        <f>IF($B61="","",IF($P61&lt;&gt;"",$P61,IF(OR($U61="Tidak Disusutkan",$V61=0),"Tidak Disusutkan","Garis Lurus")))</f>
        <v/>
      </c>
      <c r="X61" t="str">
        <f>IF($B61="","",IF($Y61&gt;TahunBuku*12+12,"Belum Diperoleh",IF($Z61&lt;=TahunBuku*12,"Dilepas (thn lalu)",IF($AC61=1,"Dilepas thn ini",IF($AB61=1,"Perolehan baru","Aktif")))))</f>
        <v/>
      </c>
      <c r="Y61" s="20" t="str">
        <f>IF($B61="","",YEAR($F61)*12+MONTH($F61))</f>
        <v/>
      </c>
      <c r="Z61" s="20" t="str">
        <f>IF($B61="","",IF($Q61="",99999,YEAR($Q61)*12+MONTH($Q61)))</f>
        <v/>
      </c>
      <c r="AA61" s="20" t="str">
        <f>IF($B61="","",--AND($Y61&lt;=TahunBuku*12,$Z61&gt;TahunBuku*12))</f>
        <v/>
      </c>
      <c r="AB61" s="20" t="str">
        <f>IF($B61="","",--AND($Y61&gt;TahunBuku*12,$Y61&lt;=TahunBuku*12+12))</f>
        <v/>
      </c>
      <c r="AC61" s="20" t="str">
        <f>IF($B61="","",--AND($Z61&gt;TahunBuku*12,$Z61&lt;=TahunBuku*12+12,$Y61&lt;=$Z61))</f>
        <v/>
      </c>
      <c r="AD61" s="21" t="str">
        <f>IF($B61="","",IFERROR(IF($S61="Garis Lurus",$G61-($G61-$H61)*MIN($T61*12,MAX(0,TahunBuku*12-$Y61+1))/($T61*12),IF($S61="Saldo Menurun",IF(TahunBuku-1&lt;YEAR($F61),$G61,IF(TahunBuku-1&gt;=INT(($Y61+$T61*12-2)/12),$H61,MAX($H61,$G61*(1-2/$T61*(13-MONTH($F61))/12)*(1-2/$T61)^(TahunBuku-1-YEAR($F61))))),IF($S61="Unit Produksi",$G61-($G61-$H61)*MIN(1,N($L61)/$K61),$G61))),$G61))</f>
        <v/>
      </c>
      <c r="AE61" s="21" t="str">
        <f>IF($B61="","",IFERROR(IF($S61="Garis Lurus",$G61-($G61-$H61)*MIN($T61*12,MAX(0,TahunBuku*12+12-$Y61+1))/($T61*12),IF($S61="Saldo Menurun",IF(TahunBuku&lt;YEAR($F61),$G61,IF(TahunBuku&gt;=INT(($Y61+$T61*12-2)/12),$H61,MAX($H61,$G61*(1-2/$T61*(13-MONTH($F61))/12)*(1-2/$T61)^(TahunBuku-YEAR($F61))))),IF($S61="Unit Produksi",$G61-($G61-$H61)*MIN(1,(N($L61)+N($M61))/$K61),$G61))),$G61))</f>
        <v/>
      </c>
      <c r="AF61" s="20" t="str">
        <f>IF($B61="","",IF(OR($S61="Garis Lurus",$S61="Saldo Menurun",$S61="Unit Produksi"),MAX(0,IF($S61="Unit Produksi",TahunBuku*12+12,MIN(TahunBuku*12+12,$Y61+$T61*12-1))-MAX(TahunBuku*12+1,$Y61)+1),0))</f>
        <v/>
      </c>
      <c r="AG61" s="20" t="str">
        <f>IF($B61="","",IF(OR($S61="Garis Lurus",$S61="Saldo Menurun",$S61="Unit Produksi"),MAX(0,MIN($Z61,IF($S61="Unit Produksi",TahunBuku*12+12,MIN(TahunBuku*12+12,$Y61+$T61*12-1)))-MAX(TahunBuku*12+1,$Y61)+1),0))</f>
        <v/>
      </c>
      <c r="AH61" s="21" t="str">
        <f>IF($B61="","",IFERROR(IF($W61="Garis Lurus",$G61*(1-MIN($V61*12,MAX(0,TahunBuku*12-$Y61+1))/($V61*12)),IF($W61="Saldo Menurun",IF(TahunBuku-1&lt;YEAR($F61),$G61,IF(TahunBuku-1&gt;=INT(($Y61+$V61*12-2)/12),0,$G61*(1-2/$V61*(13-MONTH($F61))/12)*(1-2/$V61)^(TahunBuku-1-YEAR($F61)))),$G61)),$G61))</f>
        <v/>
      </c>
      <c r="AI61" s="21" t="str">
        <f>IF($B61="","",IFERROR(IF($W61="Garis Lurus",$G61*(1-MIN($V61*12,MAX(0,TahunBuku*12+12-$Y61+1))/($V61*12)),IF($W61="Saldo Menurun",IF(TahunBuku&lt;YEAR($F61),$G61,IF(TahunBuku&gt;=INT(($Y61+$V61*12-2)/12),0,$G61*(1-2/$V61*(13-MONTH($F61))/12)*(1-2/$V61)^(TahunBuku-YEAR($F61)))),$G61)),$G61))</f>
        <v/>
      </c>
      <c r="AJ61" s="20" t="str">
        <f>IF($B61="","",IF(OR($W61="Garis Lurus",$W61="Saldo Menurun"),MAX(0,MIN(TahunBuku*12+12,$Y61+$V61*12-1)-MAX(TahunBuku*12+1,$Y61)+1),0))</f>
        <v/>
      </c>
      <c r="AK61" s="20" t="str">
        <f>IF($B61="","",IF(OR($W61="Garis Lurus",$W61="Saldo Menurun"),MAX(0,MIN($Z61,TahunBuku*12+12,$Y61+$V61*12-1)-MAX(TahunBuku*12+1,$Y61)+1),0))</f>
        <v/>
      </c>
      <c r="AL61" s="22" t="str">
        <f>IF($B61="","",$G61*$AA61)</f>
        <v/>
      </c>
      <c r="AM61" s="22" t="str">
        <f>IF($B61="","",$G61*$AB61)</f>
        <v/>
      </c>
      <c r="AN61" s="22" t="str">
        <f>IF($B61="","",$G61*$AC61)</f>
        <v/>
      </c>
      <c r="AO61" s="22" t="str">
        <f>IF($B61="","",AL61+AM61-AN61)</f>
        <v/>
      </c>
      <c r="AP61" s="22" t="str">
        <f>IF($B61="","",($G61-$AD61)*$AA61)</f>
        <v/>
      </c>
      <c r="AQ61" s="22" t="str">
        <f>IF($B61="","",IF($AF61=0,0,($AD61-$AE61)*$AG61/$AF61)*MAX($AA61,$AB61))</f>
        <v/>
      </c>
      <c r="AR61" s="22" t="str">
        <f>IF($B61="","",(AP61+AQ61)*$AC61)</f>
        <v/>
      </c>
      <c r="AS61" s="22" t="str">
        <f>IF($B61="","",AP61+AQ61-AR61)</f>
        <v/>
      </c>
      <c r="AT61" s="22" t="str">
        <f>IF($B61="","",AO61-AS61)</f>
        <v/>
      </c>
      <c r="AU61" s="22" t="str">
        <f>IF($B61="","",IF($AC61=1,N($R61)-($G61-AR61),0))</f>
        <v/>
      </c>
      <c r="AV61" s="22" t="str">
        <f>IF($B61="","",($G61-$AH61)*$AA61)</f>
        <v/>
      </c>
      <c r="AW61" s="22" t="str">
        <f>IF($B61="","",IF($AJ61=0,0,($AH61-$AI61)*$AK61/$AJ61)*MAX($AA61,$AB61))</f>
        <v/>
      </c>
      <c r="AX61" s="22" t="str">
        <f>IF($B61="","",(AV61+AW61)*$AC61)</f>
        <v/>
      </c>
      <c r="AY61" s="22" t="str">
        <f>IF($B61="","",AV61+AW61-AX61)</f>
        <v/>
      </c>
      <c r="AZ61" s="22" t="str">
        <f>IF($B61="","",AO61-AY61)</f>
        <v/>
      </c>
      <c r="BA61" s="22" t="str">
        <f>IF($B61="","",IF($AC61=1,N($R61)-($G61-AX61),0))</f>
        <v/>
      </c>
      <c r="BB61" s="22" t="str">
        <f>IF($B61="","",ROUND(AQ61-AW61,0))</f>
        <v/>
      </c>
      <c r="BC61" s="22" t="str">
        <f>IF($B61="","",ROUND(BA61-AU61,0))</f>
        <v/>
      </c>
      <c r="BD61" s="22" t="str">
        <f>IF($B61="","",BB61+BC61)</f>
        <v/>
      </c>
      <c r="BE61" s="22" t="str">
        <f>IF($B61="","",ROUND(AV61-AP61,0))</f>
        <v/>
      </c>
      <c r="BF61" s="22" t="str">
        <f>IF($B61="","",ROUND(AT61-AZ61,0))</f>
        <v/>
      </c>
      <c r="BG61" s="22" t="str">
        <f>IF($B61="","",ROUND(BF61*TarifPPh,0))</f>
        <v/>
      </c>
      <c r="BH61" t="str">
        <f>IF($B61="","",IF($D61="","Kategori kosong",IF($F61="","Tgl perolehan kosong",IF(N($H61)&gt;$G61,"Residu &gt; harga perolehan",IF(AND(LEFT($U61,8)="Bangunan",$W61="Saldo Menurun"),"Bangunan wajib Garis Lurus (Ps.11 UU PPh)",IF(AND($S61="Unit Produksi",N($K61)=0),"Isi kapasitas unit",IF(AND(OR($S61="Garis Lurus",$S61="Saldo Menurun"),N($T61)&lt;=0),"Umur komersial kosong",IF(AND(OR($W61="Garis Lurus",$W61="Saldo Menurun"),N($V61)&lt;=0),"Masa manfaat fiskal kosong",IF(AND($Q61&lt;&gt;"",$Q61&lt;$F61),"Tgl pelepasan &lt; perolehan","OK")))))))))</f>
        <v/>
      </c>
    </row>
    <row r="62" spans="1:60" x14ac:dyDescent="0.25">
      <c r="A62" t="str">
        <f>IF($B62="","",ROW()-6)</f>
        <v/>
      </c>
      <c r="B62" s="9"/>
      <c r="C62" s="9"/>
      <c r="D62" s="9"/>
      <c r="E62" s="9"/>
      <c r="F62" s="17"/>
      <c r="G62" s="18"/>
      <c r="H62" s="18"/>
      <c r="I62" s="9"/>
      <c r="J62" s="9"/>
      <c r="K62" s="19"/>
      <c r="L62" s="19"/>
      <c r="M62" s="19"/>
      <c r="N62" s="9"/>
      <c r="O62" s="9"/>
      <c r="P62" s="9"/>
      <c r="Q62" s="17"/>
      <c r="R62" s="18"/>
      <c r="S62" t="str">
        <f>IF($B62="","",IF($I62&lt;&gt;"",$I62,IFERROR(INDEX(Kat_Metode,MATCH($D62,Kat_Nama,0)),"")))</f>
        <v/>
      </c>
      <c r="T62" t="str">
        <f>IF($B62="","",IF($J62&lt;&gt;"",$J62,IFERROR(INDEX(Kat_Umur,MATCH($D62,Kat_Nama,0)),0)))</f>
        <v/>
      </c>
      <c r="U62" t="str">
        <f>IF($B62="","",IF($N62&lt;&gt;"",$N62,IFERROR(INDEX(Kat_Kelompok,MATCH($D62,Kat_Nama,0)),"")))</f>
        <v/>
      </c>
      <c r="V62" t="str">
        <f>IF($B62="","",IF($U62="Masa Manfaat Sebenarnya",N($O62),IFERROR(INDEX(Kel_Masa,MATCH($U62,Kel_Nama,0)),0)))</f>
        <v/>
      </c>
      <c r="W62" t="str">
        <f>IF($B62="","",IF($P62&lt;&gt;"",$P62,IF(OR($U62="Tidak Disusutkan",$V62=0),"Tidak Disusutkan","Garis Lurus")))</f>
        <v/>
      </c>
      <c r="X62" t="str">
        <f>IF($B62="","",IF($Y62&gt;TahunBuku*12+12,"Belum Diperoleh",IF($Z62&lt;=TahunBuku*12,"Dilepas (thn lalu)",IF($AC62=1,"Dilepas thn ini",IF($AB62=1,"Perolehan baru","Aktif")))))</f>
        <v/>
      </c>
      <c r="Y62" s="20" t="str">
        <f>IF($B62="","",YEAR($F62)*12+MONTH($F62))</f>
        <v/>
      </c>
      <c r="Z62" s="20" t="str">
        <f>IF($B62="","",IF($Q62="",99999,YEAR($Q62)*12+MONTH($Q62)))</f>
        <v/>
      </c>
      <c r="AA62" s="20" t="str">
        <f>IF($B62="","",--AND($Y62&lt;=TahunBuku*12,$Z62&gt;TahunBuku*12))</f>
        <v/>
      </c>
      <c r="AB62" s="20" t="str">
        <f>IF($B62="","",--AND($Y62&gt;TahunBuku*12,$Y62&lt;=TahunBuku*12+12))</f>
        <v/>
      </c>
      <c r="AC62" s="20" t="str">
        <f>IF($B62="","",--AND($Z62&gt;TahunBuku*12,$Z62&lt;=TahunBuku*12+12,$Y62&lt;=$Z62))</f>
        <v/>
      </c>
      <c r="AD62" s="21" t="str">
        <f>IF($B62="","",IFERROR(IF($S62="Garis Lurus",$G62-($G62-$H62)*MIN($T62*12,MAX(0,TahunBuku*12-$Y62+1))/($T62*12),IF($S62="Saldo Menurun",IF(TahunBuku-1&lt;YEAR($F62),$G62,IF(TahunBuku-1&gt;=INT(($Y62+$T62*12-2)/12),$H62,MAX($H62,$G62*(1-2/$T62*(13-MONTH($F62))/12)*(1-2/$T62)^(TahunBuku-1-YEAR($F62))))),IF($S62="Unit Produksi",$G62-($G62-$H62)*MIN(1,N($L62)/$K62),$G62))),$G62))</f>
        <v/>
      </c>
      <c r="AE62" s="21" t="str">
        <f>IF($B62="","",IFERROR(IF($S62="Garis Lurus",$G62-($G62-$H62)*MIN($T62*12,MAX(0,TahunBuku*12+12-$Y62+1))/($T62*12),IF($S62="Saldo Menurun",IF(TahunBuku&lt;YEAR($F62),$G62,IF(TahunBuku&gt;=INT(($Y62+$T62*12-2)/12),$H62,MAX($H62,$G62*(1-2/$T62*(13-MONTH($F62))/12)*(1-2/$T62)^(TahunBuku-YEAR($F62))))),IF($S62="Unit Produksi",$G62-($G62-$H62)*MIN(1,(N($L62)+N($M62))/$K62),$G62))),$G62))</f>
        <v/>
      </c>
      <c r="AF62" s="20" t="str">
        <f>IF($B62="","",IF(OR($S62="Garis Lurus",$S62="Saldo Menurun",$S62="Unit Produksi"),MAX(0,IF($S62="Unit Produksi",TahunBuku*12+12,MIN(TahunBuku*12+12,$Y62+$T62*12-1))-MAX(TahunBuku*12+1,$Y62)+1),0))</f>
        <v/>
      </c>
      <c r="AG62" s="20" t="str">
        <f>IF($B62="","",IF(OR($S62="Garis Lurus",$S62="Saldo Menurun",$S62="Unit Produksi"),MAX(0,MIN($Z62,IF($S62="Unit Produksi",TahunBuku*12+12,MIN(TahunBuku*12+12,$Y62+$T62*12-1)))-MAX(TahunBuku*12+1,$Y62)+1),0))</f>
        <v/>
      </c>
      <c r="AH62" s="21" t="str">
        <f>IF($B62="","",IFERROR(IF($W62="Garis Lurus",$G62*(1-MIN($V62*12,MAX(0,TahunBuku*12-$Y62+1))/($V62*12)),IF($W62="Saldo Menurun",IF(TahunBuku-1&lt;YEAR($F62),$G62,IF(TahunBuku-1&gt;=INT(($Y62+$V62*12-2)/12),0,$G62*(1-2/$V62*(13-MONTH($F62))/12)*(1-2/$V62)^(TahunBuku-1-YEAR($F62)))),$G62)),$G62))</f>
        <v/>
      </c>
      <c r="AI62" s="21" t="str">
        <f>IF($B62="","",IFERROR(IF($W62="Garis Lurus",$G62*(1-MIN($V62*12,MAX(0,TahunBuku*12+12-$Y62+1))/($V62*12)),IF($W62="Saldo Menurun",IF(TahunBuku&lt;YEAR($F62),$G62,IF(TahunBuku&gt;=INT(($Y62+$V62*12-2)/12),0,$G62*(1-2/$V62*(13-MONTH($F62))/12)*(1-2/$V62)^(TahunBuku-YEAR($F62)))),$G62)),$G62))</f>
        <v/>
      </c>
      <c r="AJ62" s="20" t="str">
        <f>IF($B62="","",IF(OR($W62="Garis Lurus",$W62="Saldo Menurun"),MAX(0,MIN(TahunBuku*12+12,$Y62+$V62*12-1)-MAX(TahunBuku*12+1,$Y62)+1),0))</f>
        <v/>
      </c>
      <c r="AK62" s="20" t="str">
        <f>IF($B62="","",IF(OR($W62="Garis Lurus",$W62="Saldo Menurun"),MAX(0,MIN($Z62,TahunBuku*12+12,$Y62+$V62*12-1)-MAX(TahunBuku*12+1,$Y62)+1),0))</f>
        <v/>
      </c>
      <c r="AL62" s="22" t="str">
        <f>IF($B62="","",$G62*$AA62)</f>
        <v/>
      </c>
      <c r="AM62" s="22" t="str">
        <f>IF($B62="","",$G62*$AB62)</f>
        <v/>
      </c>
      <c r="AN62" s="22" t="str">
        <f>IF($B62="","",$G62*$AC62)</f>
        <v/>
      </c>
      <c r="AO62" s="22" t="str">
        <f>IF($B62="","",AL62+AM62-AN62)</f>
        <v/>
      </c>
      <c r="AP62" s="22" t="str">
        <f>IF($B62="","",($G62-$AD62)*$AA62)</f>
        <v/>
      </c>
      <c r="AQ62" s="22" t="str">
        <f>IF($B62="","",IF($AF62=0,0,($AD62-$AE62)*$AG62/$AF62)*MAX($AA62,$AB62))</f>
        <v/>
      </c>
      <c r="AR62" s="22" t="str">
        <f>IF($B62="","",(AP62+AQ62)*$AC62)</f>
        <v/>
      </c>
      <c r="AS62" s="22" t="str">
        <f>IF($B62="","",AP62+AQ62-AR62)</f>
        <v/>
      </c>
      <c r="AT62" s="22" t="str">
        <f>IF($B62="","",AO62-AS62)</f>
        <v/>
      </c>
      <c r="AU62" s="22" t="str">
        <f>IF($B62="","",IF($AC62=1,N($R62)-($G62-AR62),0))</f>
        <v/>
      </c>
      <c r="AV62" s="22" t="str">
        <f>IF($B62="","",($G62-$AH62)*$AA62)</f>
        <v/>
      </c>
      <c r="AW62" s="22" t="str">
        <f>IF($B62="","",IF($AJ62=0,0,($AH62-$AI62)*$AK62/$AJ62)*MAX($AA62,$AB62))</f>
        <v/>
      </c>
      <c r="AX62" s="22" t="str">
        <f>IF($B62="","",(AV62+AW62)*$AC62)</f>
        <v/>
      </c>
      <c r="AY62" s="22" t="str">
        <f>IF($B62="","",AV62+AW62-AX62)</f>
        <v/>
      </c>
      <c r="AZ62" s="22" t="str">
        <f>IF($B62="","",AO62-AY62)</f>
        <v/>
      </c>
      <c r="BA62" s="22" t="str">
        <f>IF($B62="","",IF($AC62=1,N($R62)-($G62-AX62),0))</f>
        <v/>
      </c>
      <c r="BB62" s="22" t="str">
        <f>IF($B62="","",ROUND(AQ62-AW62,0))</f>
        <v/>
      </c>
      <c r="BC62" s="22" t="str">
        <f>IF($B62="","",ROUND(BA62-AU62,0))</f>
        <v/>
      </c>
      <c r="BD62" s="22" t="str">
        <f>IF($B62="","",BB62+BC62)</f>
        <v/>
      </c>
      <c r="BE62" s="22" t="str">
        <f>IF($B62="","",ROUND(AV62-AP62,0))</f>
        <v/>
      </c>
      <c r="BF62" s="22" t="str">
        <f>IF($B62="","",ROUND(AT62-AZ62,0))</f>
        <v/>
      </c>
      <c r="BG62" s="22" t="str">
        <f>IF($B62="","",ROUND(BF62*TarifPPh,0))</f>
        <v/>
      </c>
      <c r="BH62" t="str">
        <f>IF($B62="","",IF($D62="","Kategori kosong",IF($F62="","Tgl perolehan kosong",IF(N($H62)&gt;$G62,"Residu &gt; harga perolehan",IF(AND(LEFT($U62,8)="Bangunan",$W62="Saldo Menurun"),"Bangunan wajib Garis Lurus (Ps.11 UU PPh)",IF(AND($S62="Unit Produksi",N($K62)=0),"Isi kapasitas unit",IF(AND(OR($S62="Garis Lurus",$S62="Saldo Menurun"),N($T62)&lt;=0),"Umur komersial kosong",IF(AND(OR($W62="Garis Lurus",$W62="Saldo Menurun"),N($V62)&lt;=0),"Masa manfaat fiskal kosong",IF(AND($Q62&lt;&gt;"",$Q62&lt;$F62),"Tgl pelepasan &lt; perolehan","OK")))))))))</f>
        <v/>
      </c>
    </row>
    <row r="63" spans="1:60" x14ac:dyDescent="0.25">
      <c r="A63" t="str">
        <f>IF($B63="","",ROW()-6)</f>
        <v/>
      </c>
      <c r="B63" s="9"/>
      <c r="C63" s="9"/>
      <c r="D63" s="9"/>
      <c r="E63" s="9"/>
      <c r="F63" s="17"/>
      <c r="G63" s="18"/>
      <c r="H63" s="18"/>
      <c r="I63" s="9"/>
      <c r="J63" s="9"/>
      <c r="K63" s="19"/>
      <c r="L63" s="19"/>
      <c r="M63" s="19"/>
      <c r="N63" s="9"/>
      <c r="O63" s="9"/>
      <c r="P63" s="9"/>
      <c r="Q63" s="17"/>
      <c r="R63" s="18"/>
      <c r="S63" t="str">
        <f>IF($B63="","",IF($I63&lt;&gt;"",$I63,IFERROR(INDEX(Kat_Metode,MATCH($D63,Kat_Nama,0)),"")))</f>
        <v/>
      </c>
      <c r="T63" t="str">
        <f>IF($B63="","",IF($J63&lt;&gt;"",$J63,IFERROR(INDEX(Kat_Umur,MATCH($D63,Kat_Nama,0)),0)))</f>
        <v/>
      </c>
      <c r="U63" t="str">
        <f>IF($B63="","",IF($N63&lt;&gt;"",$N63,IFERROR(INDEX(Kat_Kelompok,MATCH($D63,Kat_Nama,0)),"")))</f>
        <v/>
      </c>
      <c r="V63" t="str">
        <f>IF($B63="","",IF($U63="Masa Manfaat Sebenarnya",N($O63),IFERROR(INDEX(Kel_Masa,MATCH($U63,Kel_Nama,0)),0)))</f>
        <v/>
      </c>
      <c r="W63" t="str">
        <f>IF($B63="","",IF($P63&lt;&gt;"",$P63,IF(OR($U63="Tidak Disusutkan",$V63=0),"Tidak Disusutkan","Garis Lurus")))</f>
        <v/>
      </c>
      <c r="X63" t="str">
        <f>IF($B63="","",IF($Y63&gt;TahunBuku*12+12,"Belum Diperoleh",IF($Z63&lt;=TahunBuku*12,"Dilepas (thn lalu)",IF($AC63=1,"Dilepas thn ini",IF($AB63=1,"Perolehan baru","Aktif")))))</f>
        <v/>
      </c>
      <c r="Y63" s="20" t="str">
        <f>IF($B63="","",YEAR($F63)*12+MONTH($F63))</f>
        <v/>
      </c>
      <c r="Z63" s="20" t="str">
        <f>IF($B63="","",IF($Q63="",99999,YEAR($Q63)*12+MONTH($Q63)))</f>
        <v/>
      </c>
      <c r="AA63" s="20" t="str">
        <f>IF($B63="","",--AND($Y63&lt;=TahunBuku*12,$Z63&gt;TahunBuku*12))</f>
        <v/>
      </c>
      <c r="AB63" s="20" t="str">
        <f>IF($B63="","",--AND($Y63&gt;TahunBuku*12,$Y63&lt;=TahunBuku*12+12))</f>
        <v/>
      </c>
      <c r="AC63" s="20" t="str">
        <f>IF($B63="","",--AND($Z63&gt;TahunBuku*12,$Z63&lt;=TahunBuku*12+12,$Y63&lt;=$Z63))</f>
        <v/>
      </c>
      <c r="AD63" s="21" t="str">
        <f>IF($B63="","",IFERROR(IF($S63="Garis Lurus",$G63-($G63-$H63)*MIN($T63*12,MAX(0,TahunBuku*12-$Y63+1))/($T63*12),IF($S63="Saldo Menurun",IF(TahunBuku-1&lt;YEAR($F63),$G63,IF(TahunBuku-1&gt;=INT(($Y63+$T63*12-2)/12),$H63,MAX($H63,$G63*(1-2/$T63*(13-MONTH($F63))/12)*(1-2/$T63)^(TahunBuku-1-YEAR($F63))))),IF($S63="Unit Produksi",$G63-($G63-$H63)*MIN(1,N($L63)/$K63),$G63))),$G63))</f>
        <v/>
      </c>
      <c r="AE63" s="21" t="str">
        <f>IF($B63="","",IFERROR(IF($S63="Garis Lurus",$G63-($G63-$H63)*MIN($T63*12,MAX(0,TahunBuku*12+12-$Y63+1))/($T63*12),IF($S63="Saldo Menurun",IF(TahunBuku&lt;YEAR($F63),$G63,IF(TahunBuku&gt;=INT(($Y63+$T63*12-2)/12),$H63,MAX($H63,$G63*(1-2/$T63*(13-MONTH($F63))/12)*(1-2/$T63)^(TahunBuku-YEAR($F63))))),IF($S63="Unit Produksi",$G63-($G63-$H63)*MIN(1,(N($L63)+N($M63))/$K63),$G63))),$G63))</f>
        <v/>
      </c>
      <c r="AF63" s="20" t="str">
        <f>IF($B63="","",IF(OR($S63="Garis Lurus",$S63="Saldo Menurun",$S63="Unit Produksi"),MAX(0,IF($S63="Unit Produksi",TahunBuku*12+12,MIN(TahunBuku*12+12,$Y63+$T63*12-1))-MAX(TahunBuku*12+1,$Y63)+1),0))</f>
        <v/>
      </c>
      <c r="AG63" s="20" t="str">
        <f>IF($B63="","",IF(OR($S63="Garis Lurus",$S63="Saldo Menurun",$S63="Unit Produksi"),MAX(0,MIN($Z63,IF($S63="Unit Produksi",TahunBuku*12+12,MIN(TahunBuku*12+12,$Y63+$T63*12-1)))-MAX(TahunBuku*12+1,$Y63)+1),0))</f>
        <v/>
      </c>
      <c r="AH63" s="21" t="str">
        <f>IF($B63="","",IFERROR(IF($W63="Garis Lurus",$G63*(1-MIN($V63*12,MAX(0,TahunBuku*12-$Y63+1))/($V63*12)),IF($W63="Saldo Menurun",IF(TahunBuku-1&lt;YEAR($F63),$G63,IF(TahunBuku-1&gt;=INT(($Y63+$V63*12-2)/12),0,$G63*(1-2/$V63*(13-MONTH($F63))/12)*(1-2/$V63)^(TahunBuku-1-YEAR($F63)))),$G63)),$G63))</f>
        <v/>
      </c>
      <c r="AI63" s="21" t="str">
        <f>IF($B63="","",IFERROR(IF($W63="Garis Lurus",$G63*(1-MIN($V63*12,MAX(0,TahunBuku*12+12-$Y63+1))/($V63*12)),IF($W63="Saldo Menurun",IF(TahunBuku&lt;YEAR($F63),$G63,IF(TahunBuku&gt;=INT(($Y63+$V63*12-2)/12),0,$G63*(1-2/$V63*(13-MONTH($F63))/12)*(1-2/$V63)^(TahunBuku-YEAR($F63)))),$G63)),$G63))</f>
        <v/>
      </c>
      <c r="AJ63" s="20" t="str">
        <f>IF($B63="","",IF(OR($W63="Garis Lurus",$W63="Saldo Menurun"),MAX(0,MIN(TahunBuku*12+12,$Y63+$V63*12-1)-MAX(TahunBuku*12+1,$Y63)+1),0))</f>
        <v/>
      </c>
      <c r="AK63" s="20" t="str">
        <f>IF($B63="","",IF(OR($W63="Garis Lurus",$W63="Saldo Menurun"),MAX(0,MIN($Z63,TahunBuku*12+12,$Y63+$V63*12-1)-MAX(TahunBuku*12+1,$Y63)+1),0))</f>
        <v/>
      </c>
      <c r="AL63" s="22" t="str">
        <f>IF($B63="","",$G63*$AA63)</f>
        <v/>
      </c>
      <c r="AM63" s="22" t="str">
        <f>IF($B63="","",$G63*$AB63)</f>
        <v/>
      </c>
      <c r="AN63" s="22" t="str">
        <f>IF($B63="","",$G63*$AC63)</f>
        <v/>
      </c>
      <c r="AO63" s="22" t="str">
        <f>IF($B63="","",AL63+AM63-AN63)</f>
        <v/>
      </c>
      <c r="AP63" s="22" t="str">
        <f>IF($B63="","",($G63-$AD63)*$AA63)</f>
        <v/>
      </c>
      <c r="AQ63" s="22" t="str">
        <f>IF($B63="","",IF($AF63=0,0,($AD63-$AE63)*$AG63/$AF63)*MAX($AA63,$AB63))</f>
        <v/>
      </c>
      <c r="AR63" s="22" t="str">
        <f>IF($B63="","",(AP63+AQ63)*$AC63)</f>
        <v/>
      </c>
      <c r="AS63" s="22" t="str">
        <f>IF($B63="","",AP63+AQ63-AR63)</f>
        <v/>
      </c>
      <c r="AT63" s="22" t="str">
        <f>IF($B63="","",AO63-AS63)</f>
        <v/>
      </c>
      <c r="AU63" s="22" t="str">
        <f>IF($B63="","",IF($AC63=1,N($R63)-($G63-AR63),0))</f>
        <v/>
      </c>
      <c r="AV63" s="22" t="str">
        <f>IF($B63="","",($G63-$AH63)*$AA63)</f>
        <v/>
      </c>
      <c r="AW63" s="22" t="str">
        <f>IF($B63="","",IF($AJ63=0,0,($AH63-$AI63)*$AK63/$AJ63)*MAX($AA63,$AB63))</f>
        <v/>
      </c>
      <c r="AX63" s="22" t="str">
        <f>IF($B63="","",(AV63+AW63)*$AC63)</f>
        <v/>
      </c>
      <c r="AY63" s="22" t="str">
        <f>IF($B63="","",AV63+AW63-AX63)</f>
        <v/>
      </c>
      <c r="AZ63" s="22" t="str">
        <f>IF($B63="","",AO63-AY63)</f>
        <v/>
      </c>
      <c r="BA63" s="22" t="str">
        <f>IF($B63="","",IF($AC63=1,N($R63)-($G63-AX63),0))</f>
        <v/>
      </c>
      <c r="BB63" s="22" t="str">
        <f>IF($B63="","",ROUND(AQ63-AW63,0))</f>
        <v/>
      </c>
      <c r="BC63" s="22" t="str">
        <f>IF($B63="","",ROUND(BA63-AU63,0))</f>
        <v/>
      </c>
      <c r="BD63" s="22" t="str">
        <f>IF($B63="","",BB63+BC63)</f>
        <v/>
      </c>
      <c r="BE63" s="22" t="str">
        <f>IF($B63="","",ROUND(AV63-AP63,0))</f>
        <v/>
      </c>
      <c r="BF63" s="22" t="str">
        <f>IF($B63="","",ROUND(AT63-AZ63,0))</f>
        <v/>
      </c>
      <c r="BG63" s="22" t="str">
        <f>IF($B63="","",ROUND(BF63*TarifPPh,0))</f>
        <v/>
      </c>
      <c r="BH63" t="str">
        <f>IF($B63="","",IF($D63="","Kategori kosong",IF($F63="","Tgl perolehan kosong",IF(N($H63)&gt;$G63,"Residu &gt; harga perolehan",IF(AND(LEFT($U63,8)="Bangunan",$W63="Saldo Menurun"),"Bangunan wajib Garis Lurus (Ps.11 UU PPh)",IF(AND($S63="Unit Produksi",N($K63)=0),"Isi kapasitas unit",IF(AND(OR($S63="Garis Lurus",$S63="Saldo Menurun"),N($T63)&lt;=0),"Umur komersial kosong",IF(AND(OR($W63="Garis Lurus",$W63="Saldo Menurun"),N($V63)&lt;=0),"Masa manfaat fiskal kosong",IF(AND($Q63&lt;&gt;"",$Q63&lt;$F63),"Tgl pelepasan &lt; perolehan","OK")))))))))</f>
        <v/>
      </c>
    </row>
    <row r="64" spans="1:60" x14ac:dyDescent="0.25">
      <c r="A64" t="str">
        <f>IF($B64="","",ROW()-6)</f>
        <v/>
      </c>
      <c r="B64" s="9"/>
      <c r="C64" s="9"/>
      <c r="D64" s="9"/>
      <c r="E64" s="9"/>
      <c r="F64" s="17"/>
      <c r="G64" s="18"/>
      <c r="H64" s="18"/>
      <c r="I64" s="9"/>
      <c r="J64" s="9"/>
      <c r="K64" s="19"/>
      <c r="L64" s="19"/>
      <c r="M64" s="19"/>
      <c r="N64" s="9"/>
      <c r="O64" s="9"/>
      <c r="P64" s="9"/>
      <c r="Q64" s="17"/>
      <c r="R64" s="18"/>
      <c r="S64" t="str">
        <f>IF($B64="","",IF($I64&lt;&gt;"",$I64,IFERROR(INDEX(Kat_Metode,MATCH($D64,Kat_Nama,0)),"")))</f>
        <v/>
      </c>
      <c r="T64" t="str">
        <f>IF($B64="","",IF($J64&lt;&gt;"",$J64,IFERROR(INDEX(Kat_Umur,MATCH($D64,Kat_Nama,0)),0)))</f>
        <v/>
      </c>
      <c r="U64" t="str">
        <f>IF($B64="","",IF($N64&lt;&gt;"",$N64,IFERROR(INDEX(Kat_Kelompok,MATCH($D64,Kat_Nama,0)),"")))</f>
        <v/>
      </c>
      <c r="V64" t="str">
        <f>IF($B64="","",IF($U64="Masa Manfaat Sebenarnya",N($O64),IFERROR(INDEX(Kel_Masa,MATCH($U64,Kel_Nama,0)),0)))</f>
        <v/>
      </c>
      <c r="W64" t="str">
        <f>IF($B64="","",IF($P64&lt;&gt;"",$P64,IF(OR($U64="Tidak Disusutkan",$V64=0),"Tidak Disusutkan","Garis Lurus")))</f>
        <v/>
      </c>
      <c r="X64" t="str">
        <f>IF($B64="","",IF($Y64&gt;TahunBuku*12+12,"Belum Diperoleh",IF($Z64&lt;=TahunBuku*12,"Dilepas (thn lalu)",IF($AC64=1,"Dilepas thn ini",IF($AB64=1,"Perolehan baru","Aktif")))))</f>
        <v/>
      </c>
      <c r="Y64" s="20" t="str">
        <f>IF($B64="","",YEAR($F64)*12+MONTH($F64))</f>
        <v/>
      </c>
      <c r="Z64" s="20" t="str">
        <f>IF($B64="","",IF($Q64="",99999,YEAR($Q64)*12+MONTH($Q64)))</f>
        <v/>
      </c>
      <c r="AA64" s="20" t="str">
        <f>IF($B64="","",--AND($Y64&lt;=TahunBuku*12,$Z64&gt;TahunBuku*12))</f>
        <v/>
      </c>
      <c r="AB64" s="20" t="str">
        <f>IF($B64="","",--AND($Y64&gt;TahunBuku*12,$Y64&lt;=TahunBuku*12+12))</f>
        <v/>
      </c>
      <c r="AC64" s="20" t="str">
        <f>IF($B64="","",--AND($Z64&gt;TahunBuku*12,$Z64&lt;=TahunBuku*12+12,$Y64&lt;=$Z64))</f>
        <v/>
      </c>
      <c r="AD64" s="21" t="str">
        <f>IF($B64="","",IFERROR(IF($S64="Garis Lurus",$G64-($G64-$H64)*MIN($T64*12,MAX(0,TahunBuku*12-$Y64+1))/($T64*12),IF($S64="Saldo Menurun",IF(TahunBuku-1&lt;YEAR($F64),$G64,IF(TahunBuku-1&gt;=INT(($Y64+$T64*12-2)/12),$H64,MAX($H64,$G64*(1-2/$T64*(13-MONTH($F64))/12)*(1-2/$T64)^(TahunBuku-1-YEAR($F64))))),IF($S64="Unit Produksi",$G64-($G64-$H64)*MIN(1,N($L64)/$K64),$G64))),$G64))</f>
        <v/>
      </c>
      <c r="AE64" s="21" t="str">
        <f>IF($B64="","",IFERROR(IF($S64="Garis Lurus",$G64-($G64-$H64)*MIN($T64*12,MAX(0,TahunBuku*12+12-$Y64+1))/($T64*12),IF($S64="Saldo Menurun",IF(TahunBuku&lt;YEAR($F64),$G64,IF(TahunBuku&gt;=INT(($Y64+$T64*12-2)/12),$H64,MAX($H64,$G64*(1-2/$T64*(13-MONTH($F64))/12)*(1-2/$T64)^(TahunBuku-YEAR($F64))))),IF($S64="Unit Produksi",$G64-($G64-$H64)*MIN(1,(N($L64)+N($M64))/$K64),$G64))),$G64))</f>
        <v/>
      </c>
      <c r="AF64" s="20" t="str">
        <f>IF($B64="","",IF(OR($S64="Garis Lurus",$S64="Saldo Menurun",$S64="Unit Produksi"),MAX(0,IF($S64="Unit Produksi",TahunBuku*12+12,MIN(TahunBuku*12+12,$Y64+$T64*12-1))-MAX(TahunBuku*12+1,$Y64)+1),0))</f>
        <v/>
      </c>
      <c r="AG64" s="20" t="str">
        <f>IF($B64="","",IF(OR($S64="Garis Lurus",$S64="Saldo Menurun",$S64="Unit Produksi"),MAX(0,MIN($Z64,IF($S64="Unit Produksi",TahunBuku*12+12,MIN(TahunBuku*12+12,$Y64+$T64*12-1)))-MAX(TahunBuku*12+1,$Y64)+1),0))</f>
        <v/>
      </c>
      <c r="AH64" s="21" t="str">
        <f>IF($B64="","",IFERROR(IF($W64="Garis Lurus",$G64*(1-MIN($V64*12,MAX(0,TahunBuku*12-$Y64+1))/($V64*12)),IF($W64="Saldo Menurun",IF(TahunBuku-1&lt;YEAR($F64),$G64,IF(TahunBuku-1&gt;=INT(($Y64+$V64*12-2)/12),0,$G64*(1-2/$V64*(13-MONTH($F64))/12)*(1-2/$V64)^(TahunBuku-1-YEAR($F64)))),$G64)),$G64))</f>
        <v/>
      </c>
      <c r="AI64" s="21" t="str">
        <f>IF($B64="","",IFERROR(IF($W64="Garis Lurus",$G64*(1-MIN($V64*12,MAX(0,TahunBuku*12+12-$Y64+1))/($V64*12)),IF($W64="Saldo Menurun",IF(TahunBuku&lt;YEAR($F64),$G64,IF(TahunBuku&gt;=INT(($Y64+$V64*12-2)/12),0,$G64*(1-2/$V64*(13-MONTH($F64))/12)*(1-2/$V64)^(TahunBuku-YEAR($F64)))),$G64)),$G64))</f>
        <v/>
      </c>
      <c r="AJ64" s="20" t="str">
        <f>IF($B64="","",IF(OR($W64="Garis Lurus",$W64="Saldo Menurun"),MAX(0,MIN(TahunBuku*12+12,$Y64+$V64*12-1)-MAX(TahunBuku*12+1,$Y64)+1),0))</f>
        <v/>
      </c>
      <c r="AK64" s="20" t="str">
        <f>IF($B64="","",IF(OR($W64="Garis Lurus",$W64="Saldo Menurun"),MAX(0,MIN($Z64,TahunBuku*12+12,$Y64+$V64*12-1)-MAX(TahunBuku*12+1,$Y64)+1),0))</f>
        <v/>
      </c>
      <c r="AL64" s="22" t="str">
        <f>IF($B64="","",$G64*$AA64)</f>
        <v/>
      </c>
      <c r="AM64" s="22" t="str">
        <f>IF($B64="","",$G64*$AB64)</f>
        <v/>
      </c>
      <c r="AN64" s="22" t="str">
        <f>IF($B64="","",$G64*$AC64)</f>
        <v/>
      </c>
      <c r="AO64" s="22" t="str">
        <f>IF($B64="","",AL64+AM64-AN64)</f>
        <v/>
      </c>
      <c r="AP64" s="22" t="str">
        <f>IF($B64="","",($G64-$AD64)*$AA64)</f>
        <v/>
      </c>
      <c r="AQ64" s="22" t="str">
        <f>IF($B64="","",IF($AF64=0,0,($AD64-$AE64)*$AG64/$AF64)*MAX($AA64,$AB64))</f>
        <v/>
      </c>
      <c r="AR64" s="22" t="str">
        <f>IF($B64="","",(AP64+AQ64)*$AC64)</f>
        <v/>
      </c>
      <c r="AS64" s="22" t="str">
        <f>IF($B64="","",AP64+AQ64-AR64)</f>
        <v/>
      </c>
      <c r="AT64" s="22" t="str">
        <f>IF($B64="","",AO64-AS64)</f>
        <v/>
      </c>
      <c r="AU64" s="22" t="str">
        <f>IF($B64="","",IF($AC64=1,N($R64)-($G64-AR64),0))</f>
        <v/>
      </c>
      <c r="AV64" s="22" t="str">
        <f>IF($B64="","",($G64-$AH64)*$AA64)</f>
        <v/>
      </c>
      <c r="AW64" s="22" t="str">
        <f>IF($B64="","",IF($AJ64=0,0,($AH64-$AI64)*$AK64/$AJ64)*MAX($AA64,$AB64))</f>
        <v/>
      </c>
      <c r="AX64" s="22" t="str">
        <f>IF($B64="","",(AV64+AW64)*$AC64)</f>
        <v/>
      </c>
      <c r="AY64" s="22" t="str">
        <f>IF($B64="","",AV64+AW64-AX64)</f>
        <v/>
      </c>
      <c r="AZ64" s="22" t="str">
        <f>IF($B64="","",AO64-AY64)</f>
        <v/>
      </c>
      <c r="BA64" s="22" t="str">
        <f>IF($B64="","",IF($AC64=1,N($R64)-($G64-AX64),0))</f>
        <v/>
      </c>
      <c r="BB64" s="22" t="str">
        <f>IF($B64="","",ROUND(AQ64-AW64,0))</f>
        <v/>
      </c>
      <c r="BC64" s="22" t="str">
        <f>IF($B64="","",ROUND(BA64-AU64,0))</f>
        <v/>
      </c>
      <c r="BD64" s="22" t="str">
        <f>IF($B64="","",BB64+BC64)</f>
        <v/>
      </c>
      <c r="BE64" s="22" t="str">
        <f>IF($B64="","",ROUND(AV64-AP64,0))</f>
        <v/>
      </c>
      <c r="BF64" s="22" t="str">
        <f>IF($B64="","",ROUND(AT64-AZ64,0))</f>
        <v/>
      </c>
      <c r="BG64" s="22" t="str">
        <f>IF($B64="","",ROUND(BF64*TarifPPh,0))</f>
        <v/>
      </c>
      <c r="BH64" t="str">
        <f>IF($B64="","",IF($D64="","Kategori kosong",IF($F64="","Tgl perolehan kosong",IF(N($H64)&gt;$G64,"Residu &gt; harga perolehan",IF(AND(LEFT($U64,8)="Bangunan",$W64="Saldo Menurun"),"Bangunan wajib Garis Lurus (Ps.11 UU PPh)",IF(AND($S64="Unit Produksi",N($K64)=0),"Isi kapasitas unit",IF(AND(OR($S64="Garis Lurus",$S64="Saldo Menurun"),N($T64)&lt;=0),"Umur komersial kosong",IF(AND(OR($W64="Garis Lurus",$W64="Saldo Menurun"),N($V64)&lt;=0),"Masa manfaat fiskal kosong",IF(AND($Q64&lt;&gt;"",$Q64&lt;$F64),"Tgl pelepasan &lt; perolehan","OK")))))))))</f>
        <v/>
      </c>
    </row>
    <row r="65" spans="1:60" x14ac:dyDescent="0.25">
      <c r="A65" t="str">
        <f>IF($B65="","",ROW()-6)</f>
        <v/>
      </c>
      <c r="B65" s="9"/>
      <c r="C65" s="9"/>
      <c r="D65" s="9"/>
      <c r="E65" s="9"/>
      <c r="F65" s="17"/>
      <c r="G65" s="18"/>
      <c r="H65" s="18"/>
      <c r="I65" s="9"/>
      <c r="J65" s="9"/>
      <c r="K65" s="19"/>
      <c r="L65" s="19"/>
      <c r="M65" s="19"/>
      <c r="N65" s="9"/>
      <c r="O65" s="9"/>
      <c r="P65" s="9"/>
      <c r="Q65" s="17"/>
      <c r="R65" s="18"/>
      <c r="S65" t="str">
        <f>IF($B65="","",IF($I65&lt;&gt;"",$I65,IFERROR(INDEX(Kat_Metode,MATCH($D65,Kat_Nama,0)),"")))</f>
        <v/>
      </c>
      <c r="T65" t="str">
        <f>IF($B65="","",IF($J65&lt;&gt;"",$J65,IFERROR(INDEX(Kat_Umur,MATCH($D65,Kat_Nama,0)),0)))</f>
        <v/>
      </c>
      <c r="U65" t="str">
        <f>IF($B65="","",IF($N65&lt;&gt;"",$N65,IFERROR(INDEX(Kat_Kelompok,MATCH($D65,Kat_Nama,0)),"")))</f>
        <v/>
      </c>
      <c r="V65" t="str">
        <f>IF($B65="","",IF($U65="Masa Manfaat Sebenarnya",N($O65),IFERROR(INDEX(Kel_Masa,MATCH($U65,Kel_Nama,0)),0)))</f>
        <v/>
      </c>
      <c r="W65" t="str">
        <f>IF($B65="","",IF($P65&lt;&gt;"",$P65,IF(OR($U65="Tidak Disusutkan",$V65=0),"Tidak Disusutkan","Garis Lurus")))</f>
        <v/>
      </c>
      <c r="X65" t="str">
        <f>IF($B65="","",IF($Y65&gt;TahunBuku*12+12,"Belum Diperoleh",IF($Z65&lt;=TahunBuku*12,"Dilepas (thn lalu)",IF($AC65=1,"Dilepas thn ini",IF($AB65=1,"Perolehan baru","Aktif")))))</f>
        <v/>
      </c>
      <c r="Y65" s="20" t="str">
        <f>IF($B65="","",YEAR($F65)*12+MONTH($F65))</f>
        <v/>
      </c>
      <c r="Z65" s="20" t="str">
        <f>IF($B65="","",IF($Q65="",99999,YEAR($Q65)*12+MONTH($Q65)))</f>
        <v/>
      </c>
      <c r="AA65" s="20" t="str">
        <f>IF($B65="","",--AND($Y65&lt;=TahunBuku*12,$Z65&gt;TahunBuku*12))</f>
        <v/>
      </c>
      <c r="AB65" s="20" t="str">
        <f>IF($B65="","",--AND($Y65&gt;TahunBuku*12,$Y65&lt;=TahunBuku*12+12))</f>
        <v/>
      </c>
      <c r="AC65" s="20" t="str">
        <f>IF($B65="","",--AND($Z65&gt;TahunBuku*12,$Z65&lt;=TahunBuku*12+12,$Y65&lt;=$Z65))</f>
        <v/>
      </c>
      <c r="AD65" s="21" t="str">
        <f>IF($B65="","",IFERROR(IF($S65="Garis Lurus",$G65-($G65-$H65)*MIN($T65*12,MAX(0,TahunBuku*12-$Y65+1))/($T65*12),IF($S65="Saldo Menurun",IF(TahunBuku-1&lt;YEAR($F65),$G65,IF(TahunBuku-1&gt;=INT(($Y65+$T65*12-2)/12),$H65,MAX($H65,$G65*(1-2/$T65*(13-MONTH($F65))/12)*(1-2/$T65)^(TahunBuku-1-YEAR($F65))))),IF($S65="Unit Produksi",$G65-($G65-$H65)*MIN(1,N($L65)/$K65),$G65))),$G65))</f>
        <v/>
      </c>
      <c r="AE65" s="21" t="str">
        <f>IF($B65="","",IFERROR(IF($S65="Garis Lurus",$G65-($G65-$H65)*MIN($T65*12,MAX(0,TahunBuku*12+12-$Y65+1))/($T65*12),IF($S65="Saldo Menurun",IF(TahunBuku&lt;YEAR($F65),$G65,IF(TahunBuku&gt;=INT(($Y65+$T65*12-2)/12),$H65,MAX($H65,$G65*(1-2/$T65*(13-MONTH($F65))/12)*(1-2/$T65)^(TahunBuku-YEAR($F65))))),IF($S65="Unit Produksi",$G65-($G65-$H65)*MIN(1,(N($L65)+N($M65))/$K65),$G65))),$G65))</f>
        <v/>
      </c>
      <c r="AF65" s="20" t="str">
        <f>IF($B65="","",IF(OR($S65="Garis Lurus",$S65="Saldo Menurun",$S65="Unit Produksi"),MAX(0,IF($S65="Unit Produksi",TahunBuku*12+12,MIN(TahunBuku*12+12,$Y65+$T65*12-1))-MAX(TahunBuku*12+1,$Y65)+1),0))</f>
        <v/>
      </c>
      <c r="AG65" s="20" t="str">
        <f>IF($B65="","",IF(OR($S65="Garis Lurus",$S65="Saldo Menurun",$S65="Unit Produksi"),MAX(0,MIN($Z65,IF($S65="Unit Produksi",TahunBuku*12+12,MIN(TahunBuku*12+12,$Y65+$T65*12-1)))-MAX(TahunBuku*12+1,$Y65)+1),0))</f>
        <v/>
      </c>
      <c r="AH65" s="21" t="str">
        <f>IF($B65="","",IFERROR(IF($W65="Garis Lurus",$G65*(1-MIN($V65*12,MAX(0,TahunBuku*12-$Y65+1))/($V65*12)),IF($W65="Saldo Menurun",IF(TahunBuku-1&lt;YEAR($F65),$G65,IF(TahunBuku-1&gt;=INT(($Y65+$V65*12-2)/12),0,$G65*(1-2/$V65*(13-MONTH($F65))/12)*(1-2/$V65)^(TahunBuku-1-YEAR($F65)))),$G65)),$G65))</f>
        <v/>
      </c>
      <c r="AI65" s="21" t="str">
        <f>IF($B65="","",IFERROR(IF($W65="Garis Lurus",$G65*(1-MIN($V65*12,MAX(0,TahunBuku*12+12-$Y65+1))/($V65*12)),IF($W65="Saldo Menurun",IF(TahunBuku&lt;YEAR($F65),$G65,IF(TahunBuku&gt;=INT(($Y65+$V65*12-2)/12),0,$G65*(1-2/$V65*(13-MONTH($F65))/12)*(1-2/$V65)^(TahunBuku-YEAR($F65)))),$G65)),$G65))</f>
        <v/>
      </c>
      <c r="AJ65" s="20" t="str">
        <f>IF($B65="","",IF(OR($W65="Garis Lurus",$W65="Saldo Menurun"),MAX(0,MIN(TahunBuku*12+12,$Y65+$V65*12-1)-MAX(TahunBuku*12+1,$Y65)+1),0))</f>
        <v/>
      </c>
      <c r="AK65" s="20" t="str">
        <f>IF($B65="","",IF(OR($W65="Garis Lurus",$W65="Saldo Menurun"),MAX(0,MIN($Z65,TahunBuku*12+12,$Y65+$V65*12-1)-MAX(TahunBuku*12+1,$Y65)+1),0))</f>
        <v/>
      </c>
      <c r="AL65" s="22" t="str">
        <f>IF($B65="","",$G65*$AA65)</f>
        <v/>
      </c>
      <c r="AM65" s="22" t="str">
        <f>IF($B65="","",$G65*$AB65)</f>
        <v/>
      </c>
      <c r="AN65" s="22" t="str">
        <f>IF($B65="","",$G65*$AC65)</f>
        <v/>
      </c>
      <c r="AO65" s="22" t="str">
        <f>IF($B65="","",AL65+AM65-AN65)</f>
        <v/>
      </c>
      <c r="AP65" s="22" t="str">
        <f>IF($B65="","",($G65-$AD65)*$AA65)</f>
        <v/>
      </c>
      <c r="AQ65" s="22" t="str">
        <f>IF($B65="","",IF($AF65=0,0,($AD65-$AE65)*$AG65/$AF65)*MAX($AA65,$AB65))</f>
        <v/>
      </c>
      <c r="AR65" s="22" t="str">
        <f>IF($B65="","",(AP65+AQ65)*$AC65)</f>
        <v/>
      </c>
      <c r="AS65" s="22" t="str">
        <f>IF($B65="","",AP65+AQ65-AR65)</f>
        <v/>
      </c>
      <c r="AT65" s="22" t="str">
        <f>IF($B65="","",AO65-AS65)</f>
        <v/>
      </c>
      <c r="AU65" s="22" t="str">
        <f>IF($B65="","",IF($AC65=1,N($R65)-($G65-AR65),0))</f>
        <v/>
      </c>
      <c r="AV65" s="22" t="str">
        <f>IF($B65="","",($G65-$AH65)*$AA65)</f>
        <v/>
      </c>
      <c r="AW65" s="22" t="str">
        <f>IF($B65="","",IF($AJ65=0,0,($AH65-$AI65)*$AK65/$AJ65)*MAX($AA65,$AB65))</f>
        <v/>
      </c>
      <c r="AX65" s="22" t="str">
        <f>IF($B65="","",(AV65+AW65)*$AC65)</f>
        <v/>
      </c>
      <c r="AY65" s="22" t="str">
        <f>IF($B65="","",AV65+AW65-AX65)</f>
        <v/>
      </c>
      <c r="AZ65" s="22" t="str">
        <f>IF($B65="","",AO65-AY65)</f>
        <v/>
      </c>
      <c r="BA65" s="22" t="str">
        <f>IF($B65="","",IF($AC65=1,N($R65)-($G65-AX65),0))</f>
        <v/>
      </c>
      <c r="BB65" s="22" t="str">
        <f>IF($B65="","",ROUND(AQ65-AW65,0))</f>
        <v/>
      </c>
      <c r="BC65" s="22" t="str">
        <f>IF($B65="","",ROUND(BA65-AU65,0))</f>
        <v/>
      </c>
      <c r="BD65" s="22" t="str">
        <f>IF($B65="","",BB65+BC65)</f>
        <v/>
      </c>
      <c r="BE65" s="22" t="str">
        <f>IF($B65="","",ROUND(AV65-AP65,0))</f>
        <v/>
      </c>
      <c r="BF65" s="22" t="str">
        <f>IF($B65="","",ROUND(AT65-AZ65,0))</f>
        <v/>
      </c>
      <c r="BG65" s="22" t="str">
        <f>IF($B65="","",ROUND(BF65*TarifPPh,0))</f>
        <v/>
      </c>
      <c r="BH65" t="str">
        <f>IF($B65="","",IF($D65="","Kategori kosong",IF($F65="","Tgl perolehan kosong",IF(N($H65)&gt;$G65,"Residu &gt; harga perolehan",IF(AND(LEFT($U65,8)="Bangunan",$W65="Saldo Menurun"),"Bangunan wajib Garis Lurus (Ps.11 UU PPh)",IF(AND($S65="Unit Produksi",N($K65)=0),"Isi kapasitas unit",IF(AND(OR($S65="Garis Lurus",$S65="Saldo Menurun"),N($T65)&lt;=0),"Umur komersial kosong",IF(AND(OR($W65="Garis Lurus",$W65="Saldo Menurun"),N($V65)&lt;=0),"Masa manfaat fiskal kosong",IF(AND($Q65&lt;&gt;"",$Q65&lt;$F65),"Tgl pelepasan &lt; perolehan","OK")))))))))</f>
        <v/>
      </c>
    </row>
    <row r="66" spans="1:60" x14ac:dyDescent="0.25">
      <c r="A66" t="str">
        <f>IF($B66="","",ROW()-6)</f>
        <v/>
      </c>
      <c r="B66" s="9"/>
      <c r="C66" s="9"/>
      <c r="D66" s="9"/>
      <c r="E66" s="9"/>
      <c r="F66" s="17"/>
      <c r="G66" s="18"/>
      <c r="H66" s="18"/>
      <c r="I66" s="9"/>
      <c r="J66" s="9"/>
      <c r="K66" s="19"/>
      <c r="L66" s="19"/>
      <c r="M66" s="19"/>
      <c r="N66" s="9"/>
      <c r="O66" s="9"/>
      <c r="P66" s="9"/>
      <c r="Q66" s="17"/>
      <c r="R66" s="18"/>
      <c r="S66" t="str">
        <f>IF($B66="","",IF($I66&lt;&gt;"",$I66,IFERROR(INDEX(Kat_Metode,MATCH($D66,Kat_Nama,0)),"")))</f>
        <v/>
      </c>
      <c r="T66" t="str">
        <f>IF($B66="","",IF($J66&lt;&gt;"",$J66,IFERROR(INDEX(Kat_Umur,MATCH($D66,Kat_Nama,0)),0)))</f>
        <v/>
      </c>
      <c r="U66" t="str">
        <f>IF($B66="","",IF($N66&lt;&gt;"",$N66,IFERROR(INDEX(Kat_Kelompok,MATCH($D66,Kat_Nama,0)),"")))</f>
        <v/>
      </c>
      <c r="V66" t="str">
        <f>IF($B66="","",IF($U66="Masa Manfaat Sebenarnya",N($O66),IFERROR(INDEX(Kel_Masa,MATCH($U66,Kel_Nama,0)),0)))</f>
        <v/>
      </c>
      <c r="W66" t="str">
        <f>IF($B66="","",IF($P66&lt;&gt;"",$P66,IF(OR($U66="Tidak Disusutkan",$V66=0),"Tidak Disusutkan","Garis Lurus")))</f>
        <v/>
      </c>
      <c r="X66" t="str">
        <f>IF($B66="","",IF($Y66&gt;TahunBuku*12+12,"Belum Diperoleh",IF($Z66&lt;=TahunBuku*12,"Dilepas (thn lalu)",IF($AC66=1,"Dilepas thn ini",IF($AB66=1,"Perolehan baru","Aktif")))))</f>
        <v/>
      </c>
      <c r="Y66" s="20" t="str">
        <f>IF($B66="","",YEAR($F66)*12+MONTH($F66))</f>
        <v/>
      </c>
      <c r="Z66" s="20" t="str">
        <f>IF($B66="","",IF($Q66="",99999,YEAR($Q66)*12+MONTH($Q66)))</f>
        <v/>
      </c>
      <c r="AA66" s="20" t="str">
        <f>IF($B66="","",--AND($Y66&lt;=TahunBuku*12,$Z66&gt;TahunBuku*12))</f>
        <v/>
      </c>
      <c r="AB66" s="20" t="str">
        <f>IF($B66="","",--AND($Y66&gt;TahunBuku*12,$Y66&lt;=TahunBuku*12+12))</f>
        <v/>
      </c>
      <c r="AC66" s="20" t="str">
        <f>IF($B66="","",--AND($Z66&gt;TahunBuku*12,$Z66&lt;=TahunBuku*12+12,$Y66&lt;=$Z66))</f>
        <v/>
      </c>
      <c r="AD66" s="21" t="str">
        <f>IF($B66="","",IFERROR(IF($S66="Garis Lurus",$G66-($G66-$H66)*MIN($T66*12,MAX(0,TahunBuku*12-$Y66+1))/($T66*12),IF($S66="Saldo Menurun",IF(TahunBuku-1&lt;YEAR($F66),$G66,IF(TahunBuku-1&gt;=INT(($Y66+$T66*12-2)/12),$H66,MAX($H66,$G66*(1-2/$T66*(13-MONTH($F66))/12)*(1-2/$T66)^(TahunBuku-1-YEAR($F66))))),IF($S66="Unit Produksi",$G66-($G66-$H66)*MIN(1,N($L66)/$K66),$G66))),$G66))</f>
        <v/>
      </c>
      <c r="AE66" s="21" t="str">
        <f>IF($B66="","",IFERROR(IF($S66="Garis Lurus",$G66-($G66-$H66)*MIN($T66*12,MAX(0,TahunBuku*12+12-$Y66+1))/($T66*12),IF($S66="Saldo Menurun",IF(TahunBuku&lt;YEAR($F66),$G66,IF(TahunBuku&gt;=INT(($Y66+$T66*12-2)/12),$H66,MAX($H66,$G66*(1-2/$T66*(13-MONTH($F66))/12)*(1-2/$T66)^(TahunBuku-YEAR($F66))))),IF($S66="Unit Produksi",$G66-($G66-$H66)*MIN(1,(N($L66)+N($M66))/$K66),$G66))),$G66))</f>
        <v/>
      </c>
      <c r="AF66" s="20" t="str">
        <f>IF($B66="","",IF(OR($S66="Garis Lurus",$S66="Saldo Menurun",$S66="Unit Produksi"),MAX(0,IF($S66="Unit Produksi",TahunBuku*12+12,MIN(TahunBuku*12+12,$Y66+$T66*12-1))-MAX(TahunBuku*12+1,$Y66)+1),0))</f>
        <v/>
      </c>
      <c r="AG66" s="20" t="str">
        <f>IF($B66="","",IF(OR($S66="Garis Lurus",$S66="Saldo Menurun",$S66="Unit Produksi"),MAX(0,MIN($Z66,IF($S66="Unit Produksi",TahunBuku*12+12,MIN(TahunBuku*12+12,$Y66+$T66*12-1)))-MAX(TahunBuku*12+1,$Y66)+1),0))</f>
        <v/>
      </c>
      <c r="AH66" s="21" t="str">
        <f>IF($B66="","",IFERROR(IF($W66="Garis Lurus",$G66*(1-MIN($V66*12,MAX(0,TahunBuku*12-$Y66+1))/($V66*12)),IF($W66="Saldo Menurun",IF(TahunBuku-1&lt;YEAR($F66),$G66,IF(TahunBuku-1&gt;=INT(($Y66+$V66*12-2)/12),0,$G66*(1-2/$V66*(13-MONTH($F66))/12)*(1-2/$V66)^(TahunBuku-1-YEAR($F66)))),$G66)),$G66))</f>
        <v/>
      </c>
      <c r="AI66" s="21" t="str">
        <f>IF($B66="","",IFERROR(IF($W66="Garis Lurus",$G66*(1-MIN($V66*12,MAX(0,TahunBuku*12+12-$Y66+1))/($V66*12)),IF($W66="Saldo Menurun",IF(TahunBuku&lt;YEAR($F66),$G66,IF(TahunBuku&gt;=INT(($Y66+$V66*12-2)/12),0,$G66*(1-2/$V66*(13-MONTH($F66))/12)*(1-2/$V66)^(TahunBuku-YEAR($F66)))),$G66)),$G66))</f>
        <v/>
      </c>
      <c r="AJ66" s="20" t="str">
        <f>IF($B66="","",IF(OR($W66="Garis Lurus",$W66="Saldo Menurun"),MAX(0,MIN(TahunBuku*12+12,$Y66+$V66*12-1)-MAX(TahunBuku*12+1,$Y66)+1),0))</f>
        <v/>
      </c>
      <c r="AK66" s="20" t="str">
        <f>IF($B66="","",IF(OR($W66="Garis Lurus",$W66="Saldo Menurun"),MAX(0,MIN($Z66,TahunBuku*12+12,$Y66+$V66*12-1)-MAX(TahunBuku*12+1,$Y66)+1),0))</f>
        <v/>
      </c>
      <c r="AL66" s="22" t="str">
        <f>IF($B66="","",$G66*$AA66)</f>
        <v/>
      </c>
      <c r="AM66" s="22" t="str">
        <f>IF($B66="","",$G66*$AB66)</f>
        <v/>
      </c>
      <c r="AN66" s="22" t="str">
        <f>IF($B66="","",$G66*$AC66)</f>
        <v/>
      </c>
      <c r="AO66" s="22" t="str">
        <f>IF($B66="","",AL66+AM66-AN66)</f>
        <v/>
      </c>
      <c r="AP66" s="22" t="str">
        <f>IF($B66="","",($G66-$AD66)*$AA66)</f>
        <v/>
      </c>
      <c r="AQ66" s="22" t="str">
        <f>IF($B66="","",IF($AF66=0,0,($AD66-$AE66)*$AG66/$AF66)*MAX($AA66,$AB66))</f>
        <v/>
      </c>
      <c r="AR66" s="22" t="str">
        <f>IF($B66="","",(AP66+AQ66)*$AC66)</f>
        <v/>
      </c>
      <c r="AS66" s="22" t="str">
        <f>IF($B66="","",AP66+AQ66-AR66)</f>
        <v/>
      </c>
      <c r="AT66" s="22" t="str">
        <f>IF($B66="","",AO66-AS66)</f>
        <v/>
      </c>
      <c r="AU66" s="22" t="str">
        <f>IF($B66="","",IF($AC66=1,N($R66)-($G66-AR66),0))</f>
        <v/>
      </c>
      <c r="AV66" s="22" t="str">
        <f>IF($B66="","",($G66-$AH66)*$AA66)</f>
        <v/>
      </c>
      <c r="AW66" s="22" t="str">
        <f>IF($B66="","",IF($AJ66=0,0,($AH66-$AI66)*$AK66/$AJ66)*MAX($AA66,$AB66))</f>
        <v/>
      </c>
      <c r="AX66" s="22" t="str">
        <f>IF($B66="","",(AV66+AW66)*$AC66)</f>
        <v/>
      </c>
      <c r="AY66" s="22" t="str">
        <f>IF($B66="","",AV66+AW66-AX66)</f>
        <v/>
      </c>
      <c r="AZ66" s="22" t="str">
        <f>IF($B66="","",AO66-AY66)</f>
        <v/>
      </c>
      <c r="BA66" s="22" t="str">
        <f>IF($B66="","",IF($AC66=1,N($R66)-($G66-AX66),0))</f>
        <v/>
      </c>
      <c r="BB66" s="22" t="str">
        <f>IF($B66="","",ROUND(AQ66-AW66,0))</f>
        <v/>
      </c>
      <c r="BC66" s="22" t="str">
        <f>IF($B66="","",ROUND(BA66-AU66,0))</f>
        <v/>
      </c>
      <c r="BD66" s="22" t="str">
        <f>IF($B66="","",BB66+BC66)</f>
        <v/>
      </c>
      <c r="BE66" s="22" t="str">
        <f>IF($B66="","",ROUND(AV66-AP66,0))</f>
        <v/>
      </c>
      <c r="BF66" s="22" t="str">
        <f>IF($B66="","",ROUND(AT66-AZ66,0))</f>
        <v/>
      </c>
      <c r="BG66" s="22" t="str">
        <f>IF($B66="","",ROUND(BF66*TarifPPh,0))</f>
        <v/>
      </c>
      <c r="BH66" t="str">
        <f>IF($B66="","",IF($D66="","Kategori kosong",IF($F66="","Tgl perolehan kosong",IF(N($H66)&gt;$G66,"Residu &gt; harga perolehan",IF(AND(LEFT($U66,8)="Bangunan",$W66="Saldo Menurun"),"Bangunan wajib Garis Lurus (Ps.11 UU PPh)",IF(AND($S66="Unit Produksi",N($K66)=0),"Isi kapasitas unit",IF(AND(OR($S66="Garis Lurus",$S66="Saldo Menurun"),N($T66)&lt;=0),"Umur komersial kosong",IF(AND(OR($W66="Garis Lurus",$W66="Saldo Menurun"),N($V66)&lt;=0),"Masa manfaat fiskal kosong",IF(AND($Q66&lt;&gt;"",$Q66&lt;$F66),"Tgl pelepasan &lt; perolehan","OK")))))))))</f>
        <v/>
      </c>
    </row>
    <row r="67" spans="1:60" x14ac:dyDescent="0.25">
      <c r="A67" t="str">
        <f>IF($B67="","",ROW()-6)</f>
        <v/>
      </c>
      <c r="B67" s="9"/>
      <c r="C67" s="9"/>
      <c r="D67" s="9"/>
      <c r="E67" s="9"/>
      <c r="F67" s="17"/>
      <c r="G67" s="18"/>
      <c r="H67" s="18"/>
      <c r="I67" s="9"/>
      <c r="J67" s="9"/>
      <c r="K67" s="19"/>
      <c r="L67" s="19"/>
      <c r="M67" s="19"/>
      <c r="N67" s="9"/>
      <c r="O67" s="9"/>
      <c r="P67" s="9"/>
      <c r="Q67" s="17"/>
      <c r="R67" s="18"/>
      <c r="S67" t="str">
        <f>IF($B67="","",IF($I67&lt;&gt;"",$I67,IFERROR(INDEX(Kat_Metode,MATCH($D67,Kat_Nama,0)),"")))</f>
        <v/>
      </c>
      <c r="T67" t="str">
        <f>IF($B67="","",IF($J67&lt;&gt;"",$J67,IFERROR(INDEX(Kat_Umur,MATCH($D67,Kat_Nama,0)),0)))</f>
        <v/>
      </c>
      <c r="U67" t="str">
        <f>IF($B67="","",IF($N67&lt;&gt;"",$N67,IFERROR(INDEX(Kat_Kelompok,MATCH($D67,Kat_Nama,0)),"")))</f>
        <v/>
      </c>
      <c r="V67" t="str">
        <f>IF($B67="","",IF($U67="Masa Manfaat Sebenarnya",N($O67),IFERROR(INDEX(Kel_Masa,MATCH($U67,Kel_Nama,0)),0)))</f>
        <v/>
      </c>
      <c r="W67" t="str">
        <f>IF($B67="","",IF($P67&lt;&gt;"",$P67,IF(OR($U67="Tidak Disusutkan",$V67=0),"Tidak Disusutkan","Garis Lurus")))</f>
        <v/>
      </c>
      <c r="X67" t="str">
        <f>IF($B67="","",IF($Y67&gt;TahunBuku*12+12,"Belum Diperoleh",IF($Z67&lt;=TahunBuku*12,"Dilepas (thn lalu)",IF($AC67=1,"Dilepas thn ini",IF($AB67=1,"Perolehan baru","Aktif")))))</f>
        <v/>
      </c>
      <c r="Y67" s="20" t="str">
        <f>IF($B67="","",YEAR($F67)*12+MONTH($F67))</f>
        <v/>
      </c>
      <c r="Z67" s="20" t="str">
        <f>IF($B67="","",IF($Q67="",99999,YEAR($Q67)*12+MONTH($Q67)))</f>
        <v/>
      </c>
      <c r="AA67" s="20" t="str">
        <f>IF($B67="","",--AND($Y67&lt;=TahunBuku*12,$Z67&gt;TahunBuku*12))</f>
        <v/>
      </c>
      <c r="AB67" s="20" t="str">
        <f>IF($B67="","",--AND($Y67&gt;TahunBuku*12,$Y67&lt;=TahunBuku*12+12))</f>
        <v/>
      </c>
      <c r="AC67" s="20" t="str">
        <f>IF($B67="","",--AND($Z67&gt;TahunBuku*12,$Z67&lt;=TahunBuku*12+12,$Y67&lt;=$Z67))</f>
        <v/>
      </c>
      <c r="AD67" s="21" t="str">
        <f>IF($B67="","",IFERROR(IF($S67="Garis Lurus",$G67-($G67-$H67)*MIN($T67*12,MAX(0,TahunBuku*12-$Y67+1))/($T67*12),IF($S67="Saldo Menurun",IF(TahunBuku-1&lt;YEAR($F67),$G67,IF(TahunBuku-1&gt;=INT(($Y67+$T67*12-2)/12),$H67,MAX($H67,$G67*(1-2/$T67*(13-MONTH($F67))/12)*(1-2/$T67)^(TahunBuku-1-YEAR($F67))))),IF($S67="Unit Produksi",$G67-($G67-$H67)*MIN(1,N($L67)/$K67),$G67))),$G67))</f>
        <v/>
      </c>
      <c r="AE67" s="21" t="str">
        <f>IF($B67="","",IFERROR(IF($S67="Garis Lurus",$G67-($G67-$H67)*MIN($T67*12,MAX(0,TahunBuku*12+12-$Y67+1))/($T67*12),IF($S67="Saldo Menurun",IF(TahunBuku&lt;YEAR($F67),$G67,IF(TahunBuku&gt;=INT(($Y67+$T67*12-2)/12),$H67,MAX($H67,$G67*(1-2/$T67*(13-MONTH($F67))/12)*(1-2/$T67)^(TahunBuku-YEAR($F67))))),IF($S67="Unit Produksi",$G67-($G67-$H67)*MIN(1,(N($L67)+N($M67))/$K67),$G67))),$G67))</f>
        <v/>
      </c>
      <c r="AF67" s="20" t="str">
        <f>IF($B67="","",IF(OR($S67="Garis Lurus",$S67="Saldo Menurun",$S67="Unit Produksi"),MAX(0,IF($S67="Unit Produksi",TahunBuku*12+12,MIN(TahunBuku*12+12,$Y67+$T67*12-1))-MAX(TahunBuku*12+1,$Y67)+1),0))</f>
        <v/>
      </c>
      <c r="AG67" s="20" t="str">
        <f>IF($B67="","",IF(OR($S67="Garis Lurus",$S67="Saldo Menurun",$S67="Unit Produksi"),MAX(0,MIN($Z67,IF($S67="Unit Produksi",TahunBuku*12+12,MIN(TahunBuku*12+12,$Y67+$T67*12-1)))-MAX(TahunBuku*12+1,$Y67)+1),0))</f>
        <v/>
      </c>
      <c r="AH67" s="21" t="str">
        <f>IF($B67="","",IFERROR(IF($W67="Garis Lurus",$G67*(1-MIN($V67*12,MAX(0,TahunBuku*12-$Y67+1))/($V67*12)),IF($W67="Saldo Menurun",IF(TahunBuku-1&lt;YEAR($F67),$G67,IF(TahunBuku-1&gt;=INT(($Y67+$V67*12-2)/12),0,$G67*(1-2/$V67*(13-MONTH($F67))/12)*(1-2/$V67)^(TahunBuku-1-YEAR($F67)))),$G67)),$G67))</f>
        <v/>
      </c>
      <c r="AI67" s="21" t="str">
        <f>IF($B67="","",IFERROR(IF($W67="Garis Lurus",$G67*(1-MIN($V67*12,MAX(0,TahunBuku*12+12-$Y67+1))/($V67*12)),IF($W67="Saldo Menurun",IF(TahunBuku&lt;YEAR($F67),$G67,IF(TahunBuku&gt;=INT(($Y67+$V67*12-2)/12),0,$G67*(1-2/$V67*(13-MONTH($F67))/12)*(1-2/$V67)^(TahunBuku-YEAR($F67)))),$G67)),$G67))</f>
        <v/>
      </c>
      <c r="AJ67" s="20" t="str">
        <f>IF($B67="","",IF(OR($W67="Garis Lurus",$W67="Saldo Menurun"),MAX(0,MIN(TahunBuku*12+12,$Y67+$V67*12-1)-MAX(TahunBuku*12+1,$Y67)+1),0))</f>
        <v/>
      </c>
      <c r="AK67" s="20" t="str">
        <f>IF($B67="","",IF(OR($W67="Garis Lurus",$W67="Saldo Menurun"),MAX(0,MIN($Z67,TahunBuku*12+12,$Y67+$V67*12-1)-MAX(TahunBuku*12+1,$Y67)+1),0))</f>
        <v/>
      </c>
      <c r="AL67" s="22" t="str">
        <f>IF($B67="","",$G67*$AA67)</f>
        <v/>
      </c>
      <c r="AM67" s="22" t="str">
        <f>IF($B67="","",$G67*$AB67)</f>
        <v/>
      </c>
      <c r="AN67" s="22" t="str">
        <f>IF($B67="","",$G67*$AC67)</f>
        <v/>
      </c>
      <c r="AO67" s="22" t="str">
        <f>IF($B67="","",AL67+AM67-AN67)</f>
        <v/>
      </c>
      <c r="AP67" s="22" t="str">
        <f>IF($B67="","",($G67-$AD67)*$AA67)</f>
        <v/>
      </c>
      <c r="AQ67" s="22" t="str">
        <f>IF($B67="","",IF($AF67=0,0,($AD67-$AE67)*$AG67/$AF67)*MAX($AA67,$AB67))</f>
        <v/>
      </c>
      <c r="AR67" s="22" t="str">
        <f>IF($B67="","",(AP67+AQ67)*$AC67)</f>
        <v/>
      </c>
      <c r="AS67" s="22" t="str">
        <f>IF($B67="","",AP67+AQ67-AR67)</f>
        <v/>
      </c>
      <c r="AT67" s="22" t="str">
        <f>IF($B67="","",AO67-AS67)</f>
        <v/>
      </c>
      <c r="AU67" s="22" t="str">
        <f>IF($B67="","",IF($AC67=1,N($R67)-($G67-AR67),0))</f>
        <v/>
      </c>
      <c r="AV67" s="22" t="str">
        <f>IF($B67="","",($G67-$AH67)*$AA67)</f>
        <v/>
      </c>
      <c r="AW67" s="22" t="str">
        <f>IF($B67="","",IF($AJ67=0,0,($AH67-$AI67)*$AK67/$AJ67)*MAX($AA67,$AB67))</f>
        <v/>
      </c>
      <c r="AX67" s="22" t="str">
        <f>IF($B67="","",(AV67+AW67)*$AC67)</f>
        <v/>
      </c>
      <c r="AY67" s="22" t="str">
        <f>IF($B67="","",AV67+AW67-AX67)</f>
        <v/>
      </c>
      <c r="AZ67" s="22" t="str">
        <f>IF($B67="","",AO67-AY67)</f>
        <v/>
      </c>
      <c r="BA67" s="22" t="str">
        <f>IF($B67="","",IF($AC67=1,N($R67)-($G67-AX67),0))</f>
        <v/>
      </c>
      <c r="BB67" s="22" t="str">
        <f>IF($B67="","",ROUND(AQ67-AW67,0))</f>
        <v/>
      </c>
      <c r="BC67" s="22" t="str">
        <f>IF($B67="","",ROUND(BA67-AU67,0))</f>
        <v/>
      </c>
      <c r="BD67" s="22" t="str">
        <f>IF($B67="","",BB67+BC67)</f>
        <v/>
      </c>
      <c r="BE67" s="22" t="str">
        <f>IF($B67="","",ROUND(AV67-AP67,0))</f>
        <v/>
      </c>
      <c r="BF67" s="22" t="str">
        <f>IF($B67="","",ROUND(AT67-AZ67,0))</f>
        <v/>
      </c>
      <c r="BG67" s="22" t="str">
        <f>IF($B67="","",ROUND(BF67*TarifPPh,0))</f>
        <v/>
      </c>
      <c r="BH67" t="str">
        <f>IF($B67="","",IF($D67="","Kategori kosong",IF($F67="","Tgl perolehan kosong",IF(N($H67)&gt;$G67,"Residu &gt; harga perolehan",IF(AND(LEFT($U67,8)="Bangunan",$W67="Saldo Menurun"),"Bangunan wajib Garis Lurus (Ps.11 UU PPh)",IF(AND($S67="Unit Produksi",N($K67)=0),"Isi kapasitas unit",IF(AND(OR($S67="Garis Lurus",$S67="Saldo Menurun"),N($T67)&lt;=0),"Umur komersial kosong",IF(AND(OR($W67="Garis Lurus",$W67="Saldo Menurun"),N($V67)&lt;=0),"Masa manfaat fiskal kosong",IF(AND($Q67&lt;&gt;"",$Q67&lt;$F67),"Tgl pelepasan &lt; perolehan","OK")))))))))</f>
        <v/>
      </c>
    </row>
    <row r="68" spans="1:60" x14ac:dyDescent="0.25">
      <c r="A68" t="str">
        <f>IF($B68="","",ROW()-6)</f>
        <v/>
      </c>
      <c r="B68" s="9"/>
      <c r="C68" s="9"/>
      <c r="D68" s="9"/>
      <c r="E68" s="9"/>
      <c r="F68" s="17"/>
      <c r="G68" s="18"/>
      <c r="H68" s="18"/>
      <c r="I68" s="9"/>
      <c r="J68" s="9"/>
      <c r="K68" s="19"/>
      <c r="L68" s="19"/>
      <c r="M68" s="19"/>
      <c r="N68" s="9"/>
      <c r="O68" s="9"/>
      <c r="P68" s="9"/>
      <c r="Q68" s="17"/>
      <c r="R68" s="18"/>
      <c r="S68" t="str">
        <f>IF($B68="","",IF($I68&lt;&gt;"",$I68,IFERROR(INDEX(Kat_Metode,MATCH($D68,Kat_Nama,0)),"")))</f>
        <v/>
      </c>
      <c r="T68" t="str">
        <f>IF($B68="","",IF($J68&lt;&gt;"",$J68,IFERROR(INDEX(Kat_Umur,MATCH($D68,Kat_Nama,0)),0)))</f>
        <v/>
      </c>
      <c r="U68" t="str">
        <f>IF($B68="","",IF($N68&lt;&gt;"",$N68,IFERROR(INDEX(Kat_Kelompok,MATCH($D68,Kat_Nama,0)),"")))</f>
        <v/>
      </c>
      <c r="V68" t="str">
        <f>IF($B68="","",IF($U68="Masa Manfaat Sebenarnya",N($O68),IFERROR(INDEX(Kel_Masa,MATCH($U68,Kel_Nama,0)),0)))</f>
        <v/>
      </c>
      <c r="W68" t="str">
        <f>IF($B68="","",IF($P68&lt;&gt;"",$P68,IF(OR($U68="Tidak Disusutkan",$V68=0),"Tidak Disusutkan","Garis Lurus")))</f>
        <v/>
      </c>
      <c r="X68" t="str">
        <f>IF($B68="","",IF($Y68&gt;TahunBuku*12+12,"Belum Diperoleh",IF($Z68&lt;=TahunBuku*12,"Dilepas (thn lalu)",IF($AC68=1,"Dilepas thn ini",IF($AB68=1,"Perolehan baru","Aktif")))))</f>
        <v/>
      </c>
      <c r="Y68" s="20" t="str">
        <f>IF($B68="","",YEAR($F68)*12+MONTH($F68))</f>
        <v/>
      </c>
      <c r="Z68" s="20" t="str">
        <f>IF($B68="","",IF($Q68="",99999,YEAR($Q68)*12+MONTH($Q68)))</f>
        <v/>
      </c>
      <c r="AA68" s="20" t="str">
        <f>IF($B68="","",--AND($Y68&lt;=TahunBuku*12,$Z68&gt;TahunBuku*12))</f>
        <v/>
      </c>
      <c r="AB68" s="20" t="str">
        <f>IF($B68="","",--AND($Y68&gt;TahunBuku*12,$Y68&lt;=TahunBuku*12+12))</f>
        <v/>
      </c>
      <c r="AC68" s="20" t="str">
        <f>IF($B68="","",--AND($Z68&gt;TahunBuku*12,$Z68&lt;=TahunBuku*12+12,$Y68&lt;=$Z68))</f>
        <v/>
      </c>
      <c r="AD68" s="21" t="str">
        <f>IF($B68="","",IFERROR(IF($S68="Garis Lurus",$G68-($G68-$H68)*MIN($T68*12,MAX(0,TahunBuku*12-$Y68+1))/($T68*12),IF($S68="Saldo Menurun",IF(TahunBuku-1&lt;YEAR($F68),$G68,IF(TahunBuku-1&gt;=INT(($Y68+$T68*12-2)/12),$H68,MAX($H68,$G68*(1-2/$T68*(13-MONTH($F68))/12)*(1-2/$T68)^(TahunBuku-1-YEAR($F68))))),IF($S68="Unit Produksi",$G68-($G68-$H68)*MIN(1,N($L68)/$K68),$G68))),$G68))</f>
        <v/>
      </c>
      <c r="AE68" s="21" t="str">
        <f>IF($B68="","",IFERROR(IF($S68="Garis Lurus",$G68-($G68-$H68)*MIN($T68*12,MAX(0,TahunBuku*12+12-$Y68+1))/($T68*12),IF($S68="Saldo Menurun",IF(TahunBuku&lt;YEAR($F68),$G68,IF(TahunBuku&gt;=INT(($Y68+$T68*12-2)/12),$H68,MAX($H68,$G68*(1-2/$T68*(13-MONTH($F68))/12)*(1-2/$T68)^(TahunBuku-YEAR($F68))))),IF($S68="Unit Produksi",$G68-($G68-$H68)*MIN(1,(N($L68)+N($M68))/$K68),$G68))),$G68))</f>
        <v/>
      </c>
      <c r="AF68" s="20" t="str">
        <f>IF($B68="","",IF(OR($S68="Garis Lurus",$S68="Saldo Menurun",$S68="Unit Produksi"),MAX(0,IF($S68="Unit Produksi",TahunBuku*12+12,MIN(TahunBuku*12+12,$Y68+$T68*12-1))-MAX(TahunBuku*12+1,$Y68)+1),0))</f>
        <v/>
      </c>
      <c r="AG68" s="20" t="str">
        <f>IF($B68="","",IF(OR($S68="Garis Lurus",$S68="Saldo Menurun",$S68="Unit Produksi"),MAX(0,MIN($Z68,IF($S68="Unit Produksi",TahunBuku*12+12,MIN(TahunBuku*12+12,$Y68+$T68*12-1)))-MAX(TahunBuku*12+1,$Y68)+1),0))</f>
        <v/>
      </c>
      <c r="AH68" s="21" t="str">
        <f>IF($B68="","",IFERROR(IF($W68="Garis Lurus",$G68*(1-MIN($V68*12,MAX(0,TahunBuku*12-$Y68+1))/($V68*12)),IF($W68="Saldo Menurun",IF(TahunBuku-1&lt;YEAR($F68),$G68,IF(TahunBuku-1&gt;=INT(($Y68+$V68*12-2)/12),0,$G68*(1-2/$V68*(13-MONTH($F68))/12)*(1-2/$V68)^(TahunBuku-1-YEAR($F68)))),$G68)),$G68))</f>
        <v/>
      </c>
      <c r="AI68" s="21" t="str">
        <f>IF($B68="","",IFERROR(IF($W68="Garis Lurus",$G68*(1-MIN($V68*12,MAX(0,TahunBuku*12+12-$Y68+1))/($V68*12)),IF($W68="Saldo Menurun",IF(TahunBuku&lt;YEAR($F68),$G68,IF(TahunBuku&gt;=INT(($Y68+$V68*12-2)/12),0,$G68*(1-2/$V68*(13-MONTH($F68))/12)*(1-2/$V68)^(TahunBuku-YEAR($F68)))),$G68)),$G68))</f>
        <v/>
      </c>
      <c r="AJ68" s="20" t="str">
        <f>IF($B68="","",IF(OR($W68="Garis Lurus",$W68="Saldo Menurun"),MAX(0,MIN(TahunBuku*12+12,$Y68+$V68*12-1)-MAX(TahunBuku*12+1,$Y68)+1),0))</f>
        <v/>
      </c>
      <c r="AK68" s="20" t="str">
        <f>IF($B68="","",IF(OR($W68="Garis Lurus",$W68="Saldo Menurun"),MAX(0,MIN($Z68,TahunBuku*12+12,$Y68+$V68*12-1)-MAX(TahunBuku*12+1,$Y68)+1),0))</f>
        <v/>
      </c>
      <c r="AL68" s="22" t="str">
        <f>IF($B68="","",$G68*$AA68)</f>
        <v/>
      </c>
      <c r="AM68" s="22" t="str">
        <f>IF($B68="","",$G68*$AB68)</f>
        <v/>
      </c>
      <c r="AN68" s="22" t="str">
        <f>IF($B68="","",$G68*$AC68)</f>
        <v/>
      </c>
      <c r="AO68" s="22" t="str">
        <f>IF($B68="","",AL68+AM68-AN68)</f>
        <v/>
      </c>
      <c r="AP68" s="22" t="str">
        <f>IF($B68="","",($G68-$AD68)*$AA68)</f>
        <v/>
      </c>
      <c r="AQ68" s="22" t="str">
        <f>IF($B68="","",IF($AF68=0,0,($AD68-$AE68)*$AG68/$AF68)*MAX($AA68,$AB68))</f>
        <v/>
      </c>
      <c r="AR68" s="22" t="str">
        <f>IF($B68="","",(AP68+AQ68)*$AC68)</f>
        <v/>
      </c>
      <c r="AS68" s="22" t="str">
        <f>IF($B68="","",AP68+AQ68-AR68)</f>
        <v/>
      </c>
      <c r="AT68" s="22" t="str">
        <f>IF($B68="","",AO68-AS68)</f>
        <v/>
      </c>
      <c r="AU68" s="22" t="str">
        <f>IF($B68="","",IF($AC68=1,N($R68)-($G68-AR68),0))</f>
        <v/>
      </c>
      <c r="AV68" s="22" t="str">
        <f>IF($B68="","",($G68-$AH68)*$AA68)</f>
        <v/>
      </c>
      <c r="AW68" s="22" t="str">
        <f>IF($B68="","",IF($AJ68=0,0,($AH68-$AI68)*$AK68/$AJ68)*MAX($AA68,$AB68))</f>
        <v/>
      </c>
      <c r="AX68" s="22" t="str">
        <f>IF($B68="","",(AV68+AW68)*$AC68)</f>
        <v/>
      </c>
      <c r="AY68" s="22" t="str">
        <f>IF($B68="","",AV68+AW68-AX68)</f>
        <v/>
      </c>
      <c r="AZ68" s="22" t="str">
        <f>IF($B68="","",AO68-AY68)</f>
        <v/>
      </c>
      <c r="BA68" s="22" t="str">
        <f>IF($B68="","",IF($AC68=1,N($R68)-($G68-AX68),0))</f>
        <v/>
      </c>
      <c r="BB68" s="22" t="str">
        <f>IF($B68="","",ROUND(AQ68-AW68,0))</f>
        <v/>
      </c>
      <c r="BC68" s="22" t="str">
        <f>IF($B68="","",ROUND(BA68-AU68,0))</f>
        <v/>
      </c>
      <c r="BD68" s="22" t="str">
        <f>IF($B68="","",BB68+BC68)</f>
        <v/>
      </c>
      <c r="BE68" s="22" t="str">
        <f>IF($B68="","",ROUND(AV68-AP68,0))</f>
        <v/>
      </c>
      <c r="BF68" s="22" t="str">
        <f>IF($B68="","",ROUND(AT68-AZ68,0))</f>
        <v/>
      </c>
      <c r="BG68" s="22" t="str">
        <f>IF($B68="","",ROUND(BF68*TarifPPh,0))</f>
        <v/>
      </c>
      <c r="BH68" t="str">
        <f>IF($B68="","",IF($D68="","Kategori kosong",IF($F68="","Tgl perolehan kosong",IF(N($H68)&gt;$G68,"Residu &gt; harga perolehan",IF(AND(LEFT($U68,8)="Bangunan",$W68="Saldo Menurun"),"Bangunan wajib Garis Lurus (Ps.11 UU PPh)",IF(AND($S68="Unit Produksi",N($K68)=0),"Isi kapasitas unit",IF(AND(OR($S68="Garis Lurus",$S68="Saldo Menurun"),N($T68)&lt;=0),"Umur komersial kosong",IF(AND(OR($W68="Garis Lurus",$W68="Saldo Menurun"),N($V68)&lt;=0),"Masa manfaat fiskal kosong",IF(AND($Q68&lt;&gt;"",$Q68&lt;$F68),"Tgl pelepasan &lt; perolehan","OK")))))))))</f>
        <v/>
      </c>
    </row>
    <row r="69" spans="1:60" x14ac:dyDescent="0.25">
      <c r="A69" t="str">
        <f>IF($B69="","",ROW()-6)</f>
        <v/>
      </c>
      <c r="B69" s="9"/>
      <c r="C69" s="9"/>
      <c r="D69" s="9"/>
      <c r="E69" s="9"/>
      <c r="F69" s="17"/>
      <c r="G69" s="18"/>
      <c r="H69" s="18"/>
      <c r="I69" s="9"/>
      <c r="J69" s="9"/>
      <c r="K69" s="19"/>
      <c r="L69" s="19"/>
      <c r="M69" s="19"/>
      <c r="N69" s="9"/>
      <c r="O69" s="9"/>
      <c r="P69" s="9"/>
      <c r="Q69" s="17"/>
      <c r="R69" s="18"/>
      <c r="S69" t="str">
        <f>IF($B69="","",IF($I69&lt;&gt;"",$I69,IFERROR(INDEX(Kat_Metode,MATCH($D69,Kat_Nama,0)),"")))</f>
        <v/>
      </c>
      <c r="T69" t="str">
        <f>IF($B69="","",IF($J69&lt;&gt;"",$J69,IFERROR(INDEX(Kat_Umur,MATCH($D69,Kat_Nama,0)),0)))</f>
        <v/>
      </c>
      <c r="U69" t="str">
        <f>IF($B69="","",IF($N69&lt;&gt;"",$N69,IFERROR(INDEX(Kat_Kelompok,MATCH($D69,Kat_Nama,0)),"")))</f>
        <v/>
      </c>
      <c r="V69" t="str">
        <f>IF($B69="","",IF($U69="Masa Manfaat Sebenarnya",N($O69),IFERROR(INDEX(Kel_Masa,MATCH($U69,Kel_Nama,0)),0)))</f>
        <v/>
      </c>
      <c r="W69" t="str">
        <f>IF($B69="","",IF($P69&lt;&gt;"",$P69,IF(OR($U69="Tidak Disusutkan",$V69=0),"Tidak Disusutkan","Garis Lurus")))</f>
        <v/>
      </c>
      <c r="X69" t="str">
        <f>IF($B69="","",IF($Y69&gt;TahunBuku*12+12,"Belum Diperoleh",IF($Z69&lt;=TahunBuku*12,"Dilepas (thn lalu)",IF($AC69=1,"Dilepas thn ini",IF($AB69=1,"Perolehan baru","Aktif")))))</f>
        <v/>
      </c>
      <c r="Y69" s="20" t="str">
        <f>IF($B69="","",YEAR($F69)*12+MONTH($F69))</f>
        <v/>
      </c>
      <c r="Z69" s="20" t="str">
        <f>IF($B69="","",IF($Q69="",99999,YEAR($Q69)*12+MONTH($Q69)))</f>
        <v/>
      </c>
      <c r="AA69" s="20" t="str">
        <f>IF($B69="","",--AND($Y69&lt;=TahunBuku*12,$Z69&gt;TahunBuku*12))</f>
        <v/>
      </c>
      <c r="AB69" s="20" t="str">
        <f>IF($B69="","",--AND($Y69&gt;TahunBuku*12,$Y69&lt;=TahunBuku*12+12))</f>
        <v/>
      </c>
      <c r="AC69" s="20" t="str">
        <f>IF($B69="","",--AND($Z69&gt;TahunBuku*12,$Z69&lt;=TahunBuku*12+12,$Y69&lt;=$Z69))</f>
        <v/>
      </c>
      <c r="AD69" s="21" t="str">
        <f>IF($B69="","",IFERROR(IF($S69="Garis Lurus",$G69-($G69-$H69)*MIN($T69*12,MAX(0,TahunBuku*12-$Y69+1))/($T69*12),IF($S69="Saldo Menurun",IF(TahunBuku-1&lt;YEAR($F69),$G69,IF(TahunBuku-1&gt;=INT(($Y69+$T69*12-2)/12),$H69,MAX($H69,$G69*(1-2/$T69*(13-MONTH($F69))/12)*(1-2/$T69)^(TahunBuku-1-YEAR($F69))))),IF($S69="Unit Produksi",$G69-($G69-$H69)*MIN(1,N($L69)/$K69),$G69))),$G69))</f>
        <v/>
      </c>
      <c r="AE69" s="21" t="str">
        <f>IF($B69="","",IFERROR(IF($S69="Garis Lurus",$G69-($G69-$H69)*MIN($T69*12,MAX(0,TahunBuku*12+12-$Y69+1))/($T69*12),IF($S69="Saldo Menurun",IF(TahunBuku&lt;YEAR($F69),$G69,IF(TahunBuku&gt;=INT(($Y69+$T69*12-2)/12),$H69,MAX($H69,$G69*(1-2/$T69*(13-MONTH($F69))/12)*(1-2/$T69)^(TahunBuku-YEAR($F69))))),IF($S69="Unit Produksi",$G69-($G69-$H69)*MIN(1,(N($L69)+N($M69))/$K69),$G69))),$G69))</f>
        <v/>
      </c>
      <c r="AF69" s="20" t="str">
        <f>IF($B69="","",IF(OR($S69="Garis Lurus",$S69="Saldo Menurun",$S69="Unit Produksi"),MAX(0,IF($S69="Unit Produksi",TahunBuku*12+12,MIN(TahunBuku*12+12,$Y69+$T69*12-1))-MAX(TahunBuku*12+1,$Y69)+1),0))</f>
        <v/>
      </c>
      <c r="AG69" s="20" t="str">
        <f>IF($B69="","",IF(OR($S69="Garis Lurus",$S69="Saldo Menurun",$S69="Unit Produksi"),MAX(0,MIN($Z69,IF($S69="Unit Produksi",TahunBuku*12+12,MIN(TahunBuku*12+12,$Y69+$T69*12-1)))-MAX(TahunBuku*12+1,$Y69)+1),0))</f>
        <v/>
      </c>
      <c r="AH69" s="21" t="str">
        <f>IF($B69="","",IFERROR(IF($W69="Garis Lurus",$G69*(1-MIN($V69*12,MAX(0,TahunBuku*12-$Y69+1))/($V69*12)),IF($W69="Saldo Menurun",IF(TahunBuku-1&lt;YEAR($F69),$G69,IF(TahunBuku-1&gt;=INT(($Y69+$V69*12-2)/12),0,$G69*(1-2/$V69*(13-MONTH($F69))/12)*(1-2/$V69)^(TahunBuku-1-YEAR($F69)))),$G69)),$G69))</f>
        <v/>
      </c>
      <c r="AI69" s="21" t="str">
        <f>IF($B69="","",IFERROR(IF($W69="Garis Lurus",$G69*(1-MIN($V69*12,MAX(0,TahunBuku*12+12-$Y69+1))/($V69*12)),IF($W69="Saldo Menurun",IF(TahunBuku&lt;YEAR($F69),$G69,IF(TahunBuku&gt;=INT(($Y69+$V69*12-2)/12),0,$G69*(1-2/$V69*(13-MONTH($F69))/12)*(1-2/$V69)^(TahunBuku-YEAR($F69)))),$G69)),$G69))</f>
        <v/>
      </c>
      <c r="AJ69" s="20" t="str">
        <f>IF($B69="","",IF(OR($W69="Garis Lurus",$W69="Saldo Menurun"),MAX(0,MIN(TahunBuku*12+12,$Y69+$V69*12-1)-MAX(TahunBuku*12+1,$Y69)+1),0))</f>
        <v/>
      </c>
      <c r="AK69" s="20" t="str">
        <f>IF($B69="","",IF(OR($W69="Garis Lurus",$W69="Saldo Menurun"),MAX(0,MIN($Z69,TahunBuku*12+12,$Y69+$V69*12-1)-MAX(TahunBuku*12+1,$Y69)+1),0))</f>
        <v/>
      </c>
      <c r="AL69" s="22" t="str">
        <f>IF($B69="","",$G69*$AA69)</f>
        <v/>
      </c>
      <c r="AM69" s="22" t="str">
        <f>IF($B69="","",$G69*$AB69)</f>
        <v/>
      </c>
      <c r="AN69" s="22" t="str">
        <f>IF($B69="","",$G69*$AC69)</f>
        <v/>
      </c>
      <c r="AO69" s="22" t="str">
        <f>IF($B69="","",AL69+AM69-AN69)</f>
        <v/>
      </c>
      <c r="AP69" s="22" t="str">
        <f>IF($B69="","",($G69-$AD69)*$AA69)</f>
        <v/>
      </c>
      <c r="AQ69" s="22" t="str">
        <f>IF($B69="","",IF($AF69=0,0,($AD69-$AE69)*$AG69/$AF69)*MAX($AA69,$AB69))</f>
        <v/>
      </c>
      <c r="AR69" s="22" t="str">
        <f>IF($B69="","",(AP69+AQ69)*$AC69)</f>
        <v/>
      </c>
      <c r="AS69" s="22" t="str">
        <f>IF($B69="","",AP69+AQ69-AR69)</f>
        <v/>
      </c>
      <c r="AT69" s="22" t="str">
        <f>IF($B69="","",AO69-AS69)</f>
        <v/>
      </c>
      <c r="AU69" s="22" t="str">
        <f>IF($B69="","",IF($AC69=1,N($R69)-($G69-AR69),0))</f>
        <v/>
      </c>
      <c r="AV69" s="22" t="str">
        <f>IF($B69="","",($G69-$AH69)*$AA69)</f>
        <v/>
      </c>
      <c r="AW69" s="22" t="str">
        <f>IF($B69="","",IF($AJ69=0,0,($AH69-$AI69)*$AK69/$AJ69)*MAX($AA69,$AB69))</f>
        <v/>
      </c>
      <c r="AX69" s="22" t="str">
        <f>IF($B69="","",(AV69+AW69)*$AC69)</f>
        <v/>
      </c>
      <c r="AY69" s="22" t="str">
        <f>IF($B69="","",AV69+AW69-AX69)</f>
        <v/>
      </c>
      <c r="AZ69" s="22" t="str">
        <f>IF($B69="","",AO69-AY69)</f>
        <v/>
      </c>
      <c r="BA69" s="22" t="str">
        <f>IF($B69="","",IF($AC69=1,N($R69)-($G69-AX69),0))</f>
        <v/>
      </c>
      <c r="BB69" s="22" t="str">
        <f>IF($B69="","",ROUND(AQ69-AW69,0))</f>
        <v/>
      </c>
      <c r="BC69" s="22" t="str">
        <f>IF($B69="","",ROUND(BA69-AU69,0))</f>
        <v/>
      </c>
      <c r="BD69" s="22" t="str">
        <f>IF($B69="","",BB69+BC69)</f>
        <v/>
      </c>
      <c r="BE69" s="22" t="str">
        <f>IF($B69="","",ROUND(AV69-AP69,0))</f>
        <v/>
      </c>
      <c r="BF69" s="22" t="str">
        <f>IF($B69="","",ROUND(AT69-AZ69,0))</f>
        <v/>
      </c>
      <c r="BG69" s="22" t="str">
        <f>IF($B69="","",ROUND(BF69*TarifPPh,0))</f>
        <v/>
      </c>
      <c r="BH69" t="str">
        <f>IF($B69="","",IF($D69="","Kategori kosong",IF($F69="","Tgl perolehan kosong",IF(N($H69)&gt;$G69,"Residu &gt; harga perolehan",IF(AND(LEFT($U69,8)="Bangunan",$W69="Saldo Menurun"),"Bangunan wajib Garis Lurus (Ps.11 UU PPh)",IF(AND($S69="Unit Produksi",N($K69)=0),"Isi kapasitas unit",IF(AND(OR($S69="Garis Lurus",$S69="Saldo Menurun"),N($T69)&lt;=0),"Umur komersial kosong",IF(AND(OR($W69="Garis Lurus",$W69="Saldo Menurun"),N($V69)&lt;=0),"Masa manfaat fiskal kosong",IF(AND($Q69&lt;&gt;"",$Q69&lt;$F69),"Tgl pelepasan &lt; perolehan","OK")))))))))</f>
        <v/>
      </c>
    </row>
    <row r="70" spans="1:60" x14ac:dyDescent="0.25">
      <c r="A70" t="str">
        <f>IF($B70="","",ROW()-6)</f>
        <v/>
      </c>
      <c r="B70" s="9"/>
      <c r="C70" s="9"/>
      <c r="D70" s="9"/>
      <c r="E70" s="9"/>
      <c r="F70" s="17"/>
      <c r="G70" s="18"/>
      <c r="H70" s="18"/>
      <c r="I70" s="9"/>
      <c r="J70" s="9"/>
      <c r="K70" s="19"/>
      <c r="L70" s="19"/>
      <c r="M70" s="19"/>
      <c r="N70" s="9"/>
      <c r="O70" s="9"/>
      <c r="P70" s="9"/>
      <c r="Q70" s="17"/>
      <c r="R70" s="18"/>
      <c r="S70" t="str">
        <f>IF($B70="","",IF($I70&lt;&gt;"",$I70,IFERROR(INDEX(Kat_Metode,MATCH($D70,Kat_Nama,0)),"")))</f>
        <v/>
      </c>
      <c r="T70" t="str">
        <f>IF($B70="","",IF($J70&lt;&gt;"",$J70,IFERROR(INDEX(Kat_Umur,MATCH($D70,Kat_Nama,0)),0)))</f>
        <v/>
      </c>
      <c r="U70" t="str">
        <f>IF($B70="","",IF($N70&lt;&gt;"",$N70,IFERROR(INDEX(Kat_Kelompok,MATCH($D70,Kat_Nama,0)),"")))</f>
        <v/>
      </c>
      <c r="V70" t="str">
        <f>IF($B70="","",IF($U70="Masa Manfaat Sebenarnya",N($O70),IFERROR(INDEX(Kel_Masa,MATCH($U70,Kel_Nama,0)),0)))</f>
        <v/>
      </c>
      <c r="W70" t="str">
        <f>IF($B70="","",IF($P70&lt;&gt;"",$P70,IF(OR($U70="Tidak Disusutkan",$V70=0),"Tidak Disusutkan","Garis Lurus")))</f>
        <v/>
      </c>
      <c r="X70" t="str">
        <f>IF($B70="","",IF($Y70&gt;TahunBuku*12+12,"Belum Diperoleh",IF($Z70&lt;=TahunBuku*12,"Dilepas (thn lalu)",IF($AC70=1,"Dilepas thn ini",IF($AB70=1,"Perolehan baru","Aktif")))))</f>
        <v/>
      </c>
      <c r="Y70" s="20" t="str">
        <f>IF($B70="","",YEAR($F70)*12+MONTH($F70))</f>
        <v/>
      </c>
      <c r="Z70" s="20" t="str">
        <f>IF($B70="","",IF($Q70="",99999,YEAR($Q70)*12+MONTH($Q70)))</f>
        <v/>
      </c>
      <c r="AA70" s="20" t="str">
        <f>IF($B70="","",--AND($Y70&lt;=TahunBuku*12,$Z70&gt;TahunBuku*12))</f>
        <v/>
      </c>
      <c r="AB70" s="20" t="str">
        <f>IF($B70="","",--AND($Y70&gt;TahunBuku*12,$Y70&lt;=TahunBuku*12+12))</f>
        <v/>
      </c>
      <c r="AC70" s="20" t="str">
        <f>IF($B70="","",--AND($Z70&gt;TahunBuku*12,$Z70&lt;=TahunBuku*12+12,$Y70&lt;=$Z70))</f>
        <v/>
      </c>
      <c r="AD70" s="21" t="str">
        <f>IF($B70="","",IFERROR(IF($S70="Garis Lurus",$G70-($G70-$H70)*MIN($T70*12,MAX(0,TahunBuku*12-$Y70+1))/($T70*12),IF($S70="Saldo Menurun",IF(TahunBuku-1&lt;YEAR($F70),$G70,IF(TahunBuku-1&gt;=INT(($Y70+$T70*12-2)/12),$H70,MAX($H70,$G70*(1-2/$T70*(13-MONTH($F70))/12)*(1-2/$T70)^(TahunBuku-1-YEAR($F70))))),IF($S70="Unit Produksi",$G70-($G70-$H70)*MIN(1,N($L70)/$K70),$G70))),$G70))</f>
        <v/>
      </c>
      <c r="AE70" s="21" t="str">
        <f>IF($B70="","",IFERROR(IF($S70="Garis Lurus",$G70-($G70-$H70)*MIN($T70*12,MAX(0,TahunBuku*12+12-$Y70+1))/($T70*12),IF($S70="Saldo Menurun",IF(TahunBuku&lt;YEAR($F70),$G70,IF(TahunBuku&gt;=INT(($Y70+$T70*12-2)/12),$H70,MAX($H70,$G70*(1-2/$T70*(13-MONTH($F70))/12)*(1-2/$T70)^(TahunBuku-YEAR($F70))))),IF($S70="Unit Produksi",$G70-($G70-$H70)*MIN(1,(N($L70)+N($M70))/$K70),$G70))),$G70))</f>
        <v/>
      </c>
      <c r="AF70" s="20" t="str">
        <f>IF($B70="","",IF(OR($S70="Garis Lurus",$S70="Saldo Menurun",$S70="Unit Produksi"),MAX(0,IF($S70="Unit Produksi",TahunBuku*12+12,MIN(TahunBuku*12+12,$Y70+$T70*12-1))-MAX(TahunBuku*12+1,$Y70)+1),0))</f>
        <v/>
      </c>
      <c r="AG70" s="20" t="str">
        <f>IF($B70="","",IF(OR($S70="Garis Lurus",$S70="Saldo Menurun",$S70="Unit Produksi"),MAX(0,MIN($Z70,IF($S70="Unit Produksi",TahunBuku*12+12,MIN(TahunBuku*12+12,$Y70+$T70*12-1)))-MAX(TahunBuku*12+1,$Y70)+1),0))</f>
        <v/>
      </c>
      <c r="AH70" s="21" t="str">
        <f>IF($B70="","",IFERROR(IF($W70="Garis Lurus",$G70*(1-MIN($V70*12,MAX(0,TahunBuku*12-$Y70+1))/($V70*12)),IF($W70="Saldo Menurun",IF(TahunBuku-1&lt;YEAR($F70),$G70,IF(TahunBuku-1&gt;=INT(($Y70+$V70*12-2)/12),0,$G70*(1-2/$V70*(13-MONTH($F70))/12)*(1-2/$V70)^(TahunBuku-1-YEAR($F70)))),$G70)),$G70))</f>
        <v/>
      </c>
      <c r="AI70" s="21" t="str">
        <f>IF($B70="","",IFERROR(IF($W70="Garis Lurus",$G70*(1-MIN($V70*12,MAX(0,TahunBuku*12+12-$Y70+1))/($V70*12)),IF($W70="Saldo Menurun",IF(TahunBuku&lt;YEAR($F70),$G70,IF(TahunBuku&gt;=INT(($Y70+$V70*12-2)/12),0,$G70*(1-2/$V70*(13-MONTH($F70))/12)*(1-2/$V70)^(TahunBuku-YEAR($F70)))),$G70)),$G70))</f>
        <v/>
      </c>
      <c r="AJ70" s="20" t="str">
        <f>IF($B70="","",IF(OR($W70="Garis Lurus",$W70="Saldo Menurun"),MAX(0,MIN(TahunBuku*12+12,$Y70+$V70*12-1)-MAX(TahunBuku*12+1,$Y70)+1),0))</f>
        <v/>
      </c>
      <c r="AK70" s="20" t="str">
        <f>IF($B70="","",IF(OR($W70="Garis Lurus",$W70="Saldo Menurun"),MAX(0,MIN($Z70,TahunBuku*12+12,$Y70+$V70*12-1)-MAX(TahunBuku*12+1,$Y70)+1),0))</f>
        <v/>
      </c>
      <c r="AL70" s="22" t="str">
        <f>IF($B70="","",$G70*$AA70)</f>
        <v/>
      </c>
      <c r="AM70" s="22" t="str">
        <f>IF($B70="","",$G70*$AB70)</f>
        <v/>
      </c>
      <c r="AN70" s="22" t="str">
        <f>IF($B70="","",$G70*$AC70)</f>
        <v/>
      </c>
      <c r="AO70" s="22" t="str">
        <f>IF($B70="","",AL70+AM70-AN70)</f>
        <v/>
      </c>
      <c r="AP70" s="22" t="str">
        <f>IF($B70="","",($G70-$AD70)*$AA70)</f>
        <v/>
      </c>
      <c r="AQ70" s="22" t="str">
        <f>IF($B70="","",IF($AF70=0,0,($AD70-$AE70)*$AG70/$AF70)*MAX($AA70,$AB70))</f>
        <v/>
      </c>
      <c r="AR70" s="22" t="str">
        <f>IF($B70="","",(AP70+AQ70)*$AC70)</f>
        <v/>
      </c>
      <c r="AS70" s="22" t="str">
        <f>IF($B70="","",AP70+AQ70-AR70)</f>
        <v/>
      </c>
      <c r="AT70" s="22" t="str">
        <f>IF($B70="","",AO70-AS70)</f>
        <v/>
      </c>
      <c r="AU70" s="22" t="str">
        <f>IF($B70="","",IF($AC70=1,N($R70)-($G70-AR70),0))</f>
        <v/>
      </c>
      <c r="AV70" s="22" t="str">
        <f>IF($B70="","",($G70-$AH70)*$AA70)</f>
        <v/>
      </c>
      <c r="AW70" s="22" t="str">
        <f>IF($B70="","",IF($AJ70=0,0,($AH70-$AI70)*$AK70/$AJ70)*MAX($AA70,$AB70))</f>
        <v/>
      </c>
      <c r="AX70" s="22" t="str">
        <f>IF($B70="","",(AV70+AW70)*$AC70)</f>
        <v/>
      </c>
      <c r="AY70" s="22" t="str">
        <f>IF($B70="","",AV70+AW70-AX70)</f>
        <v/>
      </c>
      <c r="AZ70" s="22" t="str">
        <f>IF($B70="","",AO70-AY70)</f>
        <v/>
      </c>
      <c r="BA70" s="22" t="str">
        <f>IF($B70="","",IF($AC70=1,N($R70)-($G70-AX70),0))</f>
        <v/>
      </c>
      <c r="BB70" s="22" t="str">
        <f>IF($B70="","",ROUND(AQ70-AW70,0))</f>
        <v/>
      </c>
      <c r="BC70" s="22" t="str">
        <f>IF($B70="","",ROUND(BA70-AU70,0))</f>
        <v/>
      </c>
      <c r="BD70" s="22" t="str">
        <f>IF($B70="","",BB70+BC70)</f>
        <v/>
      </c>
      <c r="BE70" s="22" t="str">
        <f>IF($B70="","",ROUND(AV70-AP70,0))</f>
        <v/>
      </c>
      <c r="BF70" s="22" t="str">
        <f>IF($B70="","",ROUND(AT70-AZ70,0))</f>
        <v/>
      </c>
      <c r="BG70" s="22" t="str">
        <f>IF($B70="","",ROUND(BF70*TarifPPh,0))</f>
        <v/>
      </c>
      <c r="BH70" t="str">
        <f>IF($B70="","",IF($D70="","Kategori kosong",IF($F70="","Tgl perolehan kosong",IF(N($H70)&gt;$G70,"Residu &gt; harga perolehan",IF(AND(LEFT($U70,8)="Bangunan",$W70="Saldo Menurun"),"Bangunan wajib Garis Lurus (Ps.11 UU PPh)",IF(AND($S70="Unit Produksi",N($K70)=0),"Isi kapasitas unit",IF(AND(OR($S70="Garis Lurus",$S70="Saldo Menurun"),N($T70)&lt;=0),"Umur komersial kosong",IF(AND(OR($W70="Garis Lurus",$W70="Saldo Menurun"),N($V70)&lt;=0),"Masa manfaat fiskal kosong",IF(AND($Q70&lt;&gt;"",$Q70&lt;$F70),"Tgl pelepasan &lt; perolehan","OK")))))))))</f>
        <v/>
      </c>
    </row>
    <row r="71" spans="1:60" x14ac:dyDescent="0.25">
      <c r="A71" t="str">
        <f>IF($B71="","",ROW()-6)</f>
        <v/>
      </c>
      <c r="B71" s="9"/>
      <c r="C71" s="9"/>
      <c r="D71" s="9"/>
      <c r="E71" s="9"/>
      <c r="F71" s="17"/>
      <c r="G71" s="18"/>
      <c r="H71" s="18"/>
      <c r="I71" s="9"/>
      <c r="J71" s="9"/>
      <c r="K71" s="19"/>
      <c r="L71" s="19"/>
      <c r="M71" s="19"/>
      <c r="N71" s="9"/>
      <c r="O71" s="9"/>
      <c r="P71" s="9"/>
      <c r="Q71" s="17"/>
      <c r="R71" s="18"/>
      <c r="S71" t="str">
        <f>IF($B71="","",IF($I71&lt;&gt;"",$I71,IFERROR(INDEX(Kat_Metode,MATCH($D71,Kat_Nama,0)),"")))</f>
        <v/>
      </c>
      <c r="T71" t="str">
        <f>IF($B71="","",IF($J71&lt;&gt;"",$J71,IFERROR(INDEX(Kat_Umur,MATCH($D71,Kat_Nama,0)),0)))</f>
        <v/>
      </c>
      <c r="U71" t="str">
        <f>IF($B71="","",IF($N71&lt;&gt;"",$N71,IFERROR(INDEX(Kat_Kelompok,MATCH($D71,Kat_Nama,0)),"")))</f>
        <v/>
      </c>
      <c r="V71" t="str">
        <f>IF($B71="","",IF($U71="Masa Manfaat Sebenarnya",N($O71),IFERROR(INDEX(Kel_Masa,MATCH($U71,Kel_Nama,0)),0)))</f>
        <v/>
      </c>
      <c r="W71" t="str">
        <f>IF($B71="","",IF($P71&lt;&gt;"",$P71,IF(OR($U71="Tidak Disusutkan",$V71=0),"Tidak Disusutkan","Garis Lurus")))</f>
        <v/>
      </c>
      <c r="X71" t="str">
        <f>IF($B71="","",IF($Y71&gt;TahunBuku*12+12,"Belum Diperoleh",IF($Z71&lt;=TahunBuku*12,"Dilepas (thn lalu)",IF($AC71=1,"Dilepas thn ini",IF($AB71=1,"Perolehan baru","Aktif")))))</f>
        <v/>
      </c>
      <c r="Y71" s="20" t="str">
        <f>IF($B71="","",YEAR($F71)*12+MONTH($F71))</f>
        <v/>
      </c>
      <c r="Z71" s="20" t="str">
        <f>IF($B71="","",IF($Q71="",99999,YEAR($Q71)*12+MONTH($Q71)))</f>
        <v/>
      </c>
      <c r="AA71" s="20" t="str">
        <f>IF($B71="","",--AND($Y71&lt;=TahunBuku*12,$Z71&gt;TahunBuku*12))</f>
        <v/>
      </c>
      <c r="AB71" s="20" t="str">
        <f>IF($B71="","",--AND($Y71&gt;TahunBuku*12,$Y71&lt;=TahunBuku*12+12))</f>
        <v/>
      </c>
      <c r="AC71" s="20" t="str">
        <f>IF($B71="","",--AND($Z71&gt;TahunBuku*12,$Z71&lt;=TahunBuku*12+12,$Y71&lt;=$Z71))</f>
        <v/>
      </c>
      <c r="AD71" s="21" t="str">
        <f>IF($B71="","",IFERROR(IF($S71="Garis Lurus",$G71-($G71-$H71)*MIN($T71*12,MAX(0,TahunBuku*12-$Y71+1))/($T71*12),IF($S71="Saldo Menurun",IF(TahunBuku-1&lt;YEAR($F71),$G71,IF(TahunBuku-1&gt;=INT(($Y71+$T71*12-2)/12),$H71,MAX($H71,$G71*(1-2/$T71*(13-MONTH($F71))/12)*(1-2/$T71)^(TahunBuku-1-YEAR($F71))))),IF($S71="Unit Produksi",$G71-($G71-$H71)*MIN(1,N($L71)/$K71),$G71))),$G71))</f>
        <v/>
      </c>
      <c r="AE71" s="21" t="str">
        <f>IF($B71="","",IFERROR(IF($S71="Garis Lurus",$G71-($G71-$H71)*MIN($T71*12,MAX(0,TahunBuku*12+12-$Y71+1))/($T71*12),IF($S71="Saldo Menurun",IF(TahunBuku&lt;YEAR($F71),$G71,IF(TahunBuku&gt;=INT(($Y71+$T71*12-2)/12),$H71,MAX($H71,$G71*(1-2/$T71*(13-MONTH($F71))/12)*(1-2/$T71)^(TahunBuku-YEAR($F71))))),IF($S71="Unit Produksi",$G71-($G71-$H71)*MIN(1,(N($L71)+N($M71))/$K71),$G71))),$G71))</f>
        <v/>
      </c>
      <c r="AF71" s="20" t="str">
        <f>IF($B71="","",IF(OR($S71="Garis Lurus",$S71="Saldo Menurun",$S71="Unit Produksi"),MAX(0,IF($S71="Unit Produksi",TahunBuku*12+12,MIN(TahunBuku*12+12,$Y71+$T71*12-1))-MAX(TahunBuku*12+1,$Y71)+1),0))</f>
        <v/>
      </c>
      <c r="AG71" s="20" t="str">
        <f>IF($B71="","",IF(OR($S71="Garis Lurus",$S71="Saldo Menurun",$S71="Unit Produksi"),MAX(0,MIN($Z71,IF($S71="Unit Produksi",TahunBuku*12+12,MIN(TahunBuku*12+12,$Y71+$T71*12-1)))-MAX(TahunBuku*12+1,$Y71)+1),0))</f>
        <v/>
      </c>
      <c r="AH71" s="21" t="str">
        <f>IF($B71="","",IFERROR(IF($W71="Garis Lurus",$G71*(1-MIN($V71*12,MAX(0,TahunBuku*12-$Y71+1))/($V71*12)),IF($W71="Saldo Menurun",IF(TahunBuku-1&lt;YEAR($F71),$G71,IF(TahunBuku-1&gt;=INT(($Y71+$V71*12-2)/12),0,$G71*(1-2/$V71*(13-MONTH($F71))/12)*(1-2/$V71)^(TahunBuku-1-YEAR($F71)))),$G71)),$G71))</f>
        <v/>
      </c>
      <c r="AI71" s="21" t="str">
        <f>IF($B71="","",IFERROR(IF($W71="Garis Lurus",$G71*(1-MIN($V71*12,MAX(0,TahunBuku*12+12-$Y71+1))/($V71*12)),IF($W71="Saldo Menurun",IF(TahunBuku&lt;YEAR($F71),$G71,IF(TahunBuku&gt;=INT(($Y71+$V71*12-2)/12),0,$G71*(1-2/$V71*(13-MONTH($F71))/12)*(1-2/$V71)^(TahunBuku-YEAR($F71)))),$G71)),$G71))</f>
        <v/>
      </c>
      <c r="AJ71" s="20" t="str">
        <f>IF($B71="","",IF(OR($W71="Garis Lurus",$W71="Saldo Menurun"),MAX(0,MIN(TahunBuku*12+12,$Y71+$V71*12-1)-MAX(TahunBuku*12+1,$Y71)+1),0))</f>
        <v/>
      </c>
      <c r="AK71" s="20" t="str">
        <f>IF($B71="","",IF(OR($W71="Garis Lurus",$W71="Saldo Menurun"),MAX(0,MIN($Z71,TahunBuku*12+12,$Y71+$V71*12-1)-MAX(TahunBuku*12+1,$Y71)+1),0))</f>
        <v/>
      </c>
      <c r="AL71" s="22" t="str">
        <f>IF($B71="","",$G71*$AA71)</f>
        <v/>
      </c>
      <c r="AM71" s="22" t="str">
        <f>IF($B71="","",$G71*$AB71)</f>
        <v/>
      </c>
      <c r="AN71" s="22" t="str">
        <f>IF($B71="","",$G71*$AC71)</f>
        <v/>
      </c>
      <c r="AO71" s="22" t="str">
        <f>IF($B71="","",AL71+AM71-AN71)</f>
        <v/>
      </c>
      <c r="AP71" s="22" t="str">
        <f>IF($B71="","",($G71-$AD71)*$AA71)</f>
        <v/>
      </c>
      <c r="AQ71" s="22" t="str">
        <f>IF($B71="","",IF($AF71=0,0,($AD71-$AE71)*$AG71/$AF71)*MAX($AA71,$AB71))</f>
        <v/>
      </c>
      <c r="AR71" s="22" t="str">
        <f>IF($B71="","",(AP71+AQ71)*$AC71)</f>
        <v/>
      </c>
      <c r="AS71" s="22" t="str">
        <f>IF($B71="","",AP71+AQ71-AR71)</f>
        <v/>
      </c>
      <c r="AT71" s="22" t="str">
        <f>IF($B71="","",AO71-AS71)</f>
        <v/>
      </c>
      <c r="AU71" s="22" t="str">
        <f>IF($B71="","",IF($AC71=1,N($R71)-($G71-AR71),0))</f>
        <v/>
      </c>
      <c r="AV71" s="22" t="str">
        <f>IF($B71="","",($G71-$AH71)*$AA71)</f>
        <v/>
      </c>
      <c r="AW71" s="22" t="str">
        <f>IF($B71="","",IF($AJ71=0,0,($AH71-$AI71)*$AK71/$AJ71)*MAX($AA71,$AB71))</f>
        <v/>
      </c>
      <c r="AX71" s="22" t="str">
        <f>IF($B71="","",(AV71+AW71)*$AC71)</f>
        <v/>
      </c>
      <c r="AY71" s="22" t="str">
        <f>IF($B71="","",AV71+AW71-AX71)</f>
        <v/>
      </c>
      <c r="AZ71" s="22" t="str">
        <f>IF($B71="","",AO71-AY71)</f>
        <v/>
      </c>
      <c r="BA71" s="22" t="str">
        <f>IF($B71="","",IF($AC71=1,N($R71)-($G71-AX71),0))</f>
        <v/>
      </c>
      <c r="BB71" s="22" t="str">
        <f>IF($B71="","",ROUND(AQ71-AW71,0))</f>
        <v/>
      </c>
      <c r="BC71" s="22" t="str">
        <f>IF($B71="","",ROUND(BA71-AU71,0))</f>
        <v/>
      </c>
      <c r="BD71" s="22" t="str">
        <f>IF($B71="","",BB71+BC71)</f>
        <v/>
      </c>
      <c r="BE71" s="22" t="str">
        <f>IF($B71="","",ROUND(AV71-AP71,0))</f>
        <v/>
      </c>
      <c r="BF71" s="22" t="str">
        <f>IF($B71="","",ROUND(AT71-AZ71,0))</f>
        <v/>
      </c>
      <c r="BG71" s="22" t="str">
        <f>IF($B71="","",ROUND(BF71*TarifPPh,0))</f>
        <v/>
      </c>
      <c r="BH71" t="str">
        <f>IF($B71="","",IF($D71="","Kategori kosong",IF($F71="","Tgl perolehan kosong",IF(N($H71)&gt;$G71,"Residu &gt; harga perolehan",IF(AND(LEFT($U71,8)="Bangunan",$W71="Saldo Menurun"),"Bangunan wajib Garis Lurus (Ps.11 UU PPh)",IF(AND($S71="Unit Produksi",N($K71)=0),"Isi kapasitas unit",IF(AND(OR($S71="Garis Lurus",$S71="Saldo Menurun"),N($T71)&lt;=0),"Umur komersial kosong",IF(AND(OR($W71="Garis Lurus",$W71="Saldo Menurun"),N($V71)&lt;=0),"Masa manfaat fiskal kosong",IF(AND($Q71&lt;&gt;"",$Q71&lt;$F71),"Tgl pelepasan &lt; perolehan","OK")))))))))</f>
        <v/>
      </c>
    </row>
    <row r="72" spans="1:60" x14ac:dyDescent="0.25">
      <c r="A72" t="str">
        <f>IF($B72="","",ROW()-6)</f>
        <v/>
      </c>
      <c r="B72" s="9"/>
      <c r="C72" s="9"/>
      <c r="D72" s="9"/>
      <c r="E72" s="9"/>
      <c r="F72" s="17"/>
      <c r="G72" s="18"/>
      <c r="H72" s="18"/>
      <c r="I72" s="9"/>
      <c r="J72" s="9"/>
      <c r="K72" s="19"/>
      <c r="L72" s="19"/>
      <c r="M72" s="19"/>
      <c r="N72" s="9"/>
      <c r="O72" s="9"/>
      <c r="P72" s="9"/>
      <c r="Q72" s="17"/>
      <c r="R72" s="18"/>
      <c r="S72" t="str">
        <f>IF($B72="","",IF($I72&lt;&gt;"",$I72,IFERROR(INDEX(Kat_Metode,MATCH($D72,Kat_Nama,0)),"")))</f>
        <v/>
      </c>
      <c r="T72" t="str">
        <f>IF($B72="","",IF($J72&lt;&gt;"",$J72,IFERROR(INDEX(Kat_Umur,MATCH($D72,Kat_Nama,0)),0)))</f>
        <v/>
      </c>
      <c r="U72" t="str">
        <f>IF($B72="","",IF($N72&lt;&gt;"",$N72,IFERROR(INDEX(Kat_Kelompok,MATCH($D72,Kat_Nama,0)),"")))</f>
        <v/>
      </c>
      <c r="V72" t="str">
        <f>IF($B72="","",IF($U72="Masa Manfaat Sebenarnya",N($O72),IFERROR(INDEX(Kel_Masa,MATCH($U72,Kel_Nama,0)),0)))</f>
        <v/>
      </c>
      <c r="W72" t="str">
        <f>IF($B72="","",IF($P72&lt;&gt;"",$P72,IF(OR($U72="Tidak Disusutkan",$V72=0),"Tidak Disusutkan","Garis Lurus")))</f>
        <v/>
      </c>
      <c r="X72" t="str">
        <f>IF($B72="","",IF($Y72&gt;TahunBuku*12+12,"Belum Diperoleh",IF($Z72&lt;=TahunBuku*12,"Dilepas (thn lalu)",IF($AC72=1,"Dilepas thn ini",IF($AB72=1,"Perolehan baru","Aktif")))))</f>
        <v/>
      </c>
      <c r="Y72" s="20" t="str">
        <f>IF($B72="","",YEAR($F72)*12+MONTH($F72))</f>
        <v/>
      </c>
      <c r="Z72" s="20" t="str">
        <f>IF($B72="","",IF($Q72="",99999,YEAR($Q72)*12+MONTH($Q72)))</f>
        <v/>
      </c>
      <c r="AA72" s="20" t="str">
        <f>IF($B72="","",--AND($Y72&lt;=TahunBuku*12,$Z72&gt;TahunBuku*12))</f>
        <v/>
      </c>
      <c r="AB72" s="20" t="str">
        <f>IF($B72="","",--AND($Y72&gt;TahunBuku*12,$Y72&lt;=TahunBuku*12+12))</f>
        <v/>
      </c>
      <c r="AC72" s="20" t="str">
        <f>IF($B72="","",--AND($Z72&gt;TahunBuku*12,$Z72&lt;=TahunBuku*12+12,$Y72&lt;=$Z72))</f>
        <v/>
      </c>
      <c r="AD72" s="21" t="str">
        <f>IF($B72="","",IFERROR(IF($S72="Garis Lurus",$G72-($G72-$H72)*MIN($T72*12,MAX(0,TahunBuku*12-$Y72+1))/($T72*12),IF($S72="Saldo Menurun",IF(TahunBuku-1&lt;YEAR($F72),$G72,IF(TahunBuku-1&gt;=INT(($Y72+$T72*12-2)/12),$H72,MAX($H72,$G72*(1-2/$T72*(13-MONTH($F72))/12)*(1-2/$T72)^(TahunBuku-1-YEAR($F72))))),IF($S72="Unit Produksi",$G72-($G72-$H72)*MIN(1,N($L72)/$K72),$G72))),$G72))</f>
        <v/>
      </c>
      <c r="AE72" s="21" t="str">
        <f>IF($B72="","",IFERROR(IF($S72="Garis Lurus",$G72-($G72-$H72)*MIN($T72*12,MAX(0,TahunBuku*12+12-$Y72+1))/($T72*12),IF($S72="Saldo Menurun",IF(TahunBuku&lt;YEAR($F72),$G72,IF(TahunBuku&gt;=INT(($Y72+$T72*12-2)/12),$H72,MAX($H72,$G72*(1-2/$T72*(13-MONTH($F72))/12)*(1-2/$T72)^(TahunBuku-YEAR($F72))))),IF($S72="Unit Produksi",$G72-($G72-$H72)*MIN(1,(N($L72)+N($M72))/$K72),$G72))),$G72))</f>
        <v/>
      </c>
      <c r="AF72" s="20" t="str">
        <f>IF($B72="","",IF(OR($S72="Garis Lurus",$S72="Saldo Menurun",$S72="Unit Produksi"),MAX(0,IF($S72="Unit Produksi",TahunBuku*12+12,MIN(TahunBuku*12+12,$Y72+$T72*12-1))-MAX(TahunBuku*12+1,$Y72)+1),0))</f>
        <v/>
      </c>
      <c r="AG72" s="20" t="str">
        <f>IF($B72="","",IF(OR($S72="Garis Lurus",$S72="Saldo Menurun",$S72="Unit Produksi"),MAX(0,MIN($Z72,IF($S72="Unit Produksi",TahunBuku*12+12,MIN(TahunBuku*12+12,$Y72+$T72*12-1)))-MAX(TahunBuku*12+1,$Y72)+1),0))</f>
        <v/>
      </c>
      <c r="AH72" s="21" t="str">
        <f>IF($B72="","",IFERROR(IF($W72="Garis Lurus",$G72*(1-MIN($V72*12,MAX(0,TahunBuku*12-$Y72+1))/($V72*12)),IF($W72="Saldo Menurun",IF(TahunBuku-1&lt;YEAR($F72),$G72,IF(TahunBuku-1&gt;=INT(($Y72+$V72*12-2)/12),0,$G72*(1-2/$V72*(13-MONTH($F72))/12)*(1-2/$V72)^(TahunBuku-1-YEAR($F72)))),$G72)),$G72))</f>
        <v/>
      </c>
      <c r="AI72" s="21" t="str">
        <f>IF($B72="","",IFERROR(IF($W72="Garis Lurus",$G72*(1-MIN($V72*12,MAX(0,TahunBuku*12+12-$Y72+1))/($V72*12)),IF($W72="Saldo Menurun",IF(TahunBuku&lt;YEAR($F72),$G72,IF(TahunBuku&gt;=INT(($Y72+$V72*12-2)/12),0,$G72*(1-2/$V72*(13-MONTH($F72))/12)*(1-2/$V72)^(TahunBuku-YEAR($F72)))),$G72)),$G72))</f>
        <v/>
      </c>
      <c r="AJ72" s="20" t="str">
        <f>IF($B72="","",IF(OR($W72="Garis Lurus",$W72="Saldo Menurun"),MAX(0,MIN(TahunBuku*12+12,$Y72+$V72*12-1)-MAX(TahunBuku*12+1,$Y72)+1),0))</f>
        <v/>
      </c>
      <c r="AK72" s="20" t="str">
        <f>IF($B72="","",IF(OR($W72="Garis Lurus",$W72="Saldo Menurun"),MAX(0,MIN($Z72,TahunBuku*12+12,$Y72+$V72*12-1)-MAX(TahunBuku*12+1,$Y72)+1),0))</f>
        <v/>
      </c>
      <c r="AL72" s="22" t="str">
        <f>IF($B72="","",$G72*$AA72)</f>
        <v/>
      </c>
      <c r="AM72" s="22" t="str">
        <f>IF($B72="","",$G72*$AB72)</f>
        <v/>
      </c>
      <c r="AN72" s="22" t="str">
        <f>IF($B72="","",$G72*$AC72)</f>
        <v/>
      </c>
      <c r="AO72" s="22" t="str">
        <f>IF($B72="","",AL72+AM72-AN72)</f>
        <v/>
      </c>
      <c r="AP72" s="22" t="str">
        <f>IF($B72="","",($G72-$AD72)*$AA72)</f>
        <v/>
      </c>
      <c r="AQ72" s="22" t="str">
        <f>IF($B72="","",IF($AF72=0,0,($AD72-$AE72)*$AG72/$AF72)*MAX($AA72,$AB72))</f>
        <v/>
      </c>
      <c r="AR72" s="22" t="str">
        <f>IF($B72="","",(AP72+AQ72)*$AC72)</f>
        <v/>
      </c>
      <c r="AS72" s="22" t="str">
        <f>IF($B72="","",AP72+AQ72-AR72)</f>
        <v/>
      </c>
      <c r="AT72" s="22" t="str">
        <f>IF($B72="","",AO72-AS72)</f>
        <v/>
      </c>
      <c r="AU72" s="22" t="str">
        <f>IF($B72="","",IF($AC72=1,N($R72)-($G72-AR72),0))</f>
        <v/>
      </c>
      <c r="AV72" s="22" t="str">
        <f>IF($B72="","",($G72-$AH72)*$AA72)</f>
        <v/>
      </c>
      <c r="AW72" s="22" t="str">
        <f>IF($B72="","",IF($AJ72=0,0,($AH72-$AI72)*$AK72/$AJ72)*MAX($AA72,$AB72))</f>
        <v/>
      </c>
      <c r="AX72" s="22" t="str">
        <f>IF($B72="","",(AV72+AW72)*$AC72)</f>
        <v/>
      </c>
      <c r="AY72" s="22" t="str">
        <f>IF($B72="","",AV72+AW72-AX72)</f>
        <v/>
      </c>
      <c r="AZ72" s="22" t="str">
        <f>IF($B72="","",AO72-AY72)</f>
        <v/>
      </c>
      <c r="BA72" s="22" t="str">
        <f>IF($B72="","",IF($AC72=1,N($R72)-($G72-AX72),0))</f>
        <v/>
      </c>
      <c r="BB72" s="22" t="str">
        <f>IF($B72="","",ROUND(AQ72-AW72,0))</f>
        <v/>
      </c>
      <c r="BC72" s="22" t="str">
        <f>IF($B72="","",ROUND(BA72-AU72,0))</f>
        <v/>
      </c>
      <c r="BD72" s="22" t="str">
        <f>IF($B72="","",BB72+BC72)</f>
        <v/>
      </c>
      <c r="BE72" s="22" t="str">
        <f>IF($B72="","",ROUND(AV72-AP72,0))</f>
        <v/>
      </c>
      <c r="BF72" s="22" t="str">
        <f>IF($B72="","",ROUND(AT72-AZ72,0))</f>
        <v/>
      </c>
      <c r="BG72" s="22" t="str">
        <f>IF($B72="","",ROUND(BF72*TarifPPh,0))</f>
        <v/>
      </c>
      <c r="BH72" t="str">
        <f>IF($B72="","",IF($D72="","Kategori kosong",IF($F72="","Tgl perolehan kosong",IF(N($H72)&gt;$G72,"Residu &gt; harga perolehan",IF(AND(LEFT($U72,8)="Bangunan",$W72="Saldo Menurun"),"Bangunan wajib Garis Lurus (Ps.11 UU PPh)",IF(AND($S72="Unit Produksi",N($K72)=0),"Isi kapasitas unit",IF(AND(OR($S72="Garis Lurus",$S72="Saldo Menurun"),N($T72)&lt;=0),"Umur komersial kosong",IF(AND(OR($W72="Garis Lurus",$W72="Saldo Menurun"),N($V72)&lt;=0),"Masa manfaat fiskal kosong",IF(AND($Q72&lt;&gt;"",$Q72&lt;$F72),"Tgl pelepasan &lt; perolehan","OK")))))))))</f>
        <v/>
      </c>
    </row>
    <row r="73" spans="1:60" x14ac:dyDescent="0.25">
      <c r="A73" t="str">
        <f>IF($B73="","",ROW()-6)</f>
        <v/>
      </c>
      <c r="B73" s="9"/>
      <c r="C73" s="9"/>
      <c r="D73" s="9"/>
      <c r="E73" s="9"/>
      <c r="F73" s="17"/>
      <c r="G73" s="18"/>
      <c r="H73" s="18"/>
      <c r="I73" s="9"/>
      <c r="J73" s="9"/>
      <c r="K73" s="19"/>
      <c r="L73" s="19"/>
      <c r="M73" s="19"/>
      <c r="N73" s="9"/>
      <c r="O73" s="9"/>
      <c r="P73" s="9"/>
      <c r="Q73" s="17"/>
      <c r="R73" s="18"/>
      <c r="S73" t="str">
        <f>IF($B73="","",IF($I73&lt;&gt;"",$I73,IFERROR(INDEX(Kat_Metode,MATCH($D73,Kat_Nama,0)),"")))</f>
        <v/>
      </c>
      <c r="T73" t="str">
        <f>IF($B73="","",IF($J73&lt;&gt;"",$J73,IFERROR(INDEX(Kat_Umur,MATCH($D73,Kat_Nama,0)),0)))</f>
        <v/>
      </c>
      <c r="U73" t="str">
        <f>IF($B73="","",IF($N73&lt;&gt;"",$N73,IFERROR(INDEX(Kat_Kelompok,MATCH($D73,Kat_Nama,0)),"")))</f>
        <v/>
      </c>
      <c r="V73" t="str">
        <f>IF($B73="","",IF($U73="Masa Manfaat Sebenarnya",N($O73),IFERROR(INDEX(Kel_Masa,MATCH($U73,Kel_Nama,0)),0)))</f>
        <v/>
      </c>
      <c r="W73" t="str">
        <f>IF($B73="","",IF($P73&lt;&gt;"",$P73,IF(OR($U73="Tidak Disusutkan",$V73=0),"Tidak Disusutkan","Garis Lurus")))</f>
        <v/>
      </c>
      <c r="X73" t="str">
        <f>IF($B73="","",IF($Y73&gt;TahunBuku*12+12,"Belum Diperoleh",IF($Z73&lt;=TahunBuku*12,"Dilepas (thn lalu)",IF($AC73=1,"Dilepas thn ini",IF($AB73=1,"Perolehan baru","Aktif")))))</f>
        <v/>
      </c>
      <c r="Y73" s="20" t="str">
        <f>IF($B73="","",YEAR($F73)*12+MONTH($F73))</f>
        <v/>
      </c>
      <c r="Z73" s="20" t="str">
        <f>IF($B73="","",IF($Q73="",99999,YEAR($Q73)*12+MONTH($Q73)))</f>
        <v/>
      </c>
      <c r="AA73" s="20" t="str">
        <f>IF($B73="","",--AND($Y73&lt;=TahunBuku*12,$Z73&gt;TahunBuku*12))</f>
        <v/>
      </c>
      <c r="AB73" s="20" t="str">
        <f>IF($B73="","",--AND($Y73&gt;TahunBuku*12,$Y73&lt;=TahunBuku*12+12))</f>
        <v/>
      </c>
      <c r="AC73" s="20" t="str">
        <f>IF($B73="","",--AND($Z73&gt;TahunBuku*12,$Z73&lt;=TahunBuku*12+12,$Y73&lt;=$Z73))</f>
        <v/>
      </c>
      <c r="AD73" s="21" t="str">
        <f>IF($B73="","",IFERROR(IF($S73="Garis Lurus",$G73-($G73-$H73)*MIN($T73*12,MAX(0,TahunBuku*12-$Y73+1))/($T73*12),IF($S73="Saldo Menurun",IF(TahunBuku-1&lt;YEAR($F73),$G73,IF(TahunBuku-1&gt;=INT(($Y73+$T73*12-2)/12),$H73,MAX($H73,$G73*(1-2/$T73*(13-MONTH($F73))/12)*(1-2/$T73)^(TahunBuku-1-YEAR($F73))))),IF($S73="Unit Produksi",$G73-($G73-$H73)*MIN(1,N($L73)/$K73),$G73))),$G73))</f>
        <v/>
      </c>
      <c r="AE73" s="21" t="str">
        <f>IF($B73="","",IFERROR(IF($S73="Garis Lurus",$G73-($G73-$H73)*MIN($T73*12,MAX(0,TahunBuku*12+12-$Y73+1))/($T73*12),IF($S73="Saldo Menurun",IF(TahunBuku&lt;YEAR($F73),$G73,IF(TahunBuku&gt;=INT(($Y73+$T73*12-2)/12),$H73,MAX($H73,$G73*(1-2/$T73*(13-MONTH($F73))/12)*(1-2/$T73)^(TahunBuku-YEAR($F73))))),IF($S73="Unit Produksi",$G73-($G73-$H73)*MIN(1,(N($L73)+N($M73))/$K73),$G73))),$G73))</f>
        <v/>
      </c>
      <c r="AF73" s="20" t="str">
        <f>IF($B73="","",IF(OR($S73="Garis Lurus",$S73="Saldo Menurun",$S73="Unit Produksi"),MAX(0,IF($S73="Unit Produksi",TahunBuku*12+12,MIN(TahunBuku*12+12,$Y73+$T73*12-1))-MAX(TahunBuku*12+1,$Y73)+1),0))</f>
        <v/>
      </c>
      <c r="AG73" s="20" t="str">
        <f>IF($B73="","",IF(OR($S73="Garis Lurus",$S73="Saldo Menurun",$S73="Unit Produksi"),MAX(0,MIN($Z73,IF($S73="Unit Produksi",TahunBuku*12+12,MIN(TahunBuku*12+12,$Y73+$T73*12-1)))-MAX(TahunBuku*12+1,$Y73)+1),0))</f>
        <v/>
      </c>
      <c r="AH73" s="21" t="str">
        <f>IF($B73="","",IFERROR(IF($W73="Garis Lurus",$G73*(1-MIN($V73*12,MAX(0,TahunBuku*12-$Y73+1))/($V73*12)),IF($W73="Saldo Menurun",IF(TahunBuku-1&lt;YEAR($F73),$G73,IF(TahunBuku-1&gt;=INT(($Y73+$V73*12-2)/12),0,$G73*(1-2/$V73*(13-MONTH($F73))/12)*(1-2/$V73)^(TahunBuku-1-YEAR($F73)))),$G73)),$G73))</f>
        <v/>
      </c>
      <c r="AI73" s="21" t="str">
        <f>IF($B73="","",IFERROR(IF($W73="Garis Lurus",$G73*(1-MIN($V73*12,MAX(0,TahunBuku*12+12-$Y73+1))/($V73*12)),IF($W73="Saldo Menurun",IF(TahunBuku&lt;YEAR($F73),$G73,IF(TahunBuku&gt;=INT(($Y73+$V73*12-2)/12),0,$G73*(1-2/$V73*(13-MONTH($F73))/12)*(1-2/$V73)^(TahunBuku-YEAR($F73)))),$G73)),$G73))</f>
        <v/>
      </c>
      <c r="AJ73" s="20" t="str">
        <f>IF($B73="","",IF(OR($W73="Garis Lurus",$W73="Saldo Menurun"),MAX(0,MIN(TahunBuku*12+12,$Y73+$V73*12-1)-MAX(TahunBuku*12+1,$Y73)+1),0))</f>
        <v/>
      </c>
      <c r="AK73" s="20" t="str">
        <f>IF($B73="","",IF(OR($W73="Garis Lurus",$W73="Saldo Menurun"),MAX(0,MIN($Z73,TahunBuku*12+12,$Y73+$V73*12-1)-MAX(TahunBuku*12+1,$Y73)+1),0))</f>
        <v/>
      </c>
      <c r="AL73" s="22" t="str">
        <f>IF($B73="","",$G73*$AA73)</f>
        <v/>
      </c>
      <c r="AM73" s="22" t="str">
        <f>IF($B73="","",$G73*$AB73)</f>
        <v/>
      </c>
      <c r="AN73" s="22" t="str">
        <f>IF($B73="","",$G73*$AC73)</f>
        <v/>
      </c>
      <c r="AO73" s="22" t="str">
        <f>IF($B73="","",AL73+AM73-AN73)</f>
        <v/>
      </c>
      <c r="AP73" s="22" t="str">
        <f>IF($B73="","",($G73-$AD73)*$AA73)</f>
        <v/>
      </c>
      <c r="AQ73" s="22" t="str">
        <f>IF($B73="","",IF($AF73=0,0,($AD73-$AE73)*$AG73/$AF73)*MAX($AA73,$AB73))</f>
        <v/>
      </c>
      <c r="AR73" s="22" t="str">
        <f>IF($B73="","",(AP73+AQ73)*$AC73)</f>
        <v/>
      </c>
      <c r="AS73" s="22" t="str">
        <f>IF($B73="","",AP73+AQ73-AR73)</f>
        <v/>
      </c>
      <c r="AT73" s="22" t="str">
        <f>IF($B73="","",AO73-AS73)</f>
        <v/>
      </c>
      <c r="AU73" s="22" t="str">
        <f>IF($B73="","",IF($AC73=1,N($R73)-($G73-AR73),0))</f>
        <v/>
      </c>
      <c r="AV73" s="22" t="str">
        <f>IF($B73="","",($G73-$AH73)*$AA73)</f>
        <v/>
      </c>
      <c r="AW73" s="22" t="str">
        <f>IF($B73="","",IF($AJ73=0,0,($AH73-$AI73)*$AK73/$AJ73)*MAX($AA73,$AB73))</f>
        <v/>
      </c>
      <c r="AX73" s="22" t="str">
        <f>IF($B73="","",(AV73+AW73)*$AC73)</f>
        <v/>
      </c>
      <c r="AY73" s="22" t="str">
        <f>IF($B73="","",AV73+AW73-AX73)</f>
        <v/>
      </c>
      <c r="AZ73" s="22" t="str">
        <f>IF($B73="","",AO73-AY73)</f>
        <v/>
      </c>
      <c r="BA73" s="22" t="str">
        <f>IF($B73="","",IF($AC73=1,N($R73)-($G73-AX73),0))</f>
        <v/>
      </c>
      <c r="BB73" s="22" t="str">
        <f>IF($B73="","",ROUND(AQ73-AW73,0))</f>
        <v/>
      </c>
      <c r="BC73" s="22" t="str">
        <f>IF($B73="","",ROUND(BA73-AU73,0))</f>
        <v/>
      </c>
      <c r="BD73" s="22" t="str">
        <f>IF($B73="","",BB73+BC73)</f>
        <v/>
      </c>
      <c r="BE73" s="22" t="str">
        <f>IF($B73="","",ROUND(AV73-AP73,0))</f>
        <v/>
      </c>
      <c r="BF73" s="22" t="str">
        <f>IF($B73="","",ROUND(AT73-AZ73,0))</f>
        <v/>
      </c>
      <c r="BG73" s="22" t="str">
        <f>IF($B73="","",ROUND(BF73*TarifPPh,0))</f>
        <v/>
      </c>
      <c r="BH73" t="str">
        <f>IF($B73="","",IF($D73="","Kategori kosong",IF($F73="","Tgl perolehan kosong",IF(N($H73)&gt;$G73,"Residu &gt; harga perolehan",IF(AND(LEFT($U73,8)="Bangunan",$W73="Saldo Menurun"),"Bangunan wajib Garis Lurus (Ps.11 UU PPh)",IF(AND($S73="Unit Produksi",N($K73)=0),"Isi kapasitas unit",IF(AND(OR($S73="Garis Lurus",$S73="Saldo Menurun"),N($T73)&lt;=0),"Umur komersial kosong",IF(AND(OR($W73="Garis Lurus",$W73="Saldo Menurun"),N($V73)&lt;=0),"Masa manfaat fiskal kosong",IF(AND($Q73&lt;&gt;"",$Q73&lt;$F73),"Tgl pelepasan &lt; perolehan","OK")))))))))</f>
        <v/>
      </c>
    </row>
    <row r="74" spans="1:60" x14ac:dyDescent="0.25">
      <c r="A74" t="str">
        <f>IF($B74="","",ROW()-6)</f>
        <v/>
      </c>
      <c r="B74" s="9"/>
      <c r="C74" s="9"/>
      <c r="D74" s="9"/>
      <c r="E74" s="9"/>
      <c r="F74" s="17"/>
      <c r="G74" s="18"/>
      <c r="H74" s="18"/>
      <c r="I74" s="9"/>
      <c r="J74" s="9"/>
      <c r="K74" s="19"/>
      <c r="L74" s="19"/>
      <c r="M74" s="19"/>
      <c r="N74" s="9"/>
      <c r="O74" s="9"/>
      <c r="P74" s="9"/>
      <c r="Q74" s="17"/>
      <c r="R74" s="18"/>
      <c r="S74" t="str">
        <f>IF($B74="","",IF($I74&lt;&gt;"",$I74,IFERROR(INDEX(Kat_Metode,MATCH($D74,Kat_Nama,0)),"")))</f>
        <v/>
      </c>
      <c r="T74" t="str">
        <f>IF($B74="","",IF($J74&lt;&gt;"",$J74,IFERROR(INDEX(Kat_Umur,MATCH($D74,Kat_Nama,0)),0)))</f>
        <v/>
      </c>
      <c r="U74" t="str">
        <f>IF($B74="","",IF($N74&lt;&gt;"",$N74,IFERROR(INDEX(Kat_Kelompok,MATCH($D74,Kat_Nama,0)),"")))</f>
        <v/>
      </c>
      <c r="V74" t="str">
        <f>IF($B74="","",IF($U74="Masa Manfaat Sebenarnya",N($O74),IFERROR(INDEX(Kel_Masa,MATCH($U74,Kel_Nama,0)),0)))</f>
        <v/>
      </c>
      <c r="W74" t="str">
        <f>IF($B74="","",IF($P74&lt;&gt;"",$P74,IF(OR($U74="Tidak Disusutkan",$V74=0),"Tidak Disusutkan","Garis Lurus")))</f>
        <v/>
      </c>
      <c r="X74" t="str">
        <f>IF($B74="","",IF($Y74&gt;TahunBuku*12+12,"Belum Diperoleh",IF($Z74&lt;=TahunBuku*12,"Dilepas (thn lalu)",IF($AC74=1,"Dilepas thn ini",IF($AB74=1,"Perolehan baru","Aktif")))))</f>
        <v/>
      </c>
      <c r="Y74" s="20" t="str">
        <f>IF($B74="","",YEAR($F74)*12+MONTH($F74))</f>
        <v/>
      </c>
      <c r="Z74" s="20" t="str">
        <f>IF($B74="","",IF($Q74="",99999,YEAR($Q74)*12+MONTH($Q74)))</f>
        <v/>
      </c>
      <c r="AA74" s="20" t="str">
        <f>IF($B74="","",--AND($Y74&lt;=TahunBuku*12,$Z74&gt;TahunBuku*12))</f>
        <v/>
      </c>
      <c r="AB74" s="20" t="str">
        <f>IF($B74="","",--AND($Y74&gt;TahunBuku*12,$Y74&lt;=TahunBuku*12+12))</f>
        <v/>
      </c>
      <c r="AC74" s="20" t="str">
        <f>IF($B74="","",--AND($Z74&gt;TahunBuku*12,$Z74&lt;=TahunBuku*12+12,$Y74&lt;=$Z74))</f>
        <v/>
      </c>
      <c r="AD74" s="21" t="str">
        <f>IF($B74="","",IFERROR(IF($S74="Garis Lurus",$G74-($G74-$H74)*MIN($T74*12,MAX(0,TahunBuku*12-$Y74+1))/($T74*12),IF($S74="Saldo Menurun",IF(TahunBuku-1&lt;YEAR($F74),$G74,IF(TahunBuku-1&gt;=INT(($Y74+$T74*12-2)/12),$H74,MAX($H74,$G74*(1-2/$T74*(13-MONTH($F74))/12)*(1-2/$T74)^(TahunBuku-1-YEAR($F74))))),IF($S74="Unit Produksi",$G74-($G74-$H74)*MIN(1,N($L74)/$K74),$G74))),$G74))</f>
        <v/>
      </c>
      <c r="AE74" s="21" t="str">
        <f>IF($B74="","",IFERROR(IF($S74="Garis Lurus",$G74-($G74-$H74)*MIN($T74*12,MAX(0,TahunBuku*12+12-$Y74+1))/($T74*12),IF($S74="Saldo Menurun",IF(TahunBuku&lt;YEAR($F74),$G74,IF(TahunBuku&gt;=INT(($Y74+$T74*12-2)/12),$H74,MAX($H74,$G74*(1-2/$T74*(13-MONTH($F74))/12)*(1-2/$T74)^(TahunBuku-YEAR($F74))))),IF($S74="Unit Produksi",$G74-($G74-$H74)*MIN(1,(N($L74)+N($M74))/$K74),$G74))),$G74))</f>
        <v/>
      </c>
      <c r="AF74" s="20" t="str">
        <f>IF($B74="","",IF(OR($S74="Garis Lurus",$S74="Saldo Menurun",$S74="Unit Produksi"),MAX(0,IF($S74="Unit Produksi",TahunBuku*12+12,MIN(TahunBuku*12+12,$Y74+$T74*12-1))-MAX(TahunBuku*12+1,$Y74)+1),0))</f>
        <v/>
      </c>
      <c r="AG74" s="20" t="str">
        <f>IF($B74="","",IF(OR($S74="Garis Lurus",$S74="Saldo Menurun",$S74="Unit Produksi"),MAX(0,MIN($Z74,IF($S74="Unit Produksi",TahunBuku*12+12,MIN(TahunBuku*12+12,$Y74+$T74*12-1)))-MAX(TahunBuku*12+1,$Y74)+1),0))</f>
        <v/>
      </c>
      <c r="AH74" s="21" t="str">
        <f>IF($B74="","",IFERROR(IF($W74="Garis Lurus",$G74*(1-MIN($V74*12,MAX(0,TahunBuku*12-$Y74+1))/($V74*12)),IF($W74="Saldo Menurun",IF(TahunBuku-1&lt;YEAR($F74),$G74,IF(TahunBuku-1&gt;=INT(($Y74+$V74*12-2)/12),0,$G74*(1-2/$V74*(13-MONTH($F74))/12)*(1-2/$V74)^(TahunBuku-1-YEAR($F74)))),$G74)),$G74))</f>
        <v/>
      </c>
      <c r="AI74" s="21" t="str">
        <f>IF($B74="","",IFERROR(IF($W74="Garis Lurus",$G74*(1-MIN($V74*12,MAX(0,TahunBuku*12+12-$Y74+1))/($V74*12)),IF($W74="Saldo Menurun",IF(TahunBuku&lt;YEAR($F74),$G74,IF(TahunBuku&gt;=INT(($Y74+$V74*12-2)/12),0,$G74*(1-2/$V74*(13-MONTH($F74))/12)*(1-2/$V74)^(TahunBuku-YEAR($F74)))),$G74)),$G74))</f>
        <v/>
      </c>
      <c r="AJ74" s="20" t="str">
        <f>IF($B74="","",IF(OR($W74="Garis Lurus",$W74="Saldo Menurun"),MAX(0,MIN(TahunBuku*12+12,$Y74+$V74*12-1)-MAX(TahunBuku*12+1,$Y74)+1),0))</f>
        <v/>
      </c>
      <c r="AK74" s="20" t="str">
        <f>IF($B74="","",IF(OR($W74="Garis Lurus",$W74="Saldo Menurun"),MAX(0,MIN($Z74,TahunBuku*12+12,$Y74+$V74*12-1)-MAX(TahunBuku*12+1,$Y74)+1),0))</f>
        <v/>
      </c>
      <c r="AL74" s="22" t="str">
        <f>IF($B74="","",$G74*$AA74)</f>
        <v/>
      </c>
      <c r="AM74" s="22" t="str">
        <f>IF($B74="","",$G74*$AB74)</f>
        <v/>
      </c>
      <c r="AN74" s="22" t="str">
        <f>IF($B74="","",$G74*$AC74)</f>
        <v/>
      </c>
      <c r="AO74" s="22" t="str">
        <f>IF($B74="","",AL74+AM74-AN74)</f>
        <v/>
      </c>
      <c r="AP74" s="22" t="str">
        <f>IF($B74="","",($G74-$AD74)*$AA74)</f>
        <v/>
      </c>
      <c r="AQ74" s="22" t="str">
        <f>IF($B74="","",IF($AF74=0,0,($AD74-$AE74)*$AG74/$AF74)*MAX($AA74,$AB74))</f>
        <v/>
      </c>
      <c r="AR74" s="22" t="str">
        <f>IF($B74="","",(AP74+AQ74)*$AC74)</f>
        <v/>
      </c>
      <c r="AS74" s="22" t="str">
        <f>IF($B74="","",AP74+AQ74-AR74)</f>
        <v/>
      </c>
      <c r="AT74" s="22" t="str">
        <f>IF($B74="","",AO74-AS74)</f>
        <v/>
      </c>
      <c r="AU74" s="22" t="str">
        <f>IF($B74="","",IF($AC74=1,N($R74)-($G74-AR74),0))</f>
        <v/>
      </c>
      <c r="AV74" s="22" t="str">
        <f>IF($B74="","",($G74-$AH74)*$AA74)</f>
        <v/>
      </c>
      <c r="AW74" s="22" t="str">
        <f>IF($B74="","",IF($AJ74=0,0,($AH74-$AI74)*$AK74/$AJ74)*MAX($AA74,$AB74))</f>
        <v/>
      </c>
      <c r="AX74" s="22" t="str">
        <f>IF($B74="","",(AV74+AW74)*$AC74)</f>
        <v/>
      </c>
      <c r="AY74" s="22" t="str">
        <f>IF($B74="","",AV74+AW74-AX74)</f>
        <v/>
      </c>
      <c r="AZ74" s="22" t="str">
        <f>IF($B74="","",AO74-AY74)</f>
        <v/>
      </c>
      <c r="BA74" s="22" t="str">
        <f>IF($B74="","",IF($AC74=1,N($R74)-($G74-AX74),0))</f>
        <v/>
      </c>
      <c r="BB74" s="22" t="str">
        <f>IF($B74="","",ROUND(AQ74-AW74,0))</f>
        <v/>
      </c>
      <c r="BC74" s="22" t="str">
        <f>IF($B74="","",ROUND(BA74-AU74,0))</f>
        <v/>
      </c>
      <c r="BD74" s="22" t="str">
        <f>IF($B74="","",BB74+BC74)</f>
        <v/>
      </c>
      <c r="BE74" s="22" t="str">
        <f>IF($B74="","",ROUND(AV74-AP74,0))</f>
        <v/>
      </c>
      <c r="BF74" s="22" t="str">
        <f>IF($B74="","",ROUND(AT74-AZ74,0))</f>
        <v/>
      </c>
      <c r="BG74" s="22" t="str">
        <f>IF($B74="","",ROUND(BF74*TarifPPh,0))</f>
        <v/>
      </c>
      <c r="BH74" t="str">
        <f>IF($B74="","",IF($D74="","Kategori kosong",IF($F74="","Tgl perolehan kosong",IF(N($H74)&gt;$G74,"Residu &gt; harga perolehan",IF(AND(LEFT($U74,8)="Bangunan",$W74="Saldo Menurun"),"Bangunan wajib Garis Lurus (Ps.11 UU PPh)",IF(AND($S74="Unit Produksi",N($K74)=0),"Isi kapasitas unit",IF(AND(OR($S74="Garis Lurus",$S74="Saldo Menurun"),N($T74)&lt;=0),"Umur komersial kosong",IF(AND(OR($W74="Garis Lurus",$W74="Saldo Menurun"),N($V74)&lt;=0),"Masa manfaat fiskal kosong",IF(AND($Q74&lt;&gt;"",$Q74&lt;$F74),"Tgl pelepasan &lt; perolehan","OK")))))))))</f>
        <v/>
      </c>
    </row>
    <row r="75" spans="1:60" x14ac:dyDescent="0.25">
      <c r="A75" t="str">
        <f>IF($B75="","",ROW()-6)</f>
        <v/>
      </c>
      <c r="B75" s="9"/>
      <c r="C75" s="9"/>
      <c r="D75" s="9"/>
      <c r="E75" s="9"/>
      <c r="F75" s="17"/>
      <c r="G75" s="18"/>
      <c r="H75" s="18"/>
      <c r="I75" s="9"/>
      <c r="J75" s="9"/>
      <c r="K75" s="19"/>
      <c r="L75" s="19"/>
      <c r="M75" s="19"/>
      <c r="N75" s="9"/>
      <c r="O75" s="9"/>
      <c r="P75" s="9"/>
      <c r="Q75" s="17"/>
      <c r="R75" s="18"/>
      <c r="S75" t="str">
        <f>IF($B75="","",IF($I75&lt;&gt;"",$I75,IFERROR(INDEX(Kat_Metode,MATCH($D75,Kat_Nama,0)),"")))</f>
        <v/>
      </c>
      <c r="T75" t="str">
        <f>IF($B75="","",IF($J75&lt;&gt;"",$J75,IFERROR(INDEX(Kat_Umur,MATCH($D75,Kat_Nama,0)),0)))</f>
        <v/>
      </c>
      <c r="U75" t="str">
        <f>IF($B75="","",IF($N75&lt;&gt;"",$N75,IFERROR(INDEX(Kat_Kelompok,MATCH($D75,Kat_Nama,0)),"")))</f>
        <v/>
      </c>
      <c r="V75" t="str">
        <f>IF($B75="","",IF($U75="Masa Manfaat Sebenarnya",N($O75),IFERROR(INDEX(Kel_Masa,MATCH($U75,Kel_Nama,0)),0)))</f>
        <v/>
      </c>
      <c r="W75" t="str">
        <f>IF($B75="","",IF($P75&lt;&gt;"",$P75,IF(OR($U75="Tidak Disusutkan",$V75=0),"Tidak Disusutkan","Garis Lurus")))</f>
        <v/>
      </c>
      <c r="X75" t="str">
        <f>IF($B75="","",IF($Y75&gt;TahunBuku*12+12,"Belum Diperoleh",IF($Z75&lt;=TahunBuku*12,"Dilepas (thn lalu)",IF($AC75=1,"Dilepas thn ini",IF($AB75=1,"Perolehan baru","Aktif")))))</f>
        <v/>
      </c>
      <c r="Y75" s="20" t="str">
        <f>IF($B75="","",YEAR($F75)*12+MONTH($F75))</f>
        <v/>
      </c>
      <c r="Z75" s="20" t="str">
        <f>IF($B75="","",IF($Q75="",99999,YEAR($Q75)*12+MONTH($Q75)))</f>
        <v/>
      </c>
      <c r="AA75" s="20" t="str">
        <f>IF($B75="","",--AND($Y75&lt;=TahunBuku*12,$Z75&gt;TahunBuku*12))</f>
        <v/>
      </c>
      <c r="AB75" s="20" t="str">
        <f>IF($B75="","",--AND($Y75&gt;TahunBuku*12,$Y75&lt;=TahunBuku*12+12))</f>
        <v/>
      </c>
      <c r="AC75" s="20" t="str">
        <f>IF($B75="","",--AND($Z75&gt;TahunBuku*12,$Z75&lt;=TahunBuku*12+12,$Y75&lt;=$Z75))</f>
        <v/>
      </c>
      <c r="AD75" s="21" t="str">
        <f>IF($B75="","",IFERROR(IF($S75="Garis Lurus",$G75-($G75-$H75)*MIN($T75*12,MAX(0,TahunBuku*12-$Y75+1))/($T75*12),IF($S75="Saldo Menurun",IF(TahunBuku-1&lt;YEAR($F75),$G75,IF(TahunBuku-1&gt;=INT(($Y75+$T75*12-2)/12),$H75,MAX($H75,$G75*(1-2/$T75*(13-MONTH($F75))/12)*(1-2/$T75)^(TahunBuku-1-YEAR($F75))))),IF($S75="Unit Produksi",$G75-($G75-$H75)*MIN(1,N($L75)/$K75),$G75))),$G75))</f>
        <v/>
      </c>
      <c r="AE75" s="21" t="str">
        <f>IF($B75="","",IFERROR(IF($S75="Garis Lurus",$G75-($G75-$H75)*MIN($T75*12,MAX(0,TahunBuku*12+12-$Y75+1))/($T75*12),IF($S75="Saldo Menurun",IF(TahunBuku&lt;YEAR($F75),$G75,IF(TahunBuku&gt;=INT(($Y75+$T75*12-2)/12),$H75,MAX($H75,$G75*(1-2/$T75*(13-MONTH($F75))/12)*(1-2/$T75)^(TahunBuku-YEAR($F75))))),IF($S75="Unit Produksi",$G75-($G75-$H75)*MIN(1,(N($L75)+N($M75))/$K75),$G75))),$G75))</f>
        <v/>
      </c>
      <c r="AF75" s="20" t="str">
        <f>IF($B75="","",IF(OR($S75="Garis Lurus",$S75="Saldo Menurun",$S75="Unit Produksi"),MAX(0,IF($S75="Unit Produksi",TahunBuku*12+12,MIN(TahunBuku*12+12,$Y75+$T75*12-1))-MAX(TahunBuku*12+1,$Y75)+1),0))</f>
        <v/>
      </c>
      <c r="AG75" s="20" t="str">
        <f>IF($B75="","",IF(OR($S75="Garis Lurus",$S75="Saldo Menurun",$S75="Unit Produksi"),MAX(0,MIN($Z75,IF($S75="Unit Produksi",TahunBuku*12+12,MIN(TahunBuku*12+12,$Y75+$T75*12-1)))-MAX(TahunBuku*12+1,$Y75)+1),0))</f>
        <v/>
      </c>
      <c r="AH75" s="21" t="str">
        <f>IF($B75="","",IFERROR(IF($W75="Garis Lurus",$G75*(1-MIN($V75*12,MAX(0,TahunBuku*12-$Y75+1))/($V75*12)),IF($W75="Saldo Menurun",IF(TahunBuku-1&lt;YEAR($F75),$G75,IF(TahunBuku-1&gt;=INT(($Y75+$V75*12-2)/12),0,$G75*(1-2/$V75*(13-MONTH($F75))/12)*(1-2/$V75)^(TahunBuku-1-YEAR($F75)))),$G75)),$G75))</f>
        <v/>
      </c>
      <c r="AI75" s="21" t="str">
        <f>IF($B75="","",IFERROR(IF($W75="Garis Lurus",$G75*(1-MIN($V75*12,MAX(0,TahunBuku*12+12-$Y75+1))/($V75*12)),IF($W75="Saldo Menurun",IF(TahunBuku&lt;YEAR($F75),$G75,IF(TahunBuku&gt;=INT(($Y75+$V75*12-2)/12),0,$G75*(1-2/$V75*(13-MONTH($F75))/12)*(1-2/$V75)^(TahunBuku-YEAR($F75)))),$G75)),$G75))</f>
        <v/>
      </c>
      <c r="AJ75" s="20" t="str">
        <f>IF($B75="","",IF(OR($W75="Garis Lurus",$W75="Saldo Menurun"),MAX(0,MIN(TahunBuku*12+12,$Y75+$V75*12-1)-MAX(TahunBuku*12+1,$Y75)+1),0))</f>
        <v/>
      </c>
      <c r="AK75" s="20" t="str">
        <f>IF($B75="","",IF(OR($W75="Garis Lurus",$W75="Saldo Menurun"),MAX(0,MIN($Z75,TahunBuku*12+12,$Y75+$V75*12-1)-MAX(TahunBuku*12+1,$Y75)+1),0))</f>
        <v/>
      </c>
      <c r="AL75" s="22" t="str">
        <f>IF($B75="","",$G75*$AA75)</f>
        <v/>
      </c>
      <c r="AM75" s="22" t="str">
        <f>IF($B75="","",$G75*$AB75)</f>
        <v/>
      </c>
      <c r="AN75" s="22" t="str">
        <f>IF($B75="","",$G75*$AC75)</f>
        <v/>
      </c>
      <c r="AO75" s="22" t="str">
        <f>IF($B75="","",AL75+AM75-AN75)</f>
        <v/>
      </c>
      <c r="AP75" s="22" t="str">
        <f>IF($B75="","",($G75-$AD75)*$AA75)</f>
        <v/>
      </c>
      <c r="AQ75" s="22" t="str">
        <f>IF($B75="","",IF($AF75=0,0,($AD75-$AE75)*$AG75/$AF75)*MAX($AA75,$AB75))</f>
        <v/>
      </c>
      <c r="AR75" s="22" t="str">
        <f>IF($B75="","",(AP75+AQ75)*$AC75)</f>
        <v/>
      </c>
      <c r="AS75" s="22" t="str">
        <f>IF($B75="","",AP75+AQ75-AR75)</f>
        <v/>
      </c>
      <c r="AT75" s="22" t="str">
        <f>IF($B75="","",AO75-AS75)</f>
        <v/>
      </c>
      <c r="AU75" s="22" t="str">
        <f>IF($B75="","",IF($AC75=1,N($R75)-($G75-AR75),0))</f>
        <v/>
      </c>
      <c r="AV75" s="22" t="str">
        <f>IF($B75="","",($G75-$AH75)*$AA75)</f>
        <v/>
      </c>
      <c r="AW75" s="22" t="str">
        <f>IF($B75="","",IF($AJ75=0,0,($AH75-$AI75)*$AK75/$AJ75)*MAX($AA75,$AB75))</f>
        <v/>
      </c>
      <c r="AX75" s="22" t="str">
        <f>IF($B75="","",(AV75+AW75)*$AC75)</f>
        <v/>
      </c>
      <c r="AY75" s="22" t="str">
        <f>IF($B75="","",AV75+AW75-AX75)</f>
        <v/>
      </c>
      <c r="AZ75" s="22" t="str">
        <f>IF($B75="","",AO75-AY75)</f>
        <v/>
      </c>
      <c r="BA75" s="22" t="str">
        <f>IF($B75="","",IF($AC75=1,N($R75)-($G75-AX75),0))</f>
        <v/>
      </c>
      <c r="BB75" s="22" t="str">
        <f>IF($B75="","",ROUND(AQ75-AW75,0))</f>
        <v/>
      </c>
      <c r="BC75" s="22" t="str">
        <f>IF($B75="","",ROUND(BA75-AU75,0))</f>
        <v/>
      </c>
      <c r="BD75" s="22" t="str">
        <f>IF($B75="","",BB75+BC75)</f>
        <v/>
      </c>
      <c r="BE75" s="22" t="str">
        <f>IF($B75="","",ROUND(AV75-AP75,0))</f>
        <v/>
      </c>
      <c r="BF75" s="22" t="str">
        <f>IF($B75="","",ROUND(AT75-AZ75,0))</f>
        <v/>
      </c>
      <c r="BG75" s="22" t="str">
        <f>IF($B75="","",ROUND(BF75*TarifPPh,0))</f>
        <v/>
      </c>
      <c r="BH75" t="str">
        <f>IF($B75="","",IF($D75="","Kategori kosong",IF($F75="","Tgl perolehan kosong",IF(N($H75)&gt;$G75,"Residu &gt; harga perolehan",IF(AND(LEFT($U75,8)="Bangunan",$W75="Saldo Menurun"),"Bangunan wajib Garis Lurus (Ps.11 UU PPh)",IF(AND($S75="Unit Produksi",N($K75)=0),"Isi kapasitas unit",IF(AND(OR($S75="Garis Lurus",$S75="Saldo Menurun"),N($T75)&lt;=0),"Umur komersial kosong",IF(AND(OR($W75="Garis Lurus",$W75="Saldo Menurun"),N($V75)&lt;=0),"Masa manfaat fiskal kosong",IF(AND($Q75&lt;&gt;"",$Q75&lt;$F75),"Tgl pelepasan &lt; perolehan","OK")))))))))</f>
        <v/>
      </c>
    </row>
    <row r="76" spans="1:60" x14ac:dyDescent="0.25">
      <c r="A76" t="str">
        <f>IF($B76="","",ROW()-6)</f>
        <v/>
      </c>
      <c r="B76" s="9"/>
      <c r="C76" s="9"/>
      <c r="D76" s="9"/>
      <c r="E76" s="9"/>
      <c r="F76" s="17"/>
      <c r="G76" s="18"/>
      <c r="H76" s="18"/>
      <c r="I76" s="9"/>
      <c r="J76" s="9"/>
      <c r="K76" s="19"/>
      <c r="L76" s="19"/>
      <c r="M76" s="19"/>
      <c r="N76" s="9"/>
      <c r="O76" s="9"/>
      <c r="P76" s="9"/>
      <c r="Q76" s="17"/>
      <c r="R76" s="18"/>
      <c r="S76" t="str">
        <f>IF($B76="","",IF($I76&lt;&gt;"",$I76,IFERROR(INDEX(Kat_Metode,MATCH($D76,Kat_Nama,0)),"")))</f>
        <v/>
      </c>
      <c r="T76" t="str">
        <f>IF($B76="","",IF($J76&lt;&gt;"",$J76,IFERROR(INDEX(Kat_Umur,MATCH($D76,Kat_Nama,0)),0)))</f>
        <v/>
      </c>
      <c r="U76" t="str">
        <f>IF($B76="","",IF($N76&lt;&gt;"",$N76,IFERROR(INDEX(Kat_Kelompok,MATCH($D76,Kat_Nama,0)),"")))</f>
        <v/>
      </c>
      <c r="V76" t="str">
        <f>IF($B76="","",IF($U76="Masa Manfaat Sebenarnya",N($O76),IFERROR(INDEX(Kel_Masa,MATCH($U76,Kel_Nama,0)),0)))</f>
        <v/>
      </c>
      <c r="W76" t="str">
        <f>IF($B76="","",IF($P76&lt;&gt;"",$P76,IF(OR($U76="Tidak Disusutkan",$V76=0),"Tidak Disusutkan","Garis Lurus")))</f>
        <v/>
      </c>
      <c r="X76" t="str">
        <f>IF($B76="","",IF($Y76&gt;TahunBuku*12+12,"Belum Diperoleh",IF($Z76&lt;=TahunBuku*12,"Dilepas (thn lalu)",IF($AC76=1,"Dilepas thn ini",IF($AB76=1,"Perolehan baru","Aktif")))))</f>
        <v/>
      </c>
      <c r="Y76" s="20" t="str">
        <f>IF($B76="","",YEAR($F76)*12+MONTH($F76))</f>
        <v/>
      </c>
      <c r="Z76" s="20" t="str">
        <f>IF($B76="","",IF($Q76="",99999,YEAR($Q76)*12+MONTH($Q76)))</f>
        <v/>
      </c>
      <c r="AA76" s="20" t="str">
        <f>IF($B76="","",--AND($Y76&lt;=TahunBuku*12,$Z76&gt;TahunBuku*12))</f>
        <v/>
      </c>
      <c r="AB76" s="20" t="str">
        <f>IF($B76="","",--AND($Y76&gt;TahunBuku*12,$Y76&lt;=TahunBuku*12+12))</f>
        <v/>
      </c>
      <c r="AC76" s="20" t="str">
        <f>IF($B76="","",--AND($Z76&gt;TahunBuku*12,$Z76&lt;=TahunBuku*12+12,$Y76&lt;=$Z76))</f>
        <v/>
      </c>
      <c r="AD76" s="21" t="str">
        <f>IF($B76="","",IFERROR(IF($S76="Garis Lurus",$G76-($G76-$H76)*MIN($T76*12,MAX(0,TahunBuku*12-$Y76+1))/($T76*12),IF($S76="Saldo Menurun",IF(TahunBuku-1&lt;YEAR($F76),$G76,IF(TahunBuku-1&gt;=INT(($Y76+$T76*12-2)/12),$H76,MAX($H76,$G76*(1-2/$T76*(13-MONTH($F76))/12)*(1-2/$T76)^(TahunBuku-1-YEAR($F76))))),IF($S76="Unit Produksi",$G76-($G76-$H76)*MIN(1,N($L76)/$K76),$G76))),$G76))</f>
        <v/>
      </c>
      <c r="AE76" s="21" t="str">
        <f>IF($B76="","",IFERROR(IF($S76="Garis Lurus",$G76-($G76-$H76)*MIN($T76*12,MAX(0,TahunBuku*12+12-$Y76+1))/($T76*12),IF($S76="Saldo Menurun",IF(TahunBuku&lt;YEAR($F76),$G76,IF(TahunBuku&gt;=INT(($Y76+$T76*12-2)/12),$H76,MAX($H76,$G76*(1-2/$T76*(13-MONTH($F76))/12)*(1-2/$T76)^(TahunBuku-YEAR($F76))))),IF($S76="Unit Produksi",$G76-($G76-$H76)*MIN(1,(N($L76)+N($M76))/$K76),$G76))),$G76))</f>
        <v/>
      </c>
      <c r="AF76" s="20" t="str">
        <f>IF($B76="","",IF(OR($S76="Garis Lurus",$S76="Saldo Menurun",$S76="Unit Produksi"),MAX(0,IF($S76="Unit Produksi",TahunBuku*12+12,MIN(TahunBuku*12+12,$Y76+$T76*12-1))-MAX(TahunBuku*12+1,$Y76)+1),0))</f>
        <v/>
      </c>
      <c r="AG76" s="20" t="str">
        <f>IF($B76="","",IF(OR($S76="Garis Lurus",$S76="Saldo Menurun",$S76="Unit Produksi"),MAX(0,MIN($Z76,IF($S76="Unit Produksi",TahunBuku*12+12,MIN(TahunBuku*12+12,$Y76+$T76*12-1)))-MAX(TahunBuku*12+1,$Y76)+1),0))</f>
        <v/>
      </c>
      <c r="AH76" s="21" t="str">
        <f>IF($B76="","",IFERROR(IF($W76="Garis Lurus",$G76*(1-MIN($V76*12,MAX(0,TahunBuku*12-$Y76+1))/($V76*12)),IF($W76="Saldo Menurun",IF(TahunBuku-1&lt;YEAR($F76),$G76,IF(TahunBuku-1&gt;=INT(($Y76+$V76*12-2)/12),0,$G76*(1-2/$V76*(13-MONTH($F76))/12)*(1-2/$V76)^(TahunBuku-1-YEAR($F76)))),$G76)),$G76))</f>
        <v/>
      </c>
      <c r="AI76" s="21" t="str">
        <f>IF($B76="","",IFERROR(IF($W76="Garis Lurus",$G76*(1-MIN($V76*12,MAX(0,TahunBuku*12+12-$Y76+1))/($V76*12)),IF($W76="Saldo Menurun",IF(TahunBuku&lt;YEAR($F76),$G76,IF(TahunBuku&gt;=INT(($Y76+$V76*12-2)/12),0,$G76*(1-2/$V76*(13-MONTH($F76))/12)*(1-2/$V76)^(TahunBuku-YEAR($F76)))),$G76)),$G76))</f>
        <v/>
      </c>
      <c r="AJ76" s="20" t="str">
        <f>IF($B76="","",IF(OR($W76="Garis Lurus",$W76="Saldo Menurun"),MAX(0,MIN(TahunBuku*12+12,$Y76+$V76*12-1)-MAX(TahunBuku*12+1,$Y76)+1),0))</f>
        <v/>
      </c>
      <c r="AK76" s="20" t="str">
        <f>IF($B76="","",IF(OR($W76="Garis Lurus",$W76="Saldo Menurun"),MAX(0,MIN($Z76,TahunBuku*12+12,$Y76+$V76*12-1)-MAX(TahunBuku*12+1,$Y76)+1),0))</f>
        <v/>
      </c>
      <c r="AL76" s="22" t="str">
        <f>IF($B76="","",$G76*$AA76)</f>
        <v/>
      </c>
      <c r="AM76" s="22" t="str">
        <f>IF($B76="","",$G76*$AB76)</f>
        <v/>
      </c>
      <c r="AN76" s="22" t="str">
        <f>IF($B76="","",$G76*$AC76)</f>
        <v/>
      </c>
      <c r="AO76" s="22" t="str">
        <f>IF($B76="","",AL76+AM76-AN76)</f>
        <v/>
      </c>
      <c r="AP76" s="22" t="str">
        <f>IF($B76="","",($G76-$AD76)*$AA76)</f>
        <v/>
      </c>
      <c r="AQ76" s="22" t="str">
        <f>IF($B76="","",IF($AF76=0,0,($AD76-$AE76)*$AG76/$AF76)*MAX($AA76,$AB76))</f>
        <v/>
      </c>
      <c r="AR76" s="22" t="str">
        <f>IF($B76="","",(AP76+AQ76)*$AC76)</f>
        <v/>
      </c>
      <c r="AS76" s="22" t="str">
        <f>IF($B76="","",AP76+AQ76-AR76)</f>
        <v/>
      </c>
      <c r="AT76" s="22" t="str">
        <f>IF($B76="","",AO76-AS76)</f>
        <v/>
      </c>
      <c r="AU76" s="22" t="str">
        <f>IF($B76="","",IF($AC76=1,N($R76)-($G76-AR76),0))</f>
        <v/>
      </c>
      <c r="AV76" s="22" t="str">
        <f>IF($B76="","",($G76-$AH76)*$AA76)</f>
        <v/>
      </c>
      <c r="AW76" s="22" t="str">
        <f>IF($B76="","",IF($AJ76=0,0,($AH76-$AI76)*$AK76/$AJ76)*MAX($AA76,$AB76))</f>
        <v/>
      </c>
      <c r="AX76" s="22" t="str">
        <f>IF($B76="","",(AV76+AW76)*$AC76)</f>
        <v/>
      </c>
      <c r="AY76" s="22" t="str">
        <f>IF($B76="","",AV76+AW76-AX76)</f>
        <v/>
      </c>
      <c r="AZ76" s="22" t="str">
        <f>IF($B76="","",AO76-AY76)</f>
        <v/>
      </c>
      <c r="BA76" s="22" t="str">
        <f>IF($B76="","",IF($AC76=1,N($R76)-($G76-AX76),0))</f>
        <v/>
      </c>
      <c r="BB76" s="22" t="str">
        <f>IF($B76="","",ROUND(AQ76-AW76,0))</f>
        <v/>
      </c>
      <c r="BC76" s="22" t="str">
        <f>IF($B76="","",ROUND(BA76-AU76,0))</f>
        <v/>
      </c>
      <c r="BD76" s="22" t="str">
        <f>IF($B76="","",BB76+BC76)</f>
        <v/>
      </c>
      <c r="BE76" s="22" t="str">
        <f>IF($B76="","",ROUND(AV76-AP76,0))</f>
        <v/>
      </c>
      <c r="BF76" s="22" t="str">
        <f>IF($B76="","",ROUND(AT76-AZ76,0))</f>
        <v/>
      </c>
      <c r="BG76" s="22" t="str">
        <f>IF($B76="","",ROUND(BF76*TarifPPh,0))</f>
        <v/>
      </c>
      <c r="BH76" t="str">
        <f>IF($B76="","",IF($D76="","Kategori kosong",IF($F76="","Tgl perolehan kosong",IF(N($H76)&gt;$G76,"Residu &gt; harga perolehan",IF(AND(LEFT($U76,8)="Bangunan",$W76="Saldo Menurun"),"Bangunan wajib Garis Lurus (Ps.11 UU PPh)",IF(AND($S76="Unit Produksi",N($K76)=0),"Isi kapasitas unit",IF(AND(OR($S76="Garis Lurus",$S76="Saldo Menurun"),N($T76)&lt;=0),"Umur komersial kosong",IF(AND(OR($W76="Garis Lurus",$W76="Saldo Menurun"),N($V76)&lt;=0),"Masa manfaat fiskal kosong",IF(AND($Q76&lt;&gt;"",$Q76&lt;$F76),"Tgl pelepasan &lt; perolehan","OK")))))))))</f>
        <v/>
      </c>
    </row>
    <row r="77" spans="1:60" x14ac:dyDescent="0.25">
      <c r="A77" t="str">
        <f>IF($B77="","",ROW()-6)</f>
        <v/>
      </c>
      <c r="B77" s="9"/>
      <c r="C77" s="9"/>
      <c r="D77" s="9"/>
      <c r="E77" s="9"/>
      <c r="F77" s="17"/>
      <c r="G77" s="18"/>
      <c r="H77" s="18"/>
      <c r="I77" s="9"/>
      <c r="J77" s="9"/>
      <c r="K77" s="19"/>
      <c r="L77" s="19"/>
      <c r="M77" s="19"/>
      <c r="N77" s="9"/>
      <c r="O77" s="9"/>
      <c r="P77" s="9"/>
      <c r="Q77" s="17"/>
      <c r="R77" s="18"/>
      <c r="S77" t="str">
        <f>IF($B77="","",IF($I77&lt;&gt;"",$I77,IFERROR(INDEX(Kat_Metode,MATCH($D77,Kat_Nama,0)),"")))</f>
        <v/>
      </c>
      <c r="T77" t="str">
        <f>IF($B77="","",IF($J77&lt;&gt;"",$J77,IFERROR(INDEX(Kat_Umur,MATCH($D77,Kat_Nama,0)),0)))</f>
        <v/>
      </c>
      <c r="U77" t="str">
        <f>IF($B77="","",IF($N77&lt;&gt;"",$N77,IFERROR(INDEX(Kat_Kelompok,MATCH($D77,Kat_Nama,0)),"")))</f>
        <v/>
      </c>
      <c r="V77" t="str">
        <f>IF($B77="","",IF($U77="Masa Manfaat Sebenarnya",N($O77),IFERROR(INDEX(Kel_Masa,MATCH($U77,Kel_Nama,0)),0)))</f>
        <v/>
      </c>
      <c r="W77" t="str">
        <f>IF($B77="","",IF($P77&lt;&gt;"",$P77,IF(OR($U77="Tidak Disusutkan",$V77=0),"Tidak Disusutkan","Garis Lurus")))</f>
        <v/>
      </c>
      <c r="X77" t="str">
        <f>IF($B77="","",IF($Y77&gt;TahunBuku*12+12,"Belum Diperoleh",IF($Z77&lt;=TahunBuku*12,"Dilepas (thn lalu)",IF($AC77=1,"Dilepas thn ini",IF($AB77=1,"Perolehan baru","Aktif")))))</f>
        <v/>
      </c>
      <c r="Y77" s="20" t="str">
        <f>IF($B77="","",YEAR($F77)*12+MONTH($F77))</f>
        <v/>
      </c>
      <c r="Z77" s="20" t="str">
        <f>IF($B77="","",IF($Q77="",99999,YEAR($Q77)*12+MONTH($Q77)))</f>
        <v/>
      </c>
      <c r="AA77" s="20" t="str">
        <f>IF($B77="","",--AND($Y77&lt;=TahunBuku*12,$Z77&gt;TahunBuku*12))</f>
        <v/>
      </c>
      <c r="AB77" s="20" t="str">
        <f>IF($B77="","",--AND($Y77&gt;TahunBuku*12,$Y77&lt;=TahunBuku*12+12))</f>
        <v/>
      </c>
      <c r="AC77" s="20" t="str">
        <f>IF($B77="","",--AND($Z77&gt;TahunBuku*12,$Z77&lt;=TahunBuku*12+12,$Y77&lt;=$Z77))</f>
        <v/>
      </c>
      <c r="AD77" s="21" t="str">
        <f>IF($B77="","",IFERROR(IF($S77="Garis Lurus",$G77-($G77-$H77)*MIN($T77*12,MAX(0,TahunBuku*12-$Y77+1))/($T77*12),IF($S77="Saldo Menurun",IF(TahunBuku-1&lt;YEAR($F77),$G77,IF(TahunBuku-1&gt;=INT(($Y77+$T77*12-2)/12),$H77,MAX($H77,$G77*(1-2/$T77*(13-MONTH($F77))/12)*(1-2/$T77)^(TahunBuku-1-YEAR($F77))))),IF($S77="Unit Produksi",$G77-($G77-$H77)*MIN(1,N($L77)/$K77),$G77))),$G77))</f>
        <v/>
      </c>
      <c r="AE77" s="21" t="str">
        <f>IF($B77="","",IFERROR(IF($S77="Garis Lurus",$G77-($G77-$H77)*MIN($T77*12,MAX(0,TahunBuku*12+12-$Y77+1))/($T77*12),IF($S77="Saldo Menurun",IF(TahunBuku&lt;YEAR($F77),$G77,IF(TahunBuku&gt;=INT(($Y77+$T77*12-2)/12),$H77,MAX($H77,$G77*(1-2/$T77*(13-MONTH($F77))/12)*(1-2/$T77)^(TahunBuku-YEAR($F77))))),IF($S77="Unit Produksi",$G77-($G77-$H77)*MIN(1,(N($L77)+N($M77))/$K77),$G77))),$G77))</f>
        <v/>
      </c>
      <c r="AF77" s="20" t="str">
        <f>IF($B77="","",IF(OR($S77="Garis Lurus",$S77="Saldo Menurun",$S77="Unit Produksi"),MAX(0,IF($S77="Unit Produksi",TahunBuku*12+12,MIN(TahunBuku*12+12,$Y77+$T77*12-1))-MAX(TahunBuku*12+1,$Y77)+1),0))</f>
        <v/>
      </c>
      <c r="AG77" s="20" t="str">
        <f>IF($B77="","",IF(OR($S77="Garis Lurus",$S77="Saldo Menurun",$S77="Unit Produksi"),MAX(0,MIN($Z77,IF($S77="Unit Produksi",TahunBuku*12+12,MIN(TahunBuku*12+12,$Y77+$T77*12-1)))-MAX(TahunBuku*12+1,$Y77)+1),0))</f>
        <v/>
      </c>
      <c r="AH77" s="21" t="str">
        <f>IF($B77="","",IFERROR(IF($W77="Garis Lurus",$G77*(1-MIN($V77*12,MAX(0,TahunBuku*12-$Y77+1))/($V77*12)),IF($W77="Saldo Menurun",IF(TahunBuku-1&lt;YEAR($F77),$G77,IF(TahunBuku-1&gt;=INT(($Y77+$V77*12-2)/12),0,$G77*(1-2/$V77*(13-MONTH($F77))/12)*(1-2/$V77)^(TahunBuku-1-YEAR($F77)))),$G77)),$G77))</f>
        <v/>
      </c>
      <c r="AI77" s="21" t="str">
        <f>IF($B77="","",IFERROR(IF($W77="Garis Lurus",$G77*(1-MIN($V77*12,MAX(0,TahunBuku*12+12-$Y77+1))/($V77*12)),IF($W77="Saldo Menurun",IF(TahunBuku&lt;YEAR($F77),$G77,IF(TahunBuku&gt;=INT(($Y77+$V77*12-2)/12),0,$G77*(1-2/$V77*(13-MONTH($F77))/12)*(1-2/$V77)^(TahunBuku-YEAR($F77)))),$G77)),$G77))</f>
        <v/>
      </c>
      <c r="AJ77" s="20" t="str">
        <f>IF($B77="","",IF(OR($W77="Garis Lurus",$W77="Saldo Menurun"),MAX(0,MIN(TahunBuku*12+12,$Y77+$V77*12-1)-MAX(TahunBuku*12+1,$Y77)+1),0))</f>
        <v/>
      </c>
      <c r="AK77" s="20" t="str">
        <f>IF($B77="","",IF(OR($W77="Garis Lurus",$W77="Saldo Menurun"),MAX(0,MIN($Z77,TahunBuku*12+12,$Y77+$V77*12-1)-MAX(TahunBuku*12+1,$Y77)+1),0))</f>
        <v/>
      </c>
      <c r="AL77" s="22" t="str">
        <f>IF($B77="","",$G77*$AA77)</f>
        <v/>
      </c>
      <c r="AM77" s="22" t="str">
        <f>IF($B77="","",$G77*$AB77)</f>
        <v/>
      </c>
      <c r="AN77" s="22" t="str">
        <f>IF($B77="","",$G77*$AC77)</f>
        <v/>
      </c>
      <c r="AO77" s="22" t="str">
        <f>IF($B77="","",AL77+AM77-AN77)</f>
        <v/>
      </c>
      <c r="AP77" s="22" t="str">
        <f>IF($B77="","",($G77-$AD77)*$AA77)</f>
        <v/>
      </c>
      <c r="AQ77" s="22" t="str">
        <f>IF($B77="","",IF($AF77=0,0,($AD77-$AE77)*$AG77/$AF77)*MAX($AA77,$AB77))</f>
        <v/>
      </c>
      <c r="AR77" s="22" t="str">
        <f>IF($B77="","",(AP77+AQ77)*$AC77)</f>
        <v/>
      </c>
      <c r="AS77" s="22" t="str">
        <f>IF($B77="","",AP77+AQ77-AR77)</f>
        <v/>
      </c>
      <c r="AT77" s="22" t="str">
        <f>IF($B77="","",AO77-AS77)</f>
        <v/>
      </c>
      <c r="AU77" s="22" t="str">
        <f>IF($B77="","",IF($AC77=1,N($R77)-($G77-AR77),0))</f>
        <v/>
      </c>
      <c r="AV77" s="22" t="str">
        <f>IF($B77="","",($G77-$AH77)*$AA77)</f>
        <v/>
      </c>
      <c r="AW77" s="22" t="str">
        <f>IF($B77="","",IF($AJ77=0,0,($AH77-$AI77)*$AK77/$AJ77)*MAX($AA77,$AB77))</f>
        <v/>
      </c>
      <c r="AX77" s="22" t="str">
        <f>IF($B77="","",(AV77+AW77)*$AC77)</f>
        <v/>
      </c>
      <c r="AY77" s="22" t="str">
        <f>IF($B77="","",AV77+AW77-AX77)</f>
        <v/>
      </c>
      <c r="AZ77" s="22" t="str">
        <f>IF($B77="","",AO77-AY77)</f>
        <v/>
      </c>
      <c r="BA77" s="22" t="str">
        <f>IF($B77="","",IF($AC77=1,N($R77)-($G77-AX77),0))</f>
        <v/>
      </c>
      <c r="BB77" s="22" t="str">
        <f>IF($B77="","",ROUND(AQ77-AW77,0))</f>
        <v/>
      </c>
      <c r="BC77" s="22" t="str">
        <f>IF($B77="","",ROUND(BA77-AU77,0))</f>
        <v/>
      </c>
      <c r="BD77" s="22" t="str">
        <f>IF($B77="","",BB77+BC77)</f>
        <v/>
      </c>
      <c r="BE77" s="22" t="str">
        <f>IF($B77="","",ROUND(AV77-AP77,0))</f>
        <v/>
      </c>
      <c r="BF77" s="22" t="str">
        <f>IF($B77="","",ROUND(AT77-AZ77,0))</f>
        <v/>
      </c>
      <c r="BG77" s="22" t="str">
        <f>IF($B77="","",ROUND(BF77*TarifPPh,0))</f>
        <v/>
      </c>
      <c r="BH77" t="str">
        <f>IF($B77="","",IF($D77="","Kategori kosong",IF($F77="","Tgl perolehan kosong",IF(N($H77)&gt;$G77,"Residu &gt; harga perolehan",IF(AND(LEFT($U77,8)="Bangunan",$W77="Saldo Menurun"),"Bangunan wajib Garis Lurus (Ps.11 UU PPh)",IF(AND($S77="Unit Produksi",N($K77)=0),"Isi kapasitas unit",IF(AND(OR($S77="Garis Lurus",$S77="Saldo Menurun"),N($T77)&lt;=0),"Umur komersial kosong",IF(AND(OR($W77="Garis Lurus",$W77="Saldo Menurun"),N($V77)&lt;=0),"Masa manfaat fiskal kosong",IF(AND($Q77&lt;&gt;"",$Q77&lt;$F77),"Tgl pelepasan &lt; perolehan","OK")))))))))</f>
        <v/>
      </c>
    </row>
    <row r="78" spans="1:60" x14ac:dyDescent="0.25">
      <c r="A78" t="str">
        <f>IF($B78="","",ROW()-6)</f>
        <v/>
      </c>
      <c r="B78" s="9"/>
      <c r="C78" s="9"/>
      <c r="D78" s="9"/>
      <c r="E78" s="9"/>
      <c r="F78" s="17"/>
      <c r="G78" s="18"/>
      <c r="H78" s="18"/>
      <c r="I78" s="9"/>
      <c r="J78" s="9"/>
      <c r="K78" s="19"/>
      <c r="L78" s="19"/>
      <c r="M78" s="19"/>
      <c r="N78" s="9"/>
      <c r="O78" s="9"/>
      <c r="P78" s="9"/>
      <c r="Q78" s="17"/>
      <c r="R78" s="18"/>
      <c r="S78" t="str">
        <f>IF($B78="","",IF($I78&lt;&gt;"",$I78,IFERROR(INDEX(Kat_Metode,MATCH($D78,Kat_Nama,0)),"")))</f>
        <v/>
      </c>
      <c r="T78" t="str">
        <f>IF($B78="","",IF($J78&lt;&gt;"",$J78,IFERROR(INDEX(Kat_Umur,MATCH($D78,Kat_Nama,0)),0)))</f>
        <v/>
      </c>
      <c r="U78" t="str">
        <f>IF($B78="","",IF($N78&lt;&gt;"",$N78,IFERROR(INDEX(Kat_Kelompok,MATCH($D78,Kat_Nama,0)),"")))</f>
        <v/>
      </c>
      <c r="V78" t="str">
        <f>IF($B78="","",IF($U78="Masa Manfaat Sebenarnya",N($O78),IFERROR(INDEX(Kel_Masa,MATCH($U78,Kel_Nama,0)),0)))</f>
        <v/>
      </c>
      <c r="W78" t="str">
        <f>IF($B78="","",IF($P78&lt;&gt;"",$P78,IF(OR($U78="Tidak Disusutkan",$V78=0),"Tidak Disusutkan","Garis Lurus")))</f>
        <v/>
      </c>
      <c r="X78" t="str">
        <f>IF($B78="","",IF($Y78&gt;TahunBuku*12+12,"Belum Diperoleh",IF($Z78&lt;=TahunBuku*12,"Dilepas (thn lalu)",IF($AC78=1,"Dilepas thn ini",IF($AB78=1,"Perolehan baru","Aktif")))))</f>
        <v/>
      </c>
      <c r="Y78" s="20" t="str">
        <f>IF($B78="","",YEAR($F78)*12+MONTH($F78))</f>
        <v/>
      </c>
      <c r="Z78" s="20" t="str">
        <f>IF($B78="","",IF($Q78="",99999,YEAR($Q78)*12+MONTH($Q78)))</f>
        <v/>
      </c>
      <c r="AA78" s="20" t="str">
        <f>IF($B78="","",--AND($Y78&lt;=TahunBuku*12,$Z78&gt;TahunBuku*12))</f>
        <v/>
      </c>
      <c r="AB78" s="20" t="str">
        <f>IF($B78="","",--AND($Y78&gt;TahunBuku*12,$Y78&lt;=TahunBuku*12+12))</f>
        <v/>
      </c>
      <c r="AC78" s="20" t="str">
        <f>IF($B78="","",--AND($Z78&gt;TahunBuku*12,$Z78&lt;=TahunBuku*12+12,$Y78&lt;=$Z78))</f>
        <v/>
      </c>
      <c r="AD78" s="21" t="str">
        <f>IF($B78="","",IFERROR(IF($S78="Garis Lurus",$G78-($G78-$H78)*MIN($T78*12,MAX(0,TahunBuku*12-$Y78+1))/($T78*12),IF($S78="Saldo Menurun",IF(TahunBuku-1&lt;YEAR($F78),$G78,IF(TahunBuku-1&gt;=INT(($Y78+$T78*12-2)/12),$H78,MAX($H78,$G78*(1-2/$T78*(13-MONTH($F78))/12)*(1-2/$T78)^(TahunBuku-1-YEAR($F78))))),IF($S78="Unit Produksi",$G78-($G78-$H78)*MIN(1,N($L78)/$K78),$G78))),$G78))</f>
        <v/>
      </c>
      <c r="AE78" s="21" t="str">
        <f>IF($B78="","",IFERROR(IF($S78="Garis Lurus",$G78-($G78-$H78)*MIN($T78*12,MAX(0,TahunBuku*12+12-$Y78+1))/($T78*12),IF($S78="Saldo Menurun",IF(TahunBuku&lt;YEAR($F78),$G78,IF(TahunBuku&gt;=INT(($Y78+$T78*12-2)/12),$H78,MAX($H78,$G78*(1-2/$T78*(13-MONTH($F78))/12)*(1-2/$T78)^(TahunBuku-YEAR($F78))))),IF($S78="Unit Produksi",$G78-($G78-$H78)*MIN(1,(N($L78)+N($M78))/$K78),$G78))),$G78))</f>
        <v/>
      </c>
      <c r="AF78" s="20" t="str">
        <f>IF($B78="","",IF(OR($S78="Garis Lurus",$S78="Saldo Menurun",$S78="Unit Produksi"),MAX(0,IF($S78="Unit Produksi",TahunBuku*12+12,MIN(TahunBuku*12+12,$Y78+$T78*12-1))-MAX(TahunBuku*12+1,$Y78)+1),0))</f>
        <v/>
      </c>
      <c r="AG78" s="20" t="str">
        <f>IF($B78="","",IF(OR($S78="Garis Lurus",$S78="Saldo Menurun",$S78="Unit Produksi"),MAX(0,MIN($Z78,IF($S78="Unit Produksi",TahunBuku*12+12,MIN(TahunBuku*12+12,$Y78+$T78*12-1)))-MAX(TahunBuku*12+1,$Y78)+1),0))</f>
        <v/>
      </c>
      <c r="AH78" s="21" t="str">
        <f>IF($B78="","",IFERROR(IF($W78="Garis Lurus",$G78*(1-MIN($V78*12,MAX(0,TahunBuku*12-$Y78+1))/($V78*12)),IF($W78="Saldo Menurun",IF(TahunBuku-1&lt;YEAR($F78),$G78,IF(TahunBuku-1&gt;=INT(($Y78+$V78*12-2)/12),0,$G78*(1-2/$V78*(13-MONTH($F78))/12)*(1-2/$V78)^(TahunBuku-1-YEAR($F78)))),$G78)),$G78))</f>
        <v/>
      </c>
      <c r="AI78" s="21" t="str">
        <f>IF($B78="","",IFERROR(IF($W78="Garis Lurus",$G78*(1-MIN($V78*12,MAX(0,TahunBuku*12+12-$Y78+1))/($V78*12)),IF($W78="Saldo Menurun",IF(TahunBuku&lt;YEAR($F78),$G78,IF(TahunBuku&gt;=INT(($Y78+$V78*12-2)/12),0,$G78*(1-2/$V78*(13-MONTH($F78))/12)*(1-2/$V78)^(TahunBuku-YEAR($F78)))),$G78)),$G78))</f>
        <v/>
      </c>
      <c r="AJ78" s="20" t="str">
        <f>IF($B78="","",IF(OR($W78="Garis Lurus",$W78="Saldo Menurun"),MAX(0,MIN(TahunBuku*12+12,$Y78+$V78*12-1)-MAX(TahunBuku*12+1,$Y78)+1),0))</f>
        <v/>
      </c>
      <c r="AK78" s="20" t="str">
        <f>IF($B78="","",IF(OR($W78="Garis Lurus",$W78="Saldo Menurun"),MAX(0,MIN($Z78,TahunBuku*12+12,$Y78+$V78*12-1)-MAX(TahunBuku*12+1,$Y78)+1),0))</f>
        <v/>
      </c>
      <c r="AL78" s="22" t="str">
        <f>IF($B78="","",$G78*$AA78)</f>
        <v/>
      </c>
      <c r="AM78" s="22" t="str">
        <f>IF($B78="","",$G78*$AB78)</f>
        <v/>
      </c>
      <c r="AN78" s="22" t="str">
        <f>IF($B78="","",$G78*$AC78)</f>
        <v/>
      </c>
      <c r="AO78" s="22" t="str">
        <f>IF($B78="","",AL78+AM78-AN78)</f>
        <v/>
      </c>
      <c r="AP78" s="22" t="str">
        <f>IF($B78="","",($G78-$AD78)*$AA78)</f>
        <v/>
      </c>
      <c r="AQ78" s="22" t="str">
        <f>IF($B78="","",IF($AF78=0,0,($AD78-$AE78)*$AG78/$AF78)*MAX($AA78,$AB78))</f>
        <v/>
      </c>
      <c r="AR78" s="22" t="str">
        <f>IF($B78="","",(AP78+AQ78)*$AC78)</f>
        <v/>
      </c>
      <c r="AS78" s="22" t="str">
        <f>IF($B78="","",AP78+AQ78-AR78)</f>
        <v/>
      </c>
      <c r="AT78" s="22" t="str">
        <f>IF($B78="","",AO78-AS78)</f>
        <v/>
      </c>
      <c r="AU78" s="22" t="str">
        <f>IF($B78="","",IF($AC78=1,N($R78)-($G78-AR78),0))</f>
        <v/>
      </c>
      <c r="AV78" s="22" t="str">
        <f>IF($B78="","",($G78-$AH78)*$AA78)</f>
        <v/>
      </c>
      <c r="AW78" s="22" t="str">
        <f>IF($B78="","",IF($AJ78=0,0,($AH78-$AI78)*$AK78/$AJ78)*MAX($AA78,$AB78))</f>
        <v/>
      </c>
      <c r="AX78" s="22" t="str">
        <f>IF($B78="","",(AV78+AW78)*$AC78)</f>
        <v/>
      </c>
      <c r="AY78" s="22" t="str">
        <f>IF($B78="","",AV78+AW78-AX78)</f>
        <v/>
      </c>
      <c r="AZ78" s="22" t="str">
        <f>IF($B78="","",AO78-AY78)</f>
        <v/>
      </c>
      <c r="BA78" s="22" t="str">
        <f>IF($B78="","",IF($AC78=1,N($R78)-($G78-AX78),0))</f>
        <v/>
      </c>
      <c r="BB78" s="22" t="str">
        <f>IF($B78="","",ROUND(AQ78-AW78,0))</f>
        <v/>
      </c>
      <c r="BC78" s="22" t="str">
        <f>IF($B78="","",ROUND(BA78-AU78,0))</f>
        <v/>
      </c>
      <c r="BD78" s="22" t="str">
        <f>IF($B78="","",BB78+BC78)</f>
        <v/>
      </c>
      <c r="BE78" s="22" t="str">
        <f>IF($B78="","",ROUND(AV78-AP78,0))</f>
        <v/>
      </c>
      <c r="BF78" s="22" t="str">
        <f>IF($B78="","",ROUND(AT78-AZ78,0))</f>
        <v/>
      </c>
      <c r="BG78" s="22" t="str">
        <f>IF($B78="","",ROUND(BF78*TarifPPh,0))</f>
        <v/>
      </c>
      <c r="BH78" t="str">
        <f>IF($B78="","",IF($D78="","Kategori kosong",IF($F78="","Tgl perolehan kosong",IF(N($H78)&gt;$G78,"Residu &gt; harga perolehan",IF(AND(LEFT($U78,8)="Bangunan",$W78="Saldo Menurun"),"Bangunan wajib Garis Lurus (Ps.11 UU PPh)",IF(AND($S78="Unit Produksi",N($K78)=0),"Isi kapasitas unit",IF(AND(OR($S78="Garis Lurus",$S78="Saldo Menurun"),N($T78)&lt;=0),"Umur komersial kosong",IF(AND(OR($W78="Garis Lurus",$W78="Saldo Menurun"),N($V78)&lt;=0),"Masa manfaat fiskal kosong",IF(AND($Q78&lt;&gt;"",$Q78&lt;$F78),"Tgl pelepasan &lt; perolehan","OK")))))))))</f>
        <v/>
      </c>
    </row>
    <row r="79" spans="1:60" x14ac:dyDescent="0.25">
      <c r="A79" t="str">
        <f>IF($B79="","",ROW()-6)</f>
        <v/>
      </c>
      <c r="B79" s="9"/>
      <c r="C79" s="9"/>
      <c r="D79" s="9"/>
      <c r="E79" s="9"/>
      <c r="F79" s="17"/>
      <c r="G79" s="18"/>
      <c r="H79" s="18"/>
      <c r="I79" s="9"/>
      <c r="J79" s="9"/>
      <c r="K79" s="19"/>
      <c r="L79" s="19"/>
      <c r="M79" s="19"/>
      <c r="N79" s="9"/>
      <c r="O79" s="9"/>
      <c r="P79" s="9"/>
      <c r="Q79" s="17"/>
      <c r="R79" s="18"/>
      <c r="S79" t="str">
        <f>IF($B79="","",IF($I79&lt;&gt;"",$I79,IFERROR(INDEX(Kat_Metode,MATCH($D79,Kat_Nama,0)),"")))</f>
        <v/>
      </c>
      <c r="T79" t="str">
        <f>IF($B79="","",IF($J79&lt;&gt;"",$J79,IFERROR(INDEX(Kat_Umur,MATCH($D79,Kat_Nama,0)),0)))</f>
        <v/>
      </c>
      <c r="U79" t="str">
        <f>IF($B79="","",IF($N79&lt;&gt;"",$N79,IFERROR(INDEX(Kat_Kelompok,MATCH($D79,Kat_Nama,0)),"")))</f>
        <v/>
      </c>
      <c r="V79" t="str">
        <f>IF($B79="","",IF($U79="Masa Manfaat Sebenarnya",N($O79),IFERROR(INDEX(Kel_Masa,MATCH($U79,Kel_Nama,0)),0)))</f>
        <v/>
      </c>
      <c r="W79" t="str">
        <f>IF($B79="","",IF($P79&lt;&gt;"",$P79,IF(OR($U79="Tidak Disusutkan",$V79=0),"Tidak Disusutkan","Garis Lurus")))</f>
        <v/>
      </c>
      <c r="X79" t="str">
        <f>IF($B79="","",IF($Y79&gt;TahunBuku*12+12,"Belum Diperoleh",IF($Z79&lt;=TahunBuku*12,"Dilepas (thn lalu)",IF($AC79=1,"Dilepas thn ini",IF($AB79=1,"Perolehan baru","Aktif")))))</f>
        <v/>
      </c>
      <c r="Y79" s="20" t="str">
        <f>IF($B79="","",YEAR($F79)*12+MONTH($F79))</f>
        <v/>
      </c>
      <c r="Z79" s="20" t="str">
        <f>IF($B79="","",IF($Q79="",99999,YEAR($Q79)*12+MONTH($Q79)))</f>
        <v/>
      </c>
      <c r="AA79" s="20" t="str">
        <f>IF($B79="","",--AND($Y79&lt;=TahunBuku*12,$Z79&gt;TahunBuku*12))</f>
        <v/>
      </c>
      <c r="AB79" s="20" t="str">
        <f>IF($B79="","",--AND($Y79&gt;TahunBuku*12,$Y79&lt;=TahunBuku*12+12))</f>
        <v/>
      </c>
      <c r="AC79" s="20" t="str">
        <f>IF($B79="","",--AND($Z79&gt;TahunBuku*12,$Z79&lt;=TahunBuku*12+12,$Y79&lt;=$Z79))</f>
        <v/>
      </c>
      <c r="AD79" s="21" t="str">
        <f>IF($B79="","",IFERROR(IF($S79="Garis Lurus",$G79-($G79-$H79)*MIN($T79*12,MAX(0,TahunBuku*12-$Y79+1))/($T79*12),IF($S79="Saldo Menurun",IF(TahunBuku-1&lt;YEAR($F79),$G79,IF(TahunBuku-1&gt;=INT(($Y79+$T79*12-2)/12),$H79,MAX($H79,$G79*(1-2/$T79*(13-MONTH($F79))/12)*(1-2/$T79)^(TahunBuku-1-YEAR($F79))))),IF($S79="Unit Produksi",$G79-($G79-$H79)*MIN(1,N($L79)/$K79),$G79))),$G79))</f>
        <v/>
      </c>
      <c r="AE79" s="21" t="str">
        <f>IF($B79="","",IFERROR(IF($S79="Garis Lurus",$G79-($G79-$H79)*MIN($T79*12,MAX(0,TahunBuku*12+12-$Y79+1))/($T79*12),IF($S79="Saldo Menurun",IF(TahunBuku&lt;YEAR($F79),$G79,IF(TahunBuku&gt;=INT(($Y79+$T79*12-2)/12),$H79,MAX($H79,$G79*(1-2/$T79*(13-MONTH($F79))/12)*(1-2/$T79)^(TahunBuku-YEAR($F79))))),IF($S79="Unit Produksi",$G79-($G79-$H79)*MIN(1,(N($L79)+N($M79))/$K79),$G79))),$G79))</f>
        <v/>
      </c>
      <c r="AF79" s="20" t="str">
        <f>IF($B79="","",IF(OR($S79="Garis Lurus",$S79="Saldo Menurun",$S79="Unit Produksi"),MAX(0,IF($S79="Unit Produksi",TahunBuku*12+12,MIN(TahunBuku*12+12,$Y79+$T79*12-1))-MAX(TahunBuku*12+1,$Y79)+1),0))</f>
        <v/>
      </c>
      <c r="AG79" s="20" t="str">
        <f>IF($B79="","",IF(OR($S79="Garis Lurus",$S79="Saldo Menurun",$S79="Unit Produksi"),MAX(0,MIN($Z79,IF($S79="Unit Produksi",TahunBuku*12+12,MIN(TahunBuku*12+12,$Y79+$T79*12-1)))-MAX(TahunBuku*12+1,$Y79)+1),0))</f>
        <v/>
      </c>
      <c r="AH79" s="21" t="str">
        <f>IF($B79="","",IFERROR(IF($W79="Garis Lurus",$G79*(1-MIN($V79*12,MAX(0,TahunBuku*12-$Y79+1))/($V79*12)),IF($W79="Saldo Menurun",IF(TahunBuku-1&lt;YEAR($F79),$G79,IF(TahunBuku-1&gt;=INT(($Y79+$V79*12-2)/12),0,$G79*(1-2/$V79*(13-MONTH($F79))/12)*(1-2/$V79)^(TahunBuku-1-YEAR($F79)))),$G79)),$G79))</f>
        <v/>
      </c>
      <c r="AI79" s="21" t="str">
        <f>IF($B79="","",IFERROR(IF($W79="Garis Lurus",$G79*(1-MIN($V79*12,MAX(0,TahunBuku*12+12-$Y79+1))/($V79*12)),IF($W79="Saldo Menurun",IF(TahunBuku&lt;YEAR($F79),$G79,IF(TahunBuku&gt;=INT(($Y79+$V79*12-2)/12),0,$G79*(1-2/$V79*(13-MONTH($F79))/12)*(1-2/$V79)^(TahunBuku-YEAR($F79)))),$G79)),$G79))</f>
        <v/>
      </c>
      <c r="AJ79" s="20" t="str">
        <f>IF($B79="","",IF(OR($W79="Garis Lurus",$W79="Saldo Menurun"),MAX(0,MIN(TahunBuku*12+12,$Y79+$V79*12-1)-MAX(TahunBuku*12+1,$Y79)+1),0))</f>
        <v/>
      </c>
      <c r="AK79" s="20" t="str">
        <f>IF($B79="","",IF(OR($W79="Garis Lurus",$W79="Saldo Menurun"),MAX(0,MIN($Z79,TahunBuku*12+12,$Y79+$V79*12-1)-MAX(TahunBuku*12+1,$Y79)+1),0))</f>
        <v/>
      </c>
      <c r="AL79" s="22" t="str">
        <f>IF($B79="","",$G79*$AA79)</f>
        <v/>
      </c>
      <c r="AM79" s="22" t="str">
        <f>IF($B79="","",$G79*$AB79)</f>
        <v/>
      </c>
      <c r="AN79" s="22" t="str">
        <f>IF($B79="","",$G79*$AC79)</f>
        <v/>
      </c>
      <c r="AO79" s="22" t="str">
        <f>IF($B79="","",AL79+AM79-AN79)</f>
        <v/>
      </c>
      <c r="AP79" s="22" t="str">
        <f>IF($B79="","",($G79-$AD79)*$AA79)</f>
        <v/>
      </c>
      <c r="AQ79" s="22" t="str">
        <f>IF($B79="","",IF($AF79=0,0,($AD79-$AE79)*$AG79/$AF79)*MAX($AA79,$AB79))</f>
        <v/>
      </c>
      <c r="AR79" s="22" t="str">
        <f>IF($B79="","",(AP79+AQ79)*$AC79)</f>
        <v/>
      </c>
      <c r="AS79" s="22" t="str">
        <f>IF($B79="","",AP79+AQ79-AR79)</f>
        <v/>
      </c>
      <c r="AT79" s="22" t="str">
        <f>IF($B79="","",AO79-AS79)</f>
        <v/>
      </c>
      <c r="AU79" s="22" t="str">
        <f>IF($B79="","",IF($AC79=1,N($R79)-($G79-AR79),0))</f>
        <v/>
      </c>
      <c r="AV79" s="22" t="str">
        <f>IF($B79="","",($G79-$AH79)*$AA79)</f>
        <v/>
      </c>
      <c r="AW79" s="22" t="str">
        <f>IF($B79="","",IF($AJ79=0,0,($AH79-$AI79)*$AK79/$AJ79)*MAX($AA79,$AB79))</f>
        <v/>
      </c>
      <c r="AX79" s="22" t="str">
        <f>IF($B79="","",(AV79+AW79)*$AC79)</f>
        <v/>
      </c>
      <c r="AY79" s="22" t="str">
        <f>IF($B79="","",AV79+AW79-AX79)</f>
        <v/>
      </c>
      <c r="AZ79" s="22" t="str">
        <f>IF($B79="","",AO79-AY79)</f>
        <v/>
      </c>
      <c r="BA79" s="22" t="str">
        <f>IF($B79="","",IF($AC79=1,N($R79)-($G79-AX79),0))</f>
        <v/>
      </c>
      <c r="BB79" s="22" t="str">
        <f>IF($B79="","",ROUND(AQ79-AW79,0))</f>
        <v/>
      </c>
      <c r="BC79" s="22" t="str">
        <f>IF($B79="","",ROUND(BA79-AU79,0))</f>
        <v/>
      </c>
      <c r="BD79" s="22" t="str">
        <f>IF($B79="","",BB79+BC79)</f>
        <v/>
      </c>
      <c r="BE79" s="22" t="str">
        <f>IF($B79="","",ROUND(AV79-AP79,0))</f>
        <v/>
      </c>
      <c r="BF79" s="22" t="str">
        <f>IF($B79="","",ROUND(AT79-AZ79,0))</f>
        <v/>
      </c>
      <c r="BG79" s="22" t="str">
        <f>IF($B79="","",ROUND(BF79*TarifPPh,0))</f>
        <v/>
      </c>
      <c r="BH79" t="str">
        <f>IF($B79="","",IF($D79="","Kategori kosong",IF($F79="","Tgl perolehan kosong",IF(N($H79)&gt;$G79,"Residu &gt; harga perolehan",IF(AND(LEFT($U79,8)="Bangunan",$W79="Saldo Menurun"),"Bangunan wajib Garis Lurus (Ps.11 UU PPh)",IF(AND($S79="Unit Produksi",N($K79)=0),"Isi kapasitas unit",IF(AND(OR($S79="Garis Lurus",$S79="Saldo Menurun"),N($T79)&lt;=0),"Umur komersial kosong",IF(AND(OR($W79="Garis Lurus",$W79="Saldo Menurun"),N($V79)&lt;=0),"Masa manfaat fiskal kosong",IF(AND($Q79&lt;&gt;"",$Q79&lt;$F79),"Tgl pelepasan &lt; perolehan","OK")))))))))</f>
        <v/>
      </c>
    </row>
    <row r="80" spans="1:60" x14ac:dyDescent="0.25">
      <c r="A80" t="str">
        <f>IF($B80="","",ROW()-6)</f>
        <v/>
      </c>
      <c r="B80" s="9"/>
      <c r="C80" s="9"/>
      <c r="D80" s="9"/>
      <c r="E80" s="9"/>
      <c r="F80" s="17"/>
      <c r="G80" s="18"/>
      <c r="H80" s="18"/>
      <c r="I80" s="9"/>
      <c r="J80" s="9"/>
      <c r="K80" s="19"/>
      <c r="L80" s="19"/>
      <c r="M80" s="19"/>
      <c r="N80" s="9"/>
      <c r="O80" s="9"/>
      <c r="P80" s="9"/>
      <c r="Q80" s="17"/>
      <c r="R80" s="18"/>
      <c r="S80" t="str">
        <f>IF($B80="","",IF($I80&lt;&gt;"",$I80,IFERROR(INDEX(Kat_Metode,MATCH($D80,Kat_Nama,0)),"")))</f>
        <v/>
      </c>
      <c r="T80" t="str">
        <f>IF($B80="","",IF($J80&lt;&gt;"",$J80,IFERROR(INDEX(Kat_Umur,MATCH($D80,Kat_Nama,0)),0)))</f>
        <v/>
      </c>
      <c r="U80" t="str">
        <f>IF($B80="","",IF($N80&lt;&gt;"",$N80,IFERROR(INDEX(Kat_Kelompok,MATCH($D80,Kat_Nama,0)),"")))</f>
        <v/>
      </c>
      <c r="V80" t="str">
        <f>IF($B80="","",IF($U80="Masa Manfaat Sebenarnya",N($O80),IFERROR(INDEX(Kel_Masa,MATCH($U80,Kel_Nama,0)),0)))</f>
        <v/>
      </c>
      <c r="W80" t="str">
        <f>IF($B80="","",IF($P80&lt;&gt;"",$P80,IF(OR($U80="Tidak Disusutkan",$V80=0),"Tidak Disusutkan","Garis Lurus")))</f>
        <v/>
      </c>
      <c r="X80" t="str">
        <f>IF($B80="","",IF($Y80&gt;TahunBuku*12+12,"Belum Diperoleh",IF($Z80&lt;=TahunBuku*12,"Dilepas (thn lalu)",IF($AC80=1,"Dilepas thn ini",IF($AB80=1,"Perolehan baru","Aktif")))))</f>
        <v/>
      </c>
      <c r="Y80" s="20" t="str">
        <f>IF($B80="","",YEAR($F80)*12+MONTH($F80))</f>
        <v/>
      </c>
      <c r="Z80" s="20" t="str">
        <f>IF($B80="","",IF($Q80="",99999,YEAR($Q80)*12+MONTH($Q80)))</f>
        <v/>
      </c>
      <c r="AA80" s="20" t="str">
        <f>IF($B80="","",--AND($Y80&lt;=TahunBuku*12,$Z80&gt;TahunBuku*12))</f>
        <v/>
      </c>
      <c r="AB80" s="20" t="str">
        <f>IF($B80="","",--AND($Y80&gt;TahunBuku*12,$Y80&lt;=TahunBuku*12+12))</f>
        <v/>
      </c>
      <c r="AC80" s="20" t="str">
        <f>IF($B80="","",--AND($Z80&gt;TahunBuku*12,$Z80&lt;=TahunBuku*12+12,$Y80&lt;=$Z80))</f>
        <v/>
      </c>
      <c r="AD80" s="21" t="str">
        <f>IF($B80="","",IFERROR(IF($S80="Garis Lurus",$G80-($G80-$H80)*MIN($T80*12,MAX(0,TahunBuku*12-$Y80+1))/($T80*12),IF($S80="Saldo Menurun",IF(TahunBuku-1&lt;YEAR($F80),$G80,IF(TahunBuku-1&gt;=INT(($Y80+$T80*12-2)/12),$H80,MAX($H80,$G80*(1-2/$T80*(13-MONTH($F80))/12)*(1-2/$T80)^(TahunBuku-1-YEAR($F80))))),IF($S80="Unit Produksi",$G80-($G80-$H80)*MIN(1,N($L80)/$K80),$G80))),$G80))</f>
        <v/>
      </c>
      <c r="AE80" s="21" t="str">
        <f>IF($B80="","",IFERROR(IF($S80="Garis Lurus",$G80-($G80-$H80)*MIN($T80*12,MAX(0,TahunBuku*12+12-$Y80+1))/($T80*12),IF($S80="Saldo Menurun",IF(TahunBuku&lt;YEAR($F80),$G80,IF(TahunBuku&gt;=INT(($Y80+$T80*12-2)/12),$H80,MAX($H80,$G80*(1-2/$T80*(13-MONTH($F80))/12)*(1-2/$T80)^(TahunBuku-YEAR($F80))))),IF($S80="Unit Produksi",$G80-($G80-$H80)*MIN(1,(N($L80)+N($M80))/$K80),$G80))),$G80))</f>
        <v/>
      </c>
      <c r="AF80" s="20" t="str">
        <f>IF($B80="","",IF(OR($S80="Garis Lurus",$S80="Saldo Menurun",$S80="Unit Produksi"),MAX(0,IF($S80="Unit Produksi",TahunBuku*12+12,MIN(TahunBuku*12+12,$Y80+$T80*12-1))-MAX(TahunBuku*12+1,$Y80)+1),0))</f>
        <v/>
      </c>
      <c r="AG80" s="20" t="str">
        <f>IF($B80="","",IF(OR($S80="Garis Lurus",$S80="Saldo Menurun",$S80="Unit Produksi"),MAX(0,MIN($Z80,IF($S80="Unit Produksi",TahunBuku*12+12,MIN(TahunBuku*12+12,$Y80+$T80*12-1)))-MAX(TahunBuku*12+1,$Y80)+1),0))</f>
        <v/>
      </c>
      <c r="AH80" s="21" t="str">
        <f>IF($B80="","",IFERROR(IF($W80="Garis Lurus",$G80*(1-MIN($V80*12,MAX(0,TahunBuku*12-$Y80+1))/($V80*12)),IF($W80="Saldo Menurun",IF(TahunBuku-1&lt;YEAR($F80),$G80,IF(TahunBuku-1&gt;=INT(($Y80+$V80*12-2)/12),0,$G80*(1-2/$V80*(13-MONTH($F80))/12)*(1-2/$V80)^(TahunBuku-1-YEAR($F80)))),$G80)),$G80))</f>
        <v/>
      </c>
      <c r="AI80" s="21" t="str">
        <f>IF($B80="","",IFERROR(IF($W80="Garis Lurus",$G80*(1-MIN($V80*12,MAX(0,TahunBuku*12+12-$Y80+1))/($V80*12)),IF($W80="Saldo Menurun",IF(TahunBuku&lt;YEAR($F80),$G80,IF(TahunBuku&gt;=INT(($Y80+$V80*12-2)/12),0,$G80*(1-2/$V80*(13-MONTH($F80))/12)*(1-2/$V80)^(TahunBuku-YEAR($F80)))),$G80)),$G80))</f>
        <v/>
      </c>
      <c r="AJ80" s="20" t="str">
        <f>IF($B80="","",IF(OR($W80="Garis Lurus",$W80="Saldo Menurun"),MAX(0,MIN(TahunBuku*12+12,$Y80+$V80*12-1)-MAX(TahunBuku*12+1,$Y80)+1),0))</f>
        <v/>
      </c>
      <c r="AK80" s="20" t="str">
        <f>IF($B80="","",IF(OR($W80="Garis Lurus",$W80="Saldo Menurun"),MAX(0,MIN($Z80,TahunBuku*12+12,$Y80+$V80*12-1)-MAX(TahunBuku*12+1,$Y80)+1),0))</f>
        <v/>
      </c>
      <c r="AL80" s="22" t="str">
        <f>IF($B80="","",$G80*$AA80)</f>
        <v/>
      </c>
      <c r="AM80" s="22" t="str">
        <f>IF($B80="","",$G80*$AB80)</f>
        <v/>
      </c>
      <c r="AN80" s="22" t="str">
        <f>IF($B80="","",$G80*$AC80)</f>
        <v/>
      </c>
      <c r="AO80" s="22" t="str">
        <f>IF($B80="","",AL80+AM80-AN80)</f>
        <v/>
      </c>
      <c r="AP80" s="22" t="str">
        <f>IF($B80="","",($G80-$AD80)*$AA80)</f>
        <v/>
      </c>
      <c r="AQ80" s="22" t="str">
        <f>IF($B80="","",IF($AF80=0,0,($AD80-$AE80)*$AG80/$AF80)*MAX($AA80,$AB80))</f>
        <v/>
      </c>
      <c r="AR80" s="22" t="str">
        <f>IF($B80="","",(AP80+AQ80)*$AC80)</f>
        <v/>
      </c>
      <c r="AS80" s="22" t="str">
        <f>IF($B80="","",AP80+AQ80-AR80)</f>
        <v/>
      </c>
      <c r="AT80" s="22" t="str">
        <f>IF($B80="","",AO80-AS80)</f>
        <v/>
      </c>
      <c r="AU80" s="22" t="str">
        <f>IF($B80="","",IF($AC80=1,N($R80)-($G80-AR80),0))</f>
        <v/>
      </c>
      <c r="AV80" s="22" t="str">
        <f>IF($B80="","",($G80-$AH80)*$AA80)</f>
        <v/>
      </c>
      <c r="AW80" s="22" t="str">
        <f>IF($B80="","",IF($AJ80=0,0,($AH80-$AI80)*$AK80/$AJ80)*MAX($AA80,$AB80))</f>
        <v/>
      </c>
      <c r="AX80" s="22" t="str">
        <f>IF($B80="","",(AV80+AW80)*$AC80)</f>
        <v/>
      </c>
      <c r="AY80" s="22" t="str">
        <f>IF($B80="","",AV80+AW80-AX80)</f>
        <v/>
      </c>
      <c r="AZ80" s="22" t="str">
        <f>IF($B80="","",AO80-AY80)</f>
        <v/>
      </c>
      <c r="BA80" s="22" t="str">
        <f>IF($B80="","",IF($AC80=1,N($R80)-($G80-AX80),0))</f>
        <v/>
      </c>
      <c r="BB80" s="22" t="str">
        <f>IF($B80="","",ROUND(AQ80-AW80,0))</f>
        <v/>
      </c>
      <c r="BC80" s="22" t="str">
        <f>IF($B80="","",ROUND(BA80-AU80,0))</f>
        <v/>
      </c>
      <c r="BD80" s="22" t="str">
        <f>IF($B80="","",BB80+BC80)</f>
        <v/>
      </c>
      <c r="BE80" s="22" t="str">
        <f>IF($B80="","",ROUND(AV80-AP80,0))</f>
        <v/>
      </c>
      <c r="BF80" s="22" t="str">
        <f>IF($B80="","",ROUND(AT80-AZ80,0))</f>
        <v/>
      </c>
      <c r="BG80" s="22" t="str">
        <f>IF($B80="","",ROUND(BF80*TarifPPh,0))</f>
        <v/>
      </c>
      <c r="BH80" t="str">
        <f>IF($B80="","",IF($D80="","Kategori kosong",IF($F80="","Tgl perolehan kosong",IF(N($H80)&gt;$G80,"Residu &gt; harga perolehan",IF(AND(LEFT($U80,8)="Bangunan",$W80="Saldo Menurun"),"Bangunan wajib Garis Lurus (Ps.11 UU PPh)",IF(AND($S80="Unit Produksi",N($K80)=0),"Isi kapasitas unit",IF(AND(OR($S80="Garis Lurus",$S80="Saldo Menurun"),N($T80)&lt;=0),"Umur komersial kosong",IF(AND(OR($W80="Garis Lurus",$W80="Saldo Menurun"),N($V80)&lt;=0),"Masa manfaat fiskal kosong",IF(AND($Q80&lt;&gt;"",$Q80&lt;$F80),"Tgl pelepasan &lt; perolehan","OK")))))))))</f>
        <v/>
      </c>
    </row>
    <row r="81" spans="1:60" x14ac:dyDescent="0.25">
      <c r="A81" t="str">
        <f>IF($B81="","",ROW()-6)</f>
        <v/>
      </c>
      <c r="B81" s="9"/>
      <c r="C81" s="9"/>
      <c r="D81" s="9"/>
      <c r="E81" s="9"/>
      <c r="F81" s="17"/>
      <c r="G81" s="18"/>
      <c r="H81" s="18"/>
      <c r="I81" s="9"/>
      <c r="J81" s="9"/>
      <c r="K81" s="19"/>
      <c r="L81" s="19"/>
      <c r="M81" s="19"/>
      <c r="N81" s="9"/>
      <c r="O81" s="9"/>
      <c r="P81" s="9"/>
      <c r="Q81" s="17"/>
      <c r="R81" s="18"/>
      <c r="S81" t="str">
        <f>IF($B81="","",IF($I81&lt;&gt;"",$I81,IFERROR(INDEX(Kat_Metode,MATCH($D81,Kat_Nama,0)),"")))</f>
        <v/>
      </c>
      <c r="T81" t="str">
        <f>IF($B81="","",IF($J81&lt;&gt;"",$J81,IFERROR(INDEX(Kat_Umur,MATCH($D81,Kat_Nama,0)),0)))</f>
        <v/>
      </c>
      <c r="U81" t="str">
        <f>IF($B81="","",IF($N81&lt;&gt;"",$N81,IFERROR(INDEX(Kat_Kelompok,MATCH($D81,Kat_Nama,0)),"")))</f>
        <v/>
      </c>
      <c r="V81" t="str">
        <f>IF($B81="","",IF($U81="Masa Manfaat Sebenarnya",N($O81),IFERROR(INDEX(Kel_Masa,MATCH($U81,Kel_Nama,0)),0)))</f>
        <v/>
      </c>
      <c r="W81" t="str">
        <f>IF($B81="","",IF($P81&lt;&gt;"",$P81,IF(OR($U81="Tidak Disusutkan",$V81=0),"Tidak Disusutkan","Garis Lurus")))</f>
        <v/>
      </c>
      <c r="X81" t="str">
        <f>IF($B81="","",IF($Y81&gt;TahunBuku*12+12,"Belum Diperoleh",IF($Z81&lt;=TahunBuku*12,"Dilepas (thn lalu)",IF($AC81=1,"Dilepas thn ini",IF($AB81=1,"Perolehan baru","Aktif")))))</f>
        <v/>
      </c>
      <c r="Y81" s="20" t="str">
        <f>IF($B81="","",YEAR($F81)*12+MONTH($F81))</f>
        <v/>
      </c>
      <c r="Z81" s="20" t="str">
        <f>IF($B81="","",IF($Q81="",99999,YEAR($Q81)*12+MONTH($Q81)))</f>
        <v/>
      </c>
      <c r="AA81" s="20" t="str">
        <f>IF($B81="","",--AND($Y81&lt;=TahunBuku*12,$Z81&gt;TahunBuku*12))</f>
        <v/>
      </c>
      <c r="AB81" s="20" t="str">
        <f>IF($B81="","",--AND($Y81&gt;TahunBuku*12,$Y81&lt;=TahunBuku*12+12))</f>
        <v/>
      </c>
      <c r="AC81" s="20" t="str">
        <f>IF($B81="","",--AND($Z81&gt;TahunBuku*12,$Z81&lt;=TahunBuku*12+12,$Y81&lt;=$Z81))</f>
        <v/>
      </c>
      <c r="AD81" s="21" t="str">
        <f>IF($B81="","",IFERROR(IF($S81="Garis Lurus",$G81-($G81-$H81)*MIN($T81*12,MAX(0,TahunBuku*12-$Y81+1))/($T81*12),IF($S81="Saldo Menurun",IF(TahunBuku-1&lt;YEAR($F81),$G81,IF(TahunBuku-1&gt;=INT(($Y81+$T81*12-2)/12),$H81,MAX($H81,$G81*(1-2/$T81*(13-MONTH($F81))/12)*(1-2/$T81)^(TahunBuku-1-YEAR($F81))))),IF($S81="Unit Produksi",$G81-($G81-$H81)*MIN(1,N($L81)/$K81),$G81))),$G81))</f>
        <v/>
      </c>
      <c r="AE81" s="21" t="str">
        <f>IF($B81="","",IFERROR(IF($S81="Garis Lurus",$G81-($G81-$H81)*MIN($T81*12,MAX(0,TahunBuku*12+12-$Y81+1))/($T81*12),IF($S81="Saldo Menurun",IF(TahunBuku&lt;YEAR($F81),$G81,IF(TahunBuku&gt;=INT(($Y81+$T81*12-2)/12),$H81,MAX($H81,$G81*(1-2/$T81*(13-MONTH($F81))/12)*(1-2/$T81)^(TahunBuku-YEAR($F81))))),IF($S81="Unit Produksi",$G81-($G81-$H81)*MIN(1,(N($L81)+N($M81))/$K81),$G81))),$G81))</f>
        <v/>
      </c>
      <c r="AF81" s="20" t="str">
        <f>IF($B81="","",IF(OR($S81="Garis Lurus",$S81="Saldo Menurun",$S81="Unit Produksi"),MAX(0,IF($S81="Unit Produksi",TahunBuku*12+12,MIN(TahunBuku*12+12,$Y81+$T81*12-1))-MAX(TahunBuku*12+1,$Y81)+1),0))</f>
        <v/>
      </c>
      <c r="AG81" s="20" t="str">
        <f>IF($B81="","",IF(OR($S81="Garis Lurus",$S81="Saldo Menurun",$S81="Unit Produksi"),MAX(0,MIN($Z81,IF($S81="Unit Produksi",TahunBuku*12+12,MIN(TahunBuku*12+12,$Y81+$T81*12-1)))-MAX(TahunBuku*12+1,$Y81)+1),0))</f>
        <v/>
      </c>
      <c r="AH81" s="21" t="str">
        <f>IF($B81="","",IFERROR(IF($W81="Garis Lurus",$G81*(1-MIN($V81*12,MAX(0,TahunBuku*12-$Y81+1))/($V81*12)),IF($W81="Saldo Menurun",IF(TahunBuku-1&lt;YEAR($F81),$G81,IF(TahunBuku-1&gt;=INT(($Y81+$V81*12-2)/12),0,$G81*(1-2/$V81*(13-MONTH($F81))/12)*(1-2/$V81)^(TahunBuku-1-YEAR($F81)))),$G81)),$G81))</f>
        <v/>
      </c>
      <c r="AI81" s="21" t="str">
        <f>IF($B81="","",IFERROR(IF($W81="Garis Lurus",$G81*(1-MIN($V81*12,MAX(0,TahunBuku*12+12-$Y81+1))/($V81*12)),IF($W81="Saldo Menurun",IF(TahunBuku&lt;YEAR($F81),$G81,IF(TahunBuku&gt;=INT(($Y81+$V81*12-2)/12),0,$G81*(1-2/$V81*(13-MONTH($F81))/12)*(1-2/$V81)^(TahunBuku-YEAR($F81)))),$G81)),$G81))</f>
        <v/>
      </c>
      <c r="AJ81" s="20" t="str">
        <f>IF($B81="","",IF(OR($W81="Garis Lurus",$W81="Saldo Menurun"),MAX(0,MIN(TahunBuku*12+12,$Y81+$V81*12-1)-MAX(TahunBuku*12+1,$Y81)+1),0))</f>
        <v/>
      </c>
      <c r="AK81" s="20" t="str">
        <f>IF($B81="","",IF(OR($W81="Garis Lurus",$W81="Saldo Menurun"),MAX(0,MIN($Z81,TahunBuku*12+12,$Y81+$V81*12-1)-MAX(TahunBuku*12+1,$Y81)+1),0))</f>
        <v/>
      </c>
      <c r="AL81" s="22" t="str">
        <f>IF($B81="","",$G81*$AA81)</f>
        <v/>
      </c>
      <c r="AM81" s="22" t="str">
        <f>IF($B81="","",$G81*$AB81)</f>
        <v/>
      </c>
      <c r="AN81" s="22" t="str">
        <f>IF($B81="","",$G81*$AC81)</f>
        <v/>
      </c>
      <c r="AO81" s="22" t="str">
        <f>IF($B81="","",AL81+AM81-AN81)</f>
        <v/>
      </c>
      <c r="AP81" s="22" t="str">
        <f>IF($B81="","",($G81-$AD81)*$AA81)</f>
        <v/>
      </c>
      <c r="AQ81" s="22" t="str">
        <f>IF($B81="","",IF($AF81=0,0,($AD81-$AE81)*$AG81/$AF81)*MAX($AA81,$AB81))</f>
        <v/>
      </c>
      <c r="AR81" s="22" t="str">
        <f>IF($B81="","",(AP81+AQ81)*$AC81)</f>
        <v/>
      </c>
      <c r="AS81" s="22" t="str">
        <f>IF($B81="","",AP81+AQ81-AR81)</f>
        <v/>
      </c>
      <c r="AT81" s="22" t="str">
        <f>IF($B81="","",AO81-AS81)</f>
        <v/>
      </c>
      <c r="AU81" s="22" t="str">
        <f>IF($B81="","",IF($AC81=1,N($R81)-($G81-AR81),0))</f>
        <v/>
      </c>
      <c r="AV81" s="22" t="str">
        <f>IF($B81="","",($G81-$AH81)*$AA81)</f>
        <v/>
      </c>
      <c r="AW81" s="22" t="str">
        <f>IF($B81="","",IF($AJ81=0,0,($AH81-$AI81)*$AK81/$AJ81)*MAX($AA81,$AB81))</f>
        <v/>
      </c>
      <c r="AX81" s="22" t="str">
        <f>IF($B81="","",(AV81+AW81)*$AC81)</f>
        <v/>
      </c>
      <c r="AY81" s="22" t="str">
        <f>IF($B81="","",AV81+AW81-AX81)</f>
        <v/>
      </c>
      <c r="AZ81" s="22" t="str">
        <f>IF($B81="","",AO81-AY81)</f>
        <v/>
      </c>
      <c r="BA81" s="22" t="str">
        <f>IF($B81="","",IF($AC81=1,N($R81)-($G81-AX81),0))</f>
        <v/>
      </c>
      <c r="BB81" s="22" t="str">
        <f>IF($B81="","",ROUND(AQ81-AW81,0))</f>
        <v/>
      </c>
      <c r="BC81" s="22" t="str">
        <f>IF($B81="","",ROUND(BA81-AU81,0))</f>
        <v/>
      </c>
      <c r="BD81" s="22" t="str">
        <f>IF($B81="","",BB81+BC81)</f>
        <v/>
      </c>
      <c r="BE81" s="22" t="str">
        <f>IF($B81="","",ROUND(AV81-AP81,0))</f>
        <v/>
      </c>
      <c r="BF81" s="22" t="str">
        <f>IF($B81="","",ROUND(AT81-AZ81,0))</f>
        <v/>
      </c>
      <c r="BG81" s="22" t="str">
        <f>IF($B81="","",ROUND(BF81*TarifPPh,0))</f>
        <v/>
      </c>
      <c r="BH81" t="str">
        <f>IF($B81="","",IF($D81="","Kategori kosong",IF($F81="","Tgl perolehan kosong",IF(N($H81)&gt;$G81,"Residu &gt; harga perolehan",IF(AND(LEFT($U81,8)="Bangunan",$W81="Saldo Menurun"),"Bangunan wajib Garis Lurus (Ps.11 UU PPh)",IF(AND($S81="Unit Produksi",N($K81)=0),"Isi kapasitas unit",IF(AND(OR($S81="Garis Lurus",$S81="Saldo Menurun"),N($T81)&lt;=0),"Umur komersial kosong",IF(AND(OR($W81="Garis Lurus",$W81="Saldo Menurun"),N($V81)&lt;=0),"Masa manfaat fiskal kosong",IF(AND($Q81&lt;&gt;"",$Q81&lt;$F81),"Tgl pelepasan &lt; perolehan","OK")))))))))</f>
        <v/>
      </c>
    </row>
    <row r="82" spans="1:60" x14ac:dyDescent="0.25">
      <c r="A82" t="str">
        <f>IF($B82="","",ROW()-6)</f>
        <v/>
      </c>
      <c r="B82" s="9"/>
      <c r="C82" s="9"/>
      <c r="D82" s="9"/>
      <c r="E82" s="9"/>
      <c r="F82" s="17"/>
      <c r="G82" s="18"/>
      <c r="H82" s="18"/>
      <c r="I82" s="9"/>
      <c r="J82" s="9"/>
      <c r="K82" s="19"/>
      <c r="L82" s="19"/>
      <c r="M82" s="19"/>
      <c r="N82" s="9"/>
      <c r="O82" s="9"/>
      <c r="P82" s="9"/>
      <c r="Q82" s="17"/>
      <c r="R82" s="18"/>
      <c r="S82" t="str">
        <f>IF($B82="","",IF($I82&lt;&gt;"",$I82,IFERROR(INDEX(Kat_Metode,MATCH($D82,Kat_Nama,0)),"")))</f>
        <v/>
      </c>
      <c r="T82" t="str">
        <f>IF($B82="","",IF($J82&lt;&gt;"",$J82,IFERROR(INDEX(Kat_Umur,MATCH($D82,Kat_Nama,0)),0)))</f>
        <v/>
      </c>
      <c r="U82" t="str">
        <f>IF($B82="","",IF($N82&lt;&gt;"",$N82,IFERROR(INDEX(Kat_Kelompok,MATCH($D82,Kat_Nama,0)),"")))</f>
        <v/>
      </c>
      <c r="V82" t="str">
        <f>IF($B82="","",IF($U82="Masa Manfaat Sebenarnya",N($O82),IFERROR(INDEX(Kel_Masa,MATCH($U82,Kel_Nama,0)),0)))</f>
        <v/>
      </c>
      <c r="W82" t="str">
        <f>IF($B82="","",IF($P82&lt;&gt;"",$P82,IF(OR($U82="Tidak Disusutkan",$V82=0),"Tidak Disusutkan","Garis Lurus")))</f>
        <v/>
      </c>
      <c r="X82" t="str">
        <f>IF($B82="","",IF($Y82&gt;TahunBuku*12+12,"Belum Diperoleh",IF($Z82&lt;=TahunBuku*12,"Dilepas (thn lalu)",IF($AC82=1,"Dilepas thn ini",IF($AB82=1,"Perolehan baru","Aktif")))))</f>
        <v/>
      </c>
      <c r="Y82" s="20" t="str">
        <f>IF($B82="","",YEAR($F82)*12+MONTH($F82))</f>
        <v/>
      </c>
      <c r="Z82" s="20" t="str">
        <f>IF($B82="","",IF($Q82="",99999,YEAR($Q82)*12+MONTH($Q82)))</f>
        <v/>
      </c>
      <c r="AA82" s="20" t="str">
        <f>IF($B82="","",--AND($Y82&lt;=TahunBuku*12,$Z82&gt;TahunBuku*12))</f>
        <v/>
      </c>
      <c r="AB82" s="20" t="str">
        <f>IF($B82="","",--AND($Y82&gt;TahunBuku*12,$Y82&lt;=TahunBuku*12+12))</f>
        <v/>
      </c>
      <c r="AC82" s="20" t="str">
        <f>IF($B82="","",--AND($Z82&gt;TahunBuku*12,$Z82&lt;=TahunBuku*12+12,$Y82&lt;=$Z82))</f>
        <v/>
      </c>
      <c r="AD82" s="21" t="str">
        <f>IF($B82="","",IFERROR(IF($S82="Garis Lurus",$G82-($G82-$H82)*MIN($T82*12,MAX(0,TahunBuku*12-$Y82+1))/($T82*12),IF($S82="Saldo Menurun",IF(TahunBuku-1&lt;YEAR($F82),$G82,IF(TahunBuku-1&gt;=INT(($Y82+$T82*12-2)/12),$H82,MAX($H82,$G82*(1-2/$T82*(13-MONTH($F82))/12)*(1-2/$T82)^(TahunBuku-1-YEAR($F82))))),IF($S82="Unit Produksi",$G82-($G82-$H82)*MIN(1,N($L82)/$K82),$G82))),$G82))</f>
        <v/>
      </c>
      <c r="AE82" s="21" t="str">
        <f>IF($B82="","",IFERROR(IF($S82="Garis Lurus",$G82-($G82-$H82)*MIN($T82*12,MAX(0,TahunBuku*12+12-$Y82+1))/($T82*12),IF($S82="Saldo Menurun",IF(TahunBuku&lt;YEAR($F82),$G82,IF(TahunBuku&gt;=INT(($Y82+$T82*12-2)/12),$H82,MAX($H82,$G82*(1-2/$T82*(13-MONTH($F82))/12)*(1-2/$T82)^(TahunBuku-YEAR($F82))))),IF($S82="Unit Produksi",$G82-($G82-$H82)*MIN(1,(N($L82)+N($M82))/$K82),$G82))),$G82))</f>
        <v/>
      </c>
      <c r="AF82" s="20" t="str">
        <f>IF($B82="","",IF(OR($S82="Garis Lurus",$S82="Saldo Menurun",$S82="Unit Produksi"),MAX(0,IF($S82="Unit Produksi",TahunBuku*12+12,MIN(TahunBuku*12+12,$Y82+$T82*12-1))-MAX(TahunBuku*12+1,$Y82)+1),0))</f>
        <v/>
      </c>
      <c r="AG82" s="20" t="str">
        <f>IF($B82="","",IF(OR($S82="Garis Lurus",$S82="Saldo Menurun",$S82="Unit Produksi"),MAX(0,MIN($Z82,IF($S82="Unit Produksi",TahunBuku*12+12,MIN(TahunBuku*12+12,$Y82+$T82*12-1)))-MAX(TahunBuku*12+1,$Y82)+1),0))</f>
        <v/>
      </c>
      <c r="AH82" s="21" t="str">
        <f>IF($B82="","",IFERROR(IF($W82="Garis Lurus",$G82*(1-MIN($V82*12,MAX(0,TahunBuku*12-$Y82+1))/($V82*12)),IF($W82="Saldo Menurun",IF(TahunBuku-1&lt;YEAR($F82),$G82,IF(TahunBuku-1&gt;=INT(($Y82+$V82*12-2)/12),0,$G82*(1-2/$V82*(13-MONTH($F82))/12)*(1-2/$V82)^(TahunBuku-1-YEAR($F82)))),$G82)),$G82))</f>
        <v/>
      </c>
      <c r="AI82" s="21" t="str">
        <f>IF($B82="","",IFERROR(IF($W82="Garis Lurus",$G82*(1-MIN($V82*12,MAX(0,TahunBuku*12+12-$Y82+1))/($V82*12)),IF($W82="Saldo Menurun",IF(TahunBuku&lt;YEAR($F82),$G82,IF(TahunBuku&gt;=INT(($Y82+$V82*12-2)/12),0,$G82*(1-2/$V82*(13-MONTH($F82))/12)*(1-2/$V82)^(TahunBuku-YEAR($F82)))),$G82)),$G82))</f>
        <v/>
      </c>
      <c r="AJ82" s="20" t="str">
        <f>IF($B82="","",IF(OR($W82="Garis Lurus",$W82="Saldo Menurun"),MAX(0,MIN(TahunBuku*12+12,$Y82+$V82*12-1)-MAX(TahunBuku*12+1,$Y82)+1),0))</f>
        <v/>
      </c>
      <c r="AK82" s="20" t="str">
        <f>IF($B82="","",IF(OR($W82="Garis Lurus",$W82="Saldo Menurun"),MAX(0,MIN($Z82,TahunBuku*12+12,$Y82+$V82*12-1)-MAX(TahunBuku*12+1,$Y82)+1),0))</f>
        <v/>
      </c>
      <c r="AL82" s="22" t="str">
        <f>IF($B82="","",$G82*$AA82)</f>
        <v/>
      </c>
      <c r="AM82" s="22" t="str">
        <f>IF($B82="","",$G82*$AB82)</f>
        <v/>
      </c>
      <c r="AN82" s="22" t="str">
        <f>IF($B82="","",$G82*$AC82)</f>
        <v/>
      </c>
      <c r="AO82" s="22" t="str">
        <f>IF($B82="","",AL82+AM82-AN82)</f>
        <v/>
      </c>
      <c r="AP82" s="22" t="str">
        <f>IF($B82="","",($G82-$AD82)*$AA82)</f>
        <v/>
      </c>
      <c r="AQ82" s="22" t="str">
        <f>IF($B82="","",IF($AF82=0,0,($AD82-$AE82)*$AG82/$AF82)*MAX($AA82,$AB82))</f>
        <v/>
      </c>
      <c r="AR82" s="22" t="str">
        <f>IF($B82="","",(AP82+AQ82)*$AC82)</f>
        <v/>
      </c>
      <c r="AS82" s="22" t="str">
        <f>IF($B82="","",AP82+AQ82-AR82)</f>
        <v/>
      </c>
      <c r="AT82" s="22" t="str">
        <f>IF($B82="","",AO82-AS82)</f>
        <v/>
      </c>
      <c r="AU82" s="22" t="str">
        <f>IF($B82="","",IF($AC82=1,N($R82)-($G82-AR82),0))</f>
        <v/>
      </c>
      <c r="AV82" s="22" t="str">
        <f>IF($B82="","",($G82-$AH82)*$AA82)</f>
        <v/>
      </c>
      <c r="AW82" s="22" t="str">
        <f>IF($B82="","",IF($AJ82=0,0,($AH82-$AI82)*$AK82/$AJ82)*MAX($AA82,$AB82))</f>
        <v/>
      </c>
      <c r="AX82" s="22" t="str">
        <f>IF($B82="","",(AV82+AW82)*$AC82)</f>
        <v/>
      </c>
      <c r="AY82" s="22" t="str">
        <f>IF($B82="","",AV82+AW82-AX82)</f>
        <v/>
      </c>
      <c r="AZ82" s="22" t="str">
        <f>IF($B82="","",AO82-AY82)</f>
        <v/>
      </c>
      <c r="BA82" s="22" t="str">
        <f>IF($B82="","",IF($AC82=1,N($R82)-($G82-AX82),0))</f>
        <v/>
      </c>
      <c r="BB82" s="22" t="str">
        <f>IF($B82="","",ROUND(AQ82-AW82,0))</f>
        <v/>
      </c>
      <c r="BC82" s="22" t="str">
        <f>IF($B82="","",ROUND(BA82-AU82,0))</f>
        <v/>
      </c>
      <c r="BD82" s="22" t="str">
        <f>IF($B82="","",BB82+BC82)</f>
        <v/>
      </c>
      <c r="BE82" s="22" t="str">
        <f>IF($B82="","",ROUND(AV82-AP82,0))</f>
        <v/>
      </c>
      <c r="BF82" s="22" t="str">
        <f>IF($B82="","",ROUND(AT82-AZ82,0))</f>
        <v/>
      </c>
      <c r="BG82" s="22" t="str">
        <f>IF($B82="","",ROUND(BF82*TarifPPh,0))</f>
        <v/>
      </c>
      <c r="BH82" t="str">
        <f>IF($B82="","",IF($D82="","Kategori kosong",IF($F82="","Tgl perolehan kosong",IF(N($H82)&gt;$G82,"Residu &gt; harga perolehan",IF(AND(LEFT($U82,8)="Bangunan",$W82="Saldo Menurun"),"Bangunan wajib Garis Lurus (Ps.11 UU PPh)",IF(AND($S82="Unit Produksi",N($K82)=0),"Isi kapasitas unit",IF(AND(OR($S82="Garis Lurus",$S82="Saldo Menurun"),N($T82)&lt;=0),"Umur komersial kosong",IF(AND(OR($W82="Garis Lurus",$W82="Saldo Menurun"),N($V82)&lt;=0),"Masa manfaat fiskal kosong",IF(AND($Q82&lt;&gt;"",$Q82&lt;$F82),"Tgl pelepasan &lt; perolehan","OK")))))))))</f>
        <v/>
      </c>
    </row>
    <row r="83" spans="1:60" x14ac:dyDescent="0.25">
      <c r="A83" t="str">
        <f>IF($B83="","",ROW()-6)</f>
        <v/>
      </c>
      <c r="B83" s="9"/>
      <c r="C83" s="9"/>
      <c r="D83" s="9"/>
      <c r="E83" s="9"/>
      <c r="F83" s="17"/>
      <c r="G83" s="18"/>
      <c r="H83" s="18"/>
      <c r="I83" s="9"/>
      <c r="J83" s="9"/>
      <c r="K83" s="19"/>
      <c r="L83" s="19"/>
      <c r="M83" s="19"/>
      <c r="N83" s="9"/>
      <c r="O83" s="9"/>
      <c r="P83" s="9"/>
      <c r="Q83" s="17"/>
      <c r="R83" s="18"/>
      <c r="S83" t="str">
        <f>IF($B83="","",IF($I83&lt;&gt;"",$I83,IFERROR(INDEX(Kat_Metode,MATCH($D83,Kat_Nama,0)),"")))</f>
        <v/>
      </c>
      <c r="T83" t="str">
        <f>IF($B83="","",IF($J83&lt;&gt;"",$J83,IFERROR(INDEX(Kat_Umur,MATCH($D83,Kat_Nama,0)),0)))</f>
        <v/>
      </c>
      <c r="U83" t="str">
        <f>IF($B83="","",IF($N83&lt;&gt;"",$N83,IFERROR(INDEX(Kat_Kelompok,MATCH($D83,Kat_Nama,0)),"")))</f>
        <v/>
      </c>
      <c r="V83" t="str">
        <f>IF($B83="","",IF($U83="Masa Manfaat Sebenarnya",N($O83),IFERROR(INDEX(Kel_Masa,MATCH($U83,Kel_Nama,0)),0)))</f>
        <v/>
      </c>
      <c r="W83" t="str">
        <f>IF($B83="","",IF($P83&lt;&gt;"",$P83,IF(OR($U83="Tidak Disusutkan",$V83=0),"Tidak Disusutkan","Garis Lurus")))</f>
        <v/>
      </c>
      <c r="X83" t="str">
        <f>IF($B83="","",IF($Y83&gt;TahunBuku*12+12,"Belum Diperoleh",IF($Z83&lt;=TahunBuku*12,"Dilepas (thn lalu)",IF($AC83=1,"Dilepas thn ini",IF($AB83=1,"Perolehan baru","Aktif")))))</f>
        <v/>
      </c>
      <c r="Y83" s="20" t="str">
        <f>IF($B83="","",YEAR($F83)*12+MONTH($F83))</f>
        <v/>
      </c>
      <c r="Z83" s="20" t="str">
        <f>IF($B83="","",IF($Q83="",99999,YEAR($Q83)*12+MONTH($Q83)))</f>
        <v/>
      </c>
      <c r="AA83" s="20" t="str">
        <f>IF($B83="","",--AND($Y83&lt;=TahunBuku*12,$Z83&gt;TahunBuku*12))</f>
        <v/>
      </c>
      <c r="AB83" s="20" t="str">
        <f>IF($B83="","",--AND($Y83&gt;TahunBuku*12,$Y83&lt;=TahunBuku*12+12))</f>
        <v/>
      </c>
      <c r="AC83" s="20" t="str">
        <f>IF($B83="","",--AND($Z83&gt;TahunBuku*12,$Z83&lt;=TahunBuku*12+12,$Y83&lt;=$Z83))</f>
        <v/>
      </c>
      <c r="AD83" s="21" t="str">
        <f>IF($B83="","",IFERROR(IF($S83="Garis Lurus",$G83-($G83-$H83)*MIN($T83*12,MAX(0,TahunBuku*12-$Y83+1))/($T83*12),IF($S83="Saldo Menurun",IF(TahunBuku-1&lt;YEAR($F83),$G83,IF(TahunBuku-1&gt;=INT(($Y83+$T83*12-2)/12),$H83,MAX($H83,$G83*(1-2/$T83*(13-MONTH($F83))/12)*(1-2/$T83)^(TahunBuku-1-YEAR($F83))))),IF($S83="Unit Produksi",$G83-($G83-$H83)*MIN(1,N($L83)/$K83),$G83))),$G83))</f>
        <v/>
      </c>
      <c r="AE83" s="21" t="str">
        <f>IF($B83="","",IFERROR(IF($S83="Garis Lurus",$G83-($G83-$H83)*MIN($T83*12,MAX(0,TahunBuku*12+12-$Y83+1))/($T83*12),IF($S83="Saldo Menurun",IF(TahunBuku&lt;YEAR($F83),$G83,IF(TahunBuku&gt;=INT(($Y83+$T83*12-2)/12),$H83,MAX($H83,$G83*(1-2/$T83*(13-MONTH($F83))/12)*(1-2/$T83)^(TahunBuku-YEAR($F83))))),IF($S83="Unit Produksi",$G83-($G83-$H83)*MIN(1,(N($L83)+N($M83))/$K83),$G83))),$G83))</f>
        <v/>
      </c>
      <c r="AF83" s="20" t="str">
        <f>IF($B83="","",IF(OR($S83="Garis Lurus",$S83="Saldo Menurun",$S83="Unit Produksi"),MAX(0,IF($S83="Unit Produksi",TahunBuku*12+12,MIN(TahunBuku*12+12,$Y83+$T83*12-1))-MAX(TahunBuku*12+1,$Y83)+1),0))</f>
        <v/>
      </c>
      <c r="AG83" s="20" t="str">
        <f>IF($B83="","",IF(OR($S83="Garis Lurus",$S83="Saldo Menurun",$S83="Unit Produksi"),MAX(0,MIN($Z83,IF($S83="Unit Produksi",TahunBuku*12+12,MIN(TahunBuku*12+12,$Y83+$T83*12-1)))-MAX(TahunBuku*12+1,$Y83)+1),0))</f>
        <v/>
      </c>
      <c r="AH83" s="21" t="str">
        <f>IF($B83="","",IFERROR(IF($W83="Garis Lurus",$G83*(1-MIN($V83*12,MAX(0,TahunBuku*12-$Y83+1))/($V83*12)),IF($W83="Saldo Menurun",IF(TahunBuku-1&lt;YEAR($F83),$G83,IF(TahunBuku-1&gt;=INT(($Y83+$V83*12-2)/12),0,$G83*(1-2/$V83*(13-MONTH($F83))/12)*(1-2/$V83)^(TahunBuku-1-YEAR($F83)))),$G83)),$G83))</f>
        <v/>
      </c>
      <c r="AI83" s="21" t="str">
        <f>IF($B83="","",IFERROR(IF($W83="Garis Lurus",$G83*(1-MIN($V83*12,MAX(0,TahunBuku*12+12-$Y83+1))/($V83*12)),IF($W83="Saldo Menurun",IF(TahunBuku&lt;YEAR($F83),$G83,IF(TahunBuku&gt;=INT(($Y83+$V83*12-2)/12),0,$G83*(1-2/$V83*(13-MONTH($F83))/12)*(1-2/$V83)^(TahunBuku-YEAR($F83)))),$G83)),$G83))</f>
        <v/>
      </c>
      <c r="AJ83" s="20" t="str">
        <f>IF($B83="","",IF(OR($W83="Garis Lurus",$W83="Saldo Menurun"),MAX(0,MIN(TahunBuku*12+12,$Y83+$V83*12-1)-MAX(TahunBuku*12+1,$Y83)+1),0))</f>
        <v/>
      </c>
      <c r="AK83" s="20" t="str">
        <f>IF($B83="","",IF(OR($W83="Garis Lurus",$W83="Saldo Menurun"),MAX(0,MIN($Z83,TahunBuku*12+12,$Y83+$V83*12-1)-MAX(TahunBuku*12+1,$Y83)+1),0))</f>
        <v/>
      </c>
      <c r="AL83" s="22" t="str">
        <f>IF($B83="","",$G83*$AA83)</f>
        <v/>
      </c>
      <c r="AM83" s="22" t="str">
        <f>IF($B83="","",$G83*$AB83)</f>
        <v/>
      </c>
      <c r="AN83" s="22" t="str">
        <f>IF($B83="","",$G83*$AC83)</f>
        <v/>
      </c>
      <c r="AO83" s="22" t="str">
        <f>IF($B83="","",AL83+AM83-AN83)</f>
        <v/>
      </c>
      <c r="AP83" s="22" t="str">
        <f>IF($B83="","",($G83-$AD83)*$AA83)</f>
        <v/>
      </c>
      <c r="AQ83" s="22" t="str">
        <f>IF($B83="","",IF($AF83=0,0,($AD83-$AE83)*$AG83/$AF83)*MAX($AA83,$AB83))</f>
        <v/>
      </c>
      <c r="AR83" s="22" t="str">
        <f>IF($B83="","",(AP83+AQ83)*$AC83)</f>
        <v/>
      </c>
      <c r="AS83" s="22" t="str">
        <f>IF($B83="","",AP83+AQ83-AR83)</f>
        <v/>
      </c>
      <c r="AT83" s="22" t="str">
        <f>IF($B83="","",AO83-AS83)</f>
        <v/>
      </c>
      <c r="AU83" s="22" t="str">
        <f>IF($B83="","",IF($AC83=1,N($R83)-($G83-AR83),0))</f>
        <v/>
      </c>
      <c r="AV83" s="22" t="str">
        <f>IF($B83="","",($G83-$AH83)*$AA83)</f>
        <v/>
      </c>
      <c r="AW83" s="22" t="str">
        <f>IF($B83="","",IF($AJ83=0,0,($AH83-$AI83)*$AK83/$AJ83)*MAX($AA83,$AB83))</f>
        <v/>
      </c>
      <c r="AX83" s="22" t="str">
        <f>IF($B83="","",(AV83+AW83)*$AC83)</f>
        <v/>
      </c>
      <c r="AY83" s="22" t="str">
        <f>IF($B83="","",AV83+AW83-AX83)</f>
        <v/>
      </c>
      <c r="AZ83" s="22" t="str">
        <f>IF($B83="","",AO83-AY83)</f>
        <v/>
      </c>
      <c r="BA83" s="22" t="str">
        <f>IF($B83="","",IF($AC83=1,N($R83)-($G83-AX83),0))</f>
        <v/>
      </c>
      <c r="BB83" s="22" t="str">
        <f>IF($B83="","",ROUND(AQ83-AW83,0))</f>
        <v/>
      </c>
      <c r="BC83" s="22" t="str">
        <f>IF($B83="","",ROUND(BA83-AU83,0))</f>
        <v/>
      </c>
      <c r="BD83" s="22" t="str">
        <f>IF($B83="","",BB83+BC83)</f>
        <v/>
      </c>
      <c r="BE83" s="22" t="str">
        <f>IF($B83="","",ROUND(AV83-AP83,0))</f>
        <v/>
      </c>
      <c r="BF83" s="22" t="str">
        <f>IF($B83="","",ROUND(AT83-AZ83,0))</f>
        <v/>
      </c>
      <c r="BG83" s="22" t="str">
        <f>IF($B83="","",ROUND(BF83*TarifPPh,0))</f>
        <v/>
      </c>
      <c r="BH83" t="str">
        <f>IF($B83="","",IF($D83="","Kategori kosong",IF($F83="","Tgl perolehan kosong",IF(N($H83)&gt;$G83,"Residu &gt; harga perolehan",IF(AND(LEFT($U83,8)="Bangunan",$W83="Saldo Menurun"),"Bangunan wajib Garis Lurus (Ps.11 UU PPh)",IF(AND($S83="Unit Produksi",N($K83)=0),"Isi kapasitas unit",IF(AND(OR($S83="Garis Lurus",$S83="Saldo Menurun"),N($T83)&lt;=0),"Umur komersial kosong",IF(AND(OR($W83="Garis Lurus",$W83="Saldo Menurun"),N($V83)&lt;=0),"Masa manfaat fiskal kosong",IF(AND($Q83&lt;&gt;"",$Q83&lt;$F83),"Tgl pelepasan &lt; perolehan","OK")))))))))</f>
        <v/>
      </c>
    </row>
    <row r="84" spans="1:60" x14ac:dyDescent="0.25">
      <c r="A84" t="str">
        <f>IF($B84="","",ROW()-6)</f>
        <v/>
      </c>
      <c r="B84" s="9"/>
      <c r="C84" s="9"/>
      <c r="D84" s="9"/>
      <c r="E84" s="9"/>
      <c r="F84" s="17"/>
      <c r="G84" s="18"/>
      <c r="H84" s="18"/>
      <c r="I84" s="9"/>
      <c r="J84" s="9"/>
      <c r="K84" s="19"/>
      <c r="L84" s="19"/>
      <c r="M84" s="19"/>
      <c r="N84" s="9"/>
      <c r="O84" s="9"/>
      <c r="P84" s="9"/>
      <c r="Q84" s="17"/>
      <c r="R84" s="18"/>
      <c r="S84" t="str">
        <f>IF($B84="","",IF($I84&lt;&gt;"",$I84,IFERROR(INDEX(Kat_Metode,MATCH($D84,Kat_Nama,0)),"")))</f>
        <v/>
      </c>
      <c r="T84" t="str">
        <f>IF($B84="","",IF($J84&lt;&gt;"",$J84,IFERROR(INDEX(Kat_Umur,MATCH($D84,Kat_Nama,0)),0)))</f>
        <v/>
      </c>
      <c r="U84" t="str">
        <f>IF($B84="","",IF($N84&lt;&gt;"",$N84,IFERROR(INDEX(Kat_Kelompok,MATCH($D84,Kat_Nama,0)),"")))</f>
        <v/>
      </c>
      <c r="V84" t="str">
        <f>IF($B84="","",IF($U84="Masa Manfaat Sebenarnya",N($O84),IFERROR(INDEX(Kel_Masa,MATCH($U84,Kel_Nama,0)),0)))</f>
        <v/>
      </c>
      <c r="W84" t="str">
        <f>IF($B84="","",IF($P84&lt;&gt;"",$P84,IF(OR($U84="Tidak Disusutkan",$V84=0),"Tidak Disusutkan","Garis Lurus")))</f>
        <v/>
      </c>
      <c r="X84" t="str">
        <f>IF($B84="","",IF($Y84&gt;TahunBuku*12+12,"Belum Diperoleh",IF($Z84&lt;=TahunBuku*12,"Dilepas (thn lalu)",IF($AC84=1,"Dilepas thn ini",IF($AB84=1,"Perolehan baru","Aktif")))))</f>
        <v/>
      </c>
      <c r="Y84" s="20" t="str">
        <f>IF($B84="","",YEAR($F84)*12+MONTH($F84))</f>
        <v/>
      </c>
      <c r="Z84" s="20" t="str">
        <f>IF($B84="","",IF($Q84="",99999,YEAR($Q84)*12+MONTH($Q84)))</f>
        <v/>
      </c>
      <c r="AA84" s="20" t="str">
        <f>IF($B84="","",--AND($Y84&lt;=TahunBuku*12,$Z84&gt;TahunBuku*12))</f>
        <v/>
      </c>
      <c r="AB84" s="20" t="str">
        <f>IF($B84="","",--AND($Y84&gt;TahunBuku*12,$Y84&lt;=TahunBuku*12+12))</f>
        <v/>
      </c>
      <c r="AC84" s="20" t="str">
        <f>IF($B84="","",--AND($Z84&gt;TahunBuku*12,$Z84&lt;=TahunBuku*12+12,$Y84&lt;=$Z84))</f>
        <v/>
      </c>
      <c r="AD84" s="21" t="str">
        <f>IF($B84="","",IFERROR(IF($S84="Garis Lurus",$G84-($G84-$H84)*MIN($T84*12,MAX(0,TahunBuku*12-$Y84+1))/($T84*12),IF($S84="Saldo Menurun",IF(TahunBuku-1&lt;YEAR($F84),$G84,IF(TahunBuku-1&gt;=INT(($Y84+$T84*12-2)/12),$H84,MAX($H84,$G84*(1-2/$T84*(13-MONTH($F84))/12)*(1-2/$T84)^(TahunBuku-1-YEAR($F84))))),IF($S84="Unit Produksi",$G84-($G84-$H84)*MIN(1,N($L84)/$K84),$G84))),$G84))</f>
        <v/>
      </c>
      <c r="AE84" s="21" t="str">
        <f>IF($B84="","",IFERROR(IF($S84="Garis Lurus",$G84-($G84-$H84)*MIN($T84*12,MAX(0,TahunBuku*12+12-$Y84+1))/($T84*12),IF($S84="Saldo Menurun",IF(TahunBuku&lt;YEAR($F84),$G84,IF(TahunBuku&gt;=INT(($Y84+$T84*12-2)/12),$H84,MAX($H84,$G84*(1-2/$T84*(13-MONTH($F84))/12)*(1-2/$T84)^(TahunBuku-YEAR($F84))))),IF($S84="Unit Produksi",$G84-($G84-$H84)*MIN(1,(N($L84)+N($M84))/$K84),$G84))),$G84))</f>
        <v/>
      </c>
      <c r="AF84" s="20" t="str">
        <f>IF($B84="","",IF(OR($S84="Garis Lurus",$S84="Saldo Menurun",$S84="Unit Produksi"),MAX(0,IF($S84="Unit Produksi",TahunBuku*12+12,MIN(TahunBuku*12+12,$Y84+$T84*12-1))-MAX(TahunBuku*12+1,$Y84)+1),0))</f>
        <v/>
      </c>
      <c r="AG84" s="20" t="str">
        <f>IF($B84="","",IF(OR($S84="Garis Lurus",$S84="Saldo Menurun",$S84="Unit Produksi"),MAX(0,MIN($Z84,IF($S84="Unit Produksi",TahunBuku*12+12,MIN(TahunBuku*12+12,$Y84+$T84*12-1)))-MAX(TahunBuku*12+1,$Y84)+1),0))</f>
        <v/>
      </c>
      <c r="AH84" s="21" t="str">
        <f>IF($B84="","",IFERROR(IF($W84="Garis Lurus",$G84*(1-MIN($V84*12,MAX(0,TahunBuku*12-$Y84+1))/($V84*12)),IF($W84="Saldo Menurun",IF(TahunBuku-1&lt;YEAR($F84),$G84,IF(TahunBuku-1&gt;=INT(($Y84+$V84*12-2)/12),0,$G84*(1-2/$V84*(13-MONTH($F84))/12)*(1-2/$V84)^(TahunBuku-1-YEAR($F84)))),$G84)),$G84))</f>
        <v/>
      </c>
      <c r="AI84" s="21" t="str">
        <f>IF($B84="","",IFERROR(IF($W84="Garis Lurus",$G84*(1-MIN($V84*12,MAX(0,TahunBuku*12+12-$Y84+1))/($V84*12)),IF($W84="Saldo Menurun",IF(TahunBuku&lt;YEAR($F84),$G84,IF(TahunBuku&gt;=INT(($Y84+$V84*12-2)/12),0,$G84*(1-2/$V84*(13-MONTH($F84))/12)*(1-2/$V84)^(TahunBuku-YEAR($F84)))),$G84)),$G84))</f>
        <v/>
      </c>
      <c r="AJ84" s="20" t="str">
        <f>IF($B84="","",IF(OR($W84="Garis Lurus",$W84="Saldo Menurun"),MAX(0,MIN(TahunBuku*12+12,$Y84+$V84*12-1)-MAX(TahunBuku*12+1,$Y84)+1),0))</f>
        <v/>
      </c>
      <c r="AK84" s="20" t="str">
        <f>IF($B84="","",IF(OR($W84="Garis Lurus",$W84="Saldo Menurun"),MAX(0,MIN($Z84,TahunBuku*12+12,$Y84+$V84*12-1)-MAX(TahunBuku*12+1,$Y84)+1),0))</f>
        <v/>
      </c>
      <c r="AL84" s="22" t="str">
        <f>IF($B84="","",$G84*$AA84)</f>
        <v/>
      </c>
      <c r="AM84" s="22" t="str">
        <f>IF($B84="","",$G84*$AB84)</f>
        <v/>
      </c>
      <c r="AN84" s="22" t="str">
        <f>IF($B84="","",$G84*$AC84)</f>
        <v/>
      </c>
      <c r="AO84" s="22" t="str">
        <f>IF($B84="","",AL84+AM84-AN84)</f>
        <v/>
      </c>
      <c r="AP84" s="22" t="str">
        <f>IF($B84="","",($G84-$AD84)*$AA84)</f>
        <v/>
      </c>
      <c r="AQ84" s="22" t="str">
        <f>IF($B84="","",IF($AF84=0,0,($AD84-$AE84)*$AG84/$AF84)*MAX($AA84,$AB84))</f>
        <v/>
      </c>
      <c r="AR84" s="22" t="str">
        <f>IF($B84="","",(AP84+AQ84)*$AC84)</f>
        <v/>
      </c>
      <c r="AS84" s="22" t="str">
        <f>IF($B84="","",AP84+AQ84-AR84)</f>
        <v/>
      </c>
      <c r="AT84" s="22" t="str">
        <f>IF($B84="","",AO84-AS84)</f>
        <v/>
      </c>
      <c r="AU84" s="22" t="str">
        <f>IF($B84="","",IF($AC84=1,N($R84)-($G84-AR84),0))</f>
        <v/>
      </c>
      <c r="AV84" s="22" t="str">
        <f>IF($B84="","",($G84-$AH84)*$AA84)</f>
        <v/>
      </c>
      <c r="AW84" s="22" t="str">
        <f>IF($B84="","",IF($AJ84=0,0,($AH84-$AI84)*$AK84/$AJ84)*MAX($AA84,$AB84))</f>
        <v/>
      </c>
      <c r="AX84" s="22" t="str">
        <f>IF($B84="","",(AV84+AW84)*$AC84)</f>
        <v/>
      </c>
      <c r="AY84" s="22" t="str">
        <f>IF($B84="","",AV84+AW84-AX84)</f>
        <v/>
      </c>
      <c r="AZ84" s="22" t="str">
        <f>IF($B84="","",AO84-AY84)</f>
        <v/>
      </c>
      <c r="BA84" s="22" t="str">
        <f>IF($B84="","",IF($AC84=1,N($R84)-($G84-AX84),0))</f>
        <v/>
      </c>
      <c r="BB84" s="22" t="str">
        <f>IF($B84="","",ROUND(AQ84-AW84,0))</f>
        <v/>
      </c>
      <c r="BC84" s="22" t="str">
        <f>IF($B84="","",ROUND(BA84-AU84,0))</f>
        <v/>
      </c>
      <c r="BD84" s="22" t="str">
        <f>IF($B84="","",BB84+BC84)</f>
        <v/>
      </c>
      <c r="BE84" s="22" t="str">
        <f>IF($B84="","",ROUND(AV84-AP84,0))</f>
        <v/>
      </c>
      <c r="BF84" s="22" t="str">
        <f>IF($B84="","",ROUND(AT84-AZ84,0))</f>
        <v/>
      </c>
      <c r="BG84" s="22" t="str">
        <f>IF($B84="","",ROUND(BF84*TarifPPh,0))</f>
        <v/>
      </c>
      <c r="BH84" t="str">
        <f>IF($B84="","",IF($D84="","Kategori kosong",IF($F84="","Tgl perolehan kosong",IF(N($H84)&gt;$G84,"Residu &gt; harga perolehan",IF(AND(LEFT($U84,8)="Bangunan",$W84="Saldo Menurun"),"Bangunan wajib Garis Lurus (Ps.11 UU PPh)",IF(AND($S84="Unit Produksi",N($K84)=0),"Isi kapasitas unit",IF(AND(OR($S84="Garis Lurus",$S84="Saldo Menurun"),N($T84)&lt;=0),"Umur komersial kosong",IF(AND(OR($W84="Garis Lurus",$W84="Saldo Menurun"),N($V84)&lt;=0),"Masa manfaat fiskal kosong",IF(AND($Q84&lt;&gt;"",$Q84&lt;$F84),"Tgl pelepasan &lt; perolehan","OK")))))))))</f>
        <v/>
      </c>
    </row>
    <row r="85" spans="1:60" x14ac:dyDescent="0.25">
      <c r="A85" t="str">
        <f>IF($B85="","",ROW()-6)</f>
        <v/>
      </c>
      <c r="B85" s="9"/>
      <c r="C85" s="9"/>
      <c r="D85" s="9"/>
      <c r="E85" s="9"/>
      <c r="F85" s="17"/>
      <c r="G85" s="18"/>
      <c r="H85" s="18"/>
      <c r="I85" s="9"/>
      <c r="J85" s="9"/>
      <c r="K85" s="19"/>
      <c r="L85" s="19"/>
      <c r="M85" s="19"/>
      <c r="N85" s="9"/>
      <c r="O85" s="9"/>
      <c r="P85" s="9"/>
      <c r="Q85" s="17"/>
      <c r="R85" s="18"/>
      <c r="S85" t="str">
        <f>IF($B85="","",IF($I85&lt;&gt;"",$I85,IFERROR(INDEX(Kat_Metode,MATCH($D85,Kat_Nama,0)),"")))</f>
        <v/>
      </c>
      <c r="T85" t="str">
        <f>IF($B85="","",IF($J85&lt;&gt;"",$J85,IFERROR(INDEX(Kat_Umur,MATCH($D85,Kat_Nama,0)),0)))</f>
        <v/>
      </c>
      <c r="U85" t="str">
        <f>IF($B85="","",IF($N85&lt;&gt;"",$N85,IFERROR(INDEX(Kat_Kelompok,MATCH($D85,Kat_Nama,0)),"")))</f>
        <v/>
      </c>
      <c r="V85" t="str">
        <f>IF($B85="","",IF($U85="Masa Manfaat Sebenarnya",N($O85),IFERROR(INDEX(Kel_Masa,MATCH($U85,Kel_Nama,0)),0)))</f>
        <v/>
      </c>
      <c r="W85" t="str">
        <f>IF($B85="","",IF($P85&lt;&gt;"",$P85,IF(OR($U85="Tidak Disusutkan",$V85=0),"Tidak Disusutkan","Garis Lurus")))</f>
        <v/>
      </c>
      <c r="X85" t="str">
        <f>IF($B85="","",IF($Y85&gt;TahunBuku*12+12,"Belum Diperoleh",IF($Z85&lt;=TahunBuku*12,"Dilepas (thn lalu)",IF($AC85=1,"Dilepas thn ini",IF($AB85=1,"Perolehan baru","Aktif")))))</f>
        <v/>
      </c>
      <c r="Y85" s="20" t="str">
        <f>IF($B85="","",YEAR($F85)*12+MONTH($F85))</f>
        <v/>
      </c>
      <c r="Z85" s="20" t="str">
        <f>IF($B85="","",IF($Q85="",99999,YEAR($Q85)*12+MONTH($Q85)))</f>
        <v/>
      </c>
      <c r="AA85" s="20" t="str">
        <f>IF($B85="","",--AND($Y85&lt;=TahunBuku*12,$Z85&gt;TahunBuku*12))</f>
        <v/>
      </c>
      <c r="AB85" s="20" t="str">
        <f>IF($B85="","",--AND($Y85&gt;TahunBuku*12,$Y85&lt;=TahunBuku*12+12))</f>
        <v/>
      </c>
      <c r="AC85" s="20" t="str">
        <f>IF($B85="","",--AND($Z85&gt;TahunBuku*12,$Z85&lt;=TahunBuku*12+12,$Y85&lt;=$Z85))</f>
        <v/>
      </c>
      <c r="AD85" s="21" t="str">
        <f>IF($B85="","",IFERROR(IF($S85="Garis Lurus",$G85-($G85-$H85)*MIN($T85*12,MAX(0,TahunBuku*12-$Y85+1))/($T85*12),IF($S85="Saldo Menurun",IF(TahunBuku-1&lt;YEAR($F85),$G85,IF(TahunBuku-1&gt;=INT(($Y85+$T85*12-2)/12),$H85,MAX($H85,$G85*(1-2/$T85*(13-MONTH($F85))/12)*(1-2/$T85)^(TahunBuku-1-YEAR($F85))))),IF($S85="Unit Produksi",$G85-($G85-$H85)*MIN(1,N($L85)/$K85),$G85))),$G85))</f>
        <v/>
      </c>
      <c r="AE85" s="21" t="str">
        <f>IF($B85="","",IFERROR(IF($S85="Garis Lurus",$G85-($G85-$H85)*MIN($T85*12,MAX(0,TahunBuku*12+12-$Y85+1))/($T85*12),IF($S85="Saldo Menurun",IF(TahunBuku&lt;YEAR($F85),$G85,IF(TahunBuku&gt;=INT(($Y85+$T85*12-2)/12),$H85,MAX($H85,$G85*(1-2/$T85*(13-MONTH($F85))/12)*(1-2/$T85)^(TahunBuku-YEAR($F85))))),IF($S85="Unit Produksi",$G85-($G85-$H85)*MIN(1,(N($L85)+N($M85))/$K85),$G85))),$G85))</f>
        <v/>
      </c>
      <c r="AF85" s="20" t="str">
        <f>IF($B85="","",IF(OR($S85="Garis Lurus",$S85="Saldo Menurun",$S85="Unit Produksi"),MAX(0,IF($S85="Unit Produksi",TahunBuku*12+12,MIN(TahunBuku*12+12,$Y85+$T85*12-1))-MAX(TahunBuku*12+1,$Y85)+1),0))</f>
        <v/>
      </c>
      <c r="AG85" s="20" t="str">
        <f>IF($B85="","",IF(OR($S85="Garis Lurus",$S85="Saldo Menurun",$S85="Unit Produksi"),MAX(0,MIN($Z85,IF($S85="Unit Produksi",TahunBuku*12+12,MIN(TahunBuku*12+12,$Y85+$T85*12-1)))-MAX(TahunBuku*12+1,$Y85)+1),0))</f>
        <v/>
      </c>
      <c r="AH85" s="21" t="str">
        <f>IF($B85="","",IFERROR(IF($W85="Garis Lurus",$G85*(1-MIN($V85*12,MAX(0,TahunBuku*12-$Y85+1))/($V85*12)),IF($W85="Saldo Menurun",IF(TahunBuku-1&lt;YEAR($F85),$G85,IF(TahunBuku-1&gt;=INT(($Y85+$V85*12-2)/12),0,$G85*(1-2/$V85*(13-MONTH($F85))/12)*(1-2/$V85)^(TahunBuku-1-YEAR($F85)))),$G85)),$G85))</f>
        <v/>
      </c>
      <c r="AI85" s="21" t="str">
        <f>IF($B85="","",IFERROR(IF($W85="Garis Lurus",$G85*(1-MIN($V85*12,MAX(0,TahunBuku*12+12-$Y85+1))/($V85*12)),IF($W85="Saldo Menurun",IF(TahunBuku&lt;YEAR($F85),$G85,IF(TahunBuku&gt;=INT(($Y85+$V85*12-2)/12),0,$G85*(1-2/$V85*(13-MONTH($F85))/12)*(1-2/$V85)^(TahunBuku-YEAR($F85)))),$G85)),$G85))</f>
        <v/>
      </c>
      <c r="AJ85" s="20" t="str">
        <f>IF($B85="","",IF(OR($W85="Garis Lurus",$W85="Saldo Menurun"),MAX(0,MIN(TahunBuku*12+12,$Y85+$V85*12-1)-MAX(TahunBuku*12+1,$Y85)+1),0))</f>
        <v/>
      </c>
      <c r="AK85" s="20" t="str">
        <f>IF($B85="","",IF(OR($W85="Garis Lurus",$W85="Saldo Menurun"),MAX(0,MIN($Z85,TahunBuku*12+12,$Y85+$V85*12-1)-MAX(TahunBuku*12+1,$Y85)+1),0))</f>
        <v/>
      </c>
      <c r="AL85" s="22" t="str">
        <f>IF($B85="","",$G85*$AA85)</f>
        <v/>
      </c>
      <c r="AM85" s="22" t="str">
        <f>IF($B85="","",$G85*$AB85)</f>
        <v/>
      </c>
      <c r="AN85" s="22" t="str">
        <f>IF($B85="","",$G85*$AC85)</f>
        <v/>
      </c>
      <c r="AO85" s="22" t="str">
        <f>IF($B85="","",AL85+AM85-AN85)</f>
        <v/>
      </c>
      <c r="AP85" s="22" t="str">
        <f>IF($B85="","",($G85-$AD85)*$AA85)</f>
        <v/>
      </c>
      <c r="AQ85" s="22" t="str">
        <f>IF($B85="","",IF($AF85=0,0,($AD85-$AE85)*$AG85/$AF85)*MAX($AA85,$AB85))</f>
        <v/>
      </c>
      <c r="AR85" s="22" t="str">
        <f>IF($B85="","",(AP85+AQ85)*$AC85)</f>
        <v/>
      </c>
      <c r="AS85" s="22" t="str">
        <f>IF($B85="","",AP85+AQ85-AR85)</f>
        <v/>
      </c>
      <c r="AT85" s="22" t="str">
        <f>IF($B85="","",AO85-AS85)</f>
        <v/>
      </c>
      <c r="AU85" s="22" t="str">
        <f>IF($B85="","",IF($AC85=1,N($R85)-($G85-AR85),0))</f>
        <v/>
      </c>
      <c r="AV85" s="22" t="str">
        <f>IF($B85="","",($G85-$AH85)*$AA85)</f>
        <v/>
      </c>
      <c r="AW85" s="22" t="str">
        <f>IF($B85="","",IF($AJ85=0,0,($AH85-$AI85)*$AK85/$AJ85)*MAX($AA85,$AB85))</f>
        <v/>
      </c>
      <c r="AX85" s="22" t="str">
        <f>IF($B85="","",(AV85+AW85)*$AC85)</f>
        <v/>
      </c>
      <c r="AY85" s="22" t="str">
        <f>IF($B85="","",AV85+AW85-AX85)</f>
        <v/>
      </c>
      <c r="AZ85" s="22" t="str">
        <f>IF($B85="","",AO85-AY85)</f>
        <v/>
      </c>
      <c r="BA85" s="22" t="str">
        <f>IF($B85="","",IF($AC85=1,N($R85)-($G85-AX85),0))</f>
        <v/>
      </c>
      <c r="BB85" s="22" t="str">
        <f>IF($B85="","",ROUND(AQ85-AW85,0))</f>
        <v/>
      </c>
      <c r="BC85" s="22" t="str">
        <f>IF($B85="","",ROUND(BA85-AU85,0))</f>
        <v/>
      </c>
      <c r="BD85" s="22" t="str">
        <f>IF($B85="","",BB85+BC85)</f>
        <v/>
      </c>
      <c r="BE85" s="22" t="str">
        <f>IF($B85="","",ROUND(AV85-AP85,0))</f>
        <v/>
      </c>
      <c r="BF85" s="22" t="str">
        <f>IF($B85="","",ROUND(AT85-AZ85,0))</f>
        <v/>
      </c>
      <c r="BG85" s="22" t="str">
        <f>IF($B85="","",ROUND(BF85*TarifPPh,0))</f>
        <v/>
      </c>
      <c r="BH85" t="str">
        <f>IF($B85="","",IF($D85="","Kategori kosong",IF($F85="","Tgl perolehan kosong",IF(N($H85)&gt;$G85,"Residu &gt; harga perolehan",IF(AND(LEFT($U85,8)="Bangunan",$W85="Saldo Menurun"),"Bangunan wajib Garis Lurus (Ps.11 UU PPh)",IF(AND($S85="Unit Produksi",N($K85)=0),"Isi kapasitas unit",IF(AND(OR($S85="Garis Lurus",$S85="Saldo Menurun"),N($T85)&lt;=0),"Umur komersial kosong",IF(AND(OR($W85="Garis Lurus",$W85="Saldo Menurun"),N($V85)&lt;=0),"Masa manfaat fiskal kosong",IF(AND($Q85&lt;&gt;"",$Q85&lt;$F85),"Tgl pelepasan &lt; perolehan","OK")))))))))</f>
        <v/>
      </c>
    </row>
    <row r="86" spans="1:60" x14ac:dyDescent="0.25">
      <c r="A86" t="str">
        <f>IF($B86="","",ROW()-6)</f>
        <v/>
      </c>
      <c r="B86" s="9"/>
      <c r="C86" s="9"/>
      <c r="D86" s="9"/>
      <c r="E86" s="9"/>
      <c r="F86" s="17"/>
      <c r="G86" s="18"/>
      <c r="H86" s="18"/>
      <c r="I86" s="9"/>
      <c r="J86" s="9"/>
      <c r="K86" s="19"/>
      <c r="L86" s="19"/>
      <c r="M86" s="19"/>
      <c r="N86" s="9"/>
      <c r="O86" s="9"/>
      <c r="P86" s="9"/>
      <c r="Q86" s="17"/>
      <c r="R86" s="18"/>
      <c r="S86" t="str">
        <f>IF($B86="","",IF($I86&lt;&gt;"",$I86,IFERROR(INDEX(Kat_Metode,MATCH($D86,Kat_Nama,0)),"")))</f>
        <v/>
      </c>
      <c r="T86" t="str">
        <f>IF($B86="","",IF($J86&lt;&gt;"",$J86,IFERROR(INDEX(Kat_Umur,MATCH($D86,Kat_Nama,0)),0)))</f>
        <v/>
      </c>
      <c r="U86" t="str">
        <f>IF($B86="","",IF($N86&lt;&gt;"",$N86,IFERROR(INDEX(Kat_Kelompok,MATCH($D86,Kat_Nama,0)),"")))</f>
        <v/>
      </c>
      <c r="V86" t="str">
        <f>IF($B86="","",IF($U86="Masa Manfaat Sebenarnya",N($O86),IFERROR(INDEX(Kel_Masa,MATCH($U86,Kel_Nama,0)),0)))</f>
        <v/>
      </c>
      <c r="W86" t="str">
        <f>IF($B86="","",IF($P86&lt;&gt;"",$P86,IF(OR($U86="Tidak Disusutkan",$V86=0),"Tidak Disusutkan","Garis Lurus")))</f>
        <v/>
      </c>
      <c r="X86" t="str">
        <f>IF($B86="","",IF($Y86&gt;TahunBuku*12+12,"Belum Diperoleh",IF($Z86&lt;=TahunBuku*12,"Dilepas (thn lalu)",IF($AC86=1,"Dilepas thn ini",IF($AB86=1,"Perolehan baru","Aktif")))))</f>
        <v/>
      </c>
      <c r="Y86" s="20" t="str">
        <f>IF($B86="","",YEAR($F86)*12+MONTH($F86))</f>
        <v/>
      </c>
      <c r="Z86" s="20" t="str">
        <f>IF($B86="","",IF($Q86="",99999,YEAR($Q86)*12+MONTH($Q86)))</f>
        <v/>
      </c>
      <c r="AA86" s="20" t="str">
        <f>IF($B86="","",--AND($Y86&lt;=TahunBuku*12,$Z86&gt;TahunBuku*12))</f>
        <v/>
      </c>
      <c r="AB86" s="20" t="str">
        <f>IF($B86="","",--AND($Y86&gt;TahunBuku*12,$Y86&lt;=TahunBuku*12+12))</f>
        <v/>
      </c>
      <c r="AC86" s="20" t="str">
        <f>IF($B86="","",--AND($Z86&gt;TahunBuku*12,$Z86&lt;=TahunBuku*12+12,$Y86&lt;=$Z86))</f>
        <v/>
      </c>
      <c r="AD86" s="21" t="str">
        <f>IF($B86="","",IFERROR(IF($S86="Garis Lurus",$G86-($G86-$H86)*MIN($T86*12,MAX(0,TahunBuku*12-$Y86+1))/($T86*12),IF($S86="Saldo Menurun",IF(TahunBuku-1&lt;YEAR($F86),$G86,IF(TahunBuku-1&gt;=INT(($Y86+$T86*12-2)/12),$H86,MAX($H86,$G86*(1-2/$T86*(13-MONTH($F86))/12)*(1-2/$T86)^(TahunBuku-1-YEAR($F86))))),IF($S86="Unit Produksi",$G86-($G86-$H86)*MIN(1,N($L86)/$K86),$G86))),$G86))</f>
        <v/>
      </c>
      <c r="AE86" s="21" t="str">
        <f>IF($B86="","",IFERROR(IF($S86="Garis Lurus",$G86-($G86-$H86)*MIN($T86*12,MAX(0,TahunBuku*12+12-$Y86+1))/($T86*12),IF($S86="Saldo Menurun",IF(TahunBuku&lt;YEAR($F86),$G86,IF(TahunBuku&gt;=INT(($Y86+$T86*12-2)/12),$H86,MAX($H86,$G86*(1-2/$T86*(13-MONTH($F86))/12)*(1-2/$T86)^(TahunBuku-YEAR($F86))))),IF($S86="Unit Produksi",$G86-($G86-$H86)*MIN(1,(N($L86)+N($M86))/$K86),$G86))),$G86))</f>
        <v/>
      </c>
      <c r="AF86" s="20" t="str">
        <f>IF($B86="","",IF(OR($S86="Garis Lurus",$S86="Saldo Menurun",$S86="Unit Produksi"),MAX(0,IF($S86="Unit Produksi",TahunBuku*12+12,MIN(TahunBuku*12+12,$Y86+$T86*12-1))-MAX(TahunBuku*12+1,$Y86)+1),0))</f>
        <v/>
      </c>
      <c r="AG86" s="20" t="str">
        <f>IF($B86="","",IF(OR($S86="Garis Lurus",$S86="Saldo Menurun",$S86="Unit Produksi"),MAX(0,MIN($Z86,IF($S86="Unit Produksi",TahunBuku*12+12,MIN(TahunBuku*12+12,$Y86+$T86*12-1)))-MAX(TahunBuku*12+1,$Y86)+1),0))</f>
        <v/>
      </c>
      <c r="AH86" s="21" t="str">
        <f>IF($B86="","",IFERROR(IF($W86="Garis Lurus",$G86*(1-MIN($V86*12,MAX(0,TahunBuku*12-$Y86+1))/($V86*12)),IF($W86="Saldo Menurun",IF(TahunBuku-1&lt;YEAR($F86),$G86,IF(TahunBuku-1&gt;=INT(($Y86+$V86*12-2)/12),0,$G86*(1-2/$V86*(13-MONTH($F86))/12)*(1-2/$V86)^(TahunBuku-1-YEAR($F86)))),$G86)),$G86))</f>
        <v/>
      </c>
      <c r="AI86" s="21" t="str">
        <f>IF($B86="","",IFERROR(IF($W86="Garis Lurus",$G86*(1-MIN($V86*12,MAX(0,TahunBuku*12+12-$Y86+1))/($V86*12)),IF($W86="Saldo Menurun",IF(TahunBuku&lt;YEAR($F86),$G86,IF(TahunBuku&gt;=INT(($Y86+$V86*12-2)/12),0,$G86*(1-2/$V86*(13-MONTH($F86))/12)*(1-2/$V86)^(TahunBuku-YEAR($F86)))),$G86)),$G86))</f>
        <v/>
      </c>
      <c r="AJ86" s="20" t="str">
        <f>IF($B86="","",IF(OR($W86="Garis Lurus",$W86="Saldo Menurun"),MAX(0,MIN(TahunBuku*12+12,$Y86+$V86*12-1)-MAX(TahunBuku*12+1,$Y86)+1),0))</f>
        <v/>
      </c>
      <c r="AK86" s="20" t="str">
        <f>IF($B86="","",IF(OR($W86="Garis Lurus",$W86="Saldo Menurun"),MAX(0,MIN($Z86,TahunBuku*12+12,$Y86+$V86*12-1)-MAX(TahunBuku*12+1,$Y86)+1),0))</f>
        <v/>
      </c>
      <c r="AL86" s="22" t="str">
        <f>IF($B86="","",$G86*$AA86)</f>
        <v/>
      </c>
      <c r="AM86" s="22" t="str">
        <f>IF($B86="","",$G86*$AB86)</f>
        <v/>
      </c>
      <c r="AN86" s="22" t="str">
        <f>IF($B86="","",$G86*$AC86)</f>
        <v/>
      </c>
      <c r="AO86" s="22" t="str">
        <f>IF($B86="","",AL86+AM86-AN86)</f>
        <v/>
      </c>
      <c r="AP86" s="22" t="str">
        <f>IF($B86="","",($G86-$AD86)*$AA86)</f>
        <v/>
      </c>
      <c r="AQ86" s="22" t="str">
        <f>IF($B86="","",IF($AF86=0,0,($AD86-$AE86)*$AG86/$AF86)*MAX($AA86,$AB86))</f>
        <v/>
      </c>
      <c r="AR86" s="22" t="str">
        <f>IF($B86="","",(AP86+AQ86)*$AC86)</f>
        <v/>
      </c>
      <c r="AS86" s="22" t="str">
        <f>IF($B86="","",AP86+AQ86-AR86)</f>
        <v/>
      </c>
      <c r="AT86" s="22" t="str">
        <f>IF($B86="","",AO86-AS86)</f>
        <v/>
      </c>
      <c r="AU86" s="22" t="str">
        <f>IF($B86="","",IF($AC86=1,N($R86)-($G86-AR86),0))</f>
        <v/>
      </c>
      <c r="AV86" s="22" t="str">
        <f>IF($B86="","",($G86-$AH86)*$AA86)</f>
        <v/>
      </c>
      <c r="AW86" s="22" t="str">
        <f>IF($B86="","",IF($AJ86=0,0,($AH86-$AI86)*$AK86/$AJ86)*MAX($AA86,$AB86))</f>
        <v/>
      </c>
      <c r="AX86" s="22" t="str">
        <f>IF($B86="","",(AV86+AW86)*$AC86)</f>
        <v/>
      </c>
      <c r="AY86" s="22" t="str">
        <f>IF($B86="","",AV86+AW86-AX86)</f>
        <v/>
      </c>
      <c r="AZ86" s="22" t="str">
        <f>IF($B86="","",AO86-AY86)</f>
        <v/>
      </c>
      <c r="BA86" s="22" t="str">
        <f>IF($B86="","",IF($AC86=1,N($R86)-($G86-AX86),0))</f>
        <v/>
      </c>
      <c r="BB86" s="22" t="str">
        <f>IF($B86="","",ROUND(AQ86-AW86,0))</f>
        <v/>
      </c>
      <c r="BC86" s="22" t="str">
        <f>IF($B86="","",ROUND(BA86-AU86,0))</f>
        <v/>
      </c>
      <c r="BD86" s="22" t="str">
        <f>IF($B86="","",BB86+BC86)</f>
        <v/>
      </c>
      <c r="BE86" s="22" t="str">
        <f>IF($B86="","",ROUND(AV86-AP86,0))</f>
        <v/>
      </c>
      <c r="BF86" s="22" t="str">
        <f>IF($B86="","",ROUND(AT86-AZ86,0))</f>
        <v/>
      </c>
      <c r="BG86" s="22" t="str">
        <f>IF($B86="","",ROUND(BF86*TarifPPh,0))</f>
        <v/>
      </c>
      <c r="BH86" t="str">
        <f>IF($B86="","",IF($D86="","Kategori kosong",IF($F86="","Tgl perolehan kosong",IF(N($H86)&gt;$G86,"Residu &gt; harga perolehan",IF(AND(LEFT($U86,8)="Bangunan",$W86="Saldo Menurun"),"Bangunan wajib Garis Lurus (Ps.11 UU PPh)",IF(AND($S86="Unit Produksi",N($K86)=0),"Isi kapasitas unit",IF(AND(OR($S86="Garis Lurus",$S86="Saldo Menurun"),N($T86)&lt;=0),"Umur komersial kosong",IF(AND(OR($W86="Garis Lurus",$W86="Saldo Menurun"),N($V86)&lt;=0),"Masa manfaat fiskal kosong",IF(AND($Q86&lt;&gt;"",$Q86&lt;$F86),"Tgl pelepasan &lt; perolehan","OK")))))))))</f>
        <v/>
      </c>
    </row>
    <row r="87" spans="1:60" x14ac:dyDescent="0.25">
      <c r="A87" t="str">
        <f>IF($B87="","",ROW()-6)</f>
        <v/>
      </c>
      <c r="B87" s="9"/>
      <c r="C87" s="9"/>
      <c r="D87" s="9"/>
      <c r="E87" s="9"/>
      <c r="F87" s="17"/>
      <c r="G87" s="18"/>
      <c r="H87" s="18"/>
      <c r="I87" s="9"/>
      <c r="J87" s="9"/>
      <c r="K87" s="19"/>
      <c r="L87" s="19"/>
      <c r="M87" s="19"/>
      <c r="N87" s="9"/>
      <c r="O87" s="9"/>
      <c r="P87" s="9"/>
      <c r="Q87" s="17"/>
      <c r="R87" s="18"/>
      <c r="S87" t="str">
        <f>IF($B87="","",IF($I87&lt;&gt;"",$I87,IFERROR(INDEX(Kat_Metode,MATCH($D87,Kat_Nama,0)),"")))</f>
        <v/>
      </c>
      <c r="T87" t="str">
        <f>IF($B87="","",IF($J87&lt;&gt;"",$J87,IFERROR(INDEX(Kat_Umur,MATCH($D87,Kat_Nama,0)),0)))</f>
        <v/>
      </c>
      <c r="U87" t="str">
        <f>IF($B87="","",IF($N87&lt;&gt;"",$N87,IFERROR(INDEX(Kat_Kelompok,MATCH($D87,Kat_Nama,0)),"")))</f>
        <v/>
      </c>
      <c r="V87" t="str">
        <f>IF($B87="","",IF($U87="Masa Manfaat Sebenarnya",N($O87),IFERROR(INDEX(Kel_Masa,MATCH($U87,Kel_Nama,0)),0)))</f>
        <v/>
      </c>
      <c r="W87" t="str">
        <f>IF($B87="","",IF($P87&lt;&gt;"",$P87,IF(OR($U87="Tidak Disusutkan",$V87=0),"Tidak Disusutkan","Garis Lurus")))</f>
        <v/>
      </c>
      <c r="X87" t="str">
        <f>IF($B87="","",IF($Y87&gt;TahunBuku*12+12,"Belum Diperoleh",IF($Z87&lt;=TahunBuku*12,"Dilepas (thn lalu)",IF($AC87=1,"Dilepas thn ini",IF($AB87=1,"Perolehan baru","Aktif")))))</f>
        <v/>
      </c>
      <c r="Y87" s="20" t="str">
        <f>IF($B87="","",YEAR($F87)*12+MONTH($F87))</f>
        <v/>
      </c>
      <c r="Z87" s="20" t="str">
        <f>IF($B87="","",IF($Q87="",99999,YEAR($Q87)*12+MONTH($Q87)))</f>
        <v/>
      </c>
      <c r="AA87" s="20" t="str">
        <f>IF($B87="","",--AND($Y87&lt;=TahunBuku*12,$Z87&gt;TahunBuku*12))</f>
        <v/>
      </c>
      <c r="AB87" s="20" t="str">
        <f>IF($B87="","",--AND($Y87&gt;TahunBuku*12,$Y87&lt;=TahunBuku*12+12))</f>
        <v/>
      </c>
      <c r="AC87" s="20" t="str">
        <f>IF($B87="","",--AND($Z87&gt;TahunBuku*12,$Z87&lt;=TahunBuku*12+12,$Y87&lt;=$Z87))</f>
        <v/>
      </c>
      <c r="AD87" s="21" t="str">
        <f>IF($B87="","",IFERROR(IF($S87="Garis Lurus",$G87-($G87-$H87)*MIN($T87*12,MAX(0,TahunBuku*12-$Y87+1))/($T87*12),IF($S87="Saldo Menurun",IF(TahunBuku-1&lt;YEAR($F87),$G87,IF(TahunBuku-1&gt;=INT(($Y87+$T87*12-2)/12),$H87,MAX($H87,$G87*(1-2/$T87*(13-MONTH($F87))/12)*(1-2/$T87)^(TahunBuku-1-YEAR($F87))))),IF($S87="Unit Produksi",$G87-($G87-$H87)*MIN(1,N($L87)/$K87),$G87))),$G87))</f>
        <v/>
      </c>
      <c r="AE87" s="21" t="str">
        <f>IF($B87="","",IFERROR(IF($S87="Garis Lurus",$G87-($G87-$H87)*MIN($T87*12,MAX(0,TahunBuku*12+12-$Y87+1))/($T87*12),IF($S87="Saldo Menurun",IF(TahunBuku&lt;YEAR($F87),$G87,IF(TahunBuku&gt;=INT(($Y87+$T87*12-2)/12),$H87,MAX($H87,$G87*(1-2/$T87*(13-MONTH($F87))/12)*(1-2/$T87)^(TahunBuku-YEAR($F87))))),IF($S87="Unit Produksi",$G87-($G87-$H87)*MIN(1,(N($L87)+N($M87))/$K87),$G87))),$G87))</f>
        <v/>
      </c>
      <c r="AF87" s="20" t="str">
        <f>IF($B87="","",IF(OR($S87="Garis Lurus",$S87="Saldo Menurun",$S87="Unit Produksi"),MAX(0,IF($S87="Unit Produksi",TahunBuku*12+12,MIN(TahunBuku*12+12,$Y87+$T87*12-1))-MAX(TahunBuku*12+1,$Y87)+1),0))</f>
        <v/>
      </c>
      <c r="AG87" s="20" t="str">
        <f>IF($B87="","",IF(OR($S87="Garis Lurus",$S87="Saldo Menurun",$S87="Unit Produksi"),MAX(0,MIN($Z87,IF($S87="Unit Produksi",TahunBuku*12+12,MIN(TahunBuku*12+12,$Y87+$T87*12-1)))-MAX(TahunBuku*12+1,$Y87)+1),0))</f>
        <v/>
      </c>
      <c r="AH87" s="21" t="str">
        <f>IF($B87="","",IFERROR(IF($W87="Garis Lurus",$G87*(1-MIN($V87*12,MAX(0,TahunBuku*12-$Y87+1))/($V87*12)),IF($W87="Saldo Menurun",IF(TahunBuku-1&lt;YEAR($F87),$G87,IF(TahunBuku-1&gt;=INT(($Y87+$V87*12-2)/12),0,$G87*(1-2/$V87*(13-MONTH($F87))/12)*(1-2/$V87)^(TahunBuku-1-YEAR($F87)))),$G87)),$G87))</f>
        <v/>
      </c>
      <c r="AI87" s="21" t="str">
        <f>IF($B87="","",IFERROR(IF($W87="Garis Lurus",$G87*(1-MIN($V87*12,MAX(0,TahunBuku*12+12-$Y87+1))/($V87*12)),IF($W87="Saldo Menurun",IF(TahunBuku&lt;YEAR($F87),$G87,IF(TahunBuku&gt;=INT(($Y87+$V87*12-2)/12),0,$G87*(1-2/$V87*(13-MONTH($F87))/12)*(1-2/$V87)^(TahunBuku-YEAR($F87)))),$G87)),$G87))</f>
        <v/>
      </c>
      <c r="AJ87" s="20" t="str">
        <f>IF($B87="","",IF(OR($W87="Garis Lurus",$W87="Saldo Menurun"),MAX(0,MIN(TahunBuku*12+12,$Y87+$V87*12-1)-MAX(TahunBuku*12+1,$Y87)+1),0))</f>
        <v/>
      </c>
      <c r="AK87" s="20" t="str">
        <f>IF($B87="","",IF(OR($W87="Garis Lurus",$W87="Saldo Menurun"),MAX(0,MIN($Z87,TahunBuku*12+12,$Y87+$V87*12-1)-MAX(TahunBuku*12+1,$Y87)+1),0))</f>
        <v/>
      </c>
      <c r="AL87" s="22" t="str">
        <f>IF($B87="","",$G87*$AA87)</f>
        <v/>
      </c>
      <c r="AM87" s="22" t="str">
        <f>IF($B87="","",$G87*$AB87)</f>
        <v/>
      </c>
      <c r="AN87" s="22" t="str">
        <f>IF($B87="","",$G87*$AC87)</f>
        <v/>
      </c>
      <c r="AO87" s="22" t="str">
        <f>IF($B87="","",AL87+AM87-AN87)</f>
        <v/>
      </c>
      <c r="AP87" s="22" t="str">
        <f>IF($B87="","",($G87-$AD87)*$AA87)</f>
        <v/>
      </c>
      <c r="AQ87" s="22" t="str">
        <f>IF($B87="","",IF($AF87=0,0,($AD87-$AE87)*$AG87/$AF87)*MAX($AA87,$AB87))</f>
        <v/>
      </c>
      <c r="AR87" s="22" t="str">
        <f>IF($B87="","",(AP87+AQ87)*$AC87)</f>
        <v/>
      </c>
      <c r="AS87" s="22" t="str">
        <f>IF($B87="","",AP87+AQ87-AR87)</f>
        <v/>
      </c>
      <c r="AT87" s="22" t="str">
        <f>IF($B87="","",AO87-AS87)</f>
        <v/>
      </c>
      <c r="AU87" s="22" t="str">
        <f>IF($B87="","",IF($AC87=1,N($R87)-($G87-AR87),0))</f>
        <v/>
      </c>
      <c r="AV87" s="22" t="str">
        <f>IF($B87="","",($G87-$AH87)*$AA87)</f>
        <v/>
      </c>
      <c r="AW87" s="22" t="str">
        <f>IF($B87="","",IF($AJ87=0,0,($AH87-$AI87)*$AK87/$AJ87)*MAX($AA87,$AB87))</f>
        <v/>
      </c>
      <c r="AX87" s="22" t="str">
        <f>IF($B87="","",(AV87+AW87)*$AC87)</f>
        <v/>
      </c>
      <c r="AY87" s="22" t="str">
        <f>IF($B87="","",AV87+AW87-AX87)</f>
        <v/>
      </c>
      <c r="AZ87" s="22" t="str">
        <f>IF($B87="","",AO87-AY87)</f>
        <v/>
      </c>
      <c r="BA87" s="22" t="str">
        <f>IF($B87="","",IF($AC87=1,N($R87)-($G87-AX87),0))</f>
        <v/>
      </c>
      <c r="BB87" s="22" t="str">
        <f>IF($B87="","",ROUND(AQ87-AW87,0))</f>
        <v/>
      </c>
      <c r="BC87" s="22" t="str">
        <f>IF($B87="","",ROUND(BA87-AU87,0))</f>
        <v/>
      </c>
      <c r="BD87" s="22" t="str">
        <f>IF($B87="","",BB87+BC87)</f>
        <v/>
      </c>
      <c r="BE87" s="22" t="str">
        <f>IF($B87="","",ROUND(AV87-AP87,0))</f>
        <v/>
      </c>
      <c r="BF87" s="22" t="str">
        <f>IF($B87="","",ROUND(AT87-AZ87,0))</f>
        <v/>
      </c>
      <c r="BG87" s="22" t="str">
        <f>IF($B87="","",ROUND(BF87*TarifPPh,0))</f>
        <v/>
      </c>
      <c r="BH87" t="str">
        <f>IF($B87="","",IF($D87="","Kategori kosong",IF($F87="","Tgl perolehan kosong",IF(N($H87)&gt;$G87,"Residu &gt; harga perolehan",IF(AND(LEFT($U87,8)="Bangunan",$W87="Saldo Menurun"),"Bangunan wajib Garis Lurus (Ps.11 UU PPh)",IF(AND($S87="Unit Produksi",N($K87)=0),"Isi kapasitas unit",IF(AND(OR($S87="Garis Lurus",$S87="Saldo Menurun"),N($T87)&lt;=0),"Umur komersial kosong",IF(AND(OR($W87="Garis Lurus",$W87="Saldo Menurun"),N($V87)&lt;=0),"Masa manfaat fiskal kosong",IF(AND($Q87&lt;&gt;"",$Q87&lt;$F87),"Tgl pelepasan &lt; perolehan","OK")))))))))</f>
        <v/>
      </c>
    </row>
    <row r="88" spans="1:60" x14ac:dyDescent="0.25">
      <c r="A88" t="str">
        <f>IF($B88="","",ROW()-6)</f>
        <v/>
      </c>
      <c r="B88" s="9"/>
      <c r="C88" s="9"/>
      <c r="D88" s="9"/>
      <c r="E88" s="9"/>
      <c r="F88" s="17"/>
      <c r="G88" s="18"/>
      <c r="H88" s="18"/>
      <c r="I88" s="9"/>
      <c r="J88" s="9"/>
      <c r="K88" s="19"/>
      <c r="L88" s="19"/>
      <c r="M88" s="19"/>
      <c r="N88" s="9"/>
      <c r="O88" s="9"/>
      <c r="P88" s="9"/>
      <c r="Q88" s="17"/>
      <c r="R88" s="18"/>
      <c r="S88" t="str">
        <f>IF($B88="","",IF($I88&lt;&gt;"",$I88,IFERROR(INDEX(Kat_Metode,MATCH($D88,Kat_Nama,0)),"")))</f>
        <v/>
      </c>
      <c r="T88" t="str">
        <f>IF($B88="","",IF($J88&lt;&gt;"",$J88,IFERROR(INDEX(Kat_Umur,MATCH($D88,Kat_Nama,0)),0)))</f>
        <v/>
      </c>
      <c r="U88" t="str">
        <f>IF($B88="","",IF($N88&lt;&gt;"",$N88,IFERROR(INDEX(Kat_Kelompok,MATCH($D88,Kat_Nama,0)),"")))</f>
        <v/>
      </c>
      <c r="V88" t="str">
        <f>IF($B88="","",IF($U88="Masa Manfaat Sebenarnya",N($O88),IFERROR(INDEX(Kel_Masa,MATCH($U88,Kel_Nama,0)),0)))</f>
        <v/>
      </c>
      <c r="W88" t="str">
        <f>IF($B88="","",IF($P88&lt;&gt;"",$P88,IF(OR($U88="Tidak Disusutkan",$V88=0),"Tidak Disusutkan","Garis Lurus")))</f>
        <v/>
      </c>
      <c r="X88" t="str">
        <f>IF($B88="","",IF($Y88&gt;TahunBuku*12+12,"Belum Diperoleh",IF($Z88&lt;=TahunBuku*12,"Dilepas (thn lalu)",IF($AC88=1,"Dilepas thn ini",IF($AB88=1,"Perolehan baru","Aktif")))))</f>
        <v/>
      </c>
      <c r="Y88" s="20" t="str">
        <f>IF($B88="","",YEAR($F88)*12+MONTH($F88))</f>
        <v/>
      </c>
      <c r="Z88" s="20" t="str">
        <f>IF($B88="","",IF($Q88="",99999,YEAR($Q88)*12+MONTH($Q88)))</f>
        <v/>
      </c>
      <c r="AA88" s="20" t="str">
        <f>IF($B88="","",--AND($Y88&lt;=TahunBuku*12,$Z88&gt;TahunBuku*12))</f>
        <v/>
      </c>
      <c r="AB88" s="20" t="str">
        <f>IF($B88="","",--AND($Y88&gt;TahunBuku*12,$Y88&lt;=TahunBuku*12+12))</f>
        <v/>
      </c>
      <c r="AC88" s="20" t="str">
        <f>IF($B88="","",--AND($Z88&gt;TahunBuku*12,$Z88&lt;=TahunBuku*12+12,$Y88&lt;=$Z88))</f>
        <v/>
      </c>
      <c r="AD88" s="21" t="str">
        <f>IF($B88="","",IFERROR(IF($S88="Garis Lurus",$G88-($G88-$H88)*MIN($T88*12,MAX(0,TahunBuku*12-$Y88+1))/($T88*12),IF($S88="Saldo Menurun",IF(TahunBuku-1&lt;YEAR($F88),$G88,IF(TahunBuku-1&gt;=INT(($Y88+$T88*12-2)/12),$H88,MAX($H88,$G88*(1-2/$T88*(13-MONTH($F88))/12)*(1-2/$T88)^(TahunBuku-1-YEAR($F88))))),IF($S88="Unit Produksi",$G88-($G88-$H88)*MIN(1,N($L88)/$K88),$G88))),$G88))</f>
        <v/>
      </c>
      <c r="AE88" s="21" t="str">
        <f>IF($B88="","",IFERROR(IF($S88="Garis Lurus",$G88-($G88-$H88)*MIN($T88*12,MAX(0,TahunBuku*12+12-$Y88+1))/($T88*12),IF($S88="Saldo Menurun",IF(TahunBuku&lt;YEAR($F88),$G88,IF(TahunBuku&gt;=INT(($Y88+$T88*12-2)/12),$H88,MAX($H88,$G88*(1-2/$T88*(13-MONTH($F88))/12)*(1-2/$T88)^(TahunBuku-YEAR($F88))))),IF($S88="Unit Produksi",$G88-($G88-$H88)*MIN(1,(N($L88)+N($M88))/$K88),$G88))),$G88))</f>
        <v/>
      </c>
      <c r="AF88" s="20" t="str">
        <f>IF($B88="","",IF(OR($S88="Garis Lurus",$S88="Saldo Menurun",$S88="Unit Produksi"),MAX(0,IF($S88="Unit Produksi",TahunBuku*12+12,MIN(TahunBuku*12+12,$Y88+$T88*12-1))-MAX(TahunBuku*12+1,$Y88)+1),0))</f>
        <v/>
      </c>
      <c r="AG88" s="20" t="str">
        <f>IF($B88="","",IF(OR($S88="Garis Lurus",$S88="Saldo Menurun",$S88="Unit Produksi"),MAX(0,MIN($Z88,IF($S88="Unit Produksi",TahunBuku*12+12,MIN(TahunBuku*12+12,$Y88+$T88*12-1)))-MAX(TahunBuku*12+1,$Y88)+1),0))</f>
        <v/>
      </c>
      <c r="AH88" s="21" t="str">
        <f>IF($B88="","",IFERROR(IF($W88="Garis Lurus",$G88*(1-MIN($V88*12,MAX(0,TahunBuku*12-$Y88+1))/($V88*12)),IF($W88="Saldo Menurun",IF(TahunBuku-1&lt;YEAR($F88),$G88,IF(TahunBuku-1&gt;=INT(($Y88+$V88*12-2)/12),0,$G88*(1-2/$V88*(13-MONTH($F88))/12)*(1-2/$V88)^(TahunBuku-1-YEAR($F88)))),$G88)),$G88))</f>
        <v/>
      </c>
      <c r="AI88" s="21" t="str">
        <f>IF($B88="","",IFERROR(IF($W88="Garis Lurus",$G88*(1-MIN($V88*12,MAX(0,TahunBuku*12+12-$Y88+1))/($V88*12)),IF($W88="Saldo Menurun",IF(TahunBuku&lt;YEAR($F88),$G88,IF(TahunBuku&gt;=INT(($Y88+$V88*12-2)/12),0,$G88*(1-2/$V88*(13-MONTH($F88))/12)*(1-2/$V88)^(TahunBuku-YEAR($F88)))),$G88)),$G88))</f>
        <v/>
      </c>
      <c r="AJ88" s="20" t="str">
        <f>IF($B88="","",IF(OR($W88="Garis Lurus",$W88="Saldo Menurun"),MAX(0,MIN(TahunBuku*12+12,$Y88+$V88*12-1)-MAX(TahunBuku*12+1,$Y88)+1),0))</f>
        <v/>
      </c>
      <c r="AK88" s="20" t="str">
        <f>IF($B88="","",IF(OR($W88="Garis Lurus",$W88="Saldo Menurun"),MAX(0,MIN($Z88,TahunBuku*12+12,$Y88+$V88*12-1)-MAX(TahunBuku*12+1,$Y88)+1),0))</f>
        <v/>
      </c>
      <c r="AL88" s="22" t="str">
        <f>IF($B88="","",$G88*$AA88)</f>
        <v/>
      </c>
      <c r="AM88" s="22" t="str">
        <f>IF($B88="","",$G88*$AB88)</f>
        <v/>
      </c>
      <c r="AN88" s="22" t="str">
        <f>IF($B88="","",$G88*$AC88)</f>
        <v/>
      </c>
      <c r="AO88" s="22" t="str">
        <f>IF($B88="","",AL88+AM88-AN88)</f>
        <v/>
      </c>
      <c r="AP88" s="22" t="str">
        <f>IF($B88="","",($G88-$AD88)*$AA88)</f>
        <v/>
      </c>
      <c r="AQ88" s="22" t="str">
        <f>IF($B88="","",IF($AF88=0,0,($AD88-$AE88)*$AG88/$AF88)*MAX($AA88,$AB88))</f>
        <v/>
      </c>
      <c r="AR88" s="22" t="str">
        <f>IF($B88="","",(AP88+AQ88)*$AC88)</f>
        <v/>
      </c>
      <c r="AS88" s="22" t="str">
        <f>IF($B88="","",AP88+AQ88-AR88)</f>
        <v/>
      </c>
      <c r="AT88" s="22" t="str">
        <f>IF($B88="","",AO88-AS88)</f>
        <v/>
      </c>
      <c r="AU88" s="22" t="str">
        <f>IF($B88="","",IF($AC88=1,N($R88)-($G88-AR88),0))</f>
        <v/>
      </c>
      <c r="AV88" s="22" t="str">
        <f>IF($B88="","",($G88-$AH88)*$AA88)</f>
        <v/>
      </c>
      <c r="AW88" s="22" t="str">
        <f>IF($B88="","",IF($AJ88=0,0,($AH88-$AI88)*$AK88/$AJ88)*MAX($AA88,$AB88))</f>
        <v/>
      </c>
      <c r="AX88" s="22" t="str">
        <f>IF($B88="","",(AV88+AW88)*$AC88)</f>
        <v/>
      </c>
      <c r="AY88" s="22" t="str">
        <f>IF($B88="","",AV88+AW88-AX88)</f>
        <v/>
      </c>
      <c r="AZ88" s="22" t="str">
        <f>IF($B88="","",AO88-AY88)</f>
        <v/>
      </c>
      <c r="BA88" s="22" t="str">
        <f>IF($B88="","",IF($AC88=1,N($R88)-($G88-AX88),0))</f>
        <v/>
      </c>
      <c r="BB88" s="22" t="str">
        <f>IF($B88="","",ROUND(AQ88-AW88,0))</f>
        <v/>
      </c>
      <c r="BC88" s="22" t="str">
        <f>IF($B88="","",ROUND(BA88-AU88,0))</f>
        <v/>
      </c>
      <c r="BD88" s="22" t="str">
        <f>IF($B88="","",BB88+BC88)</f>
        <v/>
      </c>
      <c r="BE88" s="22" t="str">
        <f>IF($B88="","",ROUND(AV88-AP88,0))</f>
        <v/>
      </c>
      <c r="BF88" s="22" t="str">
        <f>IF($B88="","",ROUND(AT88-AZ88,0))</f>
        <v/>
      </c>
      <c r="BG88" s="22" t="str">
        <f>IF($B88="","",ROUND(BF88*TarifPPh,0))</f>
        <v/>
      </c>
      <c r="BH88" t="str">
        <f>IF($B88="","",IF($D88="","Kategori kosong",IF($F88="","Tgl perolehan kosong",IF(N($H88)&gt;$G88,"Residu &gt; harga perolehan",IF(AND(LEFT($U88,8)="Bangunan",$W88="Saldo Menurun"),"Bangunan wajib Garis Lurus (Ps.11 UU PPh)",IF(AND($S88="Unit Produksi",N($K88)=0),"Isi kapasitas unit",IF(AND(OR($S88="Garis Lurus",$S88="Saldo Menurun"),N($T88)&lt;=0),"Umur komersial kosong",IF(AND(OR($W88="Garis Lurus",$W88="Saldo Menurun"),N($V88)&lt;=0),"Masa manfaat fiskal kosong",IF(AND($Q88&lt;&gt;"",$Q88&lt;$F88),"Tgl pelepasan &lt; perolehan","OK")))))))))</f>
        <v/>
      </c>
    </row>
    <row r="89" spans="1:60" x14ac:dyDescent="0.25">
      <c r="A89" t="str">
        <f>IF($B89="","",ROW()-6)</f>
        <v/>
      </c>
      <c r="B89" s="9"/>
      <c r="C89" s="9"/>
      <c r="D89" s="9"/>
      <c r="E89" s="9"/>
      <c r="F89" s="17"/>
      <c r="G89" s="18"/>
      <c r="H89" s="18"/>
      <c r="I89" s="9"/>
      <c r="J89" s="9"/>
      <c r="K89" s="19"/>
      <c r="L89" s="19"/>
      <c r="M89" s="19"/>
      <c r="N89" s="9"/>
      <c r="O89" s="9"/>
      <c r="P89" s="9"/>
      <c r="Q89" s="17"/>
      <c r="R89" s="18"/>
      <c r="S89" t="str">
        <f>IF($B89="","",IF($I89&lt;&gt;"",$I89,IFERROR(INDEX(Kat_Metode,MATCH($D89,Kat_Nama,0)),"")))</f>
        <v/>
      </c>
      <c r="T89" t="str">
        <f>IF($B89="","",IF($J89&lt;&gt;"",$J89,IFERROR(INDEX(Kat_Umur,MATCH($D89,Kat_Nama,0)),0)))</f>
        <v/>
      </c>
      <c r="U89" t="str">
        <f>IF($B89="","",IF($N89&lt;&gt;"",$N89,IFERROR(INDEX(Kat_Kelompok,MATCH($D89,Kat_Nama,0)),"")))</f>
        <v/>
      </c>
      <c r="V89" t="str">
        <f>IF($B89="","",IF($U89="Masa Manfaat Sebenarnya",N($O89),IFERROR(INDEX(Kel_Masa,MATCH($U89,Kel_Nama,0)),0)))</f>
        <v/>
      </c>
      <c r="W89" t="str">
        <f>IF($B89="","",IF($P89&lt;&gt;"",$P89,IF(OR($U89="Tidak Disusutkan",$V89=0),"Tidak Disusutkan","Garis Lurus")))</f>
        <v/>
      </c>
      <c r="X89" t="str">
        <f>IF($B89="","",IF($Y89&gt;TahunBuku*12+12,"Belum Diperoleh",IF($Z89&lt;=TahunBuku*12,"Dilepas (thn lalu)",IF($AC89=1,"Dilepas thn ini",IF($AB89=1,"Perolehan baru","Aktif")))))</f>
        <v/>
      </c>
      <c r="Y89" s="20" t="str">
        <f>IF($B89="","",YEAR($F89)*12+MONTH($F89))</f>
        <v/>
      </c>
      <c r="Z89" s="20" t="str">
        <f>IF($B89="","",IF($Q89="",99999,YEAR($Q89)*12+MONTH($Q89)))</f>
        <v/>
      </c>
      <c r="AA89" s="20" t="str">
        <f>IF($B89="","",--AND($Y89&lt;=TahunBuku*12,$Z89&gt;TahunBuku*12))</f>
        <v/>
      </c>
      <c r="AB89" s="20" t="str">
        <f>IF($B89="","",--AND($Y89&gt;TahunBuku*12,$Y89&lt;=TahunBuku*12+12))</f>
        <v/>
      </c>
      <c r="AC89" s="20" t="str">
        <f>IF($B89="","",--AND($Z89&gt;TahunBuku*12,$Z89&lt;=TahunBuku*12+12,$Y89&lt;=$Z89))</f>
        <v/>
      </c>
      <c r="AD89" s="21" t="str">
        <f>IF($B89="","",IFERROR(IF($S89="Garis Lurus",$G89-($G89-$H89)*MIN($T89*12,MAX(0,TahunBuku*12-$Y89+1))/($T89*12),IF($S89="Saldo Menurun",IF(TahunBuku-1&lt;YEAR($F89),$G89,IF(TahunBuku-1&gt;=INT(($Y89+$T89*12-2)/12),$H89,MAX($H89,$G89*(1-2/$T89*(13-MONTH($F89))/12)*(1-2/$T89)^(TahunBuku-1-YEAR($F89))))),IF($S89="Unit Produksi",$G89-($G89-$H89)*MIN(1,N($L89)/$K89),$G89))),$G89))</f>
        <v/>
      </c>
      <c r="AE89" s="21" t="str">
        <f>IF($B89="","",IFERROR(IF($S89="Garis Lurus",$G89-($G89-$H89)*MIN($T89*12,MAX(0,TahunBuku*12+12-$Y89+1))/($T89*12),IF($S89="Saldo Menurun",IF(TahunBuku&lt;YEAR($F89),$G89,IF(TahunBuku&gt;=INT(($Y89+$T89*12-2)/12),$H89,MAX($H89,$G89*(1-2/$T89*(13-MONTH($F89))/12)*(1-2/$T89)^(TahunBuku-YEAR($F89))))),IF($S89="Unit Produksi",$G89-($G89-$H89)*MIN(1,(N($L89)+N($M89))/$K89),$G89))),$G89))</f>
        <v/>
      </c>
      <c r="AF89" s="20" t="str">
        <f>IF($B89="","",IF(OR($S89="Garis Lurus",$S89="Saldo Menurun",$S89="Unit Produksi"),MAX(0,IF($S89="Unit Produksi",TahunBuku*12+12,MIN(TahunBuku*12+12,$Y89+$T89*12-1))-MAX(TahunBuku*12+1,$Y89)+1),0))</f>
        <v/>
      </c>
      <c r="AG89" s="20" t="str">
        <f>IF($B89="","",IF(OR($S89="Garis Lurus",$S89="Saldo Menurun",$S89="Unit Produksi"),MAX(0,MIN($Z89,IF($S89="Unit Produksi",TahunBuku*12+12,MIN(TahunBuku*12+12,$Y89+$T89*12-1)))-MAX(TahunBuku*12+1,$Y89)+1),0))</f>
        <v/>
      </c>
      <c r="AH89" s="21" t="str">
        <f>IF($B89="","",IFERROR(IF($W89="Garis Lurus",$G89*(1-MIN($V89*12,MAX(0,TahunBuku*12-$Y89+1))/($V89*12)),IF($W89="Saldo Menurun",IF(TahunBuku-1&lt;YEAR($F89),$G89,IF(TahunBuku-1&gt;=INT(($Y89+$V89*12-2)/12),0,$G89*(1-2/$V89*(13-MONTH($F89))/12)*(1-2/$V89)^(TahunBuku-1-YEAR($F89)))),$G89)),$G89))</f>
        <v/>
      </c>
      <c r="AI89" s="21" t="str">
        <f>IF($B89="","",IFERROR(IF($W89="Garis Lurus",$G89*(1-MIN($V89*12,MAX(0,TahunBuku*12+12-$Y89+1))/($V89*12)),IF($W89="Saldo Menurun",IF(TahunBuku&lt;YEAR($F89),$G89,IF(TahunBuku&gt;=INT(($Y89+$V89*12-2)/12),0,$G89*(1-2/$V89*(13-MONTH($F89))/12)*(1-2/$V89)^(TahunBuku-YEAR($F89)))),$G89)),$G89))</f>
        <v/>
      </c>
      <c r="AJ89" s="20" t="str">
        <f>IF($B89="","",IF(OR($W89="Garis Lurus",$W89="Saldo Menurun"),MAX(0,MIN(TahunBuku*12+12,$Y89+$V89*12-1)-MAX(TahunBuku*12+1,$Y89)+1),0))</f>
        <v/>
      </c>
      <c r="AK89" s="20" t="str">
        <f>IF($B89="","",IF(OR($W89="Garis Lurus",$W89="Saldo Menurun"),MAX(0,MIN($Z89,TahunBuku*12+12,$Y89+$V89*12-1)-MAX(TahunBuku*12+1,$Y89)+1),0))</f>
        <v/>
      </c>
      <c r="AL89" s="22" t="str">
        <f>IF($B89="","",$G89*$AA89)</f>
        <v/>
      </c>
      <c r="AM89" s="22" t="str">
        <f>IF($B89="","",$G89*$AB89)</f>
        <v/>
      </c>
      <c r="AN89" s="22" t="str">
        <f>IF($B89="","",$G89*$AC89)</f>
        <v/>
      </c>
      <c r="AO89" s="22" t="str">
        <f>IF($B89="","",AL89+AM89-AN89)</f>
        <v/>
      </c>
      <c r="AP89" s="22" t="str">
        <f>IF($B89="","",($G89-$AD89)*$AA89)</f>
        <v/>
      </c>
      <c r="AQ89" s="22" t="str">
        <f>IF($B89="","",IF($AF89=0,0,($AD89-$AE89)*$AG89/$AF89)*MAX($AA89,$AB89))</f>
        <v/>
      </c>
      <c r="AR89" s="22" t="str">
        <f>IF($B89="","",(AP89+AQ89)*$AC89)</f>
        <v/>
      </c>
      <c r="AS89" s="22" t="str">
        <f>IF($B89="","",AP89+AQ89-AR89)</f>
        <v/>
      </c>
      <c r="AT89" s="22" t="str">
        <f>IF($B89="","",AO89-AS89)</f>
        <v/>
      </c>
      <c r="AU89" s="22" t="str">
        <f>IF($B89="","",IF($AC89=1,N($R89)-($G89-AR89),0))</f>
        <v/>
      </c>
      <c r="AV89" s="22" t="str">
        <f>IF($B89="","",($G89-$AH89)*$AA89)</f>
        <v/>
      </c>
      <c r="AW89" s="22" t="str">
        <f>IF($B89="","",IF($AJ89=0,0,($AH89-$AI89)*$AK89/$AJ89)*MAX($AA89,$AB89))</f>
        <v/>
      </c>
      <c r="AX89" s="22" t="str">
        <f>IF($B89="","",(AV89+AW89)*$AC89)</f>
        <v/>
      </c>
      <c r="AY89" s="22" t="str">
        <f>IF($B89="","",AV89+AW89-AX89)</f>
        <v/>
      </c>
      <c r="AZ89" s="22" t="str">
        <f>IF($B89="","",AO89-AY89)</f>
        <v/>
      </c>
      <c r="BA89" s="22" t="str">
        <f>IF($B89="","",IF($AC89=1,N($R89)-($G89-AX89),0))</f>
        <v/>
      </c>
      <c r="BB89" s="22" t="str">
        <f>IF($B89="","",ROUND(AQ89-AW89,0))</f>
        <v/>
      </c>
      <c r="BC89" s="22" t="str">
        <f>IF($B89="","",ROUND(BA89-AU89,0))</f>
        <v/>
      </c>
      <c r="BD89" s="22" t="str">
        <f>IF($B89="","",BB89+BC89)</f>
        <v/>
      </c>
      <c r="BE89" s="22" t="str">
        <f>IF($B89="","",ROUND(AV89-AP89,0))</f>
        <v/>
      </c>
      <c r="BF89" s="22" t="str">
        <f>IF($B89="","",ROUND(AT89-AZ89,0))</f>
        <v/>
      </c>
      <c r="BG89" s="22" t="str">
        <f>IF($B89="","",ROUND(BF89*TarifPPh,0))</f>
        <v/>
      </c>
      <c r="BH89" t="str">
        <f>IF($B89="","",IF($D89="","Kategori kosong",IF($F89="","Tgl perolehan kosong",IF(N($H89)&gt;$G89,"Residu &gt; harga perolehan",IF(AND(LEFT($U89,8)="Bangunan",$W89="Saldo Menurun"),"Bangunan wajib Garis Lurus (Ps.11 UU PPh)",IF(AND($S89="Unit Produksi",N($K89)=0),"Isi kapasitas unit",IF(AND(OR($S89="Garis Lurus",$S89="Saldo Menurun"),N($T89)&lt;=0),"Umur komersial kosong",IF(AND(OR($W89="Garis Lurus",$W89="Saldo Menurun"),N($V89)&lt;=0),"Masa manfaat fiskal kosong",IF(AND($Q89&lt;&gt;"",$Q89&lt;$F89),"Tgl pelepasan &lt; perolehan","OK")))))))))</f>
        <v/>
      </c>
    </row>
    <row r="90" spans="1:60" x14ac:dyDescent="0.25">
      <c r="A90" t="str">
        <f>IF($B90="","",ROW()-6)</f>
        <v/>
      </c>
      <c r="B90" s="9"/>
      <c r="C90" s="9"/>
      <c r="D90" s="9"/>
      <c r="E90" s="9"/>
      <c r="F90" s="17"/>
      <c r="G90" s="18"/>
      <c r="H90" s="18"/>
      <c r="I90" s="9"/>
      <c r="J90" s="9"/>
      <c r="K90" s="19"/>
      <c r="L90" s="19"/>
      <c r="M90" s="19"/>
      <c r="N90" s="9"/>
      <c r="O90" s="9"/>
      <c r="P90" s="9"/>
      <c r="Q90" s="17"/>
      <c r="R90" s="18"/>
      <c r="S90" t="str">
        <f>IF($B90="","",IF($I90&lt;&gt;"",$I90,IFERROR(INDEX(Kat_Metode,MATCH($D90,Kat_Nama,0)),"")))</f>
        <v/>
      </c>
      <c r="T90" t="str">
        <f>IF($B90="","",IF($J90&lt;&gt;"",$J90,IFERROR(INDEX(Kat_Umur,MATCH($D90,Kat_Nama,0)),0)))</f>
        <v/>
      </c>
      <c r="U90" t="str">
        <f>IF($B90="","",IF($N90&lt;&gt;"",$N90,IFERROR(INDEX(Kat_Kelompok,MATCH($D90,Kat_Nama,0)),"")))</f>
        <v/>
      </c>
      <c r="V90" t="str">
        <f>IF($B90="","",IF($U90="Masa Manfaat Sebenarnya",N($O90),IFERROR(INDEX(Kel_Masa,MATCH($U90,Kel_Nama,0)),0)))</f>
        <v/>
      </c>
      <c r="W90" t="str">
        <f>IF($B90="","",IF($P90&lt;&gt;"",$P90,IF(OR($U90="Tidak Disusutkan",$V90=0),"Tidak Disusutkan","Garis Lurus")))</f>
        <v/>
      </c>
      <c r="X90" t="str">
        <f>IF($B90="","",IF($Y90&gt;TahunBuku*12+12,"Belum Diperoleh",IF($Z90&lt;=TahunBuku*12,"Dilepas (thn lalu)",IF($AC90=1,"Dilepas thn ini",IF($AB90=1,"Perolehan baru","Aktif")))))</f>
        <v/>
      </c>
      <c r="Y90" s="20" t="str">
        <f>IF($B90="","",YEAR($F90)*12+MONTH($F90))</f>
        <v/>
      </c>
      <c r="Z90" s="20" t="str">
        <f>IF($B90="","",IF($Q90="",99999,YEAR($Q90)*12+MONTH($Q90)))</f>
        <v/>
      </c>
      <c r="AA90" s="20" t="str">
        <f>IF($B90="","",--AND($Y90&lt;=TahunBuku*12,$Z90&gt;TahunBuku*12))</f>
        <v/>
      </c>
      <c r="AB90" s="20" t="str">
        <f>IF($B90="","",--AND($Y90&gt;TahunBuku*12,$Y90&lt;=TahunBuku*12+12))</f>
        <v/>
      </c>
      <c r="AC90" s="20" t="str">
        <f>IF($B90="","",--AND($Z90&gt;TahunBuku*12,$Z90&lt;=TahunBuku*12+12,$Y90&lt;=$Z90))</f>
        <v/>
      </c>
      <c r="AD90" s="21" t="str">
        <f>IF($B90="","",IFERROR(IF($S90="Garis Lurus",$G90-($G90-$H90)*MIN($T90*12,MAX(0,TahunBuku*12-$Y90+1))/($T90*12),IF($S90="Saldo Menurun",IF(TahunBuku-1&lt;YEAR($F90),$G90,IF(TahunBuku-1&gt;=INT(($Y90+$T90*12-2)/12),$H90,MAX($H90,$G90*(1-2/$T90*(13-MONTH($F90))/12)*(1-2/$T90)^(TahunBuku-1-YEAR($F90))))),IF($S90="Unit Produksi",$G90-($G90-$H90)*MIN(1,N($L90)/$K90),$G90))),$G90))</f>
        <v/>
      </c>
      <c r="AE90" s="21" t="str">
        <f>IF($B90="","",IFERROR(IF($S90="Garis Lurus",$G90-($G90-$H90)*MIN($T90*12,MAX(0,TahunBuku*12+12-$Y90+1))/($T90*12),IF($S90="Saldo Menurun",IF(TahunBuku&lt;YEAR($F90),$G90,IF(TahunBuku&gt;=INT(($Y90+$T90*12-2)/12),$H90,MAX($H90,$G90*(1-2/$T90*(13-MONTH($F90))/12)*(1-2/$T90)^(TahunBuku-YEAR($F90))))),IF($S90="Unit Produksi",$G90-($G90-$H90)*MIN(1,(N($L90)+N($M90))/$K90),$G90))),$G90))</f>
        <v/>
      </c>
      <c r="AF90" s="20" t="str">
        <f>IF($B90="","",IF(OR($S90="Garis Lurus",$S90="Saldo Menurun",$S90="Unit Produksi"),MAX(0,IF($S90="Unit Produksi",TahunBuku*12+12,MIN(TahunBuku*12+12,$Y90+$T90*12-1))-MAX(TahunBuku*12+1,$Y90)+1),0))</f>
        <v/>
      </c>
      <c r="AG90" s="20" t="str">
        <f>IF($B90="","",IF(OR($S90="Garis Lurus",$S90="Saldo Menurun",$S90="Unit Produksi"),MAX(0,MIN($Z90,IF($S90="Unit Produksi",TahunBuku*12+12,MIN(TahunBuku*12+12,$Y90+$T90*12-1)))-MAX(TahunBuku*12+1,$Y90)+1),0))</f>
        <v/>
      </c>
      <c r="AH90" s="21" t="str">
        <f>IF($B90="","",IFERROR(IF($W90="Garis Lurus",$G90*(1-MIN($V90*12,MAX(0,TahunBuku*12-$Y90+1))/($V90*12)),IF($W90="Saldo Menurun",IF(TahunBuku-1&lt;YEAR($F90),$G90,IF(TahunBuku-1&gt;=INT(($Y90+$V90*12-2)/12),0,$G90*(1-2/$V90*(13-MONTH($F90))/12)*(1-2/$V90)^(TahunBuku-1-YEAR($F90)))),$G90)),$G90))</f>
        <v/>
      </c>
      <c r="AI90" s="21" t="str">
        <f>IF($B90="","",IFERROR(IF($W90="Garis Lurus",$G90*(1-MIN($V90*12,MAX(0,TahunBuku*12+12-$Y90+1))/($V90*12)),IF($W90="Saldo Menurun",IF(TahunBuku&lt;YEAR($F90),$G90,IF(TahunBuku&gt;=INT(($Y90+$V90*12-2)/12),0,$G90*(1-2/$V90*(13-MONTH($F90))/12)*(1-2/$V90)^(TahunBuku-YEAR($F90)))),$G90)),$G90))</f>
        <v/>
      </c>
      <c r="AJ90" s="20" t="str">
        <f>IF($B90="","",IF(OR($W90="Garis Lurus",$W90="Saldo Menurun"),MAX(0,MIN(TahunBuku*12+12,$Y90+$V90*12-1)-MAX(TahunBuku*12+1,$Y90)+1),0))</f>
        <v/>
      </c>
      <c r="AK90" s="20" t="str">
        <f>IF($B90="","",IF(OR($W90="Garis Lurus",$W90="Saldo Menurun"),MAX(0,MIN($Z90,TahunBuku*12+12,$Y90+$V90*12-1)-MAX(TahunBuku*12+1,$Y90)+1),0))</f>
        <v/>
      </c>
      <c r="AL90" s="22" t="str">
        <f>IF($B90="","",$G90*$AA90)</f>
        <v/>
      </c>
      <c r="AM90" s="22" t="str">
        <f>IF($B90="","",$G90*$AB90)</f>
        <v/>
      </c>
      <c r="AN90" s="22" t="str">
        <f>IF($B90="","",$G90*$AC90)</f>
        <v/>
      </c>
      <c r="AO90" s="22" t="str">
        <f>IF($B90="","",AL90+AM90-AN90)</f>
        <v/>
      </c>
      <c r="AP90" s="22" t="str">
        <f>IF($B90="","",($G90-$AD90)*$AA90)</f>
        <v/>
      </c>
      <c r="AQ90" s="22" t="str">
        <f>IF($B90="","",IF($AF90=0,0,($AD90-$AE90)*$AG90/$AF90)*MAX($AA90,$AB90))</f>
        <v/>
      </c>
      <c r="AR90" s="22" t="str">
        <f>IF($B90="","",(AP90+AQ90)*$AC90)</f>
        <v/>
      </c>
      <c r="AS90" s="22" t="str">
        <f>IF($B90="","",AP90+AQ90-AR90)</f>
        <v/>
      </c>
      <c r="AT90" s="22" t="str">
        <f>IF($B90="","",AO90-AS90)</f>
        <v/>
      </c>
      <c r="AU90" s="22" t="str">
        <f>IF($B90="","",IF($AC90=1,N($R90)-($G90-AR90),0))</f>
        <v/>
      </c>
      <c r="AV90" s="22" t="str">
        <f>IF($B90="","",($G90-$AH90)*$AA90)</f>
        <v/>
      </c>
      <c r="AW90" s="22" t="str">
        <f>IF($B90="","",IF($AJ90=0,0,($AH90-$AI90)*$AK90/$AJ90)*MAX($AA90,$AB90))</f>
        <v/>
      </c>
      <c r="AX90" s="22" t="str">
        <f>IF($B90="","",(AV90+AW90)*$AC90)</f>
        <v/>
      </c>
      <c r="AY90" s="22" t="str">
        <f>IF($B90="","",AV90+AW90-AX90)</f>
        <v/>
      </c>
      <c r="AZ90" s="22" t="str">
        <f>IF($B90="","",AO90-AY90)</f>
        <v/>
      </c>
      <c r="BA90" s="22" t="str">
        <f>IF($B90="","",IF($AC90=1,N($R90)-($G90-AX90),0))</f>
        <v/>
      </c>
      <c r="BB90" s="22" t="str">
        <f>IF($B90="","",ROUND(AQ90-AW90,0))</f>
        <v/>
      </c>
      <c r="BC90" s="22" t="str">
        <f>IF($B90="","",ROUND(BA90-AU90,0))</f>
        <v/>
      </c>
      <c r="BD90" s="22" t="str">
        <f>IF($B90="","",BB90+BC90)</f>
        <v/>
      </c>
      <c r="BE90" s="22" t="str">
        <f>IF($B90="","",ROUND(AV90-AP90,0))</f>
        <v/>
      </c>
      <c r="BF90" s="22" t="str">
        <f>IF($B90="","",ROUND(AT90-AZ90,0))</f>
        <v/>
      </c>
      <c r="BG90" s="22" t="str">
        <f>IF($B90="","",ROUND(BF90*TarifPPh,0))</f>
        <v/>
      </c>
      <c r="BH90" t="str">
        <f>IF($B90="","",IF($D90="","Kategori kosong",IF($F90="","Tgl perolehan kosong",IF(N($H90)&gt;$G90,"Residu &gt; harga perolehan",IF(AND(LEFT($U90,8)="Bangunan",$W90="Saldo Menurun"),"Bangunan wajib Garis Lurus (Ps.11 UU PPh)",IF(AND($S90="Unit Produksi",N($K90)=0),"Isi kapasitas unit",IF(AND(OR($S90="Garis Lurus",$S90="Saldo Menurun"),N($T90)&lt;=0),"Umur komersial kosong",IF(AND(OR($W90="Garis Lurus",$W90="Saldo Menurun"),N($V90)&lt;=0),"Masa manfaat fiskal kosong",IF(AND($Q90&lt;&gt;"",$Q90&lt;$F90),"Tgl pelepasan &lt; perolehan","OK")))))))))</f>
        <v/>
      </c>
    </row>
    <row r="91" spans="1:60" x14ac:dyDescent="0.25">
      <c r="A91" t="str">
        <f>IF($B91="","",ROW()-6)</f>
        <v/>
      </c>
      <c r="B91" s="9"/>
      <c r="C91" s="9"/>
      <c r="D91" s="9"/>
      <c r="E91" s="9"/>
      <c r="F91" s="17"/>
      <c r="G91" s="18"/>
      <c r="H91" s="18"/>
      <c r="I91" s="9"/>
      <c r="J91" s="9"/>
      <c r="K91" s="19"/>
      <c r="L91" s="19"/>
      <c r="M91" s="19"/>
      <c r="N91" s="9"/>
      <c r="O91" s="9"/>
      <c r="P91" s="9"/>
      <c r="Q91" s="17"/>
      <c r="R91" s="18"/>
      <c r="S91" t="str">
        <f>IF($B91="","",IF($I91&lt;&gt;"",$I91,IFERROR(INDEX(Kat_Metode,MATCH($D91,Kat_Nama,0)),"")))</f>
        <v/>
      </c>
      <c r="T91" t="str">
        <f>IF($B91="","",IF($J91&lt;&gt;"",$J91,IFERROR(INDEX(Kat_Umur,MATCH($D91,Kat_Nama,0)),0)))</f>
        <v/>
      </c>
      <c r="U91" t="str">
        <f>IF($B91="","",IF($N91&lt;&gt;"",$N91,IFERROR(INDEX(Kat_Kelompok,MATCH($D91,Kat_Nama,0)),"")))</f>
        <v/>
      </c>
      <c r="V91" t="str">
        <f>IF($B91="","",IF($U91="Masa Manfaat Sebenarnya",N($O91),IFERROR(INDEX(Kel_Masa,MATCH($U91,Kel_Nama,0)),0)))</f>
        <v/>
      </c>
      <c r="W91" t="str">
        <f>IF($B91="","",IF($P91&lt;&gt;"",$P91,IF(OR($U91="Tidak Disusutkan",$V91=0),"Tidak Disusutkan","Garis Lurus")))</f>
        <v/>
      </c>
      <c r="X91" t="str">
        <f>IF($B91="","",IF($Y91&gt;TahunBuku*12+12,"Belum Diperoleh",IF($Z91&lt;=TahunBuku*12,"Dilepas (thn lalu)",IF($AC91=1,"Dilepas thn ini",IF($AB91=1,"Perolehan baru","Aktif")))))</f>
        <v/>
      </c>
      <c r="Y91" s="20" t="str">
        <f>IF($B91="","",YEAR($F91)*12+MONTH($F91))</f>
        <v/>
      </c>
      <c r="Z91" s="20" t="str">
        <f>IF($B91="","",IF($Q91="",99999,YEAR($Q91)*12+MONTH($Q91)))</f>
        <v/>
      </c>
      <c r="AA91" s="20" t="str">
        <f>IF($B91="","",--AND($Y91&lt;=TahunBuku*12,$Z91&gt;TahunBuku*12))</f>
        <v/>
      </c>
      <c r="AB91" s="20" t="str">
        <f>IF($B91="","",--AND($Y91&gt;TahunBuku*12,$Y91&lt;=TahunBuku*12+12))</f>
        <v/>
      </c>
      <c r="AC91" s="20" t="str">
        <f>IF($B91="","",--AND($Z91&gt;TahunBuku*12,$Z91&lt;=TahunBuku*12+12,$Y91&lt;=$Z91))</f>
        <v/>
      </c>
      <c r="AD91" s="21" t="str">
        <f>IF($B91="","",IFERROR(IF($S91="Garis Lurus",$G91-($G91-$H91)*MIN($T91*12,MAX(0,TahunBuku*12-$Y91+1))/($T91*12),IF($S91="Saldo Menurun",IF(TahunBuku-1&lt;YEAR($F91),$G91,IF(TahunBuku-1&gt;=INT(($Y91+$T91*12-2)/12),$H91,MAX($H91,$G91*(1-2/$T91*(13-MONTH($F91))/12)*(1-2/$T91)^(TahunBuku-1-YEAR($F91))))),IF($S91="Unit Produksi",$G91-($G91-$H91)*MIN(1,N($L91)/$K91),$G91))),$G91))</f>
        <v/>
      </c>
      <c r="AE91" s="21" t="str">
        <f>IF($B91="","",IFERROR(IF($S91="Garis Lurus",$G91-($G91-$H91)*MIN($T91*12,MAX(0,TahunBuku*12+12-$Y91+1))/($T91*12),IF($S91="Saldo Menurun",IF(TahunBuku&lt;YEAR($F91),$G91,IF(TahunBuku&gt;=INT(($Y91+$T91*12-2)/12),$H91,MAX($H91,$G91*(1-2/$T91*(13-MONTH($F91))/12)*(1-2/$T91)^(TahunBuku-YEAR($F91))))),IF($S91="Unit Produksi",$G91-($G91-$H91)*MIN(1,(N($L91)+N($M91))/$K91),$G91))),$G91))</f>
        <v/>
      </c>
      <c r="AF91" s="20" t="str">
        <f>IF($B91="","",IF(OR($S91="Garis Lurus",$S91="Saldo Menurun",$S91="Unit Produksi"),MAX(0,IF($S91="Unit Produksi",TahunBuku*12+12,MIN(TahunBuku*12+12,$Y91+$T91*12-1))-MAX(TahunBuku*12+1,$Y91)+1),0))</f>
        <v/>
      </c>
      <c r="AG91" s="20" t="str">
        <f>IF($B91="","",IF(OR($S91="Garis Lurus",$S91="Saldo Menurun",$S91="Unit Produksi"),MAX(0,MIN($Z91,IF($S91="Unit Produksi",TahunBuku*12+12,MIN(TahunBuku*12+12,$Y91+$T91*12-1)))-MAX(TahunBuku*12+1,$Y91)+1),0))</f>
        <v/>
      </c>
      <c r="AH91" s="21" t="str">
        <f>IF($B91="","",IFERROR(IF($W91="Garis Lurus",$G91*(1-MIN($V91*12,MAX(0,TahunBuku*12-$Y91+1))/($V91*12)),IF($W91="Saldo Menurun",IF(TahunBuku-1&lt;YEAR($F91),$G91,IF(TahunBuku-1&gt;=INT(($Y91+$V91*12-2)/12),0,$G91*(1-2/$V91*(13-MONTH($F91))/12)*(1-2/$V91)^(TahunBuku-1-YEAR($F91)))),$G91)),$G91))</f>
        <v/>
      </c>
      <c r="AI91" s="21" t="str">
        <f>IF($B91="","",IFERROR(IF($W91="Garis Lurus",$G91*(1-MIN($V91*12,MAX(0,TahunBuku*12+12-$Y91+1))/($V91*12)),IF($W91="Saldo Menurun",IF(TahunBuku&lt;YEAR($F91),$G91,IF(TahunBuku&gt;=INT(($Y91+$V91*12-2)/12),0,$G91*(1-2/$V91*(13-MONTH($F91))/12)*(1-2/$V91)^(TahunBuku-YEAR($F91)))),$G91)),$G91))</f>
        <v/>
      </c>
      <c r="AJ91" s="20" t="str">
        <f>IF($B91="","",IF(OR($W91="Garis Lurus",$W91="Saldo Menurun"),MAX(0,MIN(TahunBuku*12+12,$Y91+$V91*12-1)-MAX(TahunBuku*12+1,$Y91)+1),0))</f>
        <v/>
      </c>
      <c r="AK91" s="20" t="str">
        <f>IF($B91="","",IF(OR($W91="Garis Lurus",$W91="Saldo Menurun"),MAX(0,MIN($Z91,TahunBuku*12+12,$Y91+$V91*12-1)-MAX(TahunBuku*12+1,$Y91)+1),0))</f>
        <v/>
      </c>
      <c r="AL91" s="22" t="str">
        <f>IF($B91="","",$G91*$AA91)</f>
        <v/>
      </c>
      <c r="AM91" s="22" t="str">
        <f>IF($B91="","",$G91*$AB91)</f>
        <v/>
      </c>
      <c r="AN91" s="22" t="str">
        <f>IF($B91="","",$G91*$AC91)</f>
        <v/>
      </c>
      <c r="AO91" s="22" t="str">
        <f>IF($B91="","",AL91+AM91-AN91)</f>
        <v/>
      </c>
      <c r="AP91" s="22" t="str">
        <f>IF($B91="","",($G91-$AD91)*$AA91)</f>
        <v/>
      </c>
      <c r="AQ91" s="22" t="str">
        <f>IF($B91="","",IF($AF91=0,0,($AD91-$AE91)*$AG91/$AF91)*MAX($AA91,$AB91))</f>
        <v/>
      </c>
      <c r="AR91" s="22" t="str">
        <f>IF($B91="","",(AP91+AQ91)*$AC91)</f>
        <v/>
      </c>
      <c r="AS91" s="22" t="str">
        <f>IF($B91="","",AP91+AQ91-AR91)</f>
        <v/>
      </c>
      <c r="AT91" s="22" t="str">
        <f>IF($B91="","",AO91-AS91)</f>
        <v/>
      </c>
      <c r="AU91" s="22" t="str">
        <f>IF($B91="","",IF($AC91=1,N($R91)-($G91-AR91),0))</f>
        <v/>
      </c>
      <c r="AV91" s="22" t="str">
        <f>IF($B91="","",($G91-$AH91)*$AA91)</f>
        <v/>
      </c>
      <c r="AW91" s="22" t="str">
        <f>IF($B91="","",IF($AJ91=0,0,($AH91-$AI91)*$AK91/$AJ91)*MAX($AA91,$AB91))</f>
        <v/>
      </c>
      <c r="AX91" s="22" t="str">
        <f>IF($B91="","",(AV91+AW91)*$AC91)</f>
        <v/>
      </c>
      <c r="AY91" s="22" t="str">
        <f>IF($B91="","",AV91+AW91-AX91)</f>
        <v/>
      </c>
      <c r="AZ91" s="22" t="str">
        <f>IF($B91="","",AO91-AY91)</f>
        <v/>
      </c>
      <c r="BA91" s="22" t="str">
        <f>IF($B91="","",IF($AC91=1,N($R91)-($G91-AX91),0))</f>
        <v/>
      </c>
      <c r="BB91" s="22" t="str">
        <f>IF($B91="","",ROUND(AQ91-AW91,0))</f>
        <v/>
      </c>
      <c r="BC91" s="22" t="str">
        <f>IF($B91="","",ROUND(BA91-AU91,0))</f>
        <v/>
      </c>
      <c r="BD91" s="22" t="str">
        <f>IF($B91="","",BB91+BC91)</f>
        <v/>
      </c>
      <c r="BE91" s="22" t="str">
        <f>IF($B91="","",ROUND(AV91-AP91,0))</f>
        <v/>
      </c>
      <c r="BF91" s="22" t="str">
        <f>IF($B91="","",ROUND(AT91-AZ91,0))</f>
        <v/>
      </c>
      <c r="BG91" s="22" t="str">
        <f>IF($B91="","",ROUND(BF91*TarifPPh,0))</f>
        <v/>
      </c>
      <c r="BH91" t="str">
        <f>IF($B91="","",IF($D91="","Kategori kosong",IF($F91="","Tgl perolehan kosong",IF(N($H91)&gt;$G91,"Residu &gt; harga perolehan",IF(AND(LEFT($U91,8)="Bangunan",$W91="Saldo Menurun"),"Bangunan wajib Garis Lurus (Ps.11 UU PPh)",IF(AND($S91="Unit Produksi",N($K91)=0),"Isi kapasitas unit",IF(AND(OR($S91="Garis Lurus",$S91="Saldo Menurun"),N($T91)&lt;=0),"Umur komersial kosong",IF(AND(OR($W91="Garis Lurus",$W91="Saldo Menurun"),N($V91)&lt;=0),"Masa manfaat fiskal kosong",IF(AND($Q91&lt;&gt;"",$Q91&lt;$F91),"Tgl pelepasan &lt; perolehan","OK")))))))))</f>
        <v/>
      </c>
    </row>
    <row r="92" spans="1:60" x14ac:dyDescent="0.25">
      <c r="A92" t="str">
        <f>IF($B92="","",ROW()-6)</f>
        <v/>
      </c>
      <c r="B92" s="9"/>
      <c r="C92" s="9"/>
      <c r="D92" s="9"/>
      <c r="E92" s="9"/>
      <c r="F92" s="17"/>
      <c r="G92" s="18"/>
      <c r="H92" s="18"/>
      <c r="I92" s="9"/>
      <c r="J92" s="9"/>
      <c r="K92" s="19"/>
      <c r="L92" s="19"/>
      <c r="M92" s="19"/>
      <c r="N92" s="9"/>
      <c r="O92" s="9"/>
      <c r="P92" s="9"/>
      <c r="Q92" s="17"/>
      <c r="R92" s="18"/>
      <c r="S92" t="str">
        <f>IF($B92="","",IF($I92&lt;&gt;"",$I92,IFERROR(INDEX(Kat_Metode,MATCH($D92,Kat_Nama,0)),"")))</f>
        <v/>
      </c>
      <c r="T92" t="str">
        <f>IF($B92="","",IF($J92&lt;&gt;"",$J92,IFERROR(INDEX(Kat_Umur,MATCH($D92,Kat_Nama,0)),0)))</f>
        <v/>
      </c>
      <c r="U92" t="str">
        <f>IF($B92="","",IF($N92&lt;&gt;"",$N92,IFERROR(INDEX(Kat_Kelompok,MATCH($D92,Kat_Nama,0)),"")))</f>
        <v/>
      </c>
      <c r="V92" t="str">
        <f>IF($B92="","",IF($U92="Masa Manfaat Sebenarnya",N($O92),IFERROR(INDEX(Kel_Masa,MATCH($U92,Kel_Nama,0)),0)))</f>
        <v/>
      </c>
      <c r="W92" t="str">
        <f>IF($B92="","",IF($P92&lt;&gt;"",$P92,IF(OR($U92="Tidak Disusutkan",$V92=0),"Tidak Disusutkan","Garis Lurus")))</f>
        <v/>
      </c>
      <c r="X92" t="str">
        <f>IF($B92="","",IF($Y92&gt;TahunBuku*12+12,"Belum Diperoleh",IF($Z92&lt;=TahunBuku*12,"Dilepas (thn lalu)",IF($AC92=1,"Dilepas thn ini",IF($AB92=1,"Perolehan baru","Aktif")))))</f>
        <v/>
      </c>
      <c r="Y92" s="20" t="str">
        <f>IF($B92="","",YEAR($F92)*12+MONTH($F92))</f>
        <v/>
      </c>
      <c r="Z92" s="20" t="str">
        <f>IF($B92="","",IF($Q92="",99999,YEAR($Q92)*12+MONTH($Q92)))</f>
        <v/>
      </c>
      <c r="AA92" s="20" t="str">
        <f>IF($B92="","",--AND($Y92&lt;=TahunBuku*12,$Z92&gt;TahunBuku*12))</f>
        <v/>
      </c>
      <c r="AB92" s="20" t="str">
        <f>IF($B92="","",--AND($Y92&gt;TahunBuku*12,$Y92&lt;=TahunBuku*12+12))</f>
        <v/>
      </c>
      <c r="AC92" s="20" t="str">
        <f>IF($B92="","",--AND($Z92&gt;TahunBuku*12,$Z92&lt;=TahunBuku*12+12,$Y92&lt;=$Z92))</f>
        <v/>
      </c>
      <c r="AD92" s="21" t="str">
        <f>IF($B92="","",IFERROR(IF($S92="Garis Lurus",$G92-($G92-$H92)*MIN($T92*12,MAX(0,TahunBuku*12-$Y92+1))/($T92*12),IF($S92="Saldo Menurun",IF(TahunBuku-1&lt;YEAR($F92),$G92,IF(TahunBuku-1&gt;=INT(($Y92+$T92*12-2)/12),$H92,MAX($H92,$G92*(1-2/$T92*(13-MONTH($F92))/12)*(1-2/$T92)^(TahunBuku-1-YEAR($F92))))),IF($S92="Unit Produksi",$G92-($G92-$H92)*MIN(1,N($L92)/$K92),$G92))),$G92))</f>
        <v/>
      </c>
      <c r="AE92" s="21" t="str">
        <f>IF($B92="","",IFERROR(IF($S92="Garis Lurus",$G92-($G92-$H92)*MIN($T92*12,MAX(0,TahunBuku*12+12-$Y92+1))/($T92*12),IF($S92="Saldo Menurun",IF(TahunBuku&lt;YEAR($F92),$G92,IF(TahunBuku&gt;=INT(($Y92+$T92*12-2)/12),$H92,MAX($H92,$G92*(1-2/$T92*(13-MONTH($F92))/12)*(1-2/$T92)^(TahunBuku-YEAR($F92))))),IF($S92="Unit Produksi",$G92-($G92-$H92)*MIN(1,(N($L92)+N($M92))/$K92),$G92))),$G92))</f>
        <v/>
      </c>
      <c r="AF92" s="20" t="str">
        <f>IF($B92="","",IF(OR($S92="Garis Lurus",$S92="Saldo Menurun",$S92="Unit Produksi"),MAX(0,IF($S92="Unit Produksi",TahunBuku*12+12,MIN(TahunBuku*12+12,$Y92+$T92*12-1))-MAX(TahunBuku*12+1,$Y92)+1),0))</f>
        <v/>
      </c>
      <c r="AG92" s="20" t="str">
        <f>IF($B92="","",IF(OR($S92="Garis Lurus",$S92="Saldo Menurun",$S92="Unit Produksi"),MAX(0,MIN($Z92,IF($S92="Unit Produksi",TahunBuku*12+12,MIN(TahunBuku*12+12,$Y92+$T92*12-1)))-MAX(TahunBuku*12+1,$Y92)+1),0))</f>
        <v/>
      </c>
      <c r="AH92" s="21" t="str">
        <f>IF($B92="","",IFERROR(IF($W92="Garis Lurus",$G92*(1-MIN($V92*12,MAX(0,TahunBuku*12-$Y92+1))/($V92*12)),IF($W92="Saldo Menurun",IF(TahunBuku-1&lt;YEAR($F92),$G92,IF(TahunBuku-1&gt;=INT(($Y92+$V92*12-2)/12),0,$G92*(1-2/$V92*(13-MONTH($F92))/12)*(1-2/$V92)^(TahunBuku-1-YEAR($F92)))),$G92)),$G92))</f>
        <v/>
      </c>
      <c r="AI92" s="21" t="str">
        <f>IF($B92="","",IFERROR(IF($W92="Garis Lurus",$G92*(1-MIN($V92*12,MAX(0,TahunBuku*12+12-$Y92+1))/($V92*12)),IF($W92="Saldo Menurun",IF(TahunBuku&lt;YEAR($F92),$G92,IF(TahunBuku&gt;=INT(($Y92+$V92*12-2)/12),0,$G92*(1-2/$V92*(13-MONTH($F92))/12)*(1-2/$V92)^(TahunBuku-YEAR($F92)))),$G92)),$G92))</f>
        <v/>
      </c>
      <c r="AJ92" s="20" t="str">
        <f>IF($B92="","",IF(OR($W92="Garis Lurus",$W92="Saldo Menurun"),MAX(0,MIN(TahunBuku*12+12,$Y92+$V92*12-1)-MAX(TahunBuku*12+1,$Y92)+1),0))</f>
        <v/>
      </c>
      <c r="AK92" s="20" t="str">
        <f>IF($B92="","",IF(OR($W92="Garis Lurus",$W92="Saldo Menurun"),MAX(0,MIN($Z92,TahunBuku*12+12,$Y92+$V92*12-1)-MAX(TahunBuku*12+1,$Y92)+1),0))</f>
        <v/>
      </c>
      <c r="AL92" s="22" t="str">
        <f>IF($B92="","",$G92*$AA92)</f>
        <v/>
      </c>
      <c r="AM92" s="22" t="str">
        <f>IF($B92="","",$G92*$AB92)</f>
        <v/>
      </c>
      <c r="AN92" s="22" t="str">
        <f>IF($B92="","",$G92*$AC92)</f>
        <v/>
      </c>
      <c r="AO92" s="22" t="str">
        <f>IF($B92="","",AL92+AM92-AN92)</f>
        <v/>
      </c>
      <c r="AP92" s="22" t="str">
        <f>IF($B92="","",($G92-$AD92)*$AA92)</f>
        <v/>
      </c>
      <c r="AQ92" s="22" t="str">
        <f>IF($B92="","",IF($AF92=0,0,($AD92-$AE92)*$AG92/$AF92)*MAX($AA92,$AB92))</f>
        <v/>
      </c>
      <c r="AR92" s="22" t="str">
        <f>IF($B92="","",(AP92+AQ92)*$AC92)</f>
        <v/>
      </c>
      <c r="AS92" s="22" t="str">
        <f>IF($B92="","",AP92+AQ92-AR92)</f>
        <v/>
      </c>
      <c r="AT92" s="22" t="str">
        <f>IF($B92="","",AO92-AS92)</f>
        <v/>
      </c>
      <c r="AU92" s="22" t="str">
        <f>IF($B92="","",IF($AC92=1,N($R92)-($G92-AR92),0))</f>
        <v/>
      </c>
      <c r="AV92" s="22" t="str">
        <f>IF($B92="","",($G92-$AH92)*$AA92)</f>
        <v/>
      </c>
      <c r="AW92" s="22" t="str">
        <f>IF($B92="","",IF($AJ92=0,0,($AH92-$AI92)*$AK92/$AJ92)*MAX($AA92,$AB92))</f>
        <v/>
      </c>
      <c r="AX92" s="22" t="str">
        <f>IF($B92="","",(AV92+AW92)*$AC92)</f>
        <v/>
      </c>
      <c r="AY92" s="22" t="str">
        <f>IF($B92="","",AV92+AW92-AX92)</f>
        <v/>
      </c>
      <c r="AZ92" s="22" t="str">
        <f>IF($B92="","",AO92-AY92)</f>
        <v/>
      </c>
      <c r="BA92" s="22" t="str">
        <f>IF($B92="","",IF($AC92=1,N($R92)-($G92-AX92),0))</f>
        <v/>
      </c>
      <c r="BB92" s="22" t="str">
        <f>IF($B92="","",ROUND(AQ92-AW92,0))</f>
        <v/>
      </c>
      <c r="BC92" s="22" t="str">
        <f>IF($B92="","",ROUND(BA92-AU92,0))</f>
        <v/>
      </c>
      <c r="BD92" s="22" t="str">
        <f>IF($B92="","",BB92+BC92)</f>
        <v/>
      </c>
      <c r="BE92" s="22" t="str">
        <f>IF($B92="","",ROUND(AV92-AP92,0))</f>
        <v/>
      </c>
      <c r="BF92" s="22" t="str">
        <f>IF($B92="","",ROUND(AT92-AZ92,0))</f>
        <v/>
      </c>
      <c r="BG92" s="22" t="str">
        <f>IF($B92="","",ROUND(BF92*TarifPPh,0))</f>
        <v/>
      </c>
      <c r="BH92" t="str">
        <f>IF($B92="","",IF($D92="","Kategori kosong",IF($F92="","Tgl perolehan kosong",IF(N($H92)&gt;$G92,"Residu &gt; harga perolehan",IF(AND(LEFT($U92,8)="Bangunan",$W92="Saldo Menurun"),"Bangunan wajib Garis Lurus (Ps.11 UU PPh)",IF(AND($S92="Unit Produksi",N($K92)=0),"Isi kapasitas unit",IF(AND(OR($S92="Garis Lurus",$S92="Saldo Menurun"),N($T92)&lt;=0),"Umur komersial kosong",IF(AND(OR($W92="Garis Lurus",$W92="Saldo Menurun"),N($V92)&lt;=0),"Masa manfaat fiskal kosong",IF(AND($Q92&lt;&gt;"",$Q92&lt;$F92),"Tgl pelepasan &lt; perolehan","OK")))))))))</f>
        <v/>
      </c>
    </row>
    <row r="93" spans="1:60" x14ac:dyDescent="0.25">
      <c r="A93" t="str">
        <f>IF($B93="","",ROW()-6)</f>
        <v/>
      </c>
      <c r="B93" s="9"/>
      <c r="C93" s="9"/>
      <c r="D93" s="9"/>
      <c r="E93" s="9"/>
      <c r="F93" s="17"/>
      <c r="G93" s="18"/>
      <c r="H93" s="18"/>
      <c r="I93" s="9"/>
      <c r="J93" s="9"/>
      <c r="K93" s="19"/>
      <c r="L93" s="19"/>
      <c r="M93" s="19"/>
      <c r="N93" s="9"/>
      <c r="O93" s="9"/>
      <c r="P93" s="9"/>
      <c r="Q93" s="17"/>
      <c r="R93" s="18"/>
      <c r="S93" t="str">
        <f>IF($B93="","",IF($I93&lt;&gt;"",$I93,IFERROR(INDEX(Kat_Metode,MATCH($D93,Kat_Nama,0)),"")))</f>
        <v/>
      </c>
      <c r="T93" t="str">
        <f>IF($B93="","",IF($J93&lt;&gt;"",$J93,IFERROR(INDEX(Kat_Umur,MATCH($D93,Kat_Nama,0)),0)))</f>
        <v/>
      </c>
      <c r="U93" t="str">
        <f>IF($B93="","",IF($N93&lt;&gt;"",$N93,IFERROR(INDEX(Kat_Kelompok,MATCH($D93,Kat_Nama,0)),"")))</f>
        <v/>
      </c>
      <c r="V93" t="str">
        <f>IF($B93="","",IF($U93="Masa Manfaat Sebenarnya",N($O93),IFERROR(INDEX(Kel_Masa,MATCH($U93,Kel_Nama,0)),0)))</f>
        <v/>
      </c>
      <c r="W93" t="str">
        <f>IF($B93="","",IF($P93&lt;&gt;"",$P93,IF(OR($U93="Tidak Disusutkan",$V93=0),"Tidak Disusutkan","Garis Lurus")))</f>
        <v/>
      </c>
      <c r="X93" t="str">
        <f>IF($B93="","",IF($Y93&gt;TahunBuku*12+12,"Belum Diperoleh",IF($Z93&lt;=TahunBuku*12,"Dilepas (thn lalu)",IF($AC93=1,"Dilepas thn ini",IF($AB93=1,"Perolehan baru","Aktif")))))</f>
        <v/>
      </c>
      <c r="Y93" s="20" t="str">
        <f>IF($B93="","",YEAR($F93)*12+MONTH($F93))</f>
        <v/>
      </c>
      <c r="Z93" s="20" t="str">
        <f>IF($B93="","",IF($Q93="",99999,YEAR($Q93)*12+MONTH($Q93)))</f>
        <v/>
      </c>
      <c r="AA93" s="20" t="str">
        <f>IF($B93="","",--AND($Y93&lt;=TahunBuku*12,$Z93&gt;TahunBuku*12))</f>
        <v/>
      </c>
      <c r="AB93" s="20" t="str">
        <f>IF($B93="","",--AND($Y93&gt;TahunBuku*12,$Y93&lt;=TahunBuku*12+12))</f>
        <v/>
      </c>
      <c r="AC93" s="20" t="str">
        <f>IF($B93="","",--AND($Z93&gt;TahunBuku*12,$Z93&lt;=TahunBuku*12+12,$Y93&lt;=$Z93))</f>
        <v/>
      </c>
      <c r="AD93" s="21" t="str">
        <f>IF($B93="","",IFERROR(IF($S93="Garis Lurus",$G93-($G93-$H93)*MIN($T93*12,MAX(0,TahunBuku*12-$Y93+1))/($T93*12),IF($S93="Saldo Menurun",IF(TahunBuku-1&lt;YEAR($F93),$G93,IF(TahunBuku-1&gt;=INT(($Y93+$T93*12-2)/12),$H93,MAX($H93,$G93*(1-2/$T93*(13-MONTH($F93))/12)*(1-2/$T93)^(TahunBuku-1-YEAR($F93))))),IF($S93="Unit Produksi",$G93-($G93-$H93)*MIN(1,N($L93)/$K93),$G93))),$G93))</f>
        <v/>
      </c>
      <c r="AE93" s="21" t="str">
        <f>IF($B93="","",IFERROR(IF($S93="Garis Lurus",$G93-($G93-$H93)*MIN($T93*12,MAX(0,TahunBuku*12+12-$Y93+1))/($T93*12),IF($S93="Saldo Menurun",IF(TahunBuku&lt;YEAR($F93),$G93,IF(TahunBuku&gt;=INT(($Y93+$T93*12-2)/12),$H93,MAX($H93,$G93*(1-2/$T93*(13-MONTH($F93))/12)*(1-2/$T93)^(TahunBuku-YEAR($F93))))),IF($S93="Unit Produksi",$G93-($G93-$H93)*MIN(1,(N($L93)+N($M93))/$K93),$G93))),$G93))</f>
        <v/>
      </c>
      <c r="AF93" s="20" t="str">
        <f>IF($B93="","",IF(OR($S93="Garis Lurus",$S93="Saldo Menurun",$S93="Unit Produksi"),MAX(0,IF($S93="Unit Produksi",TahunBuku*12+12,MIN(TahunBuku*12+12,$Y93+$T93*12-1))-MAX(TahunBuku*12+1,$Y93)+1),0))</f>
        <v/>
      </c>
      <c r="AG93" s="20" t="str">
        <f>IF($B93="","",IF(OR($S93="Garis Lurus",$S93="Saldo Menurun",$S93="Unit Produksi"),MAX(0,MIN($Z93,IF($S93="Unit Produksi",TahunBuku*12+12,MIN(TahunBuku*12+12,$Y93+$T93*12-1)))-MAX(TahunBuku*12+1,$Y93)+1),0))</f>
        <v/>
      </c>
      <c r="AH93" s="21" t="str">
        <f>IF($B93="","",IFERROR(IF($W93="Garis Lurus",$G93*(1-MIN($V93*12,MAX(0,TahunBuku*12-$Y93+1))/($V93*12)),IF($W93="Saldo Menurun",IF(TahunBuku-1&lt;YEAR($F93),$G93,IF(TahunBuku-1&gt;=INT(($Y93+$V93*12-2)/12),0,$G93*(1-2/$V93*(13-MONTH($F93))/12)*(1-2/$V93)^(TahunBuku-1-YEAR($F93)))),$G93)),$G93))</f>
        <v/>
      </c>
      <c r="AI93" s="21" t="str">
        <f>IF($B93="","",IFERROR(IF($W93="Garis Lurus",$G93*(1-MIN($V93*12,MAX(0,TahunBuku*12+12-$Y93+1))/($V93*12)),IF($W93="Saldo Menurun",IF(TahunBuku&lt;YEAR($F93),$G93,IF(TahunBuku&gt;=INT(($Y93+$V93*12-2)/12),0,$G93*(1-2/$V93*(13-MONTH($F93))/12)*(1-2/$V93)^(TahunBuku-YEAR($F93)))),$G93)),$G93))</f>
        <v/>
      </c>
      <c r="AJ93" s="20" t="str">
        <f>IF($B93="","",IF(OR($W93="Garis Lurus",$W93="Saldo Menurun"),MAX(0,MIN(TahunBuku*12+12,$Y93+$V93*12-1)-MAX(TahunBuku*12+1,$Y93)+1),0))</f>
        <v/>
      </c>
      <c r="AK93" s="20" t="str">
        <f>IF($B93="","",IF(OR($W93="Garis Lurus",$W93="Saldo Menurun"),MAX(0,MIN($Z93,TahunBuku*12+12,$Y93+$V93*12-1)-MAX(TahunBuku*12+1,$Y93)+1),0))</f>
        <v/>
      </c>
      <c r="AL93" s="22" t="str">
        <f>IF($B93="","",$G93*$AA93)</f>
        <v/>
      </c>
      <c r="AM93" s="22" t="str">
        <f>IF($B93="","",$G93*$AB93)</f>
        <v/>
      </c>
      <c r="AN93" s="22" t="str">
        <f>IF($B93="","",$G93*$AC93)</f>
        <v/>
      </c>
      <c r="AO93" s="22" t="str">
        <f>IF($B93="","",AL93+AM93-AN93)</f>
        <v/>
      </c>
      <c r="AP93" s="22" t="str">
        <f>IF($B93="","",($G93-$AD93)*$AA93)</f>
        <v/>
      </c>
      <c r="AQ93" s="22" t="str">
        <f>IF($B93="","",IF($AF93=0,0,($AD93-$AE93)*$AG93/$AF93)*MAX($AA93,$AB93))</f>
        <v/>
      </c>
      <c r="AR93" s="22" t="str">
        <f>IF($B93="","",(AP93+AQ93)*$AC93)</f>
        <v/>
      </c>
      <c r="AS93" s="22" t="str">
        <f>IF($B93="","",AP93+AQ93-AR93)</f>
        <v/>
      </c>
      <c r="AT93" s="22" t="str">
        <f>IF($B93="","",AO93-AS93)</f>
        <v/>
      </c>
      <c r="AU93" s="22" t="str">
        <f>IF($B93="","",IF($AC93=1,N($R93)-($G93-AR93),0))</f>
        <v/>
      </c>
      <c r="AV93" s="22" t="str">
        <f>IF($B93="","",($G93-$AH93)*$AA93)</f>
        <v/>
      </c>
      <c r="AW93" s="22" t="str">
        <f>IF($B93="","",IF($AJ93=0,0,($AH93-$AI93)*$AK93/$AJ93)*MAX($AA93,$AB93))</f>
        <v/>
      </c>
      <c r="AX93" s="22" t="str">
        <f>IF($B93="","",(AV93+AW93)*$AC93)</f>
        <v/>
      </c>
      <c r="AY93" s="22" t="str">
        <f>IF($B93="","",AV93+AW93-AX93)</f>
        <v/>
      </c>
      <c r="AZ93" s="22" t="str">
        <f>IF($B93="","",AO93-AY93)</f>
        <v/>
      </c>
      <c r="BA93" s="22" t="str">
        <f>IF($B93="","",IF($AC93=1,N($R93)-($G93-AX93),0))</f>
        <v/>
      </c>
      <c r="BB93" s="22" t="str">
        <f>IF($B93="","",ROUND(AQ93-AW93,0))</f>
        <v/>
      </c>
      <c r="BC93" s="22" t="str">
        <f>IF($B93="","",ROUND(BA93-AU93,0))</f>
        <v/>
      </c>
      <c r="BD93" s="22" t="str">
        <f>IF($B93="","",BB93+BC93)</f>
        <v/>
      </c>
      <c r="BE93" s="22" t="str">
        <f>IF($B93="","",ROUND(AV93-AP93,0))</f>
        <v/>
      </c>
      <c r="BF93" s="22" t="str">
        <f>IF($B93="","",ROUND(AT93-AZ93,0))</f>
        <v/>
      </c>
      <c r="BG93" s="22" t="str">
        <f>IF($B93="","",ROUND(BF93*TarifPPh,0))</f>
        <v/>
      </c>
      <c r="BH93" t="str">
        <f>IF($B93="","",IF($D93="","Kategori kosong",IF($F93="","Tgl perolehan kosong",IF(N($H93)&gt;$G93,"Residu &gt; harga perolehan",IF(AND(LEFT($U93,8)="Bangunan",$W93="Saldo Menurun"),"Bangunan wajib Garis Lurus (Ps.11 UU PPh)",IF(AND($S93="Unit Produksi",N($K93)=0),"Isi kapasitas unit",IF(AND(OR($S93="Garis Lurus",$S93="Saldo Menurun"),N($T93)&lt;=0),"Umur komersial kosong",IF(AND(OR($W93="Garis Lurus",$W93="Saldo Menurun"),N($V93)&lt;=0),"Masa manfaat fiskal kosong",IF(AND($Q93&lt;&gt;"",$Q93&lt;$F93),"Tgl pelepasan &lt; perolehan","OK")))))))))</f>
        <v/>
      </c>
    </row>
    <row r="94" spans="1:60" x14ac:dyDescent="0.25">
      <c r="A94" t="str">
        <f>IF($B94="","",ROW()-6)</f>
        <v/>
      </c>
      <c r="B94" s="9"/>
      <c r="C94" s="9"/>
      <c r="D94" s="9"/>
      <c r="E94" s="9"/>
      <c r="F94" s="17"/>
      <c r="G94" s="18"/>
      <c r="H94" s="18"/>
      <c r="I94" s="9"/>
      <c r="J94" s="9"/>
      <c r="K94" s="19"/>
      <c r="L94" s="19"/>
      <c r="M94" s="19"/>
      <c r="N94" s="9"/>
      <c r="O94" s="9"/>
      <c r="P94" s="9"/>
      <c r="Q94" s="17"/>
      <c r="R94" s="18"/>
      <c r="S94" t="str">
        <f>IF($B94="","",IF($I94&lt;&gt;"",$I94,IFERROR(INDEX(Kat_Metode,MATCH($D94,Kat_Nama,0)),"")))</f>
        <v/>
      </c>
      <c r="T94" t="str">
        <f>IF($B94="","",IF($J94&lt;&gt;"",$J94,IFERROR(INDEX(Kat_Umur,MATCH($D94,Kat_Nama,0)),0)))</f>
        <v/>
      </c>
      <c r="U94" t="str">
        <f>IF($B94="","",IF($N94&lt;&gt;"",$N94,IFERROR(INDEX(Kat_Kelompok,MATCH($D94,Kat_Nama,0)),"")))</f>
        <v/>
      </c>
      <c r="V94" t="str">
        <f>IF($B94="","",IF($U94="Masa Manfaat Sebenarnya",N($O94),IFERROR(INDEX(Kel_Masa,MATCH($U94,Kel_Nama,0)),0)))</f>
        <v/>
      </c>
      <c r="W94" t="str">
        <f>IF($B94="","",IF($P94&lt;&gt;"",$P94,IF(OR($U94="Tidak Disusutkan",$V94=0),"Tidak Disusutkan","Garis Lurus")))</f>
        <v/>
      </c>
      <c r="X94" t="str">
        <f>IF($B94="","",IF($Y94&gt;TahunBuku*12+12,"Belum Diperoleh",IF($Z94&lt;=TahunBuku*12,"Dilepas (thn lalu)",IF($AC94=1,"Dilepas thn ini",IF($AB94=1,"Perolehan baru","Aktif")))))</f>
        <v/>
      </c>
      <c r="Y94" s="20" t="str">
        <f>IF($B94="","",YEAR($F94)*12+MONTH($F94))</f>
        <v/>
      </c>
      <c r="Z94" s="20" t="str">
        <f>IF($B94="","",IF($Q94="",99999,YEAR($Q94)*12+MONTH($Q94)))</f>
        <v/>
      </c>
      <c r="AA94" s="20" t="str">
        <f>IF($B94="","",--AND($Y94&lt;=TahunBuku*12,$Z94&gt;TahunBuku*12))</f>
        <v/>
      </c>
      <c r="AB94" s="20" t="str">
        <f>IF($B94="","",--AND($Y94&gt;TahunBuku*12,$Y94&lt;=TahunBuku*12+12))</f>
        <v/>
      </c>
      <c r="AC94" s="20" t="str">
        <f>IF($B94="","",--AND($Z94&gt;TahunBuku*12,$Z94&lt;=TahunBuku*12+12,$Y94&lt;=$Z94))</f>
        <v/>
      </c>
      <c r="AD94" s="21" t="str">
        <f>IF($B94="","",IFERROR(IF($S94="Garis Lurus",$G94-($G94-$H94)*MIN($T94*12,MAX(0,TahunBuku*12-$Y94+1))/($T94*12),IF($S94="Saldo Menurun",IF(TahunBuku-1&lt;YEAR($F94),$G94,IF(TahunBuku-1&gt;=INT(($Y94+$T94*12-2)/12),$H94,MAX($H94,$G94*(1-2/$T94*(13-MONTH($F94))/12)*(1-2/$T94)^(TahunBuku-1-YEAR($F94))))),IF($S94="Unit Produksi",$G94-($G94-$H94)*MIN(1,N($L94)/$K94),$G94))),$G94))</f>
        <v/>
      </c>
      <c r="AE94" s="21" t="str">
        <f>IF($B94="","",IFERROR(IF($S94="Garis Lurus",$G94-($G94-$H94)*MIN($T94*12,MAX(0,TahunBuku*12+12-$Y94+1))/($T94*12),IF($S94="Saldo Menurun",IF(TahunBuku&lt;YEAR($F94),$G94,IF(TahunBuku&gt;=INT(($Y94+$T94*12-2)/12),$H94,MAX($H94,$G94*(1-2/$T94*(13-MONTH($F94))/12)*(1-2/$T94)^(TahunBuku-YEAR($F94))))),IF($S94="Unit Produksi",$G94-($G94-$H94)*MIN(1,(N($L94)+N($M94))/$K94),$G94))),$G94))</f>
        <v/>
      </c>
      <c r="AF94" s="20" t="str">
        <f>IF($B94="","",IF(OR($S94="Garis Lurus",$S94="Saldo Menurun",$S94="Unit Produksi"),MAX(0,IF($S94="Unit Produksi",TahunBuku*12+12,MIN(TahunBuku*12+12,$Y94+$T94*12-1))-MAX(TahunBuku*12+1,$Y94)+1),0))</f>
        <v/>
      </c>
      <c r="AG94" s="20" t="str">
        <f>IF($B94="","",IF(OR($S94="Garis Lurus",$S94="Saldo Menurun",$S94="Unit Produksi"),MAX(0,MIN($Z94,IF($S94="Unit Produksi",TahunBuku*12+12,MIN(TahunBuku*12+12,$Y94+$T94*12-1)))-MAX(TahunBuku*12+1,$Y94)+1),0))</f>
        <v/>
      </c>
      <c r="AH94" s="21" t="str">
        <f>IF($B94="","",IFERROR(IF($W94="Garis Lurus",$G94*(1-MIN($V94*12,MAX(0,TahunBuku*12-$Y94+1))/($V94*12)),IF($W94="Saldo Menurun",IF(TahunBuku-1&lt;YEAR($F94),$G94,IF(TahunBuku-1&gt;=INT(($Y94+$V94*12-2)/12),0,$G94*(1-2/$V94*(13-MONTH($F94))/12)*(1-2/$V94)^(TahunBuku-1-YEAR($F94)))),$G94)),$G94))</f>
        <v/>
      </c>
      <c r="AI94" s="21" t="str">
        <f>IF($B94="","",IFERROR(IF($W94="Garis Lurus",$G94*(1-MIN($V94*12,MAX(0,TahunBuku*12+12-$Y94+1))/($V94*12)),IF($W94="Saldo Menurun",IF(TahunBuku&lt;YEAR($F94),$G94,IF(TahunBuku&gt;=INT(($Y94+$V94*12-2)/12),0,$G94*(1-2/$V94*(13-MONTH($F94))/12)*(1-2/$V94)^(TahunBuku-YEAR($F94)))),$G94)),$G94))</f>
        <v/>
      </c>
      <c r="AJ94" s="20" t="str">
        <f>IF($B94="","",IF(OR($W94="Garis Lurus",$W94="Saldo Menurun"),MAX(0,MIN(TahunBuku*12+12,$Y94+$V94*12-1)-MAX(TahunBuku*12+1,$Y94)+1),0))</f>
        <v/>
      </c>
      <c r="AK94" s="20" t="str">
        <f>IF($B94="","",IF(OR($W94="Garis Lurus",$W94="Saldo Menurun"),MAX(0,MIN($Z94,TahunBuku*12+12,$Y94+$V94*12-1)-MAX(TahunBuku*12+1,$Y94)+1),0))</f>
        <v/>
      </c>
      <c r="AL94" s="22" t="str">
        <f>IF($B94="","",$G94*$AA94)</f>
        <v/>
      </c>
      <c r="AM94" s="22" t="str">
        <f>IF($B94="","",$G94*$AB94)</f>
        <v/>
      </c>
      <c r="AN94" s="22" t="str">
        <f>IF($B94="","",$G94*$AC94)</f>
        <v/>
      </c>
      <c r="AO94" s="22" t="str">
        <f>IF($B94="","",AL94+AM94-AN94)</f>
        <v/>
      </c>
      <c r="AP94" s="22" t="str">
        <f>IF($B94="","",($G94-$AD94)*$AA94)</f>
        <v/>
      </c>
      <c r="AQ94" s="22" t="str">
        <f>IF($B94="","",IF($AF94=0,0,($AD94-$AE94)*$AG94/$AF94)*MAX($AA94,$AB94))</f>
        <v/>
      </c>
      <c r="AR94" s="22" t="str">
        <f>IF($B94="","",(AP94+AQ94)*$AC94)</f>
        <v/>
      </c>
      <c r="AS94" s="22" t="str">
        <f>IF($B94="","",AP94+AQ94-AR94)</f>
        <v/>
      </c>
      <c r="AT94" s="22" t="str">
        <f>IF($B94="","",AO94-AS94)</f>
        <v/>
      </c>
      <c r="AU94" s="22" t="str">
        <f>IF($B94="","",IF($AC94=1,N($R94)-($G94-AR94),0))</f>
        <v/>
      </c>
      <c r="AV94" s="22" t="str">
        <f>IF($B94="","",($G94-$AH94)*$AA94)</f>
        <v/>
      </c>
      <c r="AW94" s="22" t="str">
        <f>IF($B94="","",IF($AJ94=0,0,($AH94-$AI94)*$AK94/$AJ94)*MAX($AA94,$AB94))</f>
        <v/>
      </c>
      <c r="AX94" s="22" t="str">
        <f>IF($B94="","",(AV94+AW94)*$AC94)</f>
        <v/>
      </c>
      <c r="AY94" s="22" t="str">
        <f>IF($B94="","",AV94+AW94-AX94)</f>
        <v/>
      </c>
      <c r="AZ94" s="22" t="str">
        <f>IF($B94="","",AO94-AY94)</f>
        <v/>
      </c>
      <c r="BA94" s="22" t="str">
        <f>IF($B94="","",IF($AC94=1,N($R94)-($G94-AX94),0))</f>
        <v/>
      </c>
      <c r="BB94" s="22" t="str">
        <f>IF($B94="","",ROUND(AQ94-AW94,0))</f>
        <v/>
      </c>
      <c r="BC94" s="22" t="str">
        <f>IF($B94="","",ROUND(BA94-AU94,0))</f>
        <v/>
      </c>
      <c r="BD94" s="22" t="str">
        <f>IF($B94="","",BB94+BC94)</f>
        <v/>
      </c>
      <c r="BE94" s="22" t="str">
        <f>IF($B94="","",ROUND(AV94-AP94,0))</f>
        <v/>
      </c>
      <c r="BF94" s="22" t="str">
        <f>IF($B94="","",ROUND(AT94-AZ94,0))</f>
        <v/>
      </c>
      <c r="BG94" s="22" t="str">
        <f>IF($B94="","",ROUND(BF94*TarifPPh,0))</f>
        <v/>
      </c>
      <c r="BH94" t="str">
        <f>IF($B94="","",IF($D94="","Kategori kosong",IF($F94="","Tgl perolehan kosong",IF(N($H94)&gt;$G94,"Residu &gt; harga perolehan",IF(AND(LEFT($U94,8)="Bangunan",$W94="Saldo Menurun"),"Bangunan wajib Garis Lurus (Ps.11 UU PPh)",IF(AND($S94="Unit Produksi",N($K94)=0),"Isi kapasitas unit",IF(AND(OR($S94="Garis Lurus",$S94="Saldo Menurun"),N($T94)&lt;=0),"Umur komersial kosong",IF(AND(OR($W94="Garis Lurus",$W94="Saldo Menurun"),N($V94)&lt;=0),"Masa manfaat fiskal kosong",IF(AND($Q94&lt;&gt;"",$Q94&lt;$F94),"Tgl pelepasan &lt; perolehan","OK")))))))))</f>
        <v/>
      </c>
    </row>
    <row r="95" spans="1:60" x14ac:dyDescent="0.25">
      <c r="A95" t="str">
        <f>IF($B95="","",ROW()-6)</f>
        <v/>
      </c>
      <c r="B95" s="9"/>
      <c r="C95" s="9"/>
      <c r="D95" s="9"/>
      <c r="E95" s="9"/>
      <c r="F95" s="17"/>
      <c r="G95" s="18"/>
      <c r="H95" s="18"/>
      <c r="I95" s="9"/>
      <c r="J95" s="9"/>
      <c r="K95" s="19"/>
      <c r="L95" s="19"/>
      <c r="M95" s="19"/>
      <c r="N95" s="9"/>
      <c r="O95" s="9"/>
      <c r="P95" s="9"/>
      <c r="Q95" s="17"/>
      <c r="R95" s="18"/>
      <c r="S95" t="str">
        <f>IF($B95="","",IF($I95&lt;&gt;"",$I95,IFERROR(INDEX(Kat_Metode,MATCH($D95,Kat_Nama,0)),"")))</f>
        <v/>
      </c>
      <c r="T95" t="str">
        <f>IF($B95="","",IF($J95&lt;&gt;"",$J95,IFERROR(INDEX(Kat_Umur,MATCH($D95,Kat_Nama,0)),0)))</f>
        <v/>
      </c>
      <c r="U95" t="str">
        <f>IF($B95="","",IF($N95&lt;&gt;"",$N95,IFERROR(INDEX(Kat_Kelompok,MATCH($D95,Kat_Nama,0)),"")))</f>
        <v/>
      </c>
      <c r="V95" t="str">
        <f>IF($B95="","",IF($U95="Masa Manfaat Sebenarnya",N($O95),IFERROR(INDEX(Kel_Masa,MATCH($U95,Kel_Nama,0)),0)))</f>
        <v/>
      </c>
      <c r="W95" t="str">
        <f>IF($B95="","",IF($P95&lt;&gt;"",$P95,IF(OR($U95="Tidak Disusutkan",$V95=0),"Tidak Disusutkan","Garis Lurus")))</f>
        <v/>
      </c>
      <c r="X95" t="str">
        <f>IF($B95="","",IF($Y95&gt;TahunBuku*12+12,"Belum Diperoleh",IF($Z95&lt;=TahunBuku*12,"Dilepas (thn lalu)",IF($AC95=1,"Dilepas thn ini",IF($AB95=1,"Perolehan baru","Aktif")))))</f>
        <v/>
      </c>
      <c r="Y95" s="20" t="str">
        <f>IF($B95="","",YEAR($F95)*12+MONTH($F95))</f>
        <v/>
      </c>
      <c r="Z95" s="20" t="str">
        <f>IF($B95="","",IF($Q95="",99999,YEAR($Q95)*12+MONTH($Q95)))</f>
        <v/>
      </c>
      <c r="AA95" s="20" t="str">
        <f>IF($B95="","",--AND($Y95&lt;=TahunBuku*12,$Z95&gt;TahunBuku*12))</f>
        <v/>
      </c>
      <c r="AB95" s="20" t="str">
        <f>IF($B95="","",--AND($Y95&gt;TahunBuku*12,$Y95&lt;=TahunBuku*12+12))</f>
        <v/>
      </c>
      <c r="AC95" s="20" t="str">
        <f>IF($B95="","",--AND($Z95&gt;TahunBuku*12,$Z95&lt;=TahunBuku*12+12,$Y95&lt;=$Z95))</f>
        <v/>
      </c>
      <c r="AD95" s="21" t="str">
        <f>IF($B95="","",IFERROR(IF($S95="Garis Lurus",$G95-($G95-$H95)*MIN($T95*12,MAX(0,TahunBuku*12-$Y95+1))/($T95*12),IF($S95="Saldo Menurun",IF(TahunBuku-1&lt;YEAR($F95),$G95,IF(TahunBuku-1&gt;=INT(($Y95+$T95*12-2)/12),$H95,MAX($H95,$G95*(1-2/$T95*(13-MONTH($F95))/12)*(1-2/$T95)^(TahunBuku-1-YEAR($F95))))),IF($S95="Unit Produksi",$G95-($G95-$H95)*MIN(1,N($L95)/$K95),$G95))),$G95))</f>
        <v/>
      </c>
      <c r="AE95" s="21" t="str">
        <f>IF($B95="","",IFERROR(IF($S95="Garis Lurus",$G95-($G95-$H95)*MIN($T95*12,MAX(0,TahunBuku*12+12-$Y95+1))/($T95*12),IF($S95="Saldo Menurun",IF(TahunBuku&lt;YEAR($F95),$G95,IF(TahunBuku&gt;=INT(($Y95+$T95*12-2)/12),$H95,MAX($H95,$G95*(1-2/$T95*(13-MONTH($F95))/12)*(1-2/$T95)^(TahunBuku-YEAR($F95))))),IF($S95="Unit Produksi",$G95-($G95-$H95)*MIN(1,(N($L95)+N($M95))/$K95),$G95))),$G95))</f>
        <v/>
      </c>
      <c r="AF95" s="20" t="str">
        <f>IF($B95="","",IF(OR($S95="Garis Lurus",$S95="Saldo Menurun",$S95="Unit Produksi"),MAX(0,IF($S95="Unit Produksi",TahunBuku*12+12,MIN(TahunBuku*12+12,$Y95+$T95*12-1))-MAX(TahunBuku*12+1,$Y95)+1),0))</f>
        <v/>
      </c>
      <c r="AG95" s="20" t="str">
        <f>IF($B95="","",IF(OR($S95="Garis Lurus",$S95="Saldo Menurun",$S95="Unit Produksi"),MAX(0,MIN($Z95,IF($S95="Unit Produksi",TahunBuku*12+12,MIN(TahunBuku*12+12,$Y95+$T95*12-1)))-MAX(TahunBuku*12+1,$Y95)+1),0))</f>
        <v/>
      </c>
      <c r="AH95" s="21" t="str">
        <f>IF($B95="","",IFERROR(IF($W95="Garis Lurus",$G95*(1-MIN($V95*12,MAX(0,TahunBuku*12-$Y95+1))/($V95*12)),IF($W95="Saldo Menurun",IF(TahunBuku-1&lt;YEAR($F95),$G95,IF(TahunBuku-1&gt;=INT(($Y95+$V95*12-2)/12),0,$G95*(1-2/$V95*(13-MONTH($F95))/12)*(1-2/$V95)^(TahunBuku-1-YEAR($F95)))),$G95)),$G95))</f>
        <v/>
      </c>
      <c r="AI95" s="21" t="str">
        <f>IF($B95="","",IFERROR(IF($W95="Garis Lurus",$G95*(1-MIN($V95*12,MAX(0,TahunBuku*12+12-$Y95+1))/($V95*12)),IF($W95="Saldo Menurun",IF(TahunBuku&lt;YEAR($F95),$G95,IF(TahunBuku&gt;=INT(($Y95+$V95*12-2)/12),0,$G95*(1-2/$V95*(13-MONTH($F95))/12)*(1-2/$V95)^(TahunBuku-YEAR($F95)))),$G95)),$G95))</f>
        <v/>
      </c>
      <c r="AJ95" s="20" t="str">
        <f>IF($B95="","",IF(OR($W95="Garis Lurus",$W95="Saldo Menurun"),MAX(0,MIN(TahunBuku*12+12,$Y95+$V95*12-1)-MAX(TahunBuku*12+1,$Y95)+1),0))</f>
        <v/>
      </c>
      <c r="AK95" s="20" t="str">
        <f>IF($B95="","",IF(OR($W95="Garis Lurus",$W95="Saldo Menurun"),MAX(0,MIN($Z95,TahunBuku*12+12,$Y95+$V95*12-1)-MAX(TahunBuku*12+1,$Y95)+1),0))</f>
        <v/>
      </c>
      <c r="AL95" s="22" t="str">
        <f>IF($B95="","",$G95*$AA95)</f>
        <v/>
      </c>
      <c r="AM95" s="22" t="str">
        <f>IF($B95="","",$G95*$AB95)</f>
        <v/>
      </c>
      <c r="AN95" s="22" t="str">
        <f>IF($B95="","",$G95*$AC95)</f>
        <v/>
      </c>
      <c r="AO95" s="22" t="str">
        <f>IF($B95="","",AL95+AM95-AN95)</f>
        <v/>
      </c>
      <c r="AP95" s="22" t="str">
        <f>IF($B95="","",($G95-$AD95)*$AA95)</f>
        <v/>
      </c>
      <c r="AQ95" s="22" t="str">
        <f>IF($B95="","",IF($AF95=0,0,($AD95-$AE95)*$AG95/$AF95)*MAX($AA95,$AB95))</f>
        <v/>
      </c>
      <c r="AR95" s="22" t="str">
        <f>IF($B95="","",(AP95+AQ95)*$AC95)</f>
        <v/>
      </c>
      <c r="AS95" s="22" t="str">
        <f>IF($B95="","",AP95+AQ95-AR95)</f>
        <v/>
      </c>
      <c r="AT95" s="22" t="str">
        <f>IF($B95="","",AO95-AS95)</f>
        <v/>
      </c>
      <c r="AU95" s="22" t="str">
        <f>IF($B95="","",IF($AC95=1,N($R95)-($G95-AR95),0))</f>
        <v/>
      </c>
      <c r="AV95" s="22" t="str">
        <f>IF($B95="","",($G95-$AH95)*$AA95)</f>
        <v/>
      </c>
      <c r="AW95" s="22" t="str">
        <f>IF($B95="","",IF($AJ95=0,0,($AH95-$AI95)*$AK95/$AJ95)*MAX($AA95,$AB95))</f>
        <v/>
      </c>
      <c r="AX95" s="22" t="str">
        <f>IF($B95="","",(AV95+AW95)*$AC95)</f>
        <v/>
      </c>
      <c r="AY95" s="22" t="str">
        <f>IF($B95="","",AV95+AW95-AX95)</f>
        <v/>
      </c>
      <c r="AZ95" s="22" t="str">
        <f>IF($B95="","",AO95-AY95)</f>
        <v/>
      </c>
      <c r="BA95" s="22" t="str">
        <f>IF($B95="","",IF($AC95=1,N($R95)-($G95-AX95),0))</f>
        <v/>
      </c>
      <c r="BB95" s="22" t="str">
        <f>IF($B95="","",ROUND(AQ95-AW95,0))</f>
        <v/>
      </c>
      <c r="BC95" s="22" t="str">
        <f>IF($B95="","",ROUND(BA95-AU95,0))</f>
        <v/>
      </c>
      <c r="BD95" s="22" t="str">
        <f>IF($B95="","",BB95+BC95)</f>
        <v/>
      </c>
      <c r="BE95" s="22" t="str">
        <f>IF($B95="","",ROUND(AV95-AP95,0))</f>
        <v/>
      </c>
      <c r="BF95" s="22" t="str">
        <f>IF($B95="","",ROUND(AT95-AZ95,0))</f>
        <v/>
      </c>
      <c r="BG95" s="22" t="str">
        <f>IF($B95="","",ROUND(BF95*TarifPPh,0))</f>
        <v/>
      </c>
      <c r="BH95" t="str">
        <f>IF($B95="","",IF($D95="","Kategori kosong",IF($F95="","Tgl perolehan kosong",IF(N($H95)&gt;$G95,"Residu &gt; harga perolehan",IF(AND(LEFT($U95,8)="Bangunan",$W95="Saldo Menurun"),"Bangunan wajib Garis Lurus (Ps.11 UU PPh)",IF(AND($S95="Unit Produksi",N($K95)=0),"Isi kapasitas unit",IF(AND(OR($S95="Garis Lurus",$S95="Saldo Menurun"),N($T95)&lt;=0),"Umur komersial kosong",IF(AND(OR($W95="Garis Lurus",$W95="Saldo Menurun"),N($V95)&lt;=0),"Masa manfaat fiskal kosong",IF(AND($Q95&lt;&gt;"",$Q95&lt;$F95),"Tgl pelepasan &lt; perolehan","OK")))))))))</f>
        <v/>
      </c>
    </row>
    <row r="96" spans="1:60" x14ac:dyDescent="0.25">
      <c r="A96" t="str">
        <f>IF($B96="","",ROW()-6)</f>
        <v/>
      </c>
      <c r="B96" s="9"/>
      <c r="C96" s="9"/>
      <c r="D96" s="9"/>
      <c r="E96" s="9"/>
      <c r="F96" s="17"/>
      <c r="G96" s="18"/>
      <c r="H96" s="18"/>
      <c r="I96" s="9"/>
      <c r="J96" s="9"/>
      <c r="K96" s="19"/>
      <c r="L96" s="19"/>
      <c r="M96" s="19"/>
      <c r="N96" s="9"/>
      <c r="O96" s="9"/>
      <c r="P96" s="9"/>
      <c r="Q96" s="17"/>
      <c r="R96" s="18"/>
      <c r="S96" t="str">
        <f>IF($B96="","",IF($I96&lt;&gt;"",$I96,IFERROR(INDEX(Kat_Metode,MATCH($D96,Kat_Nama,0)),"")))</f>
        <v/>
      </c>
      <c r="T96" t="str">
        <f>IF($B96="","",IF($J96&lt;&gt;"",$J96,IFERROR(INDEX(Kat_Umur,MATCH($D96,Kat_Nama,0)),0)))</f>
        <v/>
      </c>
      <c r="U96" t="str">
        <f>IF($B96="","",IF($N96&lt;&gt;"",$N96,IFERROR(INDEX(Kat_Kelompok,MATCH($D96,Kat_Nama,0)),"")))</f>
        <v/>
      </c>
      <c r="V96" t="str">
        <f>IF($B96="","",IF($U96="Masa Manfaat Sebenarnya",N($O96),IFERROR(INDEX(Kel_Masa,MATCH($U96,Kel_Nama,0)),0)))</f>
        <v/>
      </c>
      <c r="W96" t="str">
        <f>IF($B96="","",IF($P96&lt;&gt;"",$P96,IF(OR($U96="Tidak Disusutkan",$V96=0),"Tidak Disusutkan","Garis Lurus")))</f>
        <v/>
      </c>
      <c r="X96" t="str">
        <f>IF($B96="","",IF($Y96&gt;TahunBuku*12+12,"Belum Diperoleh",IF($Z96&lt;=TahunBuku*12,"Dilepas (thn lalu)",IF($AC96=1,"Dilepas thn ini",IF($AB96=1,"Perolehan baru","Aktif")))))</f>
        <v/>
      </c>
      <c r="Y96" s="20" t="str">
        <f>IF($B96="","",YEAR($F96)*12+MONTH($F96))</f>
        <v/>
      </c>
      <c r="Z96" s="20" t="str">
        <f>IF($B96="","",IF($Q96="",99999,YEAR($Q96)*12+MONTH($Q96)))</f>
        <v/>
      </c>
      <c r="AA96" s="20" t="str">
        <f>IF($B96="","",--AND($Y96&lt;=TahunBuku*12,$Z96&gt;TahunBuku*12))</f>
        <v/>
      </c>
      <c r="AB96" s="20" t="str">
        <f>IF($B96="","",--AND($Y96&gt;TahunBuku*12,$Y96&lt;=TahunBuku*12+12))</f>
        <v/>
      </c>
      <c r="AC96" s="20" t="str">
        <f>IF($B96="","",--AND($Z96&gt;TahunBuku*12,$Z96&lt;=TahunBuku*12+12,$Y96&lt;=$Z96))</f>
        <v/>
      </c>
      <c r="AD96" s="21" t="str">
        <f>IF($B96="","",IFERROR(IF($S96="Garis Lurus",$G96-($G96-$H96)*MIN($T96*12,MAX(0,TahunBuku*12-$Y96+1))/($T96*12),IF($S96="Saldo Menurun",IF(TahunBuku-1&lt;YEAR($F96),$G96,IF(TahunBuku-1&gt;=INT(($Y96+$T96*12-2)/12),$H96,MAX($H96,$G96*(1-2/$T96*(13-MONTH($F96))/12)*(1-2/$T96)^(TahunBuku-1-YEAR($F96))))),IF($S96="Unit Produksi",$G96-($G96-$H96)*MIN(1,N($L96)/$K96),$G96))),$G96))</f>
        <v/>
      </c>
      <c r="AE96" s="21" t="str">
        <f>IF($B96="","",IFERROR(IF($S96="Garis Lurus",$G96-($G96-$H96)*MIN($T96*12,MAX(0,TahunBuku*12+12-$Y96+1))/($T96*12),IF($S96="Saldo Menurun",IF(TahunBuku&lt;YEAR($F96),$G96,IF(TahunBuku&gt;=INT(($Y96+$T96*12-2)/12),$H96,MAX($H96,$G96*(1-2/$T96*(13-MONTH($F96))/12)*(1-2/$T96)^(TahunBuku-YEAR($F96))))),IF($S96="Unit Produksi",$G96-($G96-$H96)*MIN(1,(N($L96)+N($M96))/$K96),$G96))),$G96))</f>
        <v/>
      </c>
      <c r="AF96" s="20" t="str">
        <f>IF($B96="","",IF(OR($S96="Garis Lurus",$S96="Saldo Menurun",$S96="Unit Produksi"),MAX(0,IF($S96="Unit Produksi",TahunBuku*12+12,MIN(TahunBuku*12+12,$Y96+$T96*12-1))-MAX(TahunBuku*12+1,$Y96)+1),0))</f>
        <v/>
      </c>
      <c r="AG96" s="20" t="str">
        <f>IF($B96="","",IF(OR($S96="Garis Lurus",$S96="Saldo Menurun",$S96="Unit Produksi"),MAX(0,MIN($Z96,IF($S96="Unit Produksi",TahunBuku*12+12,MIN(TahunBuku*12+12,$Y96+$T96*12-1)))-MAX(TahunBuku*12+1,$Y96)+1),0))</f>
        <v/>
      </c>
      <c r="AH96" s="21" t="str">
        <f>IF($B96="","",IFERROR(IF($W96="Garis Lurus",$G96*(1-MIN($V96*12,MAX(0,TahunBuku*12-$Y96+1))/($V96*12)),IF($W96="Saldo Menurun",IF(TahunBuku-1&lt;YEAR($F96),$G96,IF(TahunBuku-1&gt;=INT(($Y96+$V96*12-2)/12),0,$G96*(1-2/$V96*(13-MONTH($F96))/12)*(1-2/$V96)^(TahunBuku-1-YEAR($F96)))),$G96)),$G96))</f>
        <v/>
      </c>
      <c r="AI96" s="21" t="str">
        <f>IF($B96="","",IFERROR(IF($W96="Garis Lurus",$G96*(1-MIN($V96*12,MAX(0,TahunBuku*12+12-$Y96+1))/($V96*12)),IF($W96="Saldo Menurun",IF(TahunBuku&lt;YEAR($F96),$G96,IF(TahunBuku&gt;=INT(($Y96+$V96*12-2)/12),0,$G96*(1-2/$V96*(13-MONTH($F96))/12)*(1-2/$V96)^(TahunBuku-YEAR($F96)))),$G96)),$G96))</f>
        <v/>
      </c>
      <c r="AJ96" s="20" t="str">
        <f>IF($B96="","",IF(OR($W96="Garis Lurus",$W96="Saldo Menurun"),MAX(0,MIN(TahunBuku*12+12,$Y96+$V96*12-1)-MAX(TahunBuku*12+1,$Y96)+1),0))</f>
        <v/>
      </c>
      <c r="AK96" s="20" t="str">
        <f>IF($B96="","",IF(OR($W96="Garis Lurus",$W96="Saldo Menurun"),MAX(0,MIN($Z96,TahunBuku*12+12,$Y96+$V96*12-1)-MAX(TahunBuku*12+1,$Y96)+1),0))</f>
        <v/>
      </c>
      <c r="AL96" s="22" t="str">
        <f>IF($B96="","",$G96*$AA96)</f>
        <v/>
      </c>
      <c r="AM96" s="22" t="str">
        <f>IF($B96="","",$G96*$AB96)</f>
        <v/>
      </c>
      <c r="AN96" s="22" t="str">
        <f>IF($B96="","",$G96*$AC96)</f>
        <v/>
      </c>
      <c r="AO96" s="22" t="str">
        <f>IF($B96="","",AL96+AM96-AN96)</f>
        <v/>
      </c>
      <c r="AP96" s="22" t="str">
        <f>IF($B96="","",($G96-$AD96)*$AA96)</f>
        <v/>
      </c>
      <c r="AQ96" s="22" t="str">
        <f>IF($B96="","",IF($AF96=0,0,($AD96-$AE96)*$AG96/$AF96)*MAX($AA96,$AB96))</f>
        <v/>
      </c>
      <c r="AR96" s="22" t="str">
        <f>IF($B96="","",(AP96+AQ96)*$AC96)</f>
        <v/>
      </c>
      <c r="AS96" s="22" t="str">
        <f>IF($B96="","",AP96+AQ96-AR96)</f>
        <v/>
      </c>
      <c r="AT96" s="22" t="str">
        <f>IF($B96="","",AO96-AS96)</f>
        <v/>
      </c>
      <c r="AU96" s="22" t="str">
        <f>IF($B96="","",IF($AC96=1,N($R96)-($G96-AR96),0))</f>
        <v/>
      </c>
      <c r="AV96" s="22" t="str">
        <f>IF($B96="","",($G96-$AH96)*$AA96)</f>
        <v/>
      </c>
      <c r="AW96" s="22" t="str">
        <f>IF($B96="","",IF($AJ96=0,0,($AH96-$AI96)*$AK96/$AJ96)*MAX($AA96,$AB96))</f>
        <v/>
      </c>
      <c r="AX96" s="22" t="str">
        <f>IF($B96="","",(AV96+AW96)*$AC96)</f>
        <v/>
      </c>
      <c r="AY96" s="22" t="str">
        <f>IF($B96="","",AV96+AW96-AX96)</f>
        <v/>
      </c>
      <c r="AZ96" s="22" t="str">
        <f>IF($B96="","",AO96-AY96)</f>
        <v/>
      </c>
      <c r="BA96" s="22" t="str">
        <f>IF($B96="","",IF($AC96=1,N($R96)-($G96-AX96),0))</f>
        <v/>
      </c>
      <c r="BB96" s="22" t="str">
        <f>IF($B96="","",ROUND(AQ96-AW96,0))</f>
        <v/>
      </c>
      <c r="BC96" s="22" t="str">
        <f>IF($B96="","",ROUND(BA96-AU96,0))</f>
        <v/>
      </c>
      <c r="BD96" s="22" t="str">
        <f>IF($B96="","",BB96+BC96)</f>
        <v/>
      </c>
      <c r="BE96" s="22" t="str">
        <f>IF($B96="","",ROUND(AV96-AP96,0))</f>
        <v/>
      </c>
      <c r="BF96" s="22" t="str">
        <f>IF($B96="","",ROUND(AT96-AZ96,0))</f>
        <v/>
      </c>
      <c r="BG96" s="22" t="str">
        <f>IF($B96="","",ROUND(BF96*TarifPPh,0))</f>
        <v/>
      </c>
      <c r="BH96" t="str">
        <f>IF($B96="","",IF($D96="","Kategori kosong",IF($F96="","Tgl perolehan kosong",IF(N($H96)&gt;$G96,"Residu &gt; harga perolehan",IF(AND(LEFT($U96,8)="Bangunan",$W96="Saldo Menurun"),"Bangunan wajib Garis Lurus (Ps.11 UU PPh)",IF(AND($S96="Unit Produksi",N($K96)=0),"Isi kapasitas unit",IF(AND(OR($S96="Garis Lurus",$S96="Saldo Menurun"),N($T96)&lt;=0),"Umur komersial kosong",IF(AND(OR($W96="Garis Lurus",$W96="Saldo Menurun"),N($V96)&lt;=0),"Masa manfaat fiskal kosong",IF(AND($Q96&lt;&gt;"",$Q96&lt;$F96),"Tgl pelepasan &lt; perolehan","OK")))))))))</f>
        <v/>
      </c>
    </row>
    <row r="97" spans="1:60" x14ac:dyDescent="0.25">
      <c r="A97" t="str">
        <f>IF($B97="","",ROW()-6)</f>
        <v/>
      </c>
      <c r="B97" s="9"/>
      <c r="C97" s="9"/>
      <c r="D97" s="9"/>
      <c r="E97" s="9"/>
      <c r="F97" s="17"/>
      <c r="G97" s="18"/>
      <c r="H97" s="18"/>
      <c r="I97" s="9"/>
      <c r="J97" s="9"/>
      <c r="K97" s="19"/>
      <c r="L97" s="19"/>
      <c r="M97" s="19"/>
      <c r="N97" s="9"/>
      <c r="O97" s="9"/>
      <c r="P97" s="9"/>
      <c r="Q97" s="17"/>
      <c r="R97" s="18"/>
      <c r="S97" t="str">
        <f>IF($B97="","",IF($I97&lt;&gt;"",$I97,IFERROR(INDEX(Kat_Metode,MATCH($D97,Kat_Nama,0)),"")))</f>
        <v/>
      </c>
      <c r="T97" t="str">
        <f>IF($B97="","",IF($J97&lt;&gt;"",$J97,IFERROR(INDEX(Kat_Umur,MATCH($D97,Kat_Nama,0)),0)))</f>
        <v/>
      </c>
      <c r="U97" t="str">
        <f>IF($B97="","",IF($N97&lt;&gt;"",$N97,IFERROR(INDEX(Kat_Kelompok,MATCH($D97,Kat_Nama,0)),"")))</f>
        <v/>
      </c>
      <c r="V97" t="str">
        <f>IF($B97="","",IF($U97="Masa Manfaat Sebenarnya",N($O97),IFERROR(INDEX(Kel_Masa,MATCH($U97,Kel_Nama,0)),0)))</f>
        <v/>
      </c>
      <c r="W97" t="str">
        <f>IF($B97="","",IF($P97&lt;&gt;"",$P97,IF(OR($U97="Tidak Disusutkan",$V97=0),"Tidak Disusutkan","Garis Lurus")))</f>
        <v/>
      </c>
      <c r="X97" t="str">
        <f>IF($B97="","",IF($Y97&gt;TahunBuku*12+12,"Belum Diperoleh",IF($Z97&lt;=TahunBuku*12,"Dilepas (thn lalu)",IF($AC97=1,"Dilepas thn ini",IF($AB97=1,"Perolehan baru","Aktif")))))</f>
        <v/>
      </c>
      <c r="Y97" s="20" t="str">
        <f>IF($B97="","",YEAR($F97)*12+MONTH($F97))</f>
        <v/>
      </c>
      <c r="Z97" s="20" t="str">
        <f>IF($B97="","",IF($Q97="",99999,YEAR($Q97)*12+MONTH($Q97)))</f>
        <v/>
      </c>
      <c r="AA97" s="20" t="str">
        <f>IF($B97="","",--AND($Y97&lt;=TahunBuku*12,$Z97&gt;TahunBuku*12))</f>
        <v/>
      </c>
      <c r="AB97" s="20" t="str">
        <f>IF($B97="","",--AND($Y97&gt;TahunBuku*12,$Y97&lt;=TahunBuku*12+12))</f>
        <v/>
      </c>
      <c r="AC97" s="20" t="str">
        <f>IF($B97="","",--AND($Z97&gt;TahunBuku*12,$Z97&lt;=TahunBuku*12+12,$Y97&lt;=$Z97))</f>
        <v/>
      </c>
      <c r="AD97" s="21" t="str">
        <f>IF($B97="","",IFERROR(IF($S97="Garis Lurus",$G97-($G97-$H97)*MIN($T97*12,MAX(0,TahunBuku*12-$Y97+1))/($T97*12),IF($S97="Saldo Menurun",IF(TahunBuku-1&lt;YEAR($F97),$G97,IF(TahunBuku-1&gt;=INT(($Y97+$T97*12-2)/12),$H97,MAX($H97,$G97*(1-2/$T97*(13-MONTH($F97))/12)*(1-2/$T97)^(TahunBuku-1-YEAR($F97))))),IF($S97="Unit Produksi",$G97-($G97-$H97)*MIN(1,N($L97)/$K97),$G97))),$G97))</f>
        <v/>
      </c>
      <c r="AE97" s="21" t="str">
        <f>IF($B97="","",IFERROR(IF($S97="Garis Lurus",$G97-($G97-$H97)*MIN($T97*12,MAX(0,TahunBuku*12+12-$Y97+1))/($T97*12),IF($S97="Saldo Menurun",IF(TahunBuku&lt;YEAR($F97),$G97,IF(TahunBuku&gt;=INT(($Y97+$T97*12-2)/12),$H97,MAX($H97,$G97*(1-2/$T97*(13-MONTH($F97))/12)*(1-2/$T97)^(TahunBuku-YEAR($F97))))),IF($S97="Unit Produksi",$G97-($G97-$H97)*MIN(1,(N($L97)+N($M97))/$K97),$G97))),$G97))</f>
        <v/>
      </c>
      <c r="AF97" s="20" t="str">
        <f>IF($B97="","",IF(OR($S97="Garis Lurus",$S97="Saldo Menurun",$S97="Unit Produksi"),MAX(0,IF($S97="Unit Produksi",TahunBuku*12+12,MIN(TahunBuku*12+12,$Y97+$T97*12-1))-MAX(TahunBuku*12+1,$Y97)+1),0))</f>
        <v/>
      </c>
      <c r="AG97" s="20" t="str">
        <f>IF($B97="","",IF(OR($S97="Garis Lurus",$S97="Saldo Menurun",$S97="Unit Produksi"),MAX(0,MIN($Z97,IF($S97="Unit Produksi",TahunBuku*12+12,MIN(TahunBuku*12+12,$Y97+$T97*12-1)))-MAX(TahunBuku*12+1,$Y97)+1),0))</f>
        <v/>
      </c>
      <c r="AH97" s="21" t="str">
        <f>IF($B97="","",IFERROR(IF($W97="Garis Lurus",$G97*(1-MIN($V97*12,MAX(0,TahunBuku*12-$Y97+1))/($V97*12)),IF($W97="Saldo Menurun",IF(TahunBuku-1&lt;YEAR($F97),$G97,IF(TahunBuku-1&gt;=INT(($Y97+$V97*12-2)/12),0,$G97*(1-2/$V97*(13-MONTH($F97))/12)*(1-2/$V97)^(TahunBuku-1-YEAR($F97)))),$G97)),$G97))</f>
        <v/>
      </c>
      <c r="AI97" s="21" t="str">
        <f>IF($B97="","",IFERROR(IF($W97="Garis Lurus",$G97*(1-MIN($V97*12,MAX(0,TahunBuku*12+12-$Y97+1))/($V97*12)),IF($W97="Saldo Menurun",IF(TahunBuku&lt;YEAR($F97),$G97,IF(TahunBuku&gt;=INT(($Y97+$V97*12-2)/12),0,$G97*(1-2/$V97*(13-MONTH($F97))/12)*(1-2/$V97)^(TahunBuku-YEAR($F97)))),$G97)),$G97))</f>
        <v/>
      </c>
      <c r="AJ97" s="20" t="str">
        <f>IF($B97="","",IF(OR($W97="Garis Lurus",$W97="Saldo Menurun"),MAX(0,MIN(TahunBuku*12+12,$Y97+$V97*12-1)-MAX(TahunBuku*12+1,$Y97)+1),0))</f>
        <v/>
      </c>
      <c r="AK97" s="20" t="str">
        <f>IF($B97="","",IF(OR($W97="Garis Lurus",$W97="Saldo Menurun"),MAX(0,MIN($Z97,TahunBuku*12+12,$Y97+$V97*12-1)-MAX(TahunBuku*12+1,$Y97)+1),0))</f>
        <v/>
      </c>
      <c r="AL97" s="22" t="str">
        <f>IF($B97="","",$G97*$AA97)</f>
        <v/>
      </c>
      <c r="AM97" s="22" t="str">
        <f>IF($B97="","",$G97*$AB97)</f>
        <v/>
      </c>
      <c r="AN97" s="22" t="str">
        <f>IF($B97="","",$G97*$AC97)</f>
        <v/>
      </c>
      <c r="AO97" s="22" t="str">
        <f>IF($B97="","",AL97+AM97-AN97)</f>
        <v/>
      </c>
      <c r="AP97" s="22" t="str">
        <f>IF($B97="","",($G97-$AD97)*$AA97)</f>
        <v/>
      </c>
      <c r="AQ97" s="22" t="str">
        <f>IF($B97="","",IF($AF97=0,0,($AD97-$AE97)*$AG97/$AF97)*MAX($AA97,$AB97))</f>
        <v/>
      </c>
      <c r="AR97" s="22" t="str">
        <f>IF($B97="","",(AP97+AQ97)*$AC97)</f>
        <v/>
      </c>
      <c r="AS97" s="22" t="str">
        <f>IF($B97="","",AP97+AQ97-AR97)</f>
        <v/>
      </c>
      <c r="AT97" s="22" t="str">
        <f>IF($B97="","",AO97-AS97)</f>
        <v/>
      </c>
      <c r="AU97" s="22" t="str">
        <f>IF($B97="","",IF($AC97=1,N($R97)-($G97-AR97),0))</f>
        <v/>
      </c>
      <c r="AV97" s="22" t="str">
        <f>IF($B97="","",($G97-$AH97)*$AA97)</f>
        <v/>
      </c>
      <c r="AW97" s="22" t="str">
        <f>IF($B97="","",IF($AJ97=0,0,($AH97-$AI97)*$AK97/$AJ97)*MAX($AA97,$AB97))</f>
        <v/>
      </c>
      <c r="AX97" s="22" t="str">
        <f>IF($B97="","",(AV97+AW97)*$AC97)</f>
        <v/>
      </c>
      <c r="AY97" s="22" t="str">
        <f>IF($B97="","",AV97+AW97-AX97)</f>
        <v/>
      </c>
      <c r="AZ97" s="22" t="str">
        <f>IF($B97="","",AO97-AY97)</f>
        <v/>
      </c>
      <c r="BA97" s="22" t="str">
        <f>IF($B97="","",IF($AC97=1,N($R97)-($G97-AX97),0))</f>
        <v/>
      </c>
      <c r="BB97" s="22" t="str">
        <f>IF($B97="","",ROUND(AQ97-AW97,0))</f>
        <v/>
      </c>
      <c r="BC97" s="22" t="str">
        <f>IF($B97="","",ROUND(BA97-AU97,0))</f>
        <v/>
      </c>
      <c r="BD97" s="22" t="str">
        <f>IF($B97="","",BB97+BC97)</f>
        <v/>
      </c>
      <c r="BE97" s="22" t="str">
        <f>IF($B97="","",ROUND(AV97-AP97,0))</f>
        <v/>
      </c>
      <c r="BF97" s="22" t="str">
        <f>IF($B97="","",ROUND(AT97-AZ97,0))</f>
        <v/>
      </c>
      <c r="BG97" s="22" t="str">
        <f>IF($B97="","",ROUND(BF97*TarifPPh,0))</f>
        <v/>
      </c>
      <c r="BH97" t="str">
        <f>IF($B97="","",IF($D97="","Kategori kosong",IF($F97="","Tgl perolehan kosong",IF(N($H97)&gt;$G97,"Residu &gt; harga perolehan",IF(AND(LEFT($U97,8)="Bangunan",$W97="Saldo Menurun"),"Bangunan wajib Garis Lurus (Ps.11 UU PPh)",IF(AND($S97="Unit Produksi",N($K97)=0),"Isi kapasitas unit",IF(AND(OR($S97="Garis Lurus",$S97="Saldo Menurun"),N($T97)&lt;=0),"Umur komersial kosong",IF(AND(OR($W97="Garis Lurus",$W97="Saldo Menurun"),N($V97)&lt;=0),"Masa manfaat fiskal kosong",IF(AND($Q97&lt;&gt;"",$Q97&lt;$F97),"Tgl pelepasan &lt; perolehan","OK")))))))))</f>
        <v/>
      </c>
    </row>
    <row r="98" spans="1:60" x14ac:dyDescent="0.25">
      <c r="A98" t="str">
        <f>IF($B98="","",ROW()-6)</f>
        <v/>
      </c>
      <c r="B98" s="9"/>
      <c r="C98" s="9"/>
      <c r="D98" s="9"/>
      <c r="E98" s="9"/>
      <c r="F98" s="17"/>
      <c r="G98" s="18"/>
      <c r="H98" s="18"/>
      <c r="I98" s="9"/>
      <c r="J98" s="9"/>
      <c r="K98" s="19"/>
      <c r="L98" s="19"/>
      <c r="M98" s="19"/>
      <c r="N98" s="9"/>
      <c r="O98" s="9"/>
      <c r="P98" s="9"/>
      <c r="Q98" s="17"/>
      <c r="R98" s="18"/>
      <c r="S98" t="str">
        <f>IF($B98="","",IF($I98&lt;&gt;"",$I98,IFERROR(INDEX(Kat_Metode,MATCH($D98,Kat_Nama,0)),"")))</f>
        <v/>
      </c>
      <c r="T98" t="str">
        <f>IF($B98="","",IF($J98&lt;&gt;"",$J98,IFERROR(INDEX(Kat_Umur,MATCH($D98,Kat_Nama,0)),0)))</f>
        <v/>
      </c>
      <c r="U98" t="str">
        <f>IF($B98="","",IF($N98&lt;&gt;"",$N98,IFERROR(INDEX(Kat_Kelompok,MATCH($D98,Kat_Nama,0)),"")))</f>
        <v/>
      </c>
      <c r="V98" t="str">
        <f>IF($B98="","",IF($U98="Masa Manfaat Sebenarnya",N($O98),IFERROR(INDEX(Kel_Masa,MATCH($U98,Kel_Nama,0)),0)))</f>
        <v/>
      </c>
      <c r="W98" t="str">
        <f>IF($B98="","",IF($P98&lt;&gt;"",$P98,IF(OR($U98="Tidak Disusutkan",$V98=0),"Tidak Disusutkan","Garis Lurus")))</f>
        <v/>
      </c>
      <c r="X98" t="str">
        <f>IF($B98="","",IF($Y98&gt;TahunBuku*12+12,"Belum Diperoleh",IF($Z98&lt;=TahunBuku*12,"Dilepas (thn lalu)",IF($AC98=1,"Dilepas thn ini",IF($AB98=1,"Perolehan baru","Aktif")))))</f>
        <v/>
      </c>
      <c r="Y98" s="20" t="str">
        <f>IF($B98="","",YEAR($F98)*12+MONTH($F98))</f>
        <v/>
      </c>
      <c r="Z98" s="20" t="str">
        <f>IF($B98="","",IF($Q98="",99999,YEAR($Q98)*12+MONTH($Q98)))</f>
        <v/>
      </c>
      <c r="AA98" s="20" t="str">
        <f>IF($B98="","",--AND($Y98&lt;=TahunBuku*12,$Z98&gt;TahunBuku*12))</f>
        <v/>
      </c>
      <c r="AB98" s="20" t="str">
        <f>IF($B98="","",--AND($Y98&gt;TahunBuku*12,$Y98&lt;=TahunBuku*12+12))</f>
        <v/>
      </c>
      <c r="AC98" s="20" t="str">
        <f>IF($B98="","",--AND($Z98&gt;TahunBuku*12,$Z98&lt;=TahunBuku*12+12,$Y98&lt;=$Z98))</f>
        <v/>
      </c>
      <c r="AD98" s="21" t="str">
        <f>IF($B98="","",IFERROR(IF($S98="Garis Lurus",$G98-($G98-$H98)*MIN($T98*12,MAX(0,TahunBuku*12-$Y98+1))/($T98*12),IF($S98="Saldo Menurun",IF(TahunBuku-1&lt;YEAR($F98),$G98,IF(TahunBuku-1&gt;=INT(($Y98+$T98*12-2)/12),$H98,MAX($H98,$G98*(1-2/$T98*(13-MONTH($F98))/12)*(1-2/$T98)^(TahunBuku-1-YEAR($F98))))),IF($S98="Unit Produksi",$G98-($G98-$H98)*MIN(1,N($L98)/$K98),$G98))),$G98))</f>
        <v/>
      </c>
      <c r="AE98" s="21" t="str">
        <f>IF($B98="","",IFERROR(IF($S98="Garis Lurus",$G98-($G98-$H98)*MIN($T98*12,MAX(0,TahunBuku*12+12-$Y98+1))/($T98*12),IF($S98="Saldo Menurun",IF(TahunBuku&lt;YEAR($F98),$G98,IF(TahunBuku&gt;=INT(($Y98+$T98*12-2)/12),$H98,MAX($H98,$G98*(1-2/$T98*(13-MONTH($F98))/12)*(1-2/$T98)^(TahunBuku-YEAR($F98))))),IF($S98="Unit Produksi",$G98-($G98-$H98)*MIN(1,(N($L98)+N($M98))/$K98),$G98))),$G98))</f>
        <v/>
      </c>
      <c r="AF98" s="20" t="str">
        <f>IF($B98="","",IF(OR($S98="Garis Lurus",$S98="Saldo Menurun",$S98="Unit Produksi"),MAX(0,IF($S98="Unit Produksi",TahunBuku*12+12,MIN(TahunBuku*12+12,$Y98+$T98*12-1))-MAX(TahunBuku*12+1,$Y98)+1),0))</f>
        <v/>
      </c>
      <c r="AG98" s="20" t="str">
        <f>IF($B98="","",IF(OR($S98="Garis Lurus",$S98="Saldo Menurun",$S98="Unit Produksi"),MAX(0,MIN($Z98,IF($S98="Unit Produksi",TahunBuku*12+12,MIN(TahunBuku*12+12,$Y98+$T98*12-1)))-MAX(TahunBuku*12+1,$Y98)+1),0))</f>
        <v/>
      </c>
      <c r="AH98" s="21" t="str">
        <f>IF($B98="","",IFERROR(IF($W98="Garis Lurus",$G98*(1-MIN($V98*12,MAX(0,TahunBuku*12-$Y98+1))/($V98*12)),IF($W98="Saldo Menurun",IF(TahunBuku-1&lt;YEAR($F98),$G98,IF(TahunBuku-1&gt;=INT(($Y98+$V98*12-2)/12),0,$G98*(1-2/$V98*(13-MONTH($F98))/12)*(1-2/$V98)^(TahunBuku-1-YEAR($F98)))),$G98)),$G98))</f>
        <v/>
      </c>
      <c r="AI98" s="21" t="str">
        <f>IF($B98="","",IFERROR(IF($W98="Garis Lurus",$G98*(1-MIN($V98*12,MAX(0,TahunBuku*12+12-$Y98+1))/($V98*12)),IF($W98="Saldo Menurun",IF(TahunBuku&lt;YEAR($F98),$G98,IF(TahunBuku&gt;=INT(($Y98+$V98*12-2)/12),0,$G98*(1-2/$V98*(13-MONTH($F98))/12)*(1-2/$V98)^(TahunBuku-YEAR($F98)))),$G98)),$G98))</f>
        <v/>
      </c>
      <c r="AJ98" s="20" t="str">
        <f>IF($B98="","",IF(OR($W98="Garis Lurus",$W98="Saldo Menurun"),MAX(0,MIN(TahunBuku*12+12,$Y98+$V98*12-1)-MAX(TahunBuku*12+1,$Y98)+1),0))</f>
        <v/>
      </c>
      <c r="AK98" s="20" t="str">
        <f>IF($B98="","",IF(OR($W98="Garis Lurus",$W98="Saldo Menurun"),MAX(0,MIN($Z98,TahunBuku*12+12,$Y98+$V98*12-1)-MAX(TahunBuku*12+1,$Y98)+1),0))</f>
        <v/>
      </c>
      <c r="AL98" s="22" t="str">
        <f>IF($B98="","",$G98*$AA98)</f>
        <v/>
      </c>
      <c r="AM98" s="22" t="str">
        <f>IF($B98="","",$G98*$AB98)</f>
        <v/>
      </c>
      <c r="AN98" s="22" t="str">
        <f>IF($B98="","",$G98*$AC98)</f>
        <v/>
      </c>
      <c r="AO98" s="22" t="str">
        <f>IF($B98="","",AL98+AM98-AN98)</f>
        <v/>
      </c>
      <c r="AP98" s="22" t="str">
        <f>IF($B98="","",($G98-$AD98)*$AA98)</f>
        <v/>
      </c>
      <c r="AQ98" s="22" t="str">
        <f>IF($B98="","",IF($AF98=0,0,($AD98-$AE98)*$AG98/$AF98)*MAX($AA98,$AB98))</f>
        <v/>
      </c>
      <c r="AR98" s="22" t="str">
        <f>IF($B98="","",(AP98+AQ98)*$AC98)</f>
        <v/>
      </c>
      <c r="AS98" s="22" t="str">
        <f>IF($B98="","",AP98+AQ98-AR98)</f>
        <v/>
      </c>
      <c r="AT98" s="22" t="str">
        <f>IF($B98="","",AO98-AS98)</f>
        <v/>
      </c>
      <c r="AU98" s="22" t="str">
        <f>IF($B98="","",IF($AC98=1,N($R98)-($G98-AR98),0))</f>
        <v/>
      </c>
      <c r="AV98" s="22" t="str">
        <f>IF($B98="","",($G98-$AH98)*$AA98)</f>
        <v/>
      </c>
      <c r="AW98" s="22" t="str">
        <f>IF($B98="","",IF($AJ98=0,0,($AH98-$AI98)*$AK98/$AJ98)*MAX($AA98,$AB98))</f>
        <v/>
      </c>
      <c r="AX98" s="22" t="str">
        <f>IF($B98="","",(AV98+AW98)*$AC98)</f>
        <v/>
      </c>
      <c r="AY98" s="22" t="str">
        <f>IF($B98="","",AV98+AW98-AX98)</f>
        <v/>
      </c>
      <c r="AZ98" s="22" t="str">
        <f>IF($B98="","",AO98-AY98)</f>
        <v/>
      </c>
      <c r="BA98" s="22" t="str">
        <f>IF($B98="","",IF($AC98=1,N($R98)-($G98-AX98),0))</f>
        <v/>
      </c>
      <c r="BB98" s="22" t="str">
        <f>IF($B98="","",ROUND(AQ98-AW98,0))</f>
        <v/>
      </c>
      <c r="BC98" s="22" t="str">
        <f>IF($B98="","",ROUND(BA98-AU98,0))</f>
        <v/>
      </c>
      <c r="BD98" s="22" t="str">
        <f>IF($B98="","",BB98+BC98)</f>
        <v/>
      </c>
      <c r="BE98" s="22" t="str">
        <f>IF($B98="","",ROUND(AV98-AP98,0))</f>
        <v/>
      </c>
      <c r="BF98" s="22" t="str">
        <f>IF($B98="","",ROUND(AT98-AZ98,0))</f>
        <v/>
      </c>
      <c r="BG98" s="22" t="str">
        <f>IF($B98="","",ROUND(BF98*TarifPPh,0))</f>
        <v/>
      </c>
      <c r="BH98" t="str">
        <f>IF($B98="","",IF($D98="","Kategori kosong",IF($F98="","Tgl perolehan kosong",IF(N($H98)&gt;$G98,"Residu &gt; harga perolehan",IF(AND(LEFT($U98,8)="Bangunan",$W98="Saldo Menurun"),"Bangunan wajib Garis Lurus (Ps.11 UU PPh)",IF(AND($S98="Unit Produksi",N($K98)=0),"Isi kapasitas unit",IF(AND(OR($S98="Garis Lurus",$S98="Saldo Menurun"),N($T98)&lt;=0),"Umur komersial kosong",IF(AND(OR($W98="Garis Lurus",$W98="Saldo Menurun"),N($V98)&lt;=0),"Masa manfaat fiskal kosong",IF(AND($Q98&lt;&gt;"",$Q98&lt;$F98),"Tgl pelepasan &lt; perolehan","OK")))))))))</f>
        <v/>
      </c>
    </row>
    <row r="99" spans="1:60" x14ac:dyDescent="0.25">
      <c r="A99" t="str">
        <f>IF($B99="","",ROW()-6)</f>
        <v/>
      </c>
      <c r="B99" s="9"/>
      <c r="C99" s="9"/>
      <c r="D99" s="9"/>
      <c r="E99" s="9"/>
      <c r="F99" s="17"/>
      <c r="G99" s="18"/>
      <c r="H99" s="18"/>
      <c r="I99" s="9"/>
      <c r="J99" s="9"/>
      <c r="K99" s="19"/>
      <c r="L99" s="19"/>
      <c r="M99" s="19"/>
      <c r="N99" s="9"/>
      <c r="O99" s="9"/>
      <c r="P99" s="9"/>
      <c r="Q99" s="17"/>
      <c r="R99" s="18"/>
      <c r="S99" t="str">
        <f>IF($B99="","",IF($I99&lt;&gt;"",$I99,IFERROR(INDEX(Kat_Metode,MATCH($D99,Kat_Nama,0)),"")))</f>
        <v/>
      </c>
      <c r="T99" t="str">
        <f>IF($B99="","",IF($J99&lt;&gt;"",$J99,IFERROR(INDEX(Kat_Umur,MATCH($D99,Kat_Nama,0)),0)))</f>
        <v/>
      </c>
      <c r="U99" t="str">
        <f>IF($B99="","",IF($N99&lt;&gt;"",$N99,IFERROR(INDEX(Kat_Kelompok,MATCH($D99,Kat_Nama,0)),"")))</f>
        <v/>
      </c>
      <c r="V99" t="str">
        <f>IF($B99="","",IF($U99="Masa Manfaat Sebenarnya",N($O99),IFERROR(INDEX(Kel_Masa,MATCH($U99,Kel_Nama,0)),0)))</f>
        <v/>
      </c>
      <c r="W99" t="str">
        <f>IF($B99="","",IF($P99&lt;&gt;"",$P99,IF(OR($U99="Tidak Disusutkan",$V99=0),"Tidak Disusutkan","Garis Lurus")))</f>
        <v/>
      </c>
      <c r="X99" t="str">
        <f>IF($B99="","",IF($Y99&gt;TahunBuku*12+12,"Belum Diperoleh",IF($Z99&lt;=TahunBuku*12,"Dilepas (thn lalu)",IF($AC99=1,"Dilepas thn ini",IF($AB99=1,"Perolehan baru","Aktif")))))</f>
        <v/>
      </c>
      <c r="Y99" s="20" t="str">
        <f>IF($B99="","",YEAR($F99)*12+MONTH($F99))</f>
        <v/>
      </c>
      <c r="Z99" s="20" t="str">
        <f>IF($B99="","",IF($Q99="",99999,YEAR($Q99)*12+MONTH($Q99)))</f>
        <v/>
      </c>
      <c r="AA99" s="20" t="str">
        <f>IF($B99="","",--AND($Y99&lt;=TahunBuku*12,$Z99&gt;TahunBuku*12))</f>
        <v/>
      </c>
      <c r="AB99" s="20" t="str">
        <f>IF($B99="","",--AND($Y99&gt;TahunBuku*12,$Y99&lt;=TahunBuku*12+12))</f>
        <v/>
      </c>
      <c r="AC99" s="20" t="str">
        <f>IF($B99="","",--AND($Z99&gt;TahunBuku*12,$Z99&lt;=TahunBuku*12+12,$Y99&lt;=$Z99))</f>
        <v/>
      </c>
      <c r="AD99" s="21" t="str">
        <f>IF($B99="","",IFERROR(IF($S99="Garis Lurus",$G99-($G99-$H99)*MIN($T99*12,MAX(0,TahunBuku*12-$Y99+1))/($T99*12),IF($S99="Saldo Menurun",IF(TahunBuku-1&lt;YEAR($F99),$G99,IF(TahunBuku-1&gt;=INT(($Y99+$T99*12-2)/12),$H99,MAX($H99,$G99*(1-2/$T99*(13-MONTH($F99))/12)*(1-2/$T99)^(TahunBuku-1-YEAR($F99))))),IF($S99="Unit Produksi",$G99-($G99-$H99)*MIN(1,N($L99)/$K99),$G99))),$G99))</f>
        <v/>
      </c>
      <c r="AE99" s="21" t="str">
        <f>IF($B99="","",IFERROR(IF($S99="Garis Lurus",$G99-($G99-$H99)*MIN($T99*12,MAX(0,TahunBuku*12+12-$Y99+1))/($T99*12),IF($S99="Saldo Menurun",IF(TahunBuku&lt;YEAR($F99),$G99,IF(TahunBuku&gt;=INT(($Y99+$T99*12-2)/12),$H99,MAX($H99,$G99*(1-2/$T99*(13-MONTH($F99))/12)*(1-2/$T99)^(TahunBuku-YEAR($F99))))),IF($S99="Unit Produksi",$G99-($G99-$H99)*MIN(1,(N($L99)+N($M99))/$K99),$G99))),$G99))</f>
        <v/>
      </c>
      <c r="AF99" s="20" t="str">
        <f>IF($B99="","",IF(OR($S99="Garis Lurus",$S99="Saldo Menurun",$S99="Unit Produksi"),MAX(0,IF($S99="Unit Produksi",TahunBuku*12+12,MIN(TahunBuku*12+12,$Y99+$T99*12-1))-MAX(TahunBuku*12+1,$Y99)+1),0))</f>
        <v/>
      </c>
      <c r="AG99" s="20" t="str">
        <f>IF($B99="","",IF(OR($S99="Garis Lurus",$S99="Saldo Menurun",$S99="Unit Produksi"),MAX(0,MIN($Z99,IF($S99="Unit Produksi",TahunBuku*12+12,MIN(TahunBuku*12+12,$Y99+$T99*12-1)))-MAX(TahunBuku*12+1,$Y99)+1),0))</f>
        <v/>
      </c>
      <c r="AH99" s="21" t="str">
        <f>IF($B99="","",IFERROR(IF($W99="Garis Lurus",$G99*(1-MIN($V99*12,MAX(0,TahunBuku*12-$Y99+1))/($V99*12)),IF($W99="Saldo Menurun",IF(TahunBuku-1&lt;YEAR($F99),$G99,IF(TahunBuku-1&gt;=INT(($Y99+$V99*12-2)/12),0,$G99*(1-2/$V99*(13-MONTH($F99))/12)*(1-2/$V99)^(TahunBuku-1-YEAR($F99)))),$G99)),$G99))</f>
        <v/>
      </c>
      <c r="AI99" s="21" t="str">
        <f>IF($B99="","",IFERROR(IF($W99="Garis Lurus",$G99*(1-MIN($V99*12,MAX(0,TahunBuku*12+12-$Y99+1))/($V99*12)),IF($W99="Saldo Menurun",IF(TahunBuku&lt;YEAR($F99),$G99,IF(TahunBuku&gt;=INT(($Y99+$V99*12-2)/12),0,$G99*(1-2/$V99*(13-MONTH($F99))/12)*(1-2/$V99)^(TahunBuku-YEAR($F99)))),$G99)),$G99))</f>
        <v/>
      </c>
      <c r="AJ99" s="20" t="str">
        <f>IF($B99="","",IF(OR($W99="Garis Lurus",$W99="Saldo Menurun"),MAX(0,MIN(TahunBuku*12+12,$Y99+$V99*12-1)-MAX(TahunBuku*12+1,$Y99)+1),0))</f>
        <v/>
      </c>
      <c r="AK99" s="20" t="str">
        <f>IF($B99="","",IF(OR($W99="Garis Lurus",$W99="Saldo Menurun"),MAX(0,MIN($Z99,TahunBuku*12+12,$Y99+$V99*12-1)-MAX(TahunBuku*12+1,$Y99)+1),0))</f>
        <v/>
      </c>
      <c r="AL99" s="22" t="str">
        <f>IF($B99="","",$G99*$AA99)</f>
        <v/>
      </c>
      <c r="AM99" s="22" t="str">
        <f>IF($B99="","",$G99*$AB99)</f>
        <v/>
      </c>
      <c r="AN99" s="22" t="str">
        <f>IF($B99="","",$G99*$AC99)</f>
        <v/>
      </c>
      <c r="AO99" s="22" t="str">
        <f>IF($B99="","",AL99+AM99-AN99)</f>
        <v/>
      </c>
      <c r="AP99" s="22" t="str">
        <f>IF($B99="","",($G99-$AD99)*$AA99)</f>
        <v/>
      </c>
      <c r="AQ99" s="22" t="str">
        <f>IF($B99="","",IF($AF99=0,0,($AD99-$AE99)*$AG99/$AF99)*MAX($AA99,$AB99))</f>
        <v/>
      </c>
      <c r="AR99" s="22" t="str">
        <f>IF($B99="","",(AP99+AQ99)*$AC99)</f>
        <v/>
      </c>
      <c r="AS99" s="22" t="str">
        <f>IF($B99="","",AP99+AQ99-AR99)</f>
        <v/>
      </c>
      <c r="AT99" s="22" t="str">
        <f>IF($B99="","",AO99-AS99)</f>
        <v/>
      </c>
      <c r="AU99" s="22" t="str">
        <f>IF($B99="","",IF($AC99=1,N($R99)-($G99-AR99),0))</f>
        <v/>
      </c>
      <c r="AV99" s="22" t="str">
        <f>IF($B99="","",($G99-$AH99)*$AA99)</f>
        <v/>
      </c>
      <c r="AW99" s="22" t="str">
        <f>IF($B99="","",IF($AJ99=0,0,($AH99-$AI99)*$AK99/$AJ99)*MAX($AA99,$AB99))</f>
        <v/>
      </c>
      <c r="AX99" s="22" t="str">
        <f>IF($B99="","",(AV99+AW99)*$AC99)</f>
        <v/>
      </c>
      <c r="AY99" s="22" t="str">
        <f>IF($B99="","",AV99+AW99-AX99)</f>
        <v/>
      </c>
      <c r="AZ99" s="22" t="str">
        <f>IF($B99="","",AO99-AY99)</f>
        <v/>
      </c>
      <c r="BA99" s="22" t="str">
        <f>IF($B99="","",IF($AC99=1,N($R99)-($G99-AX99),0))</f>
        <v/>
      </c>
      <c r="BB99" s="22" t="str">
        <f>IF($B99="","",ROUND(AQ99-AW99,0))</f>
        <v/>
      </c>
      <c r="BC99" s="22" t="str">
        <f>IF($B99="","",ROUND(BA99-AU99,0))</f>
        <v/>
      </c>
      <c r="BD99" s="22" t="str">
        <f>IF($B99="","",BB99+BC99)</f>
        <v/>
      </c>
      <c r="BE99" s="22" t="str">
        <f>IF($B99="","",ROUND(AV99-AP99,0))</f>
        <v/>
      </c>
      <c r="BF99" s="22" t="str">
        <f>IF($B99="","",ROUND(AT99-AZ99,0))</f>
        <v/>
      </c>
      <c r="BG99" s="22" t="str">
        <f>IF($B99="","",ROUND(BF99*TarifPPh,0))</f>
        <v/>
      </c>
      <c r="BH99" t="str">
        <f>IF($B99="","",IF($D99="","Kategori kosong",IF($F99="","Tgl perolehan kosong",IF(N($H99)&gt;$G99,"Residu &gt; harga perolehan",IF(AND(LEFT($U99,8)="Bangunan",$W99="Saldo Menurun"),"Bangunan wajib Garis Lurus (Ps.11 UU PPh)",IF(AND($S99="Unit Produksi",N($K99)=0),"Isi kapasitas unit",IF(AND(OR($S99="Garis Lurus",$S99="Saldo Menurun"),N($T99)&lt;=0),"Umur komersial kosong",IF(AND(OR($W99="Garis Lurus",$W99="Saldo Menurun"),N($V99)&lt;=0),"Masa manfaat fiskal kosong",IF(AND($Q99&lt;&gt;"",$Q99&lt;$F99),"Tgl pelepasan &lt; perolehan","OK")))))))))</f>
        <v/>
      </c>
    </row>
    <row r="100" spans="1:60" x14ac:dyDescent="0.25">
      <c r="A100" t="str">
        <f>IF($B100="","",ROW()-6)</f>
        <v/>
      </c>
      <c r="B100" s="9"/>
      <c r="C100" s="9"/>
      <c r="D100" s="9"/>
      <c r="E100" s="9"/>
      <c r="F100" s="17"/>
      <c r="G100" s="18"/>
      <c r="H100" s="18"/>
      <c r="I100" s="9"/>
      <c r="J100" s="9"/>
      <c r="K100" s="19"/>
      <c r="L100" s="19"/>
      <c r="M100" s="19"/>
      <c r="N100" s="9"/>
      <c r="O100" s="9"/>
      <c r="P100" s="9"/>
      <c r="Q100" s="17"/>
      <c r="R100" s="18"/>
      <c r="S100" t="str">
        <f>IF($B100="","",IF($I100&lt;&gt;"",$I100,IFERROR(INDEX(Kat_Metode,MATCH($D100,Kat_Nama,0)),"")))</f>
        <v/>
      </c>
      <c r="T100" t="str">
        <f>IF($B100="","",IF($J100&lt;&gt;"",$J100,IFERROR(INDEX(Kat_Umur,MATCH($D100,Kat_Nama,0)),0)))</f>
        <v/>
      </c>
      <c r="U100" t="str">
        <f>IF($B100="","",IF($N100&lt;&gt;"",$N100,IFERROR(INDEX(Kat_Kelompok,MATCH($D100,Kat_Nama,0)),"")))</f>
        <v/>
      </c>
      <c r="V100" t="str">
        <f>IF($B100="","",IF($U100="Masa Manfaat Sebenarnya",N($O100),IFERROR(INDEX(Kel_Masa,MATCH($U100,Kel_Nama,0)),0)))</f>
        <v/>
      </c>
      <c r="W100" t="str">
        <f>IF($B100="","",IF($P100&lt;&gt;"",$P100,IF(OR($U100="Tidak Disusutkan",$V100=0),"Tidak Disusutkan","Garis Lurus")))</f>
        <v/>
      </c>
      <c r="X100" t="str">
        <f>IF($B100="","",IF($Y100&gt;TahunBuku*12+12,"Belum Diperoleh",IF($Z100&lt;=TahunBuku*12,"Dilepas (thn lalu)",IF($AC100=1,"Dilepas thn ini",IF($AB100=1,"Perolehan baru","Aktif")))))</f>
        <v/>
      </c>
      <c r="Y100" s="20" t="str">
        <f>IF($B100="","",YEAR($F100)*12+MONTH($F100))</f>
        <v/>
      </c>
      <c r="Z100" s="20" t="str">
        <f>IF($B100="","",IF($Q100="",99999,YEAR($Q100)*12+MONTH($Q100)))</f>
        <v/>
      </c>
      <c r="AA100" s="20" t="str">
        <f>IF($B100="","",--AND($Y100&lt;=TahunBuku*12,$Z100&gt;TahunBuku*12))</f>
        <v/>
      </c>
      <c r="AB100" s="20" t="str">
        <f>IF($B100="","",--AND($Y100&gt;TahunBuku*12,$Y100&lt;=TahunBuku*12+12))</f>
        <v/>
      </c>
      <c r="AC100" s="20" t="str">
        <f>IF($B100="","",--AND($Z100&gt;TahunBuku*12,$Z100&lt;=TahunBuku*12+12,$Y100&lt;=$Z100))</f>
        <v/>
      </c>
      <c r="AD100" s="21" t="str">
        <f>IF($B100="","",IFERROR(IF($S100="Garis Lurus",$G100-($G100-$H100)*MIN($T100*12,MAX(0,TahunBuku*12-$Y100+1))/($T100*12),IF($S100="Saldo Menurun",IF(TahunBuku-1&lt;YEAR($F100),$G100,IF(TahunBuku-1&gt;=INT(($Y100+$T100*12-2)/12),$H100,MAX($H100,$G100*(1-2/$T100*(13-MONTH($F100))/12)*(1-2/$T100)^(TahunBuku-1-YEAR($F100))))),IF($S100="Unit Produksi",$G100-($G100-$H100)*MIN(1,N($L100)/$K100),$G100))),$G100))</f>
        <v/>
      </c>
      <c r="AE100" s="21" t="str">
        <f>IF($B100="","",IFERROR(IF($S100="Garis Lurus",$G100-($G100-$H100)*MIN($T100*12,MAX(0,TahunBuku*12+12-$Y100+1))/($T100*12),IF($S100="Saldo Menurun",IF(TahunBuku&lt;YEAR($F100),$G100,IF(TahunBuku&gt;=INT(($Y100+$T100*12-2)/12),$H100,MAX($H100,$G100*(1-2/$T100*(13-MONTH($F100))/12)*(1-2/$T100)^(TahunBuku-YEAR($F100))))),IF($S100="Unit Produksi",$G100-($G100-$H100)*MIN(1,(N($L100)+N($M100))/$K100),$G100))),$G100))</f>
        <v/>
      </c>
      <c r="AF100" s="20" t="str">
        <f>IF($B100="","",IF(OR($S100="Garis Lurus",$S100="Saldo Menurun",$S100="Unit Produksi"),MAX(0,IF($S100="Unit Produksi",TahunBuku*12+12,MIN(TahunBuku*12+12,$Y100+$T100*12-1))-MAX(TahunBuku*12+1,$Y100)+1),0))</f>
        <v/>
      </c>
      <c r="AG100" s="20" t="str">
        <f>IF($B100="","",IF(OR($S100="Garis Lurus",$S100="Saldo Menurun",$S100="Unit Produksi"),MAX(0,MIN($Z100,IF($S100="Unit Produksi",TahunBuku*12+12,MIN(TahunBuku*12+12,$Y100+$T100*12-1)))-MAX(TahunBuku*12+1,$Y100)+1),0))</f>
        <v/>
      </c>
      <c r="AH100" s="21" t="str">
        <f>IF($B100="","",IFERROR(IF($W100="Garis Lurus",$G100*(1-MIN($V100*12,MAX(0,TahunBuku*12-$Y100+1))/($V100*12)),IF($W100="Saldo Menurun",IF(TahunBuku-1&lt;YEAR($F100),$G100,IF(TahunBuku-1&gt;=INT(($Y100+$V100*12-2)/12),0,$G100*(1-2/$V100*(13-MONTH($F100))/12)*(1-2/$V100)^(TahunBuku-1-YEAR($F100)))),$G100)),$G100))</f>
        <v/>
      </c>
      <c r="AI100" s="21" t="str">
        <f>IF($B100="","",IFERROR(IF($W100="Garis Lurus",$G100*(1-MIN($V100*12,MAX(0,TahunBuku*12+12-$Y100+1))/($V100*12)),IF($W100="Saldo Menurun",IF(TahunBuku&lt;YEAR($F100),$G100,IF(TahunBuku&gt;=INT(($Y100+$V100*12-2)/12),0,$G100*(1-2/$V100*(13-MONTH($F100))/12)*(1-2/$V100)^(TahunBuku-YEAR($F100)))),$G100)),$G100))</f>
        <v/>
      </c>
      <c r="AJ100" s="20" t="str">
        <f>IF($B100="","",IF(OR($W100="Garis Lurus",$W100="Saldo Menurun"),MAX(0,MIN(TahunBuku*12+12,$Y100+$V100*12-1)-MAX(TahunBuku*12+1,$Y100)+1),0))</f>
        <v/>
      </c>
      <c r="AK100" s="20" t="str">
        <f>IF($B100="","",IF(OR($W100="Garis Lurus",$W100="Saldo Menurun"),MAX(0,MIN($Z100,TahunBuku*12+12,$Y100+$V100*12-1)-MAX(TahunBuku*12+1,$Y100)+1),0))</f>
        <v/>
      </c>
      <c r="AL100" s="22" t="str">
        <f>IF($B100="","",$G100*$AA100)</f>
        <v/>
      </c>
      <c r="AM100" s="22" t="str">
        <f>IF($B100="","",$G100*$AB100)</f>
        <v/>
      </c>
      <c r="AN100" s="22" t="str">
        <f>IF($B100="","",$G100*$AC100)</f>
        <v/>
      </c>
      <c r="AO100" s="22" t="str">
        <f>IF($B100="","",AL100+AM100-AN100)</f>
        <v/>
      </c>
      <c r="AP100" s="22" t="str">
        <f>IF($B100="","",($G100-$AD100)*$AA100)</f>
        <v/>
      </c>
      <c r="AQ100" s="22" t="str">
        <f>IF($B100="","",IF($AF100=0,0,($AD100-$AE100)*$AG100/$AF100)*MAX($AA100,$AB100))</f>
        <v/>
      </c>
      <c r="AR100" s="22" t="str">
        <f>IF($B100="","",(AP100+AQ100)*$AC100)</f>
        <v/>
      </c>
      <c r="AS100" s="22" t="str">
        <f>IF($B100="","",AP100+AQ100-AR100)</f>
        <v/>
      </c>
      <c r="AT100" s="22" t="str">
        <f>IF($B100="","",AO100-AS100)</f>
        <v/>
      </c>
      <c r="AU100" s="22" t="str">
        <f>IF($B100="","",IF($AC100=1,N($R100)-($G100-AR100),0))</f>
        <v/>
      </c>
      <c r="AV100" s="22" t="str">
        <f>IF($B100="","",($G100-$AH100)*$AA100)</f>
        <v/>
      </c>
      <c r="AW100" s="22" t="str">
        <f>IF($B100="","",IF($AJ100=0,0,($AH100-$AI100)*$AK100/$AJ100)*MAX($AA100,$AB100))</f>
        <v/>
      </c>
      <c r="AX100" s="22" t="str">
        <f>IF($B100="","",(AV100+AW100)*$AC100)</f>
        <v/>
      </c>
      <c r="AY100" s="22" t="str">
        <f>IF($B100="","",AV100+AW100-AX100)</f>
        <v/>
      </c>
      <c r="AZ100" s="22" t="str">
        <f>IF($B100="","",AO100-AY100)</f>
        <v/>
      </c>
      <c r="BA100" s="22" t="str">
        <f>IF($B100="","",IF($AC100=1,N($R100)-($G100-AX100),0))</f>
        <v/>
      </c>
      <c r="BB100" s="22" t="str">
        <f>IF($B100="","",ROUND(AQ100-AW100,0))</f>
        <v/>
      </c>
      <c r="BC100" s="22" t="str">
        <f>IF($B100="","",ROUND(BA100-AU100,0))</f>
        <v/>
      </c>
      <c r="BD100" s="22" t="str">
        <f>IF($B100="","",BB100+BC100)</f>
        <v/>
      </c>
      <c r="BE100" s="22" t="str">
        <f>IF($B100="","",ROUND(AV100-AP100,0))</f>
        <v/>
      </c>
      <c r="BF100" s="22" t="str">
        <f>IF($B100="","",ROUND(AT100-AZ100,0))</f>
        <v/>
      </c>
      <c r="BG100" s="22" t="str">
        <f>IF($B100="","",ROUND(BF100*TarifPPh,0))</f>
        <v/>
      </c>
      <c r="BH100" t="str">
        <f>IF($B100="","",IF($D100="","Kategori kosong",IF($F100="","Tgl perolehan kosong",IF(N($H100)&gt;$G100,"Residu &gt; harga perolehan",IF(AND(LEFT($U100,8)="Bangunan",$W100="Saldo Menurun"),"Bangunan wajib Garis Lurus (Ps.11 UU PPh)",IF(AND($S100="Unit Produksi",N($K100)=0),"Isi kapasitas unit",IF(AND(OR($S100="Garis Lurus",$S100="Saldo Menurun"),N($T100)&lt;=0),"Umur komersial kosong",IF(AND(OR($W100="Garis Lurus",$W100="Saldo Menurun"),N($V100)&lt;=0),"Masa manfaat fiskal kosong",IF(AND($Q100&lt;&gt;"",$Q100&lt;$F100),"Tgl pelepasan &lt; perolehan","OK")))))))))</f>
        <v/>
      </c>
    </row>
    <row r="101" spans="1:60" x14ac:dyDescent="0.25">
      <c r="A101" t="str">
        <f>IF($B101="","",ROW()-6)</f>
        <v/>
      </c>
      <c r="B101" s="9"/>
      <c r="C101" s="9"/>
      <c r="D101" s="9"/>
      <c r="E101" s="9"/>
      <c r="F101" s="17"/>
      <c r="G101" s="18"/>
      <c r="H101" s="18"/>
      <c r="I101" s="9"/>
      <c r="J101" s="9"/>
      <c r="K101" s="19"/>
      <c r="L101" s="19"/>
      <c r="M101" s="19"/>
      <c r="N101" s="9"/>
      <c r="O101" s="9"/>
      <c r="P101" s="9"/>
      <c r="Q101" s="17"/>
      <c r="R101" s="18"/>
      <c r="S101" t="str">
        <f>IF($B101="","",IF($I101&lt;&gt;"",$I101,IFERROR(INDEX(Kat_Metode,MATCH($D101,Kat_Nama,0)),"")))</f>
        <v/>
      </c>
      <c r="T101" t="str">
        <f>IF($B101="","",IF($J101&lt;&gt;"",$J101,IFERROR(INDEX(Kat_Umur,MATCH($D101,Kat_Nama,0)),0)))</f>
        <v/>
      </c>
      <c r="U101" t="str">
        <f>IF($B101="","",IF($N101&lt;&gt;"",$N101,IFERROR(INDEX(Kat_Kelompok,MATCH($D101,Kat_Nama,0)),"")))</f>
        <v/>
      </c>
      <c r="V101" t="str">
        <f>IF($B101="","",IF($U101="Masa Manfaat Sebenarnya",N($O101),IFERROR(INDEX(Kel_Masa,MATCH($U101,Kel_Nama,0)),0)))</f>
        <v/>
      </c>
      <c r="W101" t="str">
        <f>IF($B101="","",IF($P101&lt;&gt;"",$P101,IF(OR($U101="Tidak Disusutkan",$V101=0),"Tidak Disusutkan","Garis Lurus")))</f>
        <v/>
      </c>
      <c r="X101" t="str">
        <f>IF($B101="","",IF($Y101&gt;TahunBuku*12+12,"Belum Diperoleh",IF($Z101&lt;=TahunBuku*12,"Dilepas (thn lalu)",IF($AC101=1,"Dilepas thn ini",IF($AB101=1,"Perolehan baru","Aktif")))))</f>
        <v/>
      </c>
      <c r="Y101" s="20" t="str">
        <f>IF($B101="","",YEAR($F101)*12+MONTH($F101))</f>
        <v/>
      </c>
      <c r="Z101" s="20" t="str">
        <f>IF($B101="","",IF($Q101="",99999,YEAR($Q101)*12+MONTH($Q101)))</f>
        <v/>
      </c>
      <c r="AA101" s="20" t="str">
        <f>IF($B101="","",--AND($Y101&lt;=TahunBuku*12,$Z101&gt;TahunBuku*12))</f>
        <v/>
      </c>
      <c r="AB101" s="20" t="str">
        <f>IF($B101="","",--AND($Y101&gt;TahunBuku*12,$Y101&lt;=TahunBuku*12+12))</f>
        <v/>
      </c>
      <c r="AC101" s="20" t="str">
        <f>IF($B101="","",--AND($Z101&gt;TahunBuku*12,$Z101&lt;=TahunBuku*12+12,$Y101&lt;=$Z101))</f>
        <v/>
      </c>
      <c r="AD101" s="21" t="str">
        <f>IF($B101="","",IFERROR(IF($S101="Garis Lurus",$G101-($G101-$H101)*MIN($T101*12,MAX(0,TahunBuku*12-$Y101+1))/($T101*12),IF($S101="Saldo Menurun",IF(TahunBuku-1&lt;YEAR($F101),$G101,IF(TahunBuku-1&gt;=INT(($Y101+$T101*12-2)/12),$H101,MAX($H101,$G101*(1-2/$T101*(13-MONTH($F101))/12)*(1-2/$T101)^(TahunBuku-1-YEAR($F101))))),IF($S101="Unit Produksi",$G101-($G101-$H101)*MIN(1,N($L101)/$K101),$G101))),$G101))</f>
        <v/>
      </c>
      <c r="AE101" s="21" t="str">
        <f>IF($B101="","",IFERROR(IF($S101="Garis Lurus",$G101-($G101-$H101)*MIN($T101*12,MAX(0,TahunBuku*12+12-$Y101+1))/($T101*12),IF($S101="Saldo Menurun",IF(TahunBuku&lt;YEAR($F101),$G101,IF(TahunBuku&gt;=INT(($Y101+$T101*12-2)/12),$H101,MAX($H101,$G101*(1-2/$T101*(13-MONTH($F101))/12)*(1-2/$T101)^(TahunBuku-YEAR($F101))))),IF($S101="Unit Produksi",$G101-($G101-$H101)*MIN(1,(N($L101)+N($M101))/$K101),$G101))),$G101))</f>
        <v/>
      </c>
      <c r="AF101" s="20" t="str">
        <f>IF($B101="","",IF(OR($S101="Garis Lurus",$S101="Saldo Menurun",$S101="Unit Produksi"),MAX(0,IF($S101="Unit Produksi",TahunBuku*12+12,MIN(TahunBuku*12+12,$Y101+$T101*12-1))-MAX(TahunBuku*12+1,$Y101)+1),0))</f>
        <v/>
      </c>
      <c r="AG101" s="20" t="str">
        <f>IF($B101="","",IF(OR($S101="Garis Lurus",$S101="Saldo Menurun",$S101="Unit Produksi"),MAX(0,MIN($Z101,IF($S101="Unit Produksi",TahunBuku*12+12,MIN(TahunBuku*12+12,$Y101+$T101*12-1)))-MAX(TahunBuku*12+1,$Y101)+1),0))</f>
        <v/>
      </c>
      <c r="AH101" s="21" t="str">
        <f>IF($B101="","",IFERROR(IF($W101="Garis Lurus",$G101*(1-MIN($V101*12,MAX(0,TahunBuku*12-$Y101+1))/($V101*12)),IF($W101="Saldo Menurun",IF(TahunBuku-1&lt;YEAR($F101),$G101,IF(TahunBuku-1&gt;=INT(($Y101+$V101*12-2)/12),0,$G101*(1-2/$V101*(13-MONTH($F101))/12)*(1-2/$V101)^(TahunBuku-1-YEAR($F101)))),$G101)),$G101))</f>
        <v/>
      </c>
      <c r="AI101" s="21" t="str">
        <f>IF($B101="","",IFERROR(IF($W101="Garis Lurus",$G101*(1-MIN($V101*12,MAX(0,TahunBuku*12+12-$Y101+1))/($V101*12)),IF($W101="Saldo Menurun",IF(TahunBuku&lt;YEAR($F101),$G101,IF(TahunBuku&gt;=INT(($Y101+$V101*12-2)/12),0,$G101*(1-2/$V101*(13-MONTH($F101))/12)*(1-2/$V101)^(TahunBuku-YEAR($F101)))),$G101)),$G101))</f>
        <v/>
      </c>
      <c r="AJ101" s="20" t="str">
        <f>IF($B101="","",IF(OR($W101="Garis Lurus",$W101="Saldo Menurun"),MAX(0,MIN(TahunBuku*12+12,$Y101+$V101*12-1)-MAX(TahunBuku*12+1,$Y101)+1),0))</f>
        <v/>
      </c>
      <c r="AK101" s="20" t="str">
        <f>IF($B101="","",IF(OR($W101="Garis Lurus",$W101="Saldo Menurun"),MAX(0,MIN($Z101,TahunBuku*12+12,$Y101+$V101*12-1)-MAX(TahunBuku*12+1,$Y101)+1),0))</f>
        <v/>
      </c>
      <c r="AL101" s="22" t="str">
        <f>IF($B101="","",$G101*$AA101)</f>
        <v/>
      </c>
      <c r="AM101" s="22" t="str">
        <f>IF($B101="","",$G101*$AB101)</f>
        <v/>
      </c>
      <c r="AN101" s="22" t="str">
        <f>IF($B101="","",$G101*$AC101)</f>
        <v/>
      </c>
      <c r="AO101" s="22" t="str">
        <f>IF($B101="","",AL101+AM101-AN101)</f>
        <v/>
      </c>
      <c r="AP101" s="22" t="str">
        <f>IF($B101="","",($G101-$AD101)*$AA101)</f>
        <v/>
      </c>
      <c r="AQ101" s="22" t="str">
        <f>IF($B101="","",IF($AF101=0,0,($AD101-$AE101)*$AG101/$AF101)*MAX($AA101,$AB101))</f>
        <v/>
      </c>
      <c r="AR101" s="22" t="str">
        <f>IF($B101="","",(AP101+AQ101)*$AC101)</f>
        <v/>
      </c>
      <c r="AS101" s="22" t="str">
        <f>IF($B101="","",AP101+AQ101-AR101)</f>
        <v/>
      </c>
      <c r="AT101" s="22" t="str">
        <f>IF($B101="","",AO101-AS101)</f>
        <v/>
      </c>
      <c r="AU101" s="22" t="str">
        <f>IF($B101="","",IF($AC101=1,N($R101)-($G101-AR101),0))</f>
        <v/>
      </c>
      <c r="AV101" s="22" t="str">
        <f>IF($B101="","",($G101-$AH101)*$AA101)</f>
        <v/>
      </c>
      <c r="AW101" s="22" t="str">
        <f>IF($B101="","",IF($AJ101=0,0,($AH101-$AI101)*$AK101/$AJ101)*MAX($AA101,$AB101))</f>
        <v/>
      </c>
      <c r="AX101" s="22" t="str">
        <f>IF($B101="","",(AV101+AW101)*$AC101)</f>
        <v/>
      </c>
      <c r="AY101" s="22" t="str">
        <f>IF($B101="","",AV101+AW101-AX101)</f>
        <v/>
      </c>
      <c r="AZ101" s="22" t="str">
        <f>IF($B101="","",AO101-AY101)</f>
        <v/>
      </c>
      <c r="BA101" s="22" t="str">
        <f>IF($B101="","",IF($AC101=1,N($R101)-($G101-AX101),0))</f>
        <v/>
      </c>
      <c r="BB101" s="22" t="str">
        <f>IF($B101="","",ROUND(AQ101-AW101,0))</f>
        <v/>
      </c>
      <c r="BC101" s="22" t="str">
        <f>IF($B101="","",ROUND(BA101-AU101,0))</f>
        <v/>
      </c>
      <c r="BD101" s="22" t="str">
        <f>IF($B101="","",BB101+BC101)</f>
        <v/>
      </c>
      <c r="BE101" s="22" t="str">
        <f>IF($B101="","",ROUND(AV101-AP101,0))</f>
        <v/>
      </c>
      <c r="BF101" s="22" t="str">
        <f>IF($B101="","",ROUND(AT101-AZ101,0))</f>
        <v/>
      </c>
      <c r="BG101" s="22" t="str">
        <f>IF($B101="","",ROUND(BF101*TarifPPh,0))</f>
        <v/>
      </c>
      <c r="BH101" t="str">
        <f>IF($B101="","",IF($D101="","Kategori kosong",IF($F101="","Tgl perolehan kosong",IF(N($H101)&gt;$G101,"Residu &gt; harga perolehan",IF(AND(LEFT($U101,8)="Bangunan",$W101="Saldo Menurun"),"Bangunan wajib Garis Lurus (Ps.11 UU PPh)",IF(AND($S101="Unit Produksi",N($K101)=0),"Isi kapasitas unit",IF(AND(OR($S101="Garis Lurus",$S101="Saldo Menurun"),N($T101)&lt;=0),"Umur komersial kosong",IF(AND(OR($W101="Garis Lurus",$W101="Saldo Menurun"),N($V101)&lt;=0),"Masa manfaat fiskal kosong",IF(AND($Q101&lt;&gt;"",$Q101&lt;$F101),"Tgl pelepasan &lt; perolehan","OK")))))))))</f>
        <v/>
      </c>
    </row>
    <row r="102" spans="1:60" x14ac:dyDescent="0.25">
      <c r="A102" t="str">
        <f>IF($B102="","",ROW()-6)</f>
        <v/>
      </c>
      <c r="B102" s="9"/>
      <c r="C102" s="9"/>
      <c r="D102" s="9"/>
      <c r="E102" s="9"/>
      <c r="F102" s="17"/>
      <c r="G102" s="18"/>
      <c r="H102" s="18"/>
      <c r="I102" s="9"/>
      <c r="J102" s="9"/>
      <c r="K102" s="19"/>
      <c r="L102" s="19"/>
      <c r="M102" s="19"/>
      <c r="N102" s="9"/>
      <c r="O102" s="9"/>
      <c r="P102" s="9"/>
      <c r="Q102" s="17"/>
      <c r="R102" s="18"/>
      <c r="S102" t="str">
        <f>IF($B102="","",IF($I102&lt;&gt;"",$I102,IFERROR(INDEX(Kat_Metode,MATCH($D102,Kat_Nama,0)),"")))</f>
        <v/>
      </c>
      <c r="T102" t="str">
        <f>IF($B102="","",IF($J102&lt;&gt;"",$J102,IFERROR(INDEX(Kat_Umur,MATCH($D102,Kat_Nama,0)),0)))</f>
        <v/>
      </c>
      <c r="U102" t="str">
        <f>IF($B102="","",IF($N102&lt;&gt;"",$N102,IFERROR(INDEX(Kat_Kelompok,MATCH($D102,Kat_Nama,0)),"")))</f>
        <v/>
      </c>
      <c r="V102" t="str">
        <f>IF($B102="","",IF($U102="Masa Manfaat Sebenarnya",N($O102),IFERROR(INDEX(Kel_Masa,MATCH($U102,Kel_Nama,0)),0)))</f>
        <v/>
      </c>
      <c r="W102" t="str">
        <f>IF($B102="","",IF($P102&lt;&gt;"",$P102,IF(OR($U102="Tidak Disusutkan",$V102=0),"Tidak Disusutkan","Garis Lurus")))</f>
        <v/>
      </c>
      <c r="X102" t="str">
        <f>IF($B102="","",IF($Y102&gt;TahunBuku*12+12,"Belum Diperoleh",IF($Z102&lt;=TahunBuku*12,"Dilepas (thn lalu)",IF($AC102=1,"Dilepas thn ini",IF($AB102=1,"Perolehan baru","Aktif")))))</f>
        <v/>
      </c>
      <c r="Y102" s="20" t="str">
        <f>IF($B102="","",YEAR($F102)*12+MONTH($F102))</f>
        <v/>
      </c>
      <c r="Z102" s="20" t="str">
        <f>IF($B102="","",IF($Q102="",99999,YEAR($Q102)*12+MONTH($Q102)))</f>
        <v/>
      </c>
      <c r="AA102" s="20" t="str">
        <f>IF($B102="","",--AND($Y102&lt;=TahunBuku*12,$Z102&gt;TahunBuku*12))</f>
        <v/>
      </c>
      <c r="AB102" s="20" t="str">
        <f>IF($B102="","",--AND($Y102&gt;TahunBuku*12,$Y102&lt;=TahunBuku*12+12))</f>
        <v/>
      </c>
      <c r="AC102" s="20" t="str">
        <f>IF($B102="","",--AND($Z102&gt;TahunBuku*12,$Z102&lt;=TahunBuku*12+12,$Y102&lt;=$Z102))</f>
        <v/>
      </c>
      <c r="AD102" s="21" t="str">
        <f>IF($B102="","",IFERROR(IF($S102="Garis Lurus",$G102-($G102-$H102)*MIN($T102*12,MAX(0,TahunBuku*12-$Y102+1))/($T102*12),IF($S102="Saldo Menurun",IF(TahunBuku-1&lt;YEAR($F102),$G102,IF(TahunBuku-1&gt;=INT(($Y102+$T102*12-2)/12),$H102,MAX($H102,$G102*(1-2/$T102*(13-MONTH($F102))/12)*(1-2/$T102)^(TahunBuku-1-YEAR($F102))))),IF($S102="Unit Produksi",$G102-($G102-$H102)*MIN(1,N($L102)/$K102),$G102))),$G102))</f>
        <v/>
      </c>
      <c r="AE102" s="21" t="str">
        <f>IF($B102="","",IFERROR(IF($S102="Garis Lurus",$G102-($G102-$H102)*MIN($T102*12,MAX(0,TahunBuku*12+12-$Y102+1))/($T102*12),IF($S102="Saldo Menurun",IF(TahunBuku&lt;YEAR($F102),$G102,IF(TahunBuku&gt;=INT(($Y102+$T102*12-2)/12),$H102,MAX($H102,$G102*(1-2/$T102*(13-MONTH($F102))/12)*(1-2/$T102)^(TahunBuku-YEAR($F102))))),IF($S102="Unit Produksi",$G102-($G102-$H102)*MIN(1,(N($L102)+N($M102))/$K102),$G102))),$G102))</f>
        <v/>
      </c>
      <c r="AF102" s="20" t="str">
        <f>IF($B102="","",IF(OR($S102="Garis Lurus",$S102="Saldo Menurun",$S102="Unit Produksi"),MAX(0,IF($S102="Unit Produksi",TahunBuku*12+12,MIN(TahunBuku*12+12,$Y102+$T102*12-1))-MAX(TahunBuku*12+1,$Y102)+1),0))</f>
        <v/>
      </c>
      <c r="AG102" s="20" t="str">
        <f>IF($B102="","",IF(OR($S102="Garis Lurus",$S102="Saldo Menurun",$S102="Unit Produksi"),MAX(0,MIN($Z102,IF($S102="Unit Produksi",TahunBuku*12+12,MIN(TahunBuku*12+12,$Y102+$T102*12-1)))-MAX(TahunBuku*12+1,$Y102)+1),0))</f>
        <v/>
      </c>
      <c r="AH102" s="21" t="str">
        <f>IF($B102="","",IFERROR(IF($W102="Garis Lurus",$G102*(1-MIN($V102*12,MAX(0,TahunBuku*12-$Y102+1))/($V102*12)),IF($W102="Saldo Menurun",IF(TahunBuku-1&lt;YEAR($F102),$G102,IF(TahunBuku-1&gt;=INT(($Y102+$V102*12-2)/12),0,$G102*(1-2/$V102*(13-MONTH($F102))/12)*(1-2/$V102)^(TahunBuku-1-YEAR($F102)))),$G102)),$G102))</f>
        <v/>
      </c>
      <c r="AI102" s="21" t="str">
        <f>IF($B102="","",IFERROR(IF($W102="Garis Lurus",$G102*(1-MIN($V102*12,MAX(0,TahunBuku*12+12-$Y102+1))/($V102*12)),IF($W102="Saldo Menurun",IF(TahunBuku&lt;YEAR($F102),$G102,IF(TahunBuku&gt;=INT(($Y102+$V102*12-2)/12),0,$G102*(1-2/$V102*(13-MONTH($F102))/12)*(1-2/$V102)^(TahunBuku-YEAR($F102)))),$G102)),$G102))</f>
        <v/>
      </c>
      <c r="AJ102" s="20" t="str">
        <f>IF($B102="","",IF(OR($W102="Garis Lurus",$W102="Saldo Menurun"),MAX(0,MIN(TahunBuku*12+12,$Y102+$V102*12-1)-MAX(TahunBuku*12+1,$Y102)+1),0))</f>
        <v/>
      </c>
      <c r="AK102" s="20" t="str">
        <f>IF($B102="","",IF(OR($W102="Garis Lurus",$W102="Saldo Menurun"),MAX(0,MIN($Z102,TahunBuku*12+12,$Y102+$V102*12-1)-MAX(TahunBuku*12+1,$Y102)+1),0))</f>
        <v/>
      </c>
      <c r="AL102" s="22" t="str">
        <f>IF($B102="","",$G102*$AA102)</f>
        <v/>
      </c>
      <c r="AM102" s="22" t="str">
        <f>IF($B102="","",$G102*$AB102)</f>
        <v/>
      </c>
      <c r="AN102" s="22" t="str">
        <f>IF($B102="","",$G102*$AC102)</f>
        <v/>
      </c>
      <c r="AO102" s="22" t="str">
        <f>IF($B102="","",AL102+AM102-AN102)</f>
        <v/>
      </c>
      <c r="AP102" s="22" t="str">
        <f>IF($B102="","",($G102-$AD102)*$AA102)</f>
        <v/>
      </c>
      <c r="AQ102" s="22" t="str">
        <f>IF($B102="","",IF($AF102=0,0,($AD102-$AE102)*$AG102/$AF102)*MAX($AA102,$AB102))</f>
        <v/>
      </c>
      <c r="AR102" s="22" t="str">
        <f>IF($B102="","",(AP102+AQ102)*$AC102)</f>
        <v/>
      </c>
      <c r="AS102" s="22" t="str">
        <f>IF($B102="","",AP102+AQ102-AR102)</f>
        <v/>
      </c>
      <c r="AT102" s="22" t="str">
        <f>IF($B102="","",AO102-AS102)</f>
        <v/>
      </c>
      <c r="AU102" s="22" t="str">
        <f>IF($B102="","",IF($AC102=1,N($R102)-($G102-AR102),0))</f>
        <v/>
      </c>
      <c r="AV102" s="22" t="str">
        <f>IF($B102="","",($G102-$AH102)*$AA102)</f>
        <v/>
      </c>
      <c r="AW102" s="22" t="str">
        <f>IF($B102="","",IF($AJ102=0,0,($AH102-$AI102)*$AK102/$AJ102)*MAX($AA102,$AB102))</f>
        <v/>
      </c>
      <c r="AX102" s="22" t="str">
        <f>IF($B102="","",(AV102+AW102)*$AC102)</f>
        <v/>
      </c>
      <c r="AY102" s="22" t="str">
        <f>IF($B102="","",AV102+AW102-AX102)</f>
        <v/>
      </c>
      <c r="AZ102" s="22" t="str">
        <f>IF($B102="","",AO102-AY102)</f>
        <v/>
      </c>
      <c r="BA102" s="22" t="str">
        <f>IF($B102="","",IF($AC102=1,N($R102)-($G102-AX102),0))</f>
        <v/>
      </c>
      <c r="BB102" s="22" t="str">
        <f>IF($B102="","",ROUND(AQ102-AW102,0))</f>
        <v/>
      </c>
      <c r="BC102" s="22" t="str">
        <f>IF($B102="","",ROUND(BA102-AU102,0))</f>
        <v/>
      </c>
      <c r="BD102" s="22" t="str">
        <f>IF($B102="","",BB102+BC102)</f>
        <v/>
      </c>
      <c r="BE102" s="22" t="str">
        <f>IF($B102="","",ROUND(AV102-AP102,0))</f>
        <v/>
      </c>
      <c r="BF102" s="22" t="str">
        <f>IF($B102="","",ROUND(AT102-AZ102,0))</f>
        <v/>
      </c>
      <c r="BG102" s="22" t="str">
        <f>IF($B102="","",ROUND(BF102*TarifPPh,0))</f>
        <v/>
      </c>
      <c r="BH102" t="str">
        <f>IF($B102="","",IF($D102="","Kategori kosong",IF($F102="","Tgl perolehan kosong",IF(N($H102)&gt;$G102,"Residu &gt; harga perolehan",IF(AND(LEFT($U102,8)="Bangunan",$W102="Saldo Menurun"),"Bangunan wajib Garis Lurus (Ps.11 UU PPh)",IF(AND($S102="Unit Produksi",N($K102)=0),"Isi kapasitas unit",IF(AND(OR($S102="Garis Lurus",$S102="Saldo Menurun"),N($T102)&lt;=0),"Umur komersial kosong",IF(AND(OR($W102="Garis Lurus",$W102="Saldo Menurun"),N($V102)&lt;=0),"Masa manfaat fiskal kosong",IF(AND($Q102&lt;&gt;"",$Q102&lt;$F102),"Tgl pelepasan &lt; perolehan","OK")))))))))</f>
        <v/>
      </c>
    </row>
    <row r="103" spans="1:60" x14ac:dyDescent="0.25">
      <c r="A103" t="str">
        <f>IF($B103="","",ROW()-6)</f>
        <v/>
      </c>
      <c r="B103" s="9"/>
      <c r="C103" s="9"/>
      <c r="D103" s="9"/>
      <c r="E103" s="9"/>
      <c r="F103" s="17"/>
      <c r="G103" s="18"/>
      <c r="H103" s="18"/>
      <c r="I103" s="9"/>
      <c r="J103" s="9"/>
      <c r="K103" s="19"/>
      <c r="L103" s="19"/>
      <c r="M103" s="19"/>
      <c r="N103" s="9"/>
      <c r="O103" s="9"/>
      <c r="P103" s="9"/>
      <c r="Q103" s="17"/>
      <c r="R103" s="18"/>
      <c r="S103" t="str">
        <f>IF($B103="","",IF($I103&lt;&gt;"",$I103,IFERROR(INDEX(Kat_Metode,MATCH($D103,Kat_Nama,0)),"")))</f>
        <v/>
      </c>
      <c r="T103" t="str">
        <f>IF($B103="","",IF($J103&lt;&gt;"",$J103,IFERROR(INDEX(Kat_Umur,MATCH($D103,Kat_Nama,0)),0)))</f>
        <v/>
      </c>
      <c r="U103" t="str">
        <f>IF($B103="","",IF($N103&lt;&gt;"",$N103,IFERROR(INDEX(Kat_Kelompok,MATCH($D103,Kat_Nama,0)),"")))</f>
        <v/>
      </c>
      <c r="V103" t="str">
        <f>IF($B103="","",IF($U103="Masa Manfaat Sebenarnya",N($O103),IFERROR(INDEX(Kel_Masa,MATCH($U103,Kel_Nama,0)),0)))</f>
        <v/>
      </c>
      <c r="W103" t="str">
        <f>IF($B103="","",IF($P103&lt;&gt;"",$P103,IF(OR($U103="Tidak Disusutkan",$V103=0),"Tidak Disusutkan","Garis Lurus")))</f>
        <v/>
      </c>
      <c r="X103" t="str">
        <f>IF($B103="","",IF($Y103&gt;TahunBuku*12+12,"Belum Diperoleh",IF($Z103&lt;=TahunBuku*12,"Dilepas (thn lalu)",IF($AC103=1,"Dilepas thn ini",IF($AB103=1,"Perolehan baru","Aktif")))))</f>
        <v/>
      </c>
      <c r="Y103" s="20" t="str">
        <f>IF($B103="","",YEAR($F103)*12+MONTH($F103))</f>
        <v/>
      </c>
      <c r="Z103" s="20" t="str">
        <f>IF($B103="","",IF($Q103="",99999,YEAR($Q103)*12+MONTH($Q103)))</f>
        <v/>
      </c>
      <c r="AA103" s="20" t="str">
        <f>IF($B103="","",--AND($Y103&lt;=TahunBuku*12,$Z103&gt;TahunBuku*12))</f>
        <v/>
      </c>
      <c r="AB103" s="20" t="str">
        <f>IF($B103="","",--AND($Y103&gt;TahunBuku*12,$Y103&lt;=TahunBuku*12+12))</f>
        <v/>
      </c>
      <c r="AC103" s="20" t="str">
        <f>IF($B103="","",--AND($Z103&gt;TahunBuku*12,$Z103&lt;=TahunBuku*12+12,$Y103&lt;=$Z103))</f>
        <v/>
      </c>
      <c r="AD103" s="21" t="str">
        <f>IF($B103="","",IFERROR(IF($S103="Garis Lurus",$G103-($G103-$H103)*MIN($T103*12,MAX(0,TahunBuku*12-$Y103+1))/($T103*12),IF($S103="Saldo Menurun",IF(TahunBuku-1&lt;YEAR($F103),$G103,IF(TahunBuku-1&gt;=INT(($Y103+$T103*12-2)/12),$H103,MAX($H103,$G103*(1-2/$T103*(13-MONTH($F103))/12)*(1-2/$T103)^(TahunBuku-1-YEAR($F103))))),IF($S103="Unit Produksi",$G103-($G103-$H103)*MIN(1,N($L103)/$K103),$G103))),$G103))</f>
        <v/>
      </c>
      <c r="AE103" s="21" t="str">
        <f>IF($B103="","",IFERROR(IF($S103="Garis Lurus",$G103-($G103-$H103)*MIN($T103*12,MAX(0,TahunBuku*12+12-$Y103+1))/($T103*12),IF($S103="Saldo Menurun",IF(TahunBuku&lt;YEAR($F103),$G103,IF(TahunBuku&gt;=INT(($Y103+$T103*12-2)/12),$H103,MAX($H103,$G103*(1-2/$T103*(13-MONTH($F103))/12)*(1-2/$T103)^(TahunBuku-YEAR($F103))))),IF($S103="Unit Produksi",$G103-($G103-$H103)*MIN(1,(N($L103)+N($M103))/$K103),$G103))),$G103))</f>
        <v/>
      </c>
      <c r="AF103" s="20" t="str">
        <f>IF($B103="","",IF(OR($S103="Garis Lurus",$S103="Saldo Menurun",$S103="Unit Produksi"),MAX(0,IF($S103="Unit Produksi",TahunBuku*12+12,MIN(TahunBuku*12+12,$Y103+$T103*12-1))-MAX(TahunBuku*12+1,$Y103)+1),0))</f>
        <v/>
      </c>
      <c r="AG103" s="20" t="str">
        <f>IF($B103="","",IF(OR($S103="Garis Lurus",$S103="Saldo Menurun",$S103="Unit Produksi"),MAX(0,MIN($Z103,IF($S103="Unit Produksi",TahunBuku*12+12,MIN(TahunBuku*12+12,$Y103+$T103*12-1)))-MAX(TahunBuku*12+1,$Y103)+1),0))</f>
        <v/>
      </c>
      <c r="AH103" s="21" t="str">
        <f>IF($B103="","",IFERROR(IF($W103="Garis Lurus",$G103*(1-MIN($V103*12,MAX(0,TahunBuku*12-$Y103+1))/($V103*12)),IF($W103="Saldo Menurun",IF(TahunBuku-1&lt;YEAR($F103),$G103,IF(TahunBuku-1&gt;=INT(($Y103+$V103*12-2)/12),0,$G103*(1-2/$V103*(13-MONTH($F103))/12)*(1-2/$V103)^(TahunBuku-1-YEAR($F103)))),$G103)),$G103))</f>
        <v/>
      </c>
      <c r="AI103" s="21" t="str">
        <f>IF($B103="","",IFERROR(IF($W103="Garis Lurus",$G103*(1-MIN($V103*12,MAX(0,TahunBuku*12+12-$Y103+1))/($V103*12)),IF($W103="Saldo Menurun",IF(TahunBuku&lt;YEAR($F103),$G103,IF(TahunBuku&gt;=INT(($Y103+$V103*12-2)/12),0,$G103*(1-2/$V103*(13-MONTH($F103))/12)*(1-2/$V103)^(TahunBuku-YEAR($F103)))),$G103)),$G103))</f>
        <v/>
      </c>
      <c r="AJ103" s="20" t="str">
        <f>IF($B103="","",IF(OR($W103="Garis Lurus",$W103="Saldo Menurun"),MAX(0,MIN(TahunBuku*12+12,$Y103+$V103*12-1)-MAX(TahunBuku*12+1,$Y103)+1),0))</f>
        <v/>
      </c>
      <c r="AK103" s="20" t="str">
        <f>IF($B103="","",IF(OR($W103="Garis Lurus",$W103="Saldo Menurun"),MAX(0,MIN($Z103,TahunBuku*12+12,$Y103+$V103*12-1)-MAX(TahunBuku*12+1,$Y103)+1),0))</f>
        <v/>
      </c>
      <c r="AL103" s="22" t="str">
        <f>IF($B103="","",$G103*$AA103)</f>
        <v/>
      </c>
      <c r="AM103" s="22" t="str">
        <f>IF($B103="","",$G103*$AB103)</f>
        <v/>
      </c>
      <c r="AN103" s="22" t="str">
        <f>IF($B103="","",$G103*$AC103)</f>
        <v/>
      </c>
      <c r="AO103" s="22" t="str">
        <f>IF($B103="","",AL103+AM103-AN103)</f>
        <v/>
      </c>
      <c r="AP103" s="22" t="str">
        <f>IF($B103="","",($G103-$AD103)*$AA103)</f>
        <v/>
      </c>
      <c r="AQ103" s="22" t="str">
        <f>IF($B103="","",IF($AF103=0,0,($AD103-$AE103)*$AG103/$AF103)*MAX($AA103,$AB103))</f>
        <v/>
      </c>
      <c r="AR103" s="22" t="str">
        <f>IF($B103="","",(AP103+AQ103)*$AC103)</f>
        <v/>
      </c>
      <c r="AS103" s="22" t="str">
        <f>IF($B103="","",AP103+AQ103-AR103)</f>
        <v/>
      </c>
      <c r="AT103" s="22" t="str">
        <f>IF($B103="","",AO103-AS103)</f>
        <v/>
      </c>
      <c r="AU103" s="22" t="str">
        <f>IF($B103="","",IF($AC103=1,N($R103)-($G103-AR103),0))</f>
        <v/>
      </c>
      <c r="AV103" s="22" t="str">
        <f>IF($B103="","",($G103-$AH103)*$AA103)</f>
        <v/>
      </c>
      <c r="AW103" s="22" t="str">
        <f>IF($B103="","",IF($AJ103=0,0,($AH103-$AI103)*$AK103/$AJ103)*MAX($AA103,$AB103))</f>
        <v/>
      </c>
      <c r="AX103" s="22" t="str">
        <f>IF($B103="","",(AV103+AW103)*$AC103)</f>
        <v/>
      </c>
      <c r="AY103" s="22" t="str">
        <f>IF($B103="","",AV103+AW103-AX103)</f>
        <v/>
      </c>
      <c r="AZ103" s="22" t="str">
        <f>IF($B103="","",AO103-AY103)</f>
        <v/>
      </c>
      <c r="BA103" s="22" t="str">
        <f>IF($B103="","",IF($AC103=1,N($R103)-($G103-AX103),0))</f>
        <v/>
      </c>
      <c r="BB103" s="22" t="str">
        <f>IF($B103="","",ROUND(AQ103-AW103,0))</f>
        <v/>
      </c>
      <c r="BC103" s="22" t="str">
        <f>IF($B103="","",ROUND(BA103-AU103,0))</f>
        <v/>
      </c>
      <c r="BD103" s="22" t="str">
        <f>IF($B103="","",BB103+BC103)</f>
        <v/>
      </c>
      <c r="BE103" s="22" t="str">
        <f>IF($B103="","",ROUND(AV103-AP103,0))</f>
        <v/>
      </c>
      <c r="BF103" s="22" t="str">
        <f>IF($B103="","",ROUND(AT103-AZ103,0))</f>
        <v/>
      </c>
      <c r="BG103" s="22" t="str">
        <f>IF($B103="","",ROUND(BF103*TarifPPh,0))</f>
        <v/>
      </c>
      <c r="BH103" t="str">
        <f>IF($B103="","",IF($D103="","Kategori kosong",IF($F103="","Tgl perolehan kosong",IF(N($H103)&gt;$G103,"Residu &gt; harga perolehan",IF(AND(LEFT($U103,8)="Bangunan",$W103="Saldo Menurun"),"Bangunan wajib Garis Lurus (Ps.11 UU PPh)",IF(AND($S103="Unit Produksi",N($K103)=0),"Isi kapasitas unit",IF(AND(OR($S103="Garis Lurus",$S103="Saldo Menurun"),N($T103)&lt;=0),"Umur komersial kosong",IF(AND(OR($W103="Garis Lurus",$W103="Saldo Menurun"),N($V103)&lt;=0),"Masa manfaat fiskal kosong",IF(AND($Q103&lt;&gt;"",$Q103&lt;$F103),"Tgl pelepasan &lt; perolehan","OK")))))))))</f>
        <v/>
      </c>
    </row>
    <row r="104" spans="1:60" x14ac:dyDescent="0.25">
      <c r="A104" t="str">
        <f>IF($B104="","",ROW()-6)</f>
        <v/>
      </c>
      <c r="B104" s="9"/>
      <c r="C104" s="9"/>
      <c r="D104" s="9"/>
      <c r="E104" s="9"/>
      <c r="F104" s="17"/>
      <c r="G104" s="18"/>
      <c r="H104" s="18"/>
      <c r="I104" s="9"/>
      <c r="J104" s="9"/>
      <c r="K104" s="19"/>
      <c r="L104" s="19"/>
      <c r="M104" s="19"/>
      <c r="N104" s="9"/>
      <c r="O104" s="9"/>
      <c r="P104" s="9"/>
      <c r="Q104" s="17"/>
      <c r="R104" s="18"/>
      <c r="S104" t="str">
        <f>IF($B104="","",IF($I104&lt;&gt;"",$I104,IFERROR(INDEX(Kat_Metode,MATCH($D104,Kat_Nama,0)),"")))</f>
        <v/>
      </c>
      <c r="T104" t="str">
        <f>IF($B104="","",IF($J104&lt;&gt;"",$J104,IFERROR(INDEX(Kat_Umur,MATCH($D104,Kat_Nama,0)),0)))</f>
        <v/>
      </c>
      <c r="U104" t="str">
        <f>IF($B104="","",IF($N104&lt;&gt;"",$N104,IFERROR(INDEX(Kat_Kelompok,MATCH($D104,Kat_Nama,0)),"")))</f>
        <v/>
      </c>
      <c r="V104" t="str">
        <f>IF($B104="","",IF($U104="Masa Manfaat Sebenarnya",N($O104),IFERROR(INDEX(Kel_Masa,MATCH($U104,Kel_Nama,0)),0)))</f>
        <v/>
      </c>
      <c r="W104" t="str">
        <f>IF($B104="","",IF($P104&lt;&gt;"",$P104,IF(OR($U104="Tidak Disusutkan",$V104=0),"Tidak Disusutkan","Garis Lurus")))</f>
        <v/>
      </c>
      <c r="X104" t="str">
        <f>IF($B104="","",IF($Y104&gt;TahunBuku*12+12,"Belum Diperoleh",IF($Z104&lt;=TahunBuku*12,"Dilepas (thn lalu)",IF($AC104=1,"Dilepas thn ini",IF($AB104=1,"Perolehan baru","Aktif")))))</f>
        <v/>
      </c>
      <c r="Y104" s="20" t="str">
        <f>IF($B104="","",YEAR($F104)*12+MONTH($F104))</f>
        <v/>
      </c>
      <c r="Z104" s="20" t="str">
        <f>IF($B104="","",IF($Q104="",99999,YEAR($Q104)*12+MONTH($Q104)))</f>
        <v/>
      </c>
      <c r="AA104" s="20" t="str">
        <f>IF($B104="","",--AND($Y104&lt;=TahunBuku*12,$Z104&gt;TahunBuku*12))</f>
        <v/>
      </c>
      <c r="AB104" s="20" t="str">
        <f>IF($B104="","",--AND($Y104&gt;TahunBuku*12,$Y104&lt;=TahunBuku*12+12))</f>
        <v/>
      </c>
      <c r="AC104" s="20" t="str">
        <f>IF($B104="","",--AND($Z104&gt;TahunBuku*12,$Z104&lt;=TahunBuku*12+12,$Y104&lt;=$Z104))</f>
        <v/>
      </c>
      <c r="AD104" s="21" t="str">
        <f>IF($B104="","",IFERROR(IF($S104="Garis Lurus",$G104-($G104-$H104)*MIN($T104*12,MAX(0,TahunBuku*12-$Y104+1))/($T104*12),IF($S104="Saldo Menurun",IF(TahunBuku-1&lt;YEAR($F104),$G104,IF(TahunBuku-1&gt;=INT(($Y104+$T104*12-2)/12),$H104,MAX($H104,$G104*(1-2/$T104*(13-MONTH($F104))/12)*(1-2/$T104)^(TahunBuku-1-YEAR($F104))))),IF($S104="Unit Produksi",$G104-($G104-$H104)*MIN(1,N($L104)/$K104),$G104))),$G104))</f>
        <v/>
      </c>
      <c r="AE104" s="21" t="str">
        <f>IF($B104="","",IFERROR(IF($S104="Garis Lurus",$G104-($G104-$H104)*MIN($T104*12,MAX(0,TahunBuku*12+12-$Y104+1))/($T104*12),IF($S104="Saldo Menurun",IF(TahunBuku&lt;YEAR($F104),$G104,IF(TahunBuku&gt;=INT(($Y104+$T104*12-2)/12),$H104,MAX($H104,$G104*(1-2/$T104*(13-MONTH($F104))/12)*(1-2/$T104)^(TahunBuku-YEAR($F104))))),IF($S104="Unit Produksi",$G104-($G104-$H104)*MIN(1,(N($L104)+N($M104))/$K104),$G104))),$G104))</f>
        <v/>
      </c>
      <c r="AF104" s="20" t="str">
        <f>IF($B104="","",IF(OR($S104="Garis Lurus",$S104="Saldo Menurun",$S104="Unit Produksi"),MAX(0,IF($S104="Unit Produksi",TahunBuku*12+12,MIN(TahunBuku*12+12,$Y104+$T104*12-1))-MAX(TahunBuku*12+1,$Y104)+1),0))</f>
        <v/>
      </c>
      <c r="AG104" s="20" t="str">
        <f>IF($B104="","",IF(OR($S104="Garis Lurus",$S104="Saldo Menurun",$S104="Unit Produksi"),MAX(0,MIN($Z104,IF($S104="Unit Produksi",TahunBuku*12+12,MIN(TahunBuku*12+12,$Y104+$T104*12-1)))-MAX(TahunBuku*12+1,$Y104)+1),0))</f>
        <v/>
      </c>
      <c r="AH104" s="21" t="str">
        <f>IF($B104="","",IFERROR(IF($W104="Garis Lurus",$G104*(1-MIN($V104*12,MAX(0,TahunBuku*12-$Y104+1))/($V104*12)),IF($W104="Saldo Menurun",IF(TahunBuku-1&lt;YEAR($F104),$G104,IF(TahunBuku-1&gt;=INT(($Y104+$V104*12-2)/12),0,$G104*(1-2/$V104*(13-MONTH($F104))/12)*(1-2/$V104)^(TahunBuku-1-YEAR($F104)))),$G104)),$G104))</f>
        <v/>
      </c>
      <c r="AI104" s="21" t="str">
        <f>IF($B104="","",IFERROR(IF($W104="Garis Lurus",$G104*(1-MIN($V104*12,MAX(0,TahunBuku*12+12-$Y104+1))/($V104*12)),IF($W104="Saldo Menurun",IF(TahunBuku&lt;YEAR($F104),$G104,IF(TahunBuku&gt;=INT(($Y104+$V104*12-2)/12),0,$G104*(1-2/$V104*(13-MONTH($F104))/12)*(1-2/$V104)^(TahunBuku-YEAR($F104)))),$G104)),$G104))</f>
        <v/>
      </c>
      <c r="AJ104" s="20" t="str">
        <f>IF($B104="","",IF(OR($W104="Garis Lurus",$W104="Saldo Menurun"),MAX(0,MIN(TahunBuku*12+12,$Y104+$V104*12-1)-MAX(TahunBuku*12+1,$Y104)+1),0))</f>
        <v/>
      </c>
      <c r="AK104" s="20" t="str">
        <f>IF($B104="","",IF(OR($W104="Garis Lurus",$W104="Saldo Menurun"),MAX(0,MIN($Z104,TahunBuku*12+12,$Y104+$V104*12-1)-MAX(TahunBuku*12+1,$Y104)+1),0))</f>
        <v/>
      </c>
      <c r="AL104" s="22" t="str">
        <f>IF($B104="","",$G104*$AA104)</f>
        <v/>
      </c>
      <c r="AM104" s="22" t="str">
        <f>IF($B104="","",$G104*$AB104)</f>
        <v/>
      </c>
      <c r="AN104" s="22" t="str">
        <f>IF($B104="","",$G104*$AC104)</f>
        <v/>
      </c>
      <c r="AO104" s="22" t="str">
        <f>IF($B104="","",AL104+AM104-AN104)</f>
        <v/>
      </c>
      <c r="AP104" s="22" t="str">
        <f>IF($B104="","",($G104-$AD104)*$AA104)</f>
        <v/>
      </c>
      <c r="AQ104" s="22" t="str">
        <f>IF($B104="","",IF($AF104=0,0,($AD104-$AE104)*$AG104/$AF104)*MAX($AA104,$AB104))</f>
        <v/>
      </c>
      <c r="AR104" s="22" t="str">
        <f>IF($B104="","",(AP104+AQ104)*$AC104)</f>
        <v/>
      </c>
      <c r="AS104" s="22" t="str">
        <f>IF($B104="","",AP104+AQ104-AR104)</f>
        <v/>
      </c>
      <c r="AT104" s="22" t="str">
        <f>IF($B104="","",AO104-AS104)</f>
        <v/>
      </c>
      <c r="AU104" s="22" t="str">
        <f>IF($B104="","",IF($AC104=1,N($R104)-($G104-AR104),0))</f>
        <v/>
      </c>
      <c r="AV104" s="22" t="str">
        <f>IF($B104="","",($G104-$AH104)*$AA104)</f>
        <v/>
      </c>
      <c r="AW104" s="22" t="str">
        <f>IF($B104="","",IF($AJ104=0,0,($AH104-$AI104)*$AK104/$AJ104)*MAX($AA104,$AB104))</f>
        <v/>
      </c>
      <c r="AX104" s="22" t="str">
        <f>IF($B104="","",(AV104+AW104)*$AC104)</f>
        <v/>
      </c>
      <c r="AY104" s="22" t="str">
        <f>IF($B104="","",AV104+AW104-AX104)</f>
        <v/>
      </c>
      <c r="AZ104" s="22" t="str">
        <f>IF($B104="","",AO104-AY104)</f>
        <v/>
      </c>
      <c r="BA104" s="22" t="str">
        <f>IF($B104="","",IF($AC104=1,N($R104)-($G104-AX104),0))</f>
        <v/>
      </c>
      <c r="BB104" s="22" t="str">
        <f>IF($B104="","",ROUND(AQ104-AW104,0))</f>
        <v/>
      </c>
      <c r="BC104" s="22" t="str">
        <f>IF($B104="","",ROUND(BA104-AU104,0))</f>
        <v/>
      </c>
      <c r="BD104" s="22" t="str">
        <f>IF($B104="","",BB104+BC104)</f>
        <v/>
      </c>
      <c r="BE104" s="22" t="str">
        <f>IF($B104="","",ROUND(AV104-AP104,0))</f>
        <v/>
      </c>
      <c r="BF104" s="22" t="str">
        <f>IF($B104="","",ROUND(AT104-AZ104,0))</f>
        <v/>
      </c>
      <c r="BG104" s="22" t="str">
        <f>IF($B104="","",ROUND(BF104*TarifPPh,0))</f>
        <v/>
      </c>
      <c r="BH104" t="str">
        <f>IF($B104="","",IF($D104="","Kategori kosong",IF($F104="","Tgl perolehan kosong",IF(N($H104)&gt;$G104,"Residu &gt; harga perolehan",IF(AND(LEFT($U104,8)="Bangunan",$W104="Saldo Menurun"),"Bangunan wajib Garis Lurus (Ps.11 UU PPh)",IF(AND($S104="Unit Produksi",N($K104)=0),"Isi kapasitas unit",IF(AND(OR($S104="Garis Lurus",$S104="Saldo Menurun"),N($T104)&lt;=0),"Umur komersial kosong",IF(AND(OR($W104="Garis Lurus",$W104="Saldo Menurun"),N($V104)&lt;=0),"Masa manfaat fiskal kosong",IF(AND($Q104&lt;&gt;"",$Q104&lt;$F104),"Tgl pelepasan &lt; perolehan","OK")))))))))</f>
        <v/>
      </c>
    </row>
    <row r="105" spans="1:60" x14ac:dyDescent="0.25">
      <c r="A105" t="str">
        <f>IF($B105="","",ROW()-6)</f>
        <v/>
      </c>
      <c r="B105" s="9"/>
      <c r="C105" s="9"/>
      <c r="D105" s="9"/>
      <c r="E105" s="9"/>
      <c r="F105" s="17"/>
      <c r="G105" s="18"/>
      <c r="H105" s="18"/>
      <c r="I105" s="9"/>
      <c r="J105" s="9"/>
      <c r="K105" s="19"/>
      <c r="L105" s="19"/>
      <c r="M105" s="19"/>
      <c r="N105" s="9"/>
      <c r="O105" s="9"/>
      <c r="P105" s="9"/>
      <c r="Q105" s="17"/>
      <c r="R105" s="18"/>
      <c r="S105" t="str">
        <f>IF($B105="","",IF($I105&lt;&gt;"",$I105,IFERROR(INDEX(Kat_Metode,MATCH($D105,Kat_Nama,0)),"")))</f>
        <v/>
      </c>
      <c r="T105" t="str">
        <f>IF($B105="","",IF($J105&lt;&gt;"",$J105,IFERROR(INDEX(Kat_Umur,MATCH($D105,Kat_Nama,0)),0)))</f>
        <v/>
      </c>
      <c r="U105" t="str">
        <f>IF($B105="","",IF($N105&lt;&gt;"",$N105,IFERROR(INDEX(Kat_Kelompok,MATCH($D105,Kat_Nama,0)),"")))</f>
        <v/>
      </c>
      <c r="V105" t="str">
        <f>IF($B105="","",IF($U105="Masa Manfaat Sebenarnya",N($O105),IFERROR(INDEX(Kel_Masa,MATCH($U105,Kel_Nama,0)),0)))</f>
        <v/>
      </c>
      <c r="W105" t="str">
        <f>IF($B105="","",IF($P105&lt;&gt;"",$P105,IF(OR($U105="Tidak Disusutkan",$V105=0),"Tidak Disusutkan","Garis Lurus")))</f>
        <v/>
      </c>
      <c r="X105" t="str">
        <f>IF($B105="","",IF($Y105&gt;TahunBuku*12+12,"Belum Diperoleh",IF($Z105&lt;=TahunBuku*12,"Dilepas (thn lalu)",IF($AC105=1,"Dilepas thn ini",IF($AB105=1,"Perolehan baru","Aktif")))))</f>
        <v/>
      </c>
      <c r="Y105" s="20" t="str">
        <f>IF($B105="","",YEAR($F105)*12+MONTH($F105))</f>
        <v/>
      </c>
      <c r="Z105" s="20" t="str">
        <f>IF($B105="","",IF($Q105="",99999,YEAR($Q105)*12+MONTH($Q105)))</f>
        <v/>
      </c>
      <c r="AA105" s="20" t="str">
        <f>IF($B105="","",--AND($Y105&lt;=TahunBuku*12,$Z105&gt;TahunBuku*12))</f>
        <v/>
      </c>
      <c r="AB105" s="20" t="str">
        <f>IF($B105="","",--AND($Y105&gt;TahunBuku*12,$Y105&lt;=TahunBuku*12+12))</f>
        <v/>
      </c>
      <c r="AC105" s="20" t="str">
        <f>IF($B105="","",--AND($Z105&gt;TahunBuku*12,$Z105&lt;=TahunBuku*12+12,$Y105&lt;=$Z105))</f>
        <v/>
      </c>
      <c r="AD105" s="21" t="str">
        <f>IF($B105="","",IFERROR(IF($S105="Garis Lurus",$G105-($G105-$H105)*MIN($T105*12,MAX(0,TahunBuku*12-$Y105+1))/($T105*12),IF($S105="Saldo Menurun",IF(TahunBuku-1&lt;YEAR($F105),$G105,IF(TahunBuku-1&gt;=INT(($Y105+$T105*12-2)/12),$H105,MAX($H105,$G105*(1-2/$T105*(13-MONTH($F105))/12)*(1-2/$T105)^(TahunBuku-1-YEAR($F105))))),IF($S105="Unit Produksi",$G105-($G105-$H105)*MIN(1,N($L105)/$K105),$G105))),$G105))</f>
        <v/>
      </c>
      <c r="AE105" s="21" t="str">
        <f>IF($B105="","",IFERROR(IF($S105="Garis Lurus",$G105-($G105-$H105)*MIN($T105*12,MAX(0,TahunBuku*12+12-$Y105+1))/($T105*12),IF($S105="Saldo Menurun",IF(TahunBuku&lt;YEAR($F105),$G105,IF(TahunBuku&gt;=INT(($Y105+$T105*12-2)/12),$H105,MAX($H105,$G105*(1-2/$T105*(13-MONTH($F105))/12)*(1-2/$T105)^(TahunBuku-YEAR($F105))))),IF($S105="Unit Produksi",$G105-($G105-$H105)*MIN(1,(N($L105)+N($M105))/$K105),$G105))),$G105))</f>
        <v/>
      </c>
      <c r="AF105" s="20" t="str">
        <f>IF($B105="","",IF(OR($S105="Garis Lurus",$S105="Saldo Menurun",$S105="Unit Produksi"),MAX(0,IF($S105="Unit Produksi",TahunBuku*12+12,MIN(TahunBuku*12+12,$Y105+$T105*12-1))-MAX(TahunBuku*12+1,$Y105)+1),0))</f>
        <v/>
      </c>
      <c r="AG105" s="20" t="str">
        <f>IF($B105="","",IF(OR($S105="Garis Lurus",$S105="Saldo Menurun",$S105="Unit Produksi"),MAX(0,MIN($Z105,IF($S105="Unit Produksi",TahunBuku*12+12,MIN(TahunBuku*12+12,$Y105+$T105*12-1)))-MAX(TahunBuku*12+1,$Y105)+1),0))</f>
        <v/>
      </c>
      <c r="AH105" s="21" t="str">
        <f>IF($B105="","",IFERROR(IF($W105="Garis Lurus",$G105*(1-MIN($V105*12,MAX(0,TahunBuku*12-$Y105+1))/($V105*12)),IF($W105="Saldo Menurun",IF(TahunBuku-1&lt;YEAR($F105),$G105,IF(TahunBuku-1&gt;=INT(($Y105+$V105*12-2)/12),0,$G105*(1-2/$V105*(13-MONTH($F105))/12)*(1-2/$V105)^(TahunBuku-1-YEAR($F105)))),$G105)),$G105))</f>
        <v/>
      </c>
      <c r="AI105" s="21" t="str">
        <f>IF($B105="","",IFERROR(IF($W105="Garis Lurus",$G105*(1-MIN($V105*12,MAX(0,TahunBuku*12+12-$Y105+1))/($V105*12)),IF($W105="Saldo Menurun",IF(TahunBuku&lt;YEAR($F105),$G105,IF(TahunBuku&gt;=INT(($Y105+$V105*12-2)/12),0,$G105*(1-2/$V105*(13-MONTH($F105))/12)*(1-2/$V105)^(TahunBuku-YEAR($F105)))),$G105)),$G105))</f>
        <v/>
      </c>
      <c r="AJ105" s="20" t="str">
        <f>IF($B105="","",IF(OR($W105="Garis Lurus",$W105="Saldo Menurun"),MAX(0,MIN(TahunBuku*12+12,$Y105+$V105*12-1)-MAX(TahunBuku*12+1,$Y105)+1),0))</f>
        <v/>
      </c>
      <c r="AK105" s="20" t="str">
        <f>IF($B105="","",IF(OR($W105="Garis Lurus",$W105="Saldo Menurun"),MAX(0,MIN($Z105,TahunBuku*12+12,$Y105+$V105*12-1)-MAX(TahunBuku*12+1,$Y105)+1),0))</f>
        <v/>
      </c>
      <c r="AL105" s="22" t="str">
        <f>IF($B105="","",$G105*$AA105)</f>
        <v/>
      </c>
      <c r="AM105" s="22" t="str">
        <f>IF($B105="","",$G105*$AB105)</f>
        <v/>
      </c>
      <c r="AN105" s="22" t="str">
        <f>IF($B105="","",$G105*$AC105)</f>
        <v/>
      </c>
      <c r="AO105" s="22" t="str">
        <f>IF($B105="","",AL105+AM105-AN105)</f>
        <v/>
      </c>
      <c r="AP105" s="22" t="str">
        <f>IF($B105="","",($G105-$AD105)*$AA105)</f>
        <v/>
      </c>
      <c r="AQ105" s="22" t="str">
        <f>IF($B105="","",IF($AF105=0,0,($AD105-$AE105)*$AG105/$AF105)*MAX($AA105,$AB105))</f>
        <v/>
      </c>
      <c r="AR105" s="22" t="str">
        <f>IF($B105="","",(AP105+AQ105)*$AC105)</f>
        <v/>
      </c>
      <c r="AS105" s="22" t="str">
        <f>IF($B105="","",AP105+AQ105-AR105)</f>
        <v/>
      </c>
      <c r="AT105" s="22" t="str">
        <f>IF($B105="","",AO105-AS105)</f>
        <v/>
      </c>
      <c r="AU105" s="22" t="str">
        <f>IF($B105="","",IF($AC105=1,N($R105)-($G105-AR105),0))</f>
        <v/>
      </c>
      <c r="AV105" s="22" t="str">
        <f>IF($B105="","",($G105-$AH105)*$AA105)</f>
        <v/>
      </c>
      <c r="AW105" s="22" t="str">
        <f>IF($B105="","",IF($AJ105=0,0,($AH105-$AI105)*$AK105/$AJ105)*MAX($AA105,$AB105))</f>
        <v/>
      </c>
      <c r="AX105" s="22" t="str">
        <f>IF($B105="","",(AV105+AW105)*$AC105)</f>
        <v/>
      </c>
      <c r="AY105" s="22" t="str">
        <f>IF($B105="","",AV105+AW105-AX105)</f>
        <v/>
      </c>
      <c r="AZ105" s="22" t="str">
        <f>IF($B105="","",AO105-AY105)</f>
        <v/>
      </c>
      <c r="BA105" s="22" t="str">
        <f>IF($B105="","",IF($AC105=1,N($R105)-($G105-AX105),0))</f>
        <v/>
      </c>
      <c r="BB105" s="22" t="str">
        <f>IF($B105="","",ROUND(AQ105-AW105,0))</f>
        <v/>
      </c>
      <c r="BC105" s="22" t="str">
        <f>IF($B105="","",ROUND(BA105-AU105,0))</f>
        <v/>
      </c>
      <c r="BD105" s="22" t="str">
        <f>IF($B105="","",BB105+BC105)</f>
        <v/>
      </c>
      <c r="BE105" s="22" t="str">
        <f>IF($B105="","",ROUND(AV105-AP105,0))</f>
        <v/>
      </c>
      <c r="BF105" s="22" t="str">
        <f>IF($B105="","",ROUND(AT105-AZ105,0))</f>
        <v/>
      </c>
      <c r="BG105" s="22" t="str">
        <f>IF($B105="","",ROUND(BF105*TarifPPh,0))</f>
        <v/>
      </c>
      <c r="BH105" t="str">
        <f>IF($B105="","",IF($D105="","Kategori kosong",IF($F105="","Tgl perolehan kosong",IF(N($H105)&gt;$G105,"Residu &gt; harga perolehan",IF(AND(LEFT($U105,8)="Bangunan",$W105="Saldo Menurun"),"Bangunan wajib Garis Lurus (Ps.11 UU PPh)",IF(AND($S105="Unit Produksi",N($K105)=0),"Isi kapasitas unit",IF(AND(OR($S105="Garis Lurus",$S105="Saldo Menurun"),N($T105)&lt;=0),"Umur komersial kosong",IF(AND(OR($W105="Garis Lurus",$W105="Saldo Menurun"),N($V105)&lt;=0),"Masa manfaat fiskal kosong",IF(AND($Q105&lt;&gt;"",$Q105&lt;$F105),"Tgl pelepasan &lt; perolehan","OK")))))))))</f>
        <v/>
      </c>
    </row>
    <row r="106" spans="1:60" x14ac:dyDescent="0.25">
      <c r="A106" t="str">
        <f>IF($B106="","",ROW()-6)</f>
        <v/>
      </c>
      <c r="B106" s="9"/>
      <c r="C106" s="9"/>
      <c r="D106" s="9"/>
      <c r="E106" s="9"/>
      <c r="F106" s="17"/>
      <c r="G106" s="18"/>
      <c r="H106" s="18"/>
      <c r="I106" s="9"/>
      <c r="J106" s="9"/>
      <c r="K106" s="19"/>
      <c r="L106" s="19"/>
      <c r="M106" s="19"/>
      <c r="N106" s="9"/>
      <c r="O106" s="9"/>
      <c r="P106" s="9"/>
      <c r="Q106" s="17"/>
      <c r="R106" s="18"/>
      <c r="S106" t="str">
        <f>IF($B106="","",IF($I106&lt;&gt;"",$I106,IFERROR(INDEX(Kat_Metode,MATCH($D106,Kat_Nama,0)),"")))</f>
        <v/>
      </c>
      <c r="T106" t="str">
        <f>IF($B106="","",IF($J106&lt;&gt;"",$J106,IFERROR(INDEX(Kat_Umur,MATCH($D106,Kat_Nama,0)),0)))</f>
        <v/>
      </c>
      <c r="U106" t="str">
        <f>IF($B106="","",IF($N106&lt;&gt;"",$N106,IFERROR(INDEX(Kat_Kelompok,MATCH($D106,Kat_Nama,0)),"")))</f>
        <v/>
      </c>
      <c r="V106" t="str">
        <f>IF($B106="","",IF($U106="Masa Manfaat Sebenarnya",N($O106),IFERROR(INDEX(Kel_Masa,MATCH($U106,Kel_Nama,0)),0)))</f>
        <v/>
      </c>
      <c r="W106" t="str">
        <f>IF($B106="","",IF($P106&lt;&gt;"",$P106,IF(OR($U106="Tidak Disusutkan",$V106=0),"Tidak Disusutkan","Garis Lurus")))</f>
        <v/>
      </c>
      <c r="X106" t="str">
        <f>IF($B106="","",IF($Y106&gt;TahunBuku*12+12,"Belum Diperoleh",IF($Z106&lt;=TahunBuku*12,"Dilepas (thn lalu)",IF($AC106=1,"Dilepas thn ini",IF($AB106=1,"Perolehan baru","Aktif")))))</f>
        <v/>
      </c>
      <c r="Y106" s="20" t="str">
        <f>IF($B106="","",YEAR($F106)*12+MONTH($F106))</f>
        <v/>
      </c>
      <c r="Z106" s="20" t="str">
        <f>IF($B106="","",IF($Q106="",99999,YEAR($Q106)*12+MONTH($Q106)))</f>
        <v/>
      </c>
      <c r="AA106" s="20" t="str">
        <f>IF($B106="","",--AND($Y106&lt;=TahunBuku*12,$Z106&gt;TahunBuku*12))</f>
        <v/>
      </c>
      <c r="AB106" s="20" t="str">
        <f>IF($B106="","",--AND($Y106&gt;TahunBuku*12,$Y106&lt;=TahunBuku*12+12))</f>
        <v/>
      </c>
      <c r="AC106" s="20" t="str">
        <f>IF($B106="","",--AND($Z106&gt;TahunBuku*12,$Z106&lt;=TahunBuku*12+12,$Y106&lt;=$Z106))</f>
        <v/>
      </c>
      <c r="AD106" s="21" t="str">
        <f>IF($B106="","",IFERROR(IF($S106="Garis Lurus",$G106-($G106-$H106)*MIN($T106*12,MAX(0,TahunBuku*12-$Y106+1))/($T106*12),IF($S106="Saldo Menurun",IF(TahunBuku-1&lt;YEAR($F106),$G106,IF(TahunBuku-1&gt;=INT(($Y106+$T106*12-2)/12),$H106,MAX($H106,$G106*(1-2/$T106*(13-MONTH($F106))/12)*(1-2/$T106)^(TahunBuku-1-YEAR($F106))))),IF($S106="Unit Produksi",$G106-($G106-$H106)*MIN(1,N($L106)/$K106),$G106))),$G106))</f>
        <v/>
      </c>
      <c r="AE106" s="21" t="str">
        <f>IF($B106="","",IFERROR(IF($S106="Garis Lurus",$G106-($G106-$H106)*MIN($T106*12,MAX(0,TahunBuku*12+12-$Y106+1))/($T106*12),IF($S106="Saldo Menurun",IF(TahunBuku&lt;YEAR($F106),$G106,IF(TahunBuku&gt;=INT(($Y106+$T106*12-2)/12),$H106,MAX($H106,$G106*(1-2/$T106*(13-MONTH($F106))/12)*(1-2/$T106)^(TahunBuku-YEAR($F106))))),IF($S106="Unit Produksi",$G106-($G106-$H106)*MIN(1,(N($L106)+N($M106))/$K106),$G106))),$G106))</f>
        <v/>
      </c>
      <c r="AF106" s="20" t="str">
        <f>IF($B106="","",IF(OR($S106="Garis Lurus",$S106="Saldo Menurun",$S106="Unit Produksi"),MAX(0,IF($S106="Unit Produksi",TahunBuku*12+12,MIN(TahunBuku*12+12,$Y106+$T106*12-1))-MAX(TahunBuku*12+1,$Y106)+1),0))</f>
        <v/>
      </c>
      <c r="AG106" s="20" t="str">
        <f>IF($B106="","",IF(OR($S106="Garis Lurus",$S106="Saldo Menurun",$S106="Unit Produksi"),MAX(0,MIN($Z106,IF($S106="Unit Produksi",TahunBuku*12+12,MIN(TahunBuku*12+12,$Y106+$T106*12-1)))-MAX(TahunBuku*12+1,$Y106)+1),0))</f>
        <v/>
      </c>
      <c r="AH106" s="21" t="str">
        <f>IF($B106="","",IFERROR(IF($W106="Garis Lurus",$G106*(1-MIN($V106*12,MAX(0,TahunBuku*12-$Y106+1))/($V106*12)),IF($W106="Saldo Menurun",IF(TahunBuku-1&lt;YEAR($F106),$G106,IF(TahunBuku-1&gt;=INT(($Y106+$V106*12-2)/12),0,$G106*(1-2/$V106*(13-MONTH($F106))/12)*(1-2/$V106)^(TahunBuku-1-YEAR($F106)))),$G106)),$G106))</f>
        <v/>
      </c>
      <c r="AI106" s="21" t="str">
        <f>IF($B106="","",IFERROR(IF($W106="Garis Lurus",$G106*(1-MIN($V106*12,MAX(0,TahunBuku*12+12-$Y106+1))/($V106*12)),IF($W106="Saldo Menurun",IF(TahunBuku&lt;YEAR($F106),$G106,IF(TahunBuku&gt;=INT(($Y106+$V106*12-2)/12),0,$G106*(1-2/$V106*(13-MONTH($F106))/12)*(1-2/$V106)^(TahunBuku-YEAR($F106)))),$G106)),$G106))</f>
        <v/>
      </c>
      <c r="AJ106" s="20" t="str">
        <f>IF($B106="","",IF(OR($W106="Garis Lurus",$W106="Saldo Menurun"),MAX(0,MIN(TahunBuku*12+12,$Y106+$V106*12-1)-MAX(TahunBuku*12+1,$Y106)+1),0))</f>
        <v/>
      </c>
      <c r="AK106" s="20" t="str">
        <f>IF($B106="","",IF(OR($W106="Garis Lurus",$W106="Saldo Menurun"),MAX(0,MIN($Z106,TahunBuku*12+12,$Y106+$V106*12-1)-MAX(TahunBuku*12+1,$Y106)+1),0))</f>
        <v/>
      </c>
      <c r="AL106" s="22" t="str">
        <f>IF($B106="","",$G106*$AA106)</f>
        <v/>
      </c>
      <c r="AM106" s="22" t="str">
        <f>IF($B106="","",$G106*$AB106)</f>
        <v/>
      </c>
      <c r="AN106" s="22" t="str">
        <f>IF($B106="","",$G106*$AC106)</f>
        <v/>
      </c>
      <c r="AO106" s="22" t="str">
        <f>IF($B106="","",AL106+AM106-AN106)</f>
        <v/>
      </c>
      <c r="AP106" s="22" t="str">
        <f>IF($B106="","",($G106-$AD106)*$AA106)</f>
        <v/>
      </c>
      <c r="AQ106" s="22" t="str">
        <f>IF($B106="","",IF($AF106=0,0,($AD106-$AE106)*$AG106/$AF106)*MAX($AA106,$AB106))</f>
        <v/>
      </c>
      <c r="AR106" s="22" t="str">
        <f>IF($B106="","",(AP106+AQ106)*$AC106)</f>
        <v/>
      </c>
      <c r="AS106" s="22" t="str">
        <f>IF($B106="","",AP106+AQ106-AR106)</f>
        <v/>
      </c>
      <c r="AT106" s="22" t="str">
        <f>IF($B106="","",AO106-AS106)</f>
        <v/>
      </c>
      <c r="AU106" s="22" t="str">
        <f>IF($B106="","",IF($AC106=1,N($R106)-($G106-AR106),0))</f>
        <v/>
      </c>
      <c r="AV106" s="22" t="str">
        <f>IF($B106="","",($G106-$AH106)*$AA106)</f>
        <v/>
      </c>
      <c r="AW106" s="22" t="str">
        <f>IF($B106="","",IF($AJ106=0,0,($AH106-$AI106)*$AK106/$AJ106)*MAX($AA106,$AB106))</f>
        <v/>
      </c>
      <c r="AX106" s="22" t="str">
        <f>IF($B106="","",(AV106+AW106)*$AC106)</f>
        <v/>
      </c>
      <c r="AY106" s="22" t="str">
        <f>IF($B106="","",AV106+AW106-AX106)</f>
        <v/>
      </c>
      <c r="AZ106" s="22" t="str">
        <f>IF($B106="","",AO106-AY106)</f>
        <v/>
      </c>
      <c r="BA106" s="22" t="str">
        <f>IF($B106="","",IF($AC106=1,N($R106)-($G106-AX106),0))</f>
        <v/>
      </c>
      <c r="BB106" s="22" t="str">
        <f>IF($B106="","",ROUND(AQ106-AW106,0))</f>
        <v/>
      </c>
      <c r="BC106" s="22" t="str">
        <f>IF($B106="","",ROUND(BA106-AU106,0))</f>
        <v/>
      </c>
      <c r="BD106" s="22" t="str">
        <f>IF($B106="","",BB106+BC106)</f>
        <v/>
      </c>
      <c r="BE106" s="22" t="str">
        <f>IF($B106="","",ROUND(AV106-AP106,0))</f>
        <v/>
      </c>
      <c r="BF106" s="22" t="str">
        <f>IF($B106="","",ROUND(AT106-AZ106,0))</f>
        <v/>
      </c>
      <c r="BG106" s="22" t="str">
        <f>IF($B106="","",ROUND(BF106*TarifPPh,0))</f>
        <v/>
      </c>
      <c r="BH106" t="str">
        <f>IF($B106="","",IF($D106="","Kategori kosong",IF($F106="","Tgl perolehan kosong",IF(N($H106)&gt;$G106,"Residu &gt; harga perolehan",IF(AND(LEFT($U106,8)="Bangunan",$W106="Saldo Menurun"),"Bangunan wajib Garis Lurus (Ps.11 UU PPh)",IF(AND($S106="Unit Produksi",N($K106)=0),"Isi kapasitas unit",IF(AND(OR($S106="Garis Lurus",$S106="Saldo Menurun"),N($T106)&lt;=0),"Umur komersial kosong",IF(AND(OR($W106="Garis Lurus",$W106="Saldo Menurun"),N($V106)&lt;=0),"Masa manfaat fiskal kosong",IF(AND($Q106&lt;&gt;"",$Q106&lt;$F106),"Tgl pelepasan &lt; perolehan","OK")))))))))</f>
        <v/>
      </c>
    </row>
    <row r="107" spans="1:60" x14ac:dyDescent="0.25">
      <c r="A107" t="str">
        <f>IF($B107="","",ROW()-6)</f>
        <v/>
      </c>
      <c r="B107" s="9"/>
      <c r="C107" s="9"/>
      <c r="D107" s="9"/>
      <c r="E107" s="9"/>
      <c r="F107" s="17"/>
      <c r="G107" s="18"/>
      <c r="H107" s="18"/>
      <c r="I107" s="9"/>
      <c r="J107" s="9"/>
      <c r="K107" s="19"/>
      <c r="L107" s="19"/>
      <c r="M107" s="19"/>
      <c r="N107" s="9"/>
      <c r="O107" s="9"/>
      <c r="P107" s="9"/>
      <c r="Q107" s="17"/>
      <c r="R107" s="18"/>
      <c r="S107" t="str">
        <f>IF($B107="","",IF($I107&lt;&gt;"",$I107,IFERROR(INDEX(Kat_Metode,MATCH($D107,Kat_Nama,0)),"")))</f>
        <v/>
      </c>
      <c r="T107" t="str">
        <f>IF($B107="","",IF($J107&lt;&gt;"",$J107,IFERROR(INDEX(Kat_Umur,MATCH($D107,Kat_Nama,0)),0)))</f>
        <v/>
      </c>
      <c r="U107" t="str">
        <f>IF($B107="","",IF($N107&lt;&gt;"",$N107,IFERROR(INDEX(Kat_Kelompok,MATCH($D107,Kat_Nama,0)),"")))</f>
        <v/>
      </c>
      <c r="V107" t="str">
        <f>IF($B107="","",IF($U107="Masa Manfaat Sebenarnya",N($O107),IFERROR(INDEX(Kel_Masa,MATCH($U107,Kel_Nama,0)),0)))</f>
        <v/>
      </c>
      <c r="W107" t="str">
        <f>IF($B107="","",IF($P107&lt;&gt;"",$P107,IF(OR($U107="Tidak Disusutkan",$V107=0),"Tidak Disusutkan","Garis Lurus")))</f>
        <v/>
      </c>
      <c r="X107" t="str">
        <f>IF($B107="","",IF($Y107&gt;TahunBuku*12+12,"Belum Diperoleh",IF($Z107&lt;=TahunBuku*12,"Dilepas (thn lalu)",IF($AC107=1,"Dilepas thn ini",IF($AB107=1,"Perolehan baru","Aktif")))))</f>
        <v/>
      </c>
      <c r="Y107" s="20" t="str">
        <f>IF($B107="","",YEAR($F107)*12+MONTH($F107))</f>
        <v/>
      </c>
      <c r="Z107" s="20" t="str">
        <f>IF($B107="","",IF($Q107="",99999,YEAR($Q107)*12+MONTH($Q107)))</f>
        <v/>
      </c>
      <c r="AA107" s="20" t="str">
        <f>IF($B107="","",--AND($Y107&lt;=TahunBuku*12,$Z107&gt;TahunBuku*12))</f>
        <v/>
      </c>
      <c r="AB107" s="20" t="str">
        <f>IF($B107="","",--AND($Y107&gt;TahunBuku*12,$Y107&lt;=TahunBuku*12+12))</f>
        <v/>
      </c>
      <c r="AC107" s="20" t="str">
        <f>IF($B107="","",--AND($Z107&gt;TahunBuku*12,$Z107&lt;=TahunBuku*12+12,$Y107&lt;=$Z107))</f>
        <v/>
      </c>
      <c r="AD107" s="21" t="str">
        <f>IF($B107="","",IFERROR(IF($S107="Garis Lurus",$G107-($G107-$H107)*MIN($T107*12,MAX(0,TahunBuku*12-$Y107+1))/($T107*12),IF($S107="Saldo Menurun",IF(TahunBuku-1&lt;YEAR($F107),$G107,IF(TahunBuku-1&gt;=INT(($Y107+$T107*12-2)/12),$H107,MAX($H107,$G107*(1-2/$T107*(13-MONTH($F107))/12)*(1-2/$T107)^(TahunBuku-1-YEAR($F107))))),IF($S107="Unit Produksi",$G107-($G107-$H107)*MIN(1,N($L107)/$K107),$G107))),$G107))</f>
        <v/>
      </c>
      <c r="AE107" s="21" t="str">
        <f>IF($B107="","",IFERROR(IF($S107="Garis Lurus",$G107-($G107-$H107)*MIN($T107*12,MAX(0,TahunBuku*12+12-$Y107+1))/($T107*12),IF($S107="Saldo Menurun",IF(TahunBuku&lt;YEAR($F107),$G107,IF(TahunBuku&gt;=INT(($Y107+$T107*12-2)/12),$H107,MAX($H107,$G107*(1-2/$T107*(13-MONTH($F107))/12)*(1-2/$T107)^(TahunBuku-YEAR($F107))))),IF($S107="Unit Produksi",$G107-($G107-$H107)*MIN(1,(N($L107)+N($M107))/$K107),$G107))),$G107))</f>
        <v/>
      </c>
      <c r="AF107" s="20" t="str">
        <f>IF($B107="","",IF(OR($S107="Garis Lurus",$S107="Saldo Menurun",$S107="Unit Produksi"),MAX(0,IF($S107="Unit Produksi",TahunBuku*12+12,MIN(TahunBuku*12+12,$Y107+$T107*12-1))-MAX(TahunBuku*12+1,$Y107)+1),0))</f>
        <v/>
      </c>
      <c r="AG107" s="20" t="str">
        <f>IF($B107="","",IF(OR($S107="Garis Lurus",$S107="Saldo Menurun",$S107="Unit Produksi"),MAX(0,MIN($Z107,IF($S107="Unit Produksi",TahunBuku*12+12,MIN(TahunBuku*12+12,$Y107+$T107*12-1)))-MAX(TahunBuku*12+1,$Y107)+1),0))</f>
        <v/>
      </c>
      <c r="AH107" s="21" t="str">
        <f>IF($B107="","",IFERROR(IF($W107="Garis Lurus",$G107*(1-MIN($V107*12,MAX(0,TahunBuku*12-$Y107+1))/($V107*12)),IF($W107="Saldo Menurun",IF(TahunBuku-1&lt;YEAR($F107),$G107,IF(TahunBuku-1&gt;=INT(($Y107+$V107*12-2)/12),0,$G107*(1-2/$V107*(13-MONTH($F107))/12)*(1-2/$V107)^(TahunBuku-1-YEAR($F107)))),$G107)),$G107))</f>
        <v/>
      </c>
      <c r="AI107" s="21" t="str">
        <f>IF($B107="","",IFERROR(IF($W107="Garis Lurus",$G107*(1-MIN($V107*12,MAX(0,TahunBuku*12+12-$Y107+1))/($V107*12)),IF($W107="Saldo Menurun",IF(TahunBuku&lt;YEAR($F107),$G107,IF(TahunBuku&gt;=INT(($Y107+$V107*12-2)/12),0,$G107*(1-2/$V107*(13-MONTH($F107))/12)*(1-2/$V107)^(TahunBuku-YEAR($F107)))),$G107)),$G107))</f>
        <v/>
      </c>
      <c r="AJ107" s="20" t="str">
        <f>IF($B107="","",IF(OR($W107="Garis Lurus",$W107="Saldo Menurun"),MAX(0,MIN(TahunBuku*12+12,$Y107+$V107*12-1)-MAX(TahunBuku*12+1,$Y107)+1),0))</f>
        <v/>
      </c>
      <c r="AK107" s="20" t="str">
        <f>IF($B107="","",IF(OR($W107="Garis Lurus",$W107="Saldo Menurun"),MAX(0,MIN($Z107,TahunBuku*12+12,$Y107+$V107*12-1)-MAX(TahunBuku*12+1,$Y107)+1),0))</f>
        <v/>
      </c>
      <c r="AL107" s="22" t="str">
        <f>IF($B107="","",$G107*$AA107)</f>
        <v/>
      </c>
      <c r="AM107" s="22" t="str">
        <f>IF($B107="","",$G107*$AB107)</f>
        <v/>
      </c>
      <c r="AN107" s="22" t="str">
        <f>IF($B107="","",$G107*$AC107)</f>
        <v/>
      </c>
      <c r="AO107" s="22" t="str">
        <f>IF($B107="","",AL107+AM107-AN107)</f>
        <v/>
      </c>
      <c r="AP107" s="22" t="str">
        <f>IF($B107="","",($G107-$AD107)*$AA107)</f>
        <v/>
      </c>
      <c r="AQ107" s="22" t="str">
        <f>IF($B107="","",IF($AF107=0,0,($AD107-$AE107)*$AG107/$AF107)*MAX($AA107,$AB107))</f>
        <v/>
      </c>
      <c r="AR107" s="22" t="str">
        <f>IF($B107="","",(AP107+AQ107)*$AC107)</f>
        <v/>
      </c>
      <c r="AS107" s="22" t="str">
        <f>IF($B107="","",AP107+AQ107-AR107)</f>
        <v/>
      </c>
      <c r="AT107" s="22" t="str">
        <f>IF($B107="","",AO107-AS107)</f>
        <v/>
      </c>
      <c r="AU107" s="22" t="str">
        <f>IF($B107="","",IF($AC107=1,N($R107)-($G107-AR107),0))</f>
        <v/>
      </c>
      <c r="AV107" s="22" t="str">
        <f>IF($B107="","",($G107-$AH107)*$AA107)</f>
        <v/>
      </c>
      <c r="AW107" s="22" t="str">
        <f>IF($B107="","",IF($AJ107=0,0,($AH107-$AI107)*$AK107/$AJ107)*MAX($AA107,$AB107))</f>
        <v/>
      </c>
      <c r="AX107" s="22" t="str">
        <f>IF($B107="","",(AV107+AW107)*$AC107)</f>
        <v/>
      </c>
      <c r="AY107" s="22" t="str">
        <f>IF($B107="","",AV107+AW107-AX107)</f>
        <v/>
      </c>
      <c r="AZ107" s="22" t="str">
        <f>IF($B107="","",AO107-AY107)</f>
        <v/>
      </c>
      <c r="BA107" s="22" t="str">
        <f>IF($B107="","",IF($AC107=1,N($R107)-($G107-AX107),0))</f>
        <v/>
      </c>
      <c r="BB107" s="22" t="str">
        <f>IF($B107="","",ROUND(AQ107-AW107,0))</f>
        <v/>
      </c>
      <c r="BC107" s="22" t="str">
        <f>IF($B107="","",ROUND(BA107-AU107,0))</f>
        <v/>
      </c>
      <c r="BD107" s="22" t="str">
        <f>IF($B107="","",BB107+BC107)</f>
        <v/>
      </c>
      <c r="BE107" s="22" t="str">
        <f>IF($B107="","",ROUND(AV107-AP107,0))</f>
        <v/>
      </c>
      <c r="BF107" s="22" t="str">
        <f>IF($B107="","",ROUND(AT107-AZ107,0))</f>
        <v/>
      </c>
      <c r="BG107" s="22" t="str">
        <f>IF($B107="","",ROUND(BF107*TarifPPh,0))</f>
        <v/>
      </c>
      <c r="BH107" t="str">
        <f>IF($B107="","",IF($D107="","Kategori kosong",IF($F107="","Tgl perolehan kosong",IF(N($H107)&gt;$G107,"Residu &gt; harga perolehan",IF(AND(LEFT($U107,8)="Bangunan",$W107="Saldo Menurun"),"Bangunan wajib Garis Lurus (Ps.11 UU PPh)",IF(AND($S107="Unit Produksi",N($K107)=0),"Isi kapasitas unit",IF(AND(OR($S107="Garis Lurus",$S107="Saldo Menurun"),N($T107)&lt;=0),"Umur komersial kosong",IF(AND(OR($W107="Garis Lurus",$W107="Saldo Menurun"),N($V107)&lt;=0),"Masa manfaat fiskal kosong",IF(AND($Q107&lt;&gt;"",$Q107&lt;$F107),"Tgl pelepasan &lt; perolehan","OK")))))))))</f>
        <v/>
      </c>
    </row>
    <row r="108" spans="1:60" x14ac:dyDescent="0.25">
      <c r="A108" t="str">
        <f>IF($B108="","",ROW()-6)</f>
        <v/>
      </c>
      <c r="B108" s="9"/>
      <c r="C108" s="9"/>
      <c r="D108" s="9"/>
      <c r="E108" s="9"/>
      <c r="F108" s="17"/>
      <c r="G108" s="18"/>
      <c r="H108" s="18"/>
      <c r="I108" s="9"/>
      <c r="J108" s="9"/>
      <c r="K108" s="19"/>
      <c r="L108" s="19"/>
      <c r="M108" s="19"/>
      <c r="N108" s="9"/>
      <c r="O108" s="9"/>
      <c r="P108" s="9"/>
      <c r="Q108" s="17"/>
      <c r="R108" s="18"/>
      <c r="S108" t="str">
        <f>IF($B108="","",IF($I108&lt;&gt;"",$I108,IFERROR(INDEX(Kat_Metode,MATCH($D108,Kat_Nama,0)),"")))</f>
        <v/>
      </c>
      <c r="T108" t="str">
        <f>IF($B108="","",IF($J108&lt;&gt;"",$J108,IFERROR(INDEX(Kat_Umur,MATCH($D108,Kat_Nama,0)),0)))</f>
        <v/>
      </c>
      <c r="U108" t="str">
        <f>IF($B108="","",IF($N108&lt;&gt;"",$N108,IFERROR(INDEX(Kat_Kelompok,MATCH($D108,Kat_Nama,0)),"")))</f>
        <v/>
      </c>
      <c r="V108" t="str">
        <f>IF($B108="","",IF($U108="Masa Manfaat Sebenarnya",N($O108),IFERROR(INDEX(Kel_Masa,MATCH($U108,Kel_Nama,0)),0)))</f>
        <v/>
      </c>
      <c r="W108" t="str">
        <f>IF($B108="","",IF($P108&lt;&gt;"",$P108,IF(OR($U108="Tidak Disusutkan",$V108=0),"Tidak Disusutkan","Garis Lurus")))</f>
        <v/>
      </c>
      <c r="X108" t="str">
        <f>IF($B108="","",IF($Y108&gt;TahunBuku*12+12,"Belum Diperoleh",IF($Z108&lt;=TahunBuku*12,"Dilepas (thn lalu)",IF($AC108=1,"Dilepas thn ini",IF($AB108=1,"Perolehan baru","Aktif")))))</f>
        <v/>
      </c>
      <c r="Y108" s="20" t="str">
        <f>IF($B108="","",YEAR($F108)*12+MONTH($F108))</f>
        <v/>
      </c>
      <c r="Z108" s="20" t="str">
        <f>IF($B108="","",IF($Q108="",99999,YEAR($Q108)*12+MONTH($Q108)))</f>
        <v/>
      </c>
      <c r="AA108" s="20" t="str">
        <f>IF($B108="","",--AND($Y108&lt;=TahunBuku*12,$Z108&gt;TahunBuku*12))</f>
        <v/>
      </c>
      <c r="AB108" s="20" t="str">
        <f>IF($B108="","",--AND($Y108&gt;TahunBuku*12,$Y108&lt;=TahunBuku*12+12))</f>
        <v/>
      </c>
      <c r="AC108" s="20" t="str">
        <f>IF($B108="","",--AND($Z108&gt;TahunBuku*12,$Z108&lt;=TahunBuku*12+12,$Y108&lt;=$Z108))</f>
        <v/>
      </c>
      <c r="AD108" s="21" t="str">
        <f>IF($B108="","",IFERROR(IF($S108="Garis Lurus",$G108-($G108-$H108)*MIN($T108*12,MAX(0,TahunBuku*12-$Y108+1))/($T108*12),IF($S108="Saldo Menurun",IF(TahunBuku-1&lt;YEAR($F108),$G108,IF(TahunBuku-1&gt;=INT(($Y108+$T108*12-2)/12),$H108,MAX($H108,$G108*(1-2/$T108*(13-MONTH($F108))/12)*(1-2/$T108)^(TahunBuku-1-YEAR($F108))))),IF($S108="Unit Produksi",$G108-($G108-$H108)*MIN(1,N($L108)/$K108),$G108))),$G108))</f>
        <v/>
      </c>
      <c r="AE108" s="21" t="str">
        <f>IF($B108="","",IFERROR(IF($S108="Garis Lurus",$G108-($G108-$H108)*MIN($T108*12,MAX(0,TahunBuku*12+12-$Y108+1))/($T108*12),IF($S108="Saldo Menurun",IF(TahunBuku&lt;YEAR($F108),$G108,IF(TahunBuku&gt;=INT(($Y108+$T108*12-2)/12),$H108,MAX($H108,$G108*(1-2/$T108*(13-MONTH($F108))/12)*(1-2/$T108)^(TahunBuku-YEAR($F108))))),IF($S108="Unit Produksi",$G108-($G108-$H108)*MIN(1,(N($L108)+N($M108))/$K108),$G108))),$G108))</f>
        <v/>
      </c>
      <c r="AF108" s="20" t="str">
        <f>IF($B108="","",IF(OR($S108="Garis Lurus",$S108="Saldo Menurun",$S108="Unit Produksi"),MAX(0,IF($S108="Unit Produksi",TahunBuku*12+12,MIN(TahunBuku*12+12,$Y108+$T108*12-1))-MAX(TahunBuku*12+1,$Y108)+1),0))</f>
        <v/>
      </c>
      <c r="AG108" s="20" t="str">
        <f>IF($B108="","",IF(OR($S108="Garis Lurus",$S108="Saldo Menurun",$S108="Unit Produksi"),MAX(0,MIN($Z108,IF($S108="Unit Produksi",TahunBuku*12+12,MIN(TahunBuku*12+12,$Y108+$T108*12-1)))-MAX(TahunBuku*12+1,$Y108)+1),0))</f>
        <v/>
      </c>
      <c r="AH108" s="21" t="str">
        <f>IF($B108="","",IFERROR(IF($W108="Garis Lurus",$G108*(1-MIN($V108*12,MAX(0,TahunBuku*12-$Y108+1))/($V108*12)),IF($W108="Saldo Menurun",IF(TahunBuku-1&lt;YEAR($F108),$G108,IF(TahunBuku-1&gt;=INT(($Y108+$V108*12-2)/12),0,$G108*(1-2/$V108*(13-MONTH($F108))/12)*(1-2/$V108)^(TahunBuku-1-YEAR($F108)))),$G108)),$G108))</f>
        <v/>
      </c>
      <c r="AI108" s="21" t="str">
        <f>IF($B108="","",IFERROR(IF($W108="Garis Lurus",$G108*(1-MIN($V108*12,MAX(0,TahunBuku*12+12-$Y108+1))/($V108*12)),IF($W108="Saldo Menurun",IF(TahunBuku&lt;YEAR($F108),$G108,IF(TahunBuku&gt;=INT(($Y108+$V108*12-2)/12),0,$G108*(1-2/$V108*(13-MONTH($F108))/12)*(1-2/$V108)^(TahunBuku-YEAR($F108)))),$G108)),$G108))</f>
        <v/>
      </c>
      <c r="AJ108" s="20" t="str">
        <f>IF($B108="","",IF(OR($W108="Garis Lurus",$W108="Saldo Menurun"),MAX(0,MIN(TahunBuku*12+12,$Y108+$V108*12-1)-MAX(TahunBuku*12+1,$Y108)+1),0))</f>
        <v/>
      </c>
      <c r="AK108" s="20" t="str">
        <f>IF($B108="","",IF(OR($W108="Garis Lurus",$W108="Saldo Menurun"),MAX(0,MIN($Z108,TahunBuku*12+12,$Y108+$V108*12-1)-MAX(TahunBuku*12+1,$Y108)+1),0))</f>
        <v/>
      </c>
      <c r="AL108" s="22" t="str">
        <f>IF($B108="","",$G108*$AA108)</f>
        <v/>
      </c>
      <c r="AM108" s="22" t="str">
        <f>IF($B108="","",$G108*$AB108)</f>
        <v/>
      </c>
      <c r="AN108" s="22" t="str">
        <f>IF($B108="","",$G108*$AC108)</f>
        <v/>
      </c>
      <c r="AO108" s="22" t="str">
        <f>IF($B108="","",AL108+AM108-AN108)</f>
        <v/>
      </c>
      <c r="AP108" s="22" t="str">
        <f>IF($B108="","",($G108-$AD108)*$AA108)</f>
        <v/>
      </c>
      <c r="AQ108" s="22" t="str">
        <f>IF($B108="","",IF($AF108=0,0,($AD108-$AE108)*$AG108/$AF108)*MAX($AA108,$AB108))</f>
        <v/>
      </c>
      <c r="AR108" s="22" t="str">
        <f>IF($B108="","",(AP108+AQ108)*$AC108)</f>
        <v/>
      </c>
      <c r="AS108" s="22" t="str">
        <f>IF($B108="","",AP108+AQ108-AR108)</f>
        <v/>
      </c>
      <c r="AT108" s="22" t="str">
        <f>IF($B108="","",AO108-AS108)</f>
        <v/>
      </c>
      <c r="AU108" s="22" t="str">
        <f>IF($B108="","",IF($AC108=1,N($R108)-($G108-AR108),0))</f>
        <v/>
      </c>
      <c r="AV108" s="22" t="str">
        <f>IF($B108="","",($G108-$AH108)*$AA108)</f>
        <v/>
      </c>
      <c r="AW108" s="22" t="str">
        <f>IF($B108="","",IF($AJ108=0,0,($AH108-$AI108)*$AK108/$AJ108)*MAX($AA108,$AB108))</f>
        <v/>
      </c>
      <c r="AX108" s="22" t="str">
        <f>IF($B108="","",(AV108+AW108)*$AC108)</f>
        <v/>
      </c>
      <c r="AY108" s="22" t="str">
        <f>IF($B108="","",AV108+AW108-AX108)</f>
        <v/>
      </c>
      <c r="AZ108" s="22" t="str">
        <f>IF($B108="","",AO108-AY108)</f>
        <v/>
      </c>
      <c r="BA108" s="22" t="str">
        <f>IF($B108="","",IF($AC108=1,N($R108)-($G108-AX108),0))</f>
        <v/>
      </c>
      <c r="BB108" s="22" t="str">
        <f>IF($B108="","",ROUND(AQ108-AW108,0))</f>
        <v/>
      </c>
      <c r="BC108" s="22" t="str">
        <f>IF($B108="","",ROUND(BA108-AU108,0))</f>
        <v/>
      </c>
      <c r="BD108" s="22" t="str">
        <f>IF($B108="","",BB108+BC108)</f>
        <v/>
      </c>
      <c r="BE108" s="22" t="str">
        <f>IF($B108="","",ROUND(AV108-AP108,0))</f>
        <v/>
      </c>
      <c r="BF108" s="22" t="str">
        <f>IF($B108="","",ROUND(AT108-AZ108,0))</f>
        <v/>
      </c>
      <c r="BG108" s="22" t="str">
        <f>IF($B108="","",ROUND(BF108*TarifPPh,0))</f>
        <v/>
      </c>
      <c r="BH108" t="str">
        <f>IF($B108="","",IF($D108="","Kategori kosong",IF($F108="","Tgl perolehan kosong",IF(N($H108)&gt;$G108,"Residu &gt; harga perolehan",IF(AND(LEFT($U108,8)="Bangunan",$W108="Saldo Menurun"),"Bangunan wajib Garis Lurus (Ps.11 UU PPh)",IF(AND($S108="Unit Produksi",N($K108)=0),"Isi kapasitas unit",IF(AND(OR($S108="Garis Lurus",$S108="Saldo Menurun"),N($T108)&lt;=0),"Umur komersial kosong",IF(AND(OR($W108="Garis Lurus",$W108="Saldo Menurun"),N($V108)&lt;=0),"Masa manfaat fiskal kosong",IF(AND($Q108&lt;&gt;"",$Q108&lt;$F108),"Tgl pelepasan &lt; perolehan","OK")))))))))</f>
        <v/>
      </c>
    </row>
    <row r="109" spans="1:60" x14ac:dyDescent="0.25">
      <c r="A109" t="str">
        <f>IF($B109="","",ROW()-6)</f>
        <v/>
      </c>
      <c r="B109" s="9"/>
      <c r="C109" s="9"/>
      <c r="D109" s="9"/>
      <c r="E109" s="9"/>
      <c r="F109" s="17"/>
      <c r="G109" s="18"/>
      <c r="H109" s="18"/>
      <c r="I109" s="9"/>
      <c r="J109" s="9"/>
      <c r="K109" s="19"/>
      <c r="L109" s="19"/>
      <c r="M109" s="19"/>
      <c r="N109" s="9"/>
      <c r="O109" s="9"/>
      <c r="P109" s="9"/>
      <c r="Q109" s="17"/>
      <c r="R109" s="18"/>
      <c r="S109" t="str">
        <f>IF($B109="","",IF($I109&lt;&gt;"",$I109,IFERROR(INDEX(Kat_Metode,MATCH($D109,Kat_Nama,0)),"")))</f>
        <v/>
      </c>
      <c r="T109" t="str">
        <f>IF($B109="","",IF($J109&lt;&gt;"",$J109,IFERROR(INDEX(Kat_Umur,MATCH($D109,Kat_Nama,0)),0)))</f>
        <v/>
      </c>
      <c r="U109" t="str">
        <f>IF($B109="","",IF($N109&lt;&gt;"",$N109,IFERROR(INDEX(Kat_Kelompok,MATCH($D109,Kat_Nama,0)),"")))</f>
        <v/>
      </c>
      <c r="V109" t="str">
        <f>IF($B109="","",IF($U109="Masa Manfaat Sebenarnya",N($O109),IFERROR(INDEX(Kel_Masa,MATCH($U109,Kel_Nama,0)),0)))</f>
        <v/>
      </c>
      <c r="W109" t="str">
        <f>IF($B109="","",IF($P109&lt;&gt;"",$P109,IF(OR($U109="Tidak Disusutkan",$V109=0),"Tidak Disusutkan","Garis Lurus")))</f>
        <v/>
      </c>
      <c r="X109" t="str">
        <f>IF($B109="","",IF($Y109&gt;TahunBuku*12+12,"Belum Diperoleh",IF($Z109&lt;=TahunBuku*12,"Dilepas (thn lalu)",IF($AC109=1,"Dilepas thn ini",IF($AB109=1,"Perolehan baru","Aktif")))))</f>
        <v/>
      </c>
      <c r="Y109" s="20" t="str">
        <f>IF($B109="","",YEAR($F109)*12+MONTH($F109))</f>
        <v/>
      </c>
      <c r="Z109" s="20" t="str">
        <f>IF($B109="","",IF($Q109="",99999,YEAR($Q109)*12+MONTH($Q109)))</f>
        <v/>
      </c>
      <c r="AA109" s="20" t="str">
        <f>IF($B109="","",--AND($Y109&lt;=TahunBuku*12,$Z109&gt;TahunBuku*12))</f>
        <v/>
      </c>
      <c r="AB109" s="20" t="str">
        <f>IF($B109="","",--AND($Y109&gt;TahunBuku*12,$Y109&lt;=TahunBuku*12+12))</f>
        <v/>
      </c>
      <c r="AC109" s="20" t="str">
        <f>IF($B109="","",--AND($Z109&gt;TahunBuku*12,$Z109&lt;=TahunBuku*12+12,$Y109&lt;=$Z109))</f>
        <v/>
      </c>
      <c r="AD109" s="21" t="str">
        <f>IF($B109="","",IFERROR(IF($S109="Garis Lurus",$G109-($G109-$H109)*MIN($T109*12,MAX(0,TahunBuku*12-$Y109+1))/($T109*12),IF($S109="Saldo Menurun",IF(TahunBuku-1&lt;YEAR($F109),$G109,IF(TahunBuku-1&gt;=INT(($Y109+$T109*12-2)/12),$H109,MAX($H109,$G109*(1-2/$T109*(13-MONTH($F109))/12)*(1-2/$T109)^(TahunBuku-1-YEAR($F109))))),IF($S109="Unit Produksi",$G109-($G109-$H109)*MIN(1,N($L109)/$K109),$G109))),$G109))</f>
        <v/>
      </c>
      <c r="AE109" s="21" t="str">
        <f>IF($B109="","",IFERROR(IF($S109="Garis Lurus",$G109-($G109-$H109)*MIN($T109*12,MAX(0,TahunBuku*12+12-$Y109+1))/($T109*12),IF($S109="Saldo Menurun",IF(TahunBuku&lt;YEAR($F109),$G109,IF(TahunBuku&gt;=INT(($Y109+$T109*12-2)/12),$H109,MAX($H109,$G109*(1-2/$T109*(13-MONTH($F109))/12)*(1-2/$T109)^(TahunBuku-YEAR($F109))))),IF($S109="Unit Produksi",$G109-($G109-$H109)*MIN(1,(N($L109)+N($M109))/$K109),$G109))),$G109))</f>
        <v/>
      </c>
      <c r="AF109" s="20" t="str">
        <f>IF($B109="","",IF(OR($S109="Garis Lurus",$S109="Saldo Menurun",$S109="Unit Produksi"),MAX(0,IF($S109="Unit Produksi",TahunBuku*12+12,MIN(TahunBuku*12+12,$Y109+$T109*12-1))-MAX(TahunBuku*12+1,$Y109)+1),0))</f>
        <v/>
      </c>
      <c r="AG109" s="20" t="str">
        <f>IF($B109="","",IF(OR($S109="Garis Lurus",$S109="Saldo Menurun",$S109="Unit Produksi"),MAX(0,MIN($Z109,IF($S109="Unit Produksi",TahunBuku*12+12,MIN(TahunBuku*12+12,$Y109+$T109*12-1)))-MAX(TahunBuku*12+1,$Y109)+1),0))</f>
        <v/>
      </c>
      <c r="AH109" s="21" t="str">
        <f>IF($B109="","",IFERROR(IF($W109="Garis Lurus",$G109*(1-MIN($V109*12,MAX(0,TahunBuku*12-$Y109+1))/($V109*12)),IF($W109="Saldo Menurun",IF(TahunBuku-1&lt;YEAR($F109),$G109,IF(TahunBuku-1&gt;=INT(($Y109+$V109*12-2)/12),0,$G109*(1-2/$V109*(13-MONTH($F109))/12)*(1-2/$V109)^(TahunBuku-1-YEAR($F109)))),$G109)),$G109))</f>
        <v/>
      </c>
      <c r="AI109" s="21" t="str">
        <f>IF($B109="","",IFERROR(IF($W109="Garis Lurus",$G109*(1-MIN($V109*12,MAX(0,TahunBuku*12+12-$Y109+1))/($V109*12)),IF($W109="Saldo Menurun",IF(TahunBuku&lt;YEAR($F109),$G109,IF(TahunBuku&gt;=INT(($Y109+$V109*12-2)/12),0,$G109*(1-2/$V109*(13-MONTH($F109))/12)*(1-2/$V109)^(TahunBuku-YEAR($F109)))),$G109)),$G109))</f>
        <v/>
      </c>
      <c r="AJ109" s="20" t="str">
        <f>IF($B109="","",IF(OR($W109="Garis Lurus",$W109="Saldo Menurun"),MAX(0,MIN(TahunBuku*12+12,$Y109+$V109*12-1)-MAX(TahunBuku*12+1,$Y109)+1),0))</f>
        <v/>
      </c>
      <c r="AK109" s="20" t="str">
        <f>IF($B109="","",IF(OR($W109="Garis Lurus",$W109="Saldo Menurun"),MAX(0,MIN($Z109,TahunBuku*12+12,$Y109+$V109*12-1)-MAX(TahunBuku*12+1,$Y109)+1),0))</f>
        <v/>
      </c>
      <c r="AL109" s="22" t="str">
        <f>IF($B109="","",$G109*$AA109)</f>
        <v/>
      </c>
      <c r="AM109" s="22" t="str">
        <f>IF($B109="","",$G109*$AB109)</f>
        <v/>
      </c>
      <c r="AN109" s="22" t="str">
        <f>IF($B109="","",$G109*$AC109)</f>
        <v/>
      </c>
      <c r="AO109" s="22" t="str">
        <f>IF($B109="","",AL109+AM109-AN109)</f>
        <v/>
      </c>
      <c r="AP109" s="22" t="str">
        <f>IF($B109="","",($G109-$AD109)*$AA109)</f>
        <v/>
      </c>
      <c r="AQ109" s="22" t="str">
        <f>IF($B109="","",IF($AF109=0,0,($AD109-$AE109)*$AG109/$AF109)*MAX($AA109,$AB109))</f>
        <v/>
      </c>
      <c r="AR109" s="22" t="str">
        <f>IF($B109="","",(AP109+AQ109)*$AC109)</f>
        <v/>
      </c>
      <c r="AS109" s="22" t="str">
        <f>IF($B109="","",AP109+AQ109-AR109)</f>
        <v/>
      </c>
      <c r="AT109" s="22" t="str">
        <f>IF($B109="","",AO109-AS109)</f>
        <v/>
      </c>
      <c r="AU109" s="22" t="str">
        <f>IF($B109="","",IF($AC109=1,N($R109)-($G109-AR109),0))</f>
        <v/>
      </c>
      <c r="AV109" s="22" t="str">
        <f>IF($B109="","",($G109-$AH109)*$AA109)</f>
        <v/>
      </c>
      <c r="AW109" s="22" t="str">
        <f>IF($B109="","",IF($AJ109=0,0,($AH109-$AI109)*$AK109/$AJ109)*MAX($AA109,$AB109))</f>
        <v/>
      </c>
      <c r="AX109" s="22" t="str">
        <f>IF($B109="","",(AV109+AW109)*$AC109)</f>
        <v/>
      </c>
      <c r="AY109" s="22" t="str">
        <f>IF($B109="","",AV109+AW109-AX109)</f>
        <v/>
      </c>
      <c r="AZ109" s="22" t="str">
        <f>IF($B109="","",AO109-AY109)</f>
        <v/>
      </c>
      <c r="BA109" s="22" t="str">
        <f>IF($B109="","",IF($AC109=1,N($R109)-($G109-AX109),0))</f>
        <v/>
      </c>
      <c r="BB109" s="22" t="str">
        <f>IF($B109="","",ROUND(AQ109-AW109,0))</f>
        <v/>
      </c>
      <c r="BC109" s="22" t="str">
        <f>IF($B109="","",ROUND(BA109-AU109,0))</f>
        <v/>
      </c>
      <c r="BD109" s="22" t="str">
        <f>IF($B109="","",BB109+BC109)</f>
        <v/>
      </c>
      <c r="BE109" s="22" t="str">
        <f>IF($B109="","",ROUND(AV109-AP109,0))</f>
        <v/>
      </c>
      <c r="BF109" s="22" t="str">
        <f>IF($B109="","",ROUND(AT109-AZ109,0))</f>
        <v/>
      </c>
      <c r="BG109" s="22" t="str">
        <f>IF($B109="","",ROUND(BF109*TarifPPh,0))</f>
        <v/>
      </c>
      <c r="BH109" t="str">
        <f>IF($B109="","",IF($D109="","Kategori kosong",IF($F109="","Tgl perolehan kosong",IF(N($H109)&gt;$G109,"Residu &gt; harga perolehan",IF(AND(LEFT($U109,8)="Bangunan",$W109="Saldo Menurun"),"Bangunan wajib Garis Lurus (Ps.11 UU PPh)",IF(AND($S109="Unit Produksi",N($K109)=0),"Isi kapasitas unit",IF(AND(OR($S109="Garis Lurus",$S109="Saldo Menurun"),N($T109)&lt;=0),"Umur komersial kosong",IF(AND(OR($W109="Garis Lurus",$W109="Saldo Menurun"),N($V109)&lt;=0),"Masa manfaat fiskal kosong",IF(AND($Q109&lt;&gt;"",$Q109&lt;$F109),"Tgl pelepasan &lt; perolehan","OK")))))))))</f>
        <v/>
      </c>
    </row>
    <row r="110" spans="1:60" x14ac:dyDescent="0.25">
      <c r="A110" t="str">
        <f>IF($B110="","",ROW()-6)</f>
        <v/>
      </c>
      <c r="B110" s="9"/>
      <c r="C110" s="9"/>
      <c r="D110" s="9"/>
      <c r="E110" s="9"/>
      <c r="F110" s="17"/>
      <c r="G110" s="18"/>
      <c r="H110" s="18"/>
      <c r="I110" s="9"/>
      <c r="J110" s="9"/>
      <c r="K110" s="19"/>
      <c r="L110" s="19"/>
      <c r="M110" s="19"/>
      <c r="N110" s="9"/>
      <c r="O110" s="9"/>
      <c r="P110" s="9"/>
      <c r="Q110" s="17"/>
      <c r="R110" s="18"/>
      <c r="S110" t="str">
        <f>IF($B110="","",IF($I110&lt;&gt;"",$I110,IFERROR(INDEX(Kat_Metode,MATCH($D110,Kat_Nama,0)),"")))</f>
        <v/>
      </c>
      <c r="T110" t="str">
        <f>IF($B110="","",IF($J110&lt;&gt;"",$J110,IFERROR(INDEX(Kat_Umur,MATCH($D110,Kat_Nama,0)),0)))</f>
        <v/>
      </c>
      <c r="U110" t="str">
        <f>IF($B110="","",IF($N110&lt;&gt;"",$N110,IFERROR(INDEX(Kat_Kelompok,MATCH($D110,Kat_Nama,0)),"")))</f>
        <v/>
      </c>
      <c r="V110" t="str">
        <f>IF($B110="","",IF($U110="Masa Manfaat Sebenarnya",N($O110),IFERROR(INDEX(Kel_Masa,MATCH($U110,Kel_Nama,0)),0)))</f>
        <v/>
      </c>
      <c r="W110" t="str">
        <f>IF($B110="","",IF($P110&lt;&gt;"",$P110,IF(OR($U110="Tidak Disusutkan",$V110=0),"Tidak Disusutkan","Garis Lurus")))</f>
        <v/>
      </c>
      <c r="X110" t="str">
        <f>IF($B110="","",IF($Y110&gt;TahunBuku*12+12,"Belum Diperoleh",IF($Z110&lt;=TahunBuku*12,"Dilepas (thn lalu)",IF($AC110=1,"Dilepas thn ini",IF($AB110=1,"Perolehan baru","Aktif")))))</f>
        <v/>
      </c>
      <c r="Y110" s="20" t="str">
        <f>IF($B110="","",YEAR($F110)*12+MONTH($F110))</f>
        <v/>
      </c>
      <c r="Z110" s="20" t="str">
        <f>IF($B110="","",IF($Q110="",99999,YEAR($Q110)*12+MONTH($Q110)))</f>
        <v/>
      </c>
      <c r="AA110" s="20" t="str">
        <f>IF($B110="","",--AND($Y110&lt;=TahunBuku*12,$Z110&gt;TahunBuku*12))</f>
        <v/>
      </c>
      <c r="AB110" s="20" t="str">
        <f>IF($B110="","",--AND($Y110&gt;TahunBuku*12,$Y110&lt;=TahunBuku*12+12))</f>
        <v/>
      </c>
      <c r="AC110" s="20" t="str">
        <f>IF($B110="","",--AND($Z110&gt;TahunBuku*12,$Z110&lt;=TahunBuku*12+12,$Y110&lt;=$Z110))</f>
        <v/>
      </c>
      <c r="AD110" s="21" t="str">
        <f>IF($B110="","",IFERROR(IF($S110="Garis Lurus",$G110-($G110-$H110)*MIN($T110*12,MAX(0,TahunBuku*12-$Y110+1))/($T110*12),IF($S110="Saldo Menurun",IF(TahunBuku-1&lt;YEAR($F110),$G110,IF(TahunBuku-1&gt;=INT(($Y110+$T110*12-2)/12),$H110,MAX($H110,$G110*(1-2/$T110*(13-MONTH($F110))/12)*(1-2/$T110)^(TahunBuku-1-YEAR($F110))))),IF($S110="Unit Produksi",$G110-($G110-$H110)*MIN(1,N($L110)/$K110),$G110))),$G110))</f>
        <v/>
      </c>
      <c r="AE110" s="21" t="str">
        <f>IF($B110="","",IFERROR(IF($S110="Garis Lurus",$G110-($G110-$H110)*MIN($T110*12,MAX(0,TahunBuku*12+12-$Y110+1))/($T110*12),IF($S110="Saldo Menurun",IF(TahunBuku&lt;YEAR($F110),$G110,IF(TahunBuku&gt;=INT(($Y110+$T110*12-2)/12),$H110,MAX($H110,$G110*(1-2/$T110*(13-MONTH($F110))/12)*(1-2/$T110)^(TahunBuku-YEAR($F110))))),IF($S110="Unit Produksi",$G110-($G110-$H110)*MIN(1,(N($L110)+N($M110))/$K110),$G110))),$G110))</f>
        <v/>
      </c>
      <c r="AF110" s="20" t="str">
        <f>IF($B110="","",IF(OR($S110="Garis Lurus",$S110="Saldo Menurun",$S110="Unit Produksi"),MAX(0,IF($S110="Unit Produksi",TahunBuku*12+12,MIN(TahunBuku*12+12,$Y110+$T110*12-1))-MAX(TahunBuku*12+1,$Y110)+1),0))</f>
        <v/>
      </c>
      <c r="AG110" s="20" t="str">
        <f>IF($B110="","",IF(OR($S110="Garis Lurus",$S110="Saldo Menurun",$S110="Unit Produksi"),MAX(0,MIN($Z110,IF($S110="Unit Produksi",TahunBuku*12+12,MIN(TahunBuku*12+12,$Y110+$T110*12-1)))-MAX(TahunBuku*12+1,$Y110)+1),0))</f>
        <v/>
      </c>
      <c r="AH110" s="21" t="str">
        <f>IF($B110="","",IFERROR(IF($W110="Garis Lurus",$G110*(1-MIN($V110*12,MAX(0,TahunBuku*12-$Y110+1))/($V110*12)),IF($W110="Saldo Menurun",IF(TahunBuku-1&lt;YEAR($F110),$G110,IF(TahunBuku-1&gt;=INT(($Y110+$V110*12-2)/12),0,$G110*(1-2/$V110*(13-MONTH($F110))/12)*(1-2/$V110)^(TahunBuku-1-YEAR($F110)))),$G110)),$G110))</f>
        <v/>
      </c>
      <c r="AI110" s="21" t="str">
        <f>IF($B110="","",IFERROR(IF($W110="Garis Lurus",$G110*(1-MIN($V110*12,MAX(0,TahunBuku*12+12-$Y110+1))/($V110*12)),IF($W110="Saldo Menurun",IF(TahunBuku&lt;YEAR($F110),$G110,IF(TahunBuku&gt;=INT(($Y110+$V110*12-2)/12),0,$G110*(1-2/$V110*(13-MONTH($F110))/12)*(1-2/$V110)^(TahunBuku-YEAR($F110)))),$G110)),$G110))</f>
        <v/>
      </c>
      <c r="AJ110" s="20" t="str">
        <f>IF($B110="","",IF(OR($W110="Garis Lurus",$W110="Saldo Menurun"),MAX(0,MIN(TahunBuku*12+12,$Y110+$V110*12-1)-MAX(TahunBuku*12+1,$Y110)+1),0))</f>
        <v/>
      </c>
      <c r="AK110" s="20" t="str">
        <f>IF($B110="","",IF(OR($W110="Garis Lurus",$W110="Saldo Menurun"),MAX(0,MIN($Z110,TahunBuku*12+12,$Y110+$V110*12-1)-MAX(TahunBuku*12+1,$Y110)+1),0))</f>
        <v/>
      </c>
      <c r="AL110" s="22" t="str">
        <f>IF($B110="","",$G110*$AA110)</f>
        <v/>
      </c>
      <c r="AM110" s="22" t="str">
        <f>IF($B110="","",$G110*$AB110)</f>
        <v/>
      </c>
      <c r="AN110" s="22" t="str">
        <f>IF($B110="","",$G110*$AC110)</f>
        <v/>
      </c>
      <c r="AO110" s="22" t="str">
        <f>IF($B110="","",AL110+AM110-AN110)</f>
        <v/>
      </c>
      <c r="AP110" s="22" t="str">
        <f>IF($B110="","",($G110-$AD110)*$AA110)</f>
        <v/>
      </c>
      <c r="AQ110" s="22" t="str">
        <f>IF($B110="","",IF($AF110=0,0,($AD110-$AE110)*$AG110/$AF110)*MAX($AA110,$AB110))</f>
        <v/>
      </c>
      <c r="AR110" s="22" t="str">
        <f>IF($B110="","",(AP110+AQ110)*$AC110)</f>
        <v/>
      </c>
      <c r="AS110" s="22" t="str">
        <f>IF($B110="","",AP110+AQ110-AR110)</f>
        <v/>
      </c>
      <c r="AT110" s="22" t="str">
        <f>IF($B110="","",AO110-AS110)</f>
        <v/>
      </c>
      <c r="AU110" s="22" t="str">
        <f>IF($B110="","",IF($AC110=1,N($R110)-($G110-AR110),0))</f>
        <v/>
      </c>
      <c r="AV110" s="22" t="str">
        <f>IF($B110="","",($G110-$AH110)*$AA110)</f>
        <v/>
      </c>
      <c r="AW110" s="22" t="str">
        <f>IF($B110="","",IF($AJ110=0,0,($AH110-$AI110)*$AK110/$AJ110)*MAX($AA110,$AB110))</f>
        <v/>
      </c>
      <c r="AX110" s="22" t="str">
        <f>IF($B110="","",(AV110+AW110)*$AC110)</f>
        <v/>
      </c>
      <c r="AY110" s="22" t="str">
        <f>IF($B110="","",AV110+AW110-AX110)</f>
        <v/>
      </c>
      <c r="AZ110" s="22" t="str">
        <f>IF($B110="","",AO110-AY110)</f>
        <v/>
      </c>
      <c r="BA110" s="22" t="str">
        <f>IF($B110="","",IF($AC110=1,N($R110)-($G110-AX110),0))</f>
        <v/>
      </c>
      <c r="BB110" s="22" t="str">
        <f>IF($B110="","",ROUND(AQ110-AW110,0))</f>
        <v/>
      </c>
      <c r="BC110" s="22" t="str">
        <f>IF($B110="","",ROUND(BA110-AU110,0))</f>
        <v/>
      </c>
      <c r="BD110" s="22" t="str">
        <f>IF($B110="","",BB110+BC110)</f>
        <v/>
      </c>
      <c r="BE110" s="22" t="str">
        <f>IF($B110="","",ROUND(AV110-AP110,0))</f>
        <v/>
      </c>
      <c r="BF110" s="22" t="str">
        <f>IF($B110="","",ROUND(AT110-AZ110,0))</f>
        <v/>
      </c>
      <c r="BG110" s="22" t="str">
        <f>IF($B110="","",ROUND(BF110*TarifPPh,0))</f>
        <v/>
      </c>
      <c r="BH110" t="str">
        <f>IF($B110="","",IF($D110="","Kategori kosong",IF($F110="","Tgl perolehan kosong",IF(N($H110)&gt;$G110,"Residu &gt; harga perolehan",IF(AND(LEFT($U110,8)="Bangunan",$W110="Saldo Menurun"),"Bangunan wajib Garis Lurus (Ps.11 UU PPh)",IF(AND($S110="Unit Produksi",N($K110)=0),"Isi kapasitas unit",IF(AND(OR($S110="Garis Lurus",$S110="Saldo Menurun"),N($T110)&lt;=0),"Umur komersial kosong",IF(AND(OR($W110="Garis Lurus",$W110="Saldo Menurun"),N($V110)&lt;=0),"Masa manfaat fiskal kosong",IF(AND($Q110&lt;&gt;"",$Q110&lt;$F110),"Tgl pelepasan &lt; perolehan","OK")))))))))</f>
        <v/>
      </c>
    </row>
    <row r="111" spans="1:60" x14ac:dyDescent="0.25">
      <c r="A111" t="str">
        <f>IF($B111="","",ROW()-6)</f>
        <v/>
      </c>
      <c r="B111" s="9"/>
      <c r="C111" s="9"/>
      <c r="D111" s="9"/>
      <c r="E111" s="9"/>
      <c r="F111" s="17"/>
      <c r="G111" s="18"/>
      <c r="H111" s="18"/>
      <c r="I111" s="9"/>
      <c r="J111" s="9"/>
      <c r="K111" s="19"/>
      <c r="L111" s="19"/>
      <c r="M111" s="19"/>
      <c r="N111" s="9"/>
      <c r="O111" s="9"/>
      <c r="P111" s="9"/>
      <c r="Q111" s="17"/>
      <c r="R111" s="18"/>
      <c r="S111" t="str">
        <f>IF($B111="","",IF($I111&lt;&gt;"",$I111,IFERROR(INDEX(Kat_Metode,MATCH($D111,Kat_Nama,0)),"")))</f>
        <v/>
      </c>
      <c r="T111" t="str">
        <f>IF($B111="","",IF($J111&lt;&gt;"",$J111,IFERROR(INDEX(Kat_Umur,MATCH($D111,Kat_Nama,0)),0)))</f>
        <v/>
      </c>
      <c r="U111" t="str">
        <f>IF($B111="","",IF($N111&lt;&gt;"",$N111,IFERROR(INDEX(Kat_Kelompok,MATCH($D111,Kat_Nama,0)),"")))</f>
        <v/>
      </c>
      <c r="V111" t="str">
        <f>IF($B111="","",IF($U111="Masa Manfaat Sebenarnya",N($O111),IFERROR(INDEX(Kel_Masa,MATCH($U111,Kel_Nama,0)),0)))</f>
        <v/>
      </c>
      <c r="W111" t="str">
        <f>IF($B111="","",IF($P111&lt;&gt;"",$P111,IF(OR($U111="Tidak Disusutkan",$V111=0),"Tidak Disusutkan","Garis Lurus")))</f>
        <v/>
      </c>
      <c r="X111" t="str">
        <f>IF($B111="","",IF($Y111&gt;TahunBuku*12+12,"Belum Diperoleh",IF($Z111&lt;=TahunBuku*12,"Dilepas (thn lalu)",IF($AC111=1,"Dilepas thn ini",IF($AB111=1,"Perolehan baru","Aktif")))))</f>
        <v/>
      </c>
      <c r="Y111" s="20" t="str">
        <f>IF($B111="","",YEAR($F111)*12+MONTH($F111))</f>
        <v/>
      </c>
      <c r="Z111" s="20" t="str">
        <f>IF($B111="","",IF($Q111="",99999,YEAR($Q111)*12+MONTH($Q111)))</f>
        <v/>
      </c>
      <c r="AA111" s="20" t="str">
        <f>IF($B111="","",--AND($Y111&lt;=TahunBuku*12,$Z111&gt;TahunBuku*12))</f>
        <v/>
      </c>
      <c r="AB111" s="20" t="str">
        <f>IF($B111="","",--AND($Y111&gt;TahunBuku*12,$Y111&lt;=TahunBuku*12+12))</f>
        <v/>
      </c>
      <c r="AC111" s="20" t="str">
        <f>IF($B111="","",--AND($Z111&gt;TahunBuku*12,$Z111&lt;=TahunBuku*12+12,$Y111&lt;=$Z111))</f>
        <v/>
      </c>
      <c r="AD111" s="21" t="str">
        <f>IF($B111="","",IFERROR(IF($S111="Garis Lurus",$G111-($G111-$H111)*MIN($T111*12,MAX(0,TahunBuku*12-$Y111+1))/($T111*12),IF($S111="Saldo Menurun",IF(TahunBuku-1&lt;YEAR($F111),$G111,IF(TahunBuku-1&gt;=INT(($Y111+$T111*12-2)/12),$H111,MAX($H111,$G111*(1-2/$T111*(13-MONTH($F111))/12)*(1-2/$T111)^(TahunBuku-1-YEAR($F111))))),IF($S111="Unit Produksi",$G111-($G111-$H111)*MIN(1,N($L111)/$K111),$G111))),$G111))</f>
        <v/>
      </c>
      <c r="AE111" s="21" t="str">
        <f>IF($B111="","",IFERROR(IF($S111="Garis Lurus",$G111-($G111-$H111)*MIN($T111*12,MAX(0,TahunBuku*12+12-$Y111+1))/($T111*12),IF($S111="Saldo Menurun",IF(TahunBuku&lt;YEAR($F111),$G111,IF(TahunBuku&gt;=INT(($Y111+$T111*12-2)/12),$H111,MAX($H111,$G111*(1-2/$T111*(13-MONTH($F111))/12)*(1-2/$T111)^(TahunBuku-YEAR($F111))))),IF($S111="Unit Produksi",$G111-($G111-$H111)*MIN(1,(N($L111)+N($M111))/$K111),$G111))),$G111))</f>
        <v/>
      </c>
      <c r="AF111" s="20" t="str">
        <f>IF($B111="","",IF(OR($S111="Garis Lurus",$S111="Saldo Menurun",$S111="Unit Produksi"),MAX(0,IF($S111="Unit Produksi",TahunBuku*12+12,MIN(TahunBuku*12+12,$Y111+$T111*12-1))-MAX(TahunBuku*12+1,$Y111)+1),0))</f>
        <v/>
      </c>
      <c r="AG111" s="20" t="str">
        <f>IF($B111="","",IF(OR($S111="Garis Lurus",$S111="Saldo Menurun",$S111="Unit Produksi"),MAX(0,MIN($Z111,IF($S111="Unit Produksi",TahunBuku*12+12,MIN(TahunBuku*12+12,$Y111+$T111*12-1)))-MAX(TahunBuku*12+1,$Y111)+1),0))</f>
        <v/>
      </c>
      <c r="AH111" s="21" t="str">
        <f>IF($B111="","",IFERROR(IF($W111="Garis Lurus",$G111*(1-MIN($V111*12,MAX(0,TahunBuku*12-$Y111+1))/($V111*12)),IF($W111="Saldo Menurun",IF(TahunBuku-1&lt;YEAR($F111),$G111,IF(TahunBuku-1&gt;=INT(($Y111+$V111*12-2)/12),0,$G111*(1-2/$V111*(13-MONTH($F111))/12)*(1-2/$V111)^(TahunBuku-1-YEAR($F111)))),$G111)),$G111))</f>
        <v/>
      </c>
      <c r="AI111" s="21" t="str">
        <f>IF($B111="","",IFERROR(IF($W111="Garis Lurus",$G111*(1-MIN($V111*12,MAX(0,TahunBuku*12+12-$Y111+1))/($V111*12)),IF($W111="Saldo Menurun",IF(TahunBuku&lt;YEAR($F111),$G111,IF(TahunBuku&gt;=INT(($Y111+$V111*12-2)/12),0,$G111*(1-2/$V111*(13-MONTH($F111))/12)*(1-2/$V111)^(TahunBuku-YEAR($F111)))),$G111)),$G111))</f>
        <v/>
      </c>
      <c r="AJ111" s="20" t="str">
        <f>IF($B111="","",IF(OR($W111="Garis Lurus",$W111="Saldo Menurun"),MAX(0,MIN(TahunBuku*12+12,$Y111+$V111*12-1)-MAX(TahunBuku*12+1,$Y111)+1),0))</f>
        <v/>
      </c>
      <c r="AK111" s="20" t="str">
        <f>IF($B111="","",IF(OR($W111="Garis Lurus",$W111="Saldo Menurun"),MAX(0,MIN($Z111,TahunBuku*12+12,$Y111+$V111*12-1)-MAX(TahunBuku*12+1,$Y111)+1),0))</f>
        <v/>
      </c>
      <c r="AL111" s="22" t="str">
        <f>IF($B111="","",$G111*$AA111)</f>
        <v/>
      </c>
      <c r="AM111" s="22" t="str">
        <f>IF($B111="","",$G111*$AB111)</f>
        <v/>
      </c>
      <c r="AN111" s="22" t="str">
        <f>IF($B111="","",$G111*$AC111)</f>
        <v/>
      </c>
      <c r="AO111" s="22" t="str">
        <f>IF($B111="","",AL111+AM111-AN111)</f>
        <v/>
      </c>
      <c r="AP111" s="22" t="str">
        <f>IF($B111="","",($G111-$AD111)*$AA111)</f>
        <v/>
      </c>
      <c r="AQ111" s="22" t="str">
        <f>IF($B111="","",IF($AF111=0,0,($AD111-$AE111)*$AG111/$AF111)*MAX($AA111,$AB111))</f>
        <v/>
      </c>
      <c r="AR111" s="22" t="str">
        <f>IF($B111="","",(AP111+AQ111)*$AC111)</f>
        <v/>
      </c>
      <c r="AS111" s="22" t="str">
        <f>IF($B111="","",AP111+AQ111-AR111)</f>
        <v/>
      </c>
      <c r="AT111" s="22" t="str">
        <f>IF($B111="","",AO111-AS111)</f>
        <v/>
      </c>
      <c r="AU111" s="22" t="str">
        <f>IF($B111="","",IF($AC111=1,N($R111)-($G111-AR111),0))</f>
        <v/>
      </c>
      <c r="AV111" s="22" t="str">
        <f>IF($B111="","",($G111-$AH111)*$AA111)</f>
        <v/>
      </c>
      <c r="AW111" s="22" t="str">
        <f>IF($B111="","",IF($AJ111=0,0,($AH111-$AI111)*$AK111/$AJ111)*MAX($AA111,$AB111))</f>
        <v/>
      </c>
      <c r="AX111" s="22" t="str">
        <f>IF($B111="","",(AV111+AW111)*$AC111)</f>
        <v/>
      </c>
      <c r="AY111" s="22" t="str">
        <f>IF($B111="","",AV111+AW111-AX111)</f>
        <v/>
      </c>
      <c r="AZ111" s="22" t="str">
        <f>IF($B111="","",AO111-AY111)</f>
        <v/>
      </c>
      <c r="BA111" s="22" t="str">
        <f>IF($B111="","",IF($AC111=1,N($R111)-($G111-AX111),0))</f>
        <v/>
      </c>
      <c r="BB111" s="22" t="str">
        <f>IF($B111="","",ROUND(AQ111-AW111,0))</f>
        <v/>
      </c>
      <c r="BC111" s="22" t="str">
        <f>IF($B111="","",ROUND(BA111-AU111,0))</f>
        <v/>
      </c>
      <c r="BD111" s="22" t="str">
        <f>IF($B111="","",BB111+BC111)</f>
        <v/>
      </c>
      <c r="BE111" s="22" t="str">
        <f>IF($B111="","",ROUND(AV111-AP111,0))</f>
        <v/>
      </c>
      <c r="BF111" s="22" t="str">
        <f>IF($B111="","",ROUND(AT111-AZ111,0))</f>
        <v/>
      </c>
      <c r="BG111" s="22" t="str">
        <f>IF($B111="","",ROUND(BF111*TarifPPh,0))</f>
        <v/>
      </c>
      <c r="BH111" t="str">
        <f>IF($B111="","",IF($D111="","Kategori kosong",IF($F111="","Tgl perolehan kosong",IF(N($H111)&gt;$G111,"Residu &gt; harga perolehan",IF(AND(LEFT($U111,8)="Bangunan",$W111="Saldo Menurun"),"Bangunan wajib Garis Lurus (Ps.11 UU PPh)",IF(AND($S111="Unit Produksi",N($K111)=0),"Isi kapasitas unit",IF(AND(OR($S111="Garis Lurus",$S111="Saldo Menurun"),N($T111)&lt;=0),"Umur komersial kosong",IF(AND(OR($W111="Garis Lurus",$W111="Saldo Menurun"),N($V111)&lt;=0),"Masa manfaat fiskal kosong",IF(AND($Q111&lt;&gt;"",$Q111&lt;$F111),"Tgl pelepasan &lt; perolehan","OK")))))))))</f>
        <v/>
      </c>
    </row>
    <row r="112" spans="1:60" x14ac:dyDescent="0.25">
      <c r="A112" t="str">
        <f>IF($B112="","",ROW()-6)</f>
        <v/>
      </c>
      <c r="B112" s="9"/>
      <c r="C112" s="9"/>
      <c r="D112" s="9"/>
      <c r="E112" s="9"/>
      <c r="F112" s="17"/>
      <c r="G112" s="18"/>
      <c r="H112" s="18"/>
      <c r="I112" s="9"/>
      <c r="J112" s="9"/>
      <c r="K112" s="19"/>
      <c r="L112" s="19"/>
      <c r="M112" s="19"/>
      <c r="N112" s="9"/>
      <c r="O112" s="9"/>
      <c r="P112" s="9"/>
      <c r="Q112" s="17"/>
      <c r="R112" s="18"/>
      <c r="S112" t="str">
        <f>IF($B112="","",IF($I112&lt;&gt;"",$I112,IFERROR(INDEX(Kat_Metode,MATCH($D112,Kat_Nama,0)),"")))</f>
        <v/>
      </c>
      <c r="T112" t="str">
        <f>IF($B112="","",IF($J112&lt;&gt;"",$J112,IFERROR(INDEX(Kat_Umur,MATCH($D112,Kat_Nama,0)),0)))</f>
        <v/>
      </c>
      <c r="U112" t="str">
        <f>IF($B112="","",IF($N112&lt;&gt;"",$N112,IFERROR(INDEX(Kat_Kelompok,MATCH($D112,Kat_Nama,0)),"")))</f>
        <v/>
      </c>
      <c r="V112" t="str">
        <f>IF($B112="","",IF($U112="Masa Manfaat Sebenarnya",N($O112),IFERROR(INDEX(Kel_Masa,MATCH($U112,Kel_Nama,0)),0)))</f>
        <v/>
      </c>
      <c r="W112" t="str">
        <f>IF($B112="","",IF($P112&lt;&gt;"",$P112,IF(OR($U112="Tidak Disusutkan",$V112=0),"Tidak Disusutkan","Garis Lurus")))</f>
        <v/>
      </c>
      <c r="X112" t="str">
        <f>IF($B112="","",IF($Y112&gt;TahunBuku*12+12,"Belum Diperoleh",IF($Z112&lt;=TahunBuku*12,"Dilepas (thn lalu)",IF($AC112=1,"Dilepas thn ini",IF($AB112=1,"Perolehan baru","Aktif")))))</f>
        <v/>
      </c>
      <c r="Y112" s="20" t="str">
        <f>IF($B112="","",YEAR($F112)*12+MONTH($F112))</f>
        <v/>
      </c>
      <c r="Z112" s="20" t="str">
        <f>IF($B112="","",IF($Q112="",99999,YEAR($Q112)*12+MONTH($Q112)))</f>
        <v/>
      </c>
      <c r="AA112" s="20" t="str">
        <f>IF($B112="","",--AND($Y112&lt;=TahunBuku*12,$Z112&gt;TahunBuku*12))</f>
        <v/>
      </c>
      <c r="AB112" s="20" t="str">
        <f>IF($B112="","",--AND($Y112&gt;TahunBuku*12,$Y112&lt;=TahunBuku*12+12))</f>
        <v/>
      </c>
      <c r="AC112" s="20" t="str">
        <f>IF($B112="","",--AND($Z112&gt;TahunBuku*12,$Z112&lt;=TahunBuku*12+12,$Y112&lt;=$Z112))</f>
        <v/>
      </c>
      <c r="AD112" s="21" t="str">
        <f>IF($B112="","",IFERROR(IF($S112="Garis Lurus",$G112-($G112-$H112)*MIN($T112*12,MAX(0,TahunBuku*12-$Y112+1))/($T112*12),IF($S112="Saldo Menurun",IF(TahunBuku-1&lt;YEAR($F112),$G112,IF(TahunBuku-1&gt;=INT(($Y112+$T112*12-2)/12),$H112,MAX($H112,$G112*(1-2/$T112*(13-MONTH($F112))/12)*(1-2/$T112)^(TahunBuku-1-YEAR($F112))))),IF($S112="Unit Produksi",$G112-($G112-$H112)*MIN(1,N($L112)/$K112),$G112))),$G112))</f>
        <v/>
      </c>
      <c r="AE112" s="21" t="str">
        <f>IF($B112="","",IFERROR(IF($S112="Garis Lurus",$G112-($G112-$H112)*MIN($T112*12,MAX(0,TahunBuku*12+12-$Y112+1))/($T112*12),IF($S112="Saldo Menurun",IF(TahunBuku&lt;YEAR($F112),$G112,IF(TahunBuku&gt;=INT(($Y112+$T112*12-2)/12),$H112,MAX($H112,$G112*(1-2/$T112*(13-MONTH($F112))/12)*(1-2/$T112)^(TahunBuku-YEAR($F112))))),IF($S112="Unit Produksi",$G112-($G112-$H112)*MIN(1,(N($L112)+N($M112))/$K112),$G112))),$G112))</f>
        <v/>
      </c>
      <c r="AF112" s="20" t="str">
        <f>IF($B112="","",IF(OR($S112="Garis Lurus",$S112="Saldo Menurun",$S112="Unit Produksi"),MAX(0,IF($S112="Unit Produksi",TahunBuku*12+12,MIN(TahunBuku*12+12,$Y112+$T112*12-1))-MAX(TahunBuku*12+1,$Y112)+1),0))</f>
        <v/>
      </c>
      <c r="AG112" s="20" t="str">
        <f>IF($B112="","",IF(OR($S112="Garis Lurus",$S112="Saldo Menurun",$S112="Unit Produksi"),MAX(0,MIN($Z112,IF($S112="Unit Produksi",TahunBuku*12+12,MIN(TahunBuku*12+12,$Y112+$T112*12-1)))-MAX(TahunBuku*12+1,$Y112)+1),0))</f>
        <v/>
      </c>
      <c r="AH112" s="21" t="str">
        <f>IF($B112="","",IFERROR(IF($W112="Garis Lurus",$G112*(1-MIN($V112*12,MAX(0,TahunBuku*12-$Y112+1))/($V112*12)),IF($W112="Saldo Menurun",IF(TahunBuku-1&lt;YEAR($F112),$G112,IF(TahunBuku-1&gt;=INT(($Y112+$V112*12-2)/12),0,$G112*(1-2/$V112*(13-MONTH($F112))/12)*(1-2/$V112)^(TahunBuku-1-YEAR($F112)))),$G112)),$G112))</f>
        <v/>
      </c>
      <c r="AI112" s="21" t="str">
        <f>IF($B112="","",IFERROR(IF($W112="Garis Lurus",$G112*(1-MIN($V112*12,MAX(0,TahunBuku*12+12-$Y112+1))/($V112*12)),IF($W112="Saldo Menurun",IF(TahunBuku&lt;YEAR($F112),$G112,IF(TahunBuku&gt;=INT(($Y112+$V112*12-2)/12),0,$G112*(1-2/$V112*(13-MONTH($F112))/12)*(1-2/$V112)^(TahunBuku-YEAR($F112)))),$G112)),$G112))</f>
        <v/>
      </c>
      <c r="AJ112" s="20" t="str">
        <f>IF($B112="","",IF(OR($W112="Garis Lurus",$W112="Saldo Menurun"),MAX(0,MIN(TahunBuku*12+12,$Y112+$V112*12-1)-MAX(TahunBuku*12+1,$Y112)+1),0))</f>
        <v/>
      </c>
      <c r="AK112" s="20" t="str">
        <f>IF($B112="","",IF(OR($W112="Garis Lurus",$W112="Saldo Menurun"),MAX(0,MIN($Z112,TahunBuku*12+12,$Y112+$V112*12-1)-MAX(TahunBuku*12+1,$Y112)+1),0))</f>
        <v/>
      </c>
      <c r="AL112" s="22" t="str">
        <f>IF($B112="","",$G112*$AA112)</f>
        <v/>
      </c>
      <c r="AM112" s="22" t="str">
        <f>IF($B112="","",$G112*$AB112)</f>
        <v/>
      </c>
      <c r="AN112" s="22" t="str">
        <f>IF($B112="","",$G112*$AC112)</f>
        <v/>
      </c>
      <c r="AO112" s="22" t="str">
        <f>IF($B112="","",AL112+AM112-AN112)</f>
        <v/>
      </c>
      <c r="AP112" s="22" t="str">
        <f>IF($B112="","",($G112-$AD112)*$AA112)</f>
        <v/>
      </c>
      <c r="AQ112" s="22" t="str">
        <f>IF($B112="","",IF($AF112=0,0,($AD112-$AE112)*$AG112/$AF112)*MAX($AA112,$AB112))</f>
        <v/>
      </c>
      <c r="AR112" s="22" t="str">
        <f>IF($B112="","",(AP112+AQ112)*$AC112)</f>
        <v/>
      </c>
      <c r="AS112" s="22" t="str">
        <f>IF($B112="","",AP112+AQ112-AR112)</f>
        <v/>
      </c>
      <c r="AT112" s="22" t="str">
        <f>IF($B112="","",AO112-AS112)</f>
        <v/>
      </c>
      <c r="AU112" s="22" t="str">
        <f>IF($B112="","",IF($AC112=1,N($R112)-($G112-AR112),0))</f>
        <v/>
      </c>
      <c r="AV112" s="22" t="str">
        <f>IF($B112="","",($G112-$AH112)*$AA112)</f>
        <v/>
      </c>
      <c r="AW112" s="22" t="str">
        <f>IF($B112="","",IF($AJ112=0,0,($AH112-$AI112)*$AK112/$AJ112)*MAX($AA112,$AB112))</f>
        <v/>
      </c>
      <c r="AX112" s="22" t="str">
        <f>IF($B112="","",(AV112+AW112)*$AC112)</f>
        <v/>
      </c>
      <c r="AY112" s="22" t="str">
        <f>IF($B112="","",AV112+AW112-AX112)</f>
        <v/>
      </c>
      <c r="AZ112" s="22" t="str">
        <f>IF($B112="","",AO112-AY112)</f>
        <v/>
      </c>
      <c r="BA112" s="22" t="str">
        <f>IF($B112="","",IF($AC112=1,N($R112)-($G112-AX112),0))</f>
        <v/>
      </c>
      <c r="BB112" s="22" t="str">
        <f>IF($B112="","",ROUND(AQ112-AW112,0))</f>
        <v/>
      </c>
      <c r="BC112" s="22" t="str">
        <f>IF($B112="","",ROUND(BA112-AU112,0))</f>
        <v/>
      </c>
      <c r="BD112" s="22" t="str">
        <f>IF($B112="","",BB112+BC112)</f>
        <v/>
      </c>
      <c r="BE112" s="22" t="str">
        <f>IF($B112="","",ROUND(AV112-AP112,0))</f>
        <v/>
      </c>
      <c r="BF112" s="22" t="str">
        <f>IF($B112="","",ROUND(AT112-AZ112,0))</f>
        <v/>
      </c>
      <c r="BG112" s="22" t="str">
        <f>IF($B112="","",ROUND(BF112*TarifPPh,0))</f>
        <v/>
      </c>
      <c r="BH112" t="str">
        <f>IF($B112="","",IF($D112="","Kategori kosong",IF($F112="","Tgl perolehan kosong",IF(N($H112)&gt;$G112,"Residu &gt; harga perolehan",IF(AND(LEFT($U112,8)="Bangunan",$W112="Saldo Menurun"),"Bangunan wajib Garis Lurus (Ps.11 UU PPh)",IF(AND($S112="Unit Produksi",N($K112)=0),"Isi kapasitas unit",IF(AND(OR($S112="Garis Lurus",$S112="Saldo Menurun"),N($T112)&lt;=0),"Umur komersial kosong",IF(AND(OR($W112="Garis Lurus",$W112="Saldo Menurun"),N($V112)&lt;=0),"Masa manfaat fiskal kosong",IF(AND($Q112&lt;&gt;"",$Q112&lt;$F112),"Tgl pelepasan &lt; perolehan","OK")))))))))</f>
        <v/>
      </c>
    </row>
    <row r="113" spans="1:60" x14ac:dyDescent="0.25">
      <c r="A113" t="str">
        <f>IF($B113="","",ROW()-6)</f>
        <v/>
      </c>
      <c r="B113" s="9"/>
      <c r="C113" s="9"/>
      <c r="D113" s="9"/>
      <c r="E113" s="9"/>
      <c r="F113" s="17"/>
      <c r="G113" s="18"/>
      <c r="H113" s="18"/>
      <c r="I113" s="9"/>
      <c r="J113" s="9"/>
      <c r="K113" s="19"/>
      <c r="L113" s="19"/>
      <c r="M113" s="19"/>
      <c r="N113" s="9"/>
      <c r="O113" s="9"/>
      <c r="P113" s="9"/>
      <c r="Q113" s="17"/>
      <c r="R113" s="18"/>
      <c r="S113" t="str">
        <f>IF($B113="","",IF($I113&lt;&gt;"",$I113,IFERROR(INDEX(Kat_Metode,MATCH($D113,Kat_Nama,0)),"")))</f>
        <v/>
      </c>
      <c r="T113" t="str">
        <f>IF($B113="","",IF($J113&lt;&gt;"",$J113,IFERROR(INDEX(Kat_Umur,MATCH($D113,Kat_Nama,0)),0)))</f>
        <v/>
      </c>
      <c r="U113" t="str">
        <f>IF($B113="","",IF($N113&lt;&gt;"",$N113,IFERROR(INDEX(Kat_Kelompok,MATCH($D113,Kat_Nama,0)),"")))</f>
        <v/>
      </c>
      <c r="V113" t="str">
        <f>IF($B113="","",IF($U113="Masa Manfaat Sebenarnya",N($O113),IFERROR(INDEX(Kel_Masa,MATCH($U113,Kel_Nama,0)),0)))</f>
        <v/>
      </c>
      <c r="W113" t="str">
        <f>IF($B113="","",IF($P113&lt;&gt;"",$P113,IF(OR($U113="Tidak Disusutkan",$V113=0),"Tidak Disusutkan","Garis Lurus")))</f>
        <v/>
      </c>
      <c r="X113" t="str">
        <f>IF($B113="","",IF($Y113&gt;TahunBuku*12+12,"Belum Diperoleh",IF($Z113&lt;=TahunBuku*12,"Dilepas (thn lalu)",IF($AC113=1,"Dilepas thn ini",IF($AB113=1,"Perolehan baru","Aktif")))))</f>
        <v/>
      </c>
      <c r="Y113" s="20" t="str">
        <f>IF($B113="","",YEAR($F113)*12+MONTH($F113))</f>
        <v/>
      </c>
      <c r="Z113" s="20" t="str">
        <f>IF($B113="","",IF($Q113="",99999,YEAR($Q113)*12+MONTH($Q113)))</f>
        <v/>
      </c>
      <c r="AA113" s="20" t="str">
        <f>IF($B113="","",--AND($Y113&lt;=TahunBuku*12,$Z113&gt;TahunBuku*12))</f>
        <v/>
      </c>
      <c r="AB113" s="20" t="str">
        <f>IF($B113="","",--AND($Y113&gt;TahunBuku*12,$Y113&lt;=TahunBuku*12+12))</f>
        <v/>
      </c>
      <c r="AC113" s="20" t="str">
        <f>IF($B113="","",--AND($Z113&gt;TahunBuku*12,$Z113&lt;=TahunBuku*12+12,$Y113&lt;=$Z113))</f>
        <v/>
      </c>
      <c r="AD113" s="21" t="str">
        <f>IF($B113="","",IFERROR(IF($S113="Garis Lurus",$G113-($G113-$H113)*MIN($T113*12,MAX(0,TahunBuku*12-$Y113+1))/($T113*12),IF($S113="Saldo Menurun",IF(TahunBuku-1&lt;YEAR($F113),$G113,IF(TahunBuku-1&gt;=INT(($Y113+$T113*12-2)/12),$H113,MAX($H113,$G113*(1-2/$T113*(13-MONTH($F113))/12)*(1-2/$T113)^(TahunBuku-1-YEAR($F113))))),IF($S113="Unit Produksi",$G113-($G113-$H113)*MIN(1,N($L113)/$K113),$G113))),$G113))</f>
        <v/>
      </c>
      <c r="AE113" s="21" t="str">
        <f>IF($B113="","",IFERROR(IF($S113="Garis Lurus",$G113-($G113-$H113)*MIN($T113*12,MAX(0,TahunBuku*12+12-$Y113+1))/($T113*12),IF($S113="Saldo Menurun",IF(TahunBuku&lt;YEAR($F113),$G113,IF(TahunBuku&gt;=INT(($Y113+$T113*12-2)/12),$H113,MAX($H113,$G113*(1-2/$T113*(13-MONTH($F113))/12)*(1-2/$T113)^(TahunBuku-YEAR($F113))))),IF($S113="Unit Produksi",$G113-($G113-$H113)*MIN(1,(N($L113)+N($M113))/$K113),$G113))),$G113))</f>
        <v/>
      </c>
      <c r="AF113" s="20" t="str">
        <f>IF($B113="","",IF(OR($S113="Garis Lurus",$S113="Saldo Menurun",$S113="Unit Produksi"),MAX(0,IF($S113="Unit Produksi",TahunBuku*12+12,MIN(TahunBuku*12+12,$Y113+$T113*12-1))-MAX(TahunBuku*12+1,$Y113)+1),0))</f>
        <v/>
      </c>
      <c r="AG113" s="20" t="str">
        <f>IF($B113="","",IF(OR($S113="Garis Lurus",$S113="Saldo Menurun",$S113="Unit Produksi"),MAX(0,MIN($Z113,IF($S113="Unit Produksi",TahunBuku*12+12,MIN(TahunBuku*12+12,$Y113+$T113*12-1)))-MAX(TahunBuku*12+1,$Y113)+1),0))</f>
        <v/>
      </c>
      <c r="AH113" s="21" t="str">
        <f>IF($B113="","",IFERROR(IF($W113="Garis Lurus",$G113*(1-MIN($V113*12,MAX(0,TahunBuku*12-$Y113+1))/($V113*12)),IF($W113="Saldo Menurun",IF(TahunBuku-1&lt;YEAR($F113),$G113,IF(TahunBuku-1&gt;=INT(($Y113+$V113*12-2)/12),0,$G113*(1-2/$V113*(13-MONTH($F113))/12)*(1-2/$V113)^(TahunBuku-1-YEAR($F113)))),$G113)),$G113))</f>
        <v/>
      </c>
      <c r="AI113" s="21" t="str">
        <f>IF($B113="","",IFERROR(IF($W113="Garis Lurus",$G113*(1-MIN($V113*12,MAX(0,TahunBuku*12+12-$Y113+1))/($V113*12)),IF($W113="Saldo Menurun",IF(TahunBuku&lt;YEAR($F113),$G113,IF(TahunBuku&gt;=INT(($Y113+$V113*12-2)/12),0,$G113*(1-2/$V113*(13-MONTH($F113))/12)*(1-2/$V113)^(TahunBuku-YEAR($F113)))),$G113)),$G113))</f>
        <v/>
      </c>
      <c r="AJ113" s="20" t="str">
        <f>IF($B113="","",IF(OR($W113="Garis Lurus",$W113="Saldo Menurun"),MAX(0,MIN(TahunBuku*12+12,$Y113+$V113*12-1)-MAX(TahunBuku*12+1,$Y113)+1),0))</f>
        <v/>
      </c>
      <c r="AK113" s="20" t="str">
        <f>IF($B113="","",IF(OR($W113="Garis Lurus",$W113="Saldo Menurun"),MAX(0,MIN($Z113,TahunBuku*12+12,$Y113+$V113*12-1)-MAX(TahunBuku*12+1,$Y113)+1),0))</f>
        <v/>
      </c>
      <c r="AL113" s="22" t="str">
        <f>IF($B113="","",$G113*$AA113)</f>
        <v/>
      </c>
      <c r="AM113" s="22" t="str">
        <f>IF($B113="","",$G113*$AB113)</f>
        <v/>
      </c>
      <c r="AN113" s="22" t="str">
        <f>IF($B113="","",$G113*$AC113)</f>
        <v/>
      </c>
      <c r="AO113" s="22" t="str">
        <f>IF($B113="","",AL113+AM113-AN113)</f>
        <v/>
      </c>
      <c r="AP113" s="22" t="str">
        <f>IF($B113="","",($G113-$AD113)*$AA113)</f>
        <v/>
      </c>
      <c r="AQ113" s="22" t="str">
        <f>IF($B113="","",IF($AF113=0,0,($AD113-$AE113)*$AG113/$AF113)*MAX($AA113,$AB113))</f>
        <v/>
      </c>
      <c r="AR113" s="22" t="str">
        <f>IF($B113="","",(AP113+AQ113)*$AC113)</f>
        <v/>
      </c>
      <c r="AS113" s="22" t="str">
        <f>IF($B113="","",AP113+AQ113-AR113)</f>
        <v/>
      </c>
      <c r="AT113" s="22" t="str">
        <f>IF($B113="","",AO113-AS113)</f>
        <v/>
      </c>
      <c r="AU113" s="22" t="str">
        <f>IF($B113="","",IF($AC113=1,N($R113)-($G113-AR113),0))</f>
        <v/>
      </c>
      <c r="AV113" s="22" t="str">
        <f>IF($B113="","",($G113-$AH113)*$AA113)</f>
        <v/>
      </c>
      <c r="AW113" s="22" t="str">
        <f>IF($B113="","",IF($AJ113=0,0,($AH113-$AI113)*$AK113/$AJ113)*MAX($AA113,$AB113))</f>
        <v/>
      </c>
      <c r="AX113" s="22" t="str">
        <f>IF($B113="","",(AV113+AW113)*$AC113)</f>
        <v/>
      </c>
      <c r="AY113" s="22" t="str">
        <f>IF($B113="","",AV113+AW113-AX113)</f>
        <v/>
      </c>
      <c r="AZ113" s="22" t="str">
        <f>IF($B113="","",AO113-AY113)</f>
        <v/>
      </c>
      <c r="BA113" s="22" t="str">
        <f>IF($B113="","",IF($AC113=1,N($R113)-($G113-AX113),0))</f>
        <v/>
      </c>
      <c r="BB113" s="22" t="str">
        <f>IF($B113="","",ROUND(AQ113-AW113,0))</f>
        <v/>
      </c>
      <c r="BC113" s="22" t="str">
        <f>IF($B113="","",ROUND(BA113-AU113,0))</f>
        <v/>
      </c>
      <c r="BD113" s="22" t="str">
        <f>IF($B113="","",BB113+BC113)</f>
        <v/>
      </c>
      <c r="BE113" s="22" t="str">
        <f>IF($B113="","",ROUND(AV113-AP113,0))</f>
        <v/>
      </c>
      <c r="BF113" s="22" t="str">
        <f>IF($B113="","",ROUND(AT113-AZ113,0))</f>
        <v/>
      </c>
      <c r="BG113" s="22" t="str">
        <f>IF($B113="","",ROUND(BF113*TarifPPh,0))</f>
        <v/>
      </c>
      <c r="BH113" t="str">
        <f>IF($B113="","",IF($D113="","Kategori kosong",IF($F113="","Tgl perolehan kosong",IF(N($H113)&gt;$G113,"Residu &gt; harga perolehan",IF(AND(LEFT($U113,8)="Bangunan",$W113="Saldo Menurun"),"Bangunan wajib Garis Lurus (Ps.11 UU PPh)",IF(AND($S113="Unit Produksi",N($K113)=0),"Isi kapasitas unit",IF(AND(OR($S113="Garis Lurus",$S113="Saldo Menurun"),N($T113)&lt;=0),"Umur komersial kosong",IF(AND(OR($W113="Garis Lurus",$W113="Saldo Menurun"),N($V113)&lt;=0),"Masa manfaat fiskal kosong",IF(AND($Q113&lt;&gt;"",$Q113&lt;$F113),"Tgl pelepasan &lt; perolehan","OK")))))))))</f>
        <v/>
      </c>
    </row>
    <row r="114" spans="1:60" x14ac:dyDescent="0.25">
      <c r="A114" t="str">
        <f>IF($B114="","",ROW()-6)</f>
        <v/>
      </c>
      <c r="B114" s="9"/>
      <c r="C114" s="9"/>
      <c r="D114" s="9"/>
      <c r="E114" s="9"/>
      <c r="F114" s="17"/>
      <c r="G114" s="18"/>
      <c r="H114" s="18"/>
      <c r="I114" s="9"/>
      <c r="J114" s="9"/>
      <c r="K114" s="19"/>
      <c r="L114" s="19"/>
      <c r="M114" s="19"/>
      <c r="N114" s="9"/>
      <c r="O114" s="9"/>
      <c r="P114" s="9"/>
      <c r="Q114" s="17"/>
      <c r="R114" s="18"/>
      <c r="S114" t="str">
        <f>IF($B114="","",IF($I114&lt;&gt;"",$I114,IFERROR(INDEX(Kat_Metode,MATCH($D114,Kat_Nama,0)),"")))</f>
        <v/>
      </c>
      <c r="T114" t="str">
        <f>IF($B114="","",IF($J114&lt;&gt;"",$J114,IFERROR(INDEX(Kat_Umur,MATCH($D114,Kat_Nama,0)),0)))</f>
        <v/>
      </c>
      <c r="U114" t="str">
        <f>IF($B114="","",IF($N114&lt;&gt;"",$N114,IFERROR(INDEX(Kat_Kelompok,MATCH($D114,Kat_Nama,0)),"")))</f>
        <v/>
      </c>
      <c r="V114" t="str">
        <f>IF($B114="","",IF($U114="Masa Manfaat Sebenarnya",N($O114),IFERROR(INDEX(Kel_Masa,MATCH($U114,Kel_Nama,0)),0)))</f>
        <v/>
      </c>
      <c r="W114" t="str">
        <f>IF($B114="","",IF($P114&lt;&gt;"",$P114,IF(OR($U114="Tidak Disusutkan",$V114=0),"Tidak Disusutkan","Garis Lurus")))</f>
        <v/>
      </c>
      <c r="X114" t="str">
        <f>IF($B114="","",IF($Y114&gt;TahunBuku*12+12,"Belum Diperoleh",IF($Z114&lt;=TahunBuku*12,"Dilepas (thn lalu)",IF($AC114=1,"Dilepas thn ini",IF($AB114=1,"Perolehan baru","Aktif")))))</f>
        <v/>
      </c>
      <c r="Y114" s="20" t="str">
        <f>IF($B114="","",YEAR($F114)*12+MONTH($F114))</f>
        <v/>
      </c>
      <c r="Z114" s="20" t="str">
        <f>IF($B114="","",IF($Q114="",99999,YEAR($Q114)*12+MONTH($Q114)))</f>
        <v/>
      </c>
      <c r="AA114" s="20" t="str">
        <f>IF($B114="","",--AND($Y114&lt;=TahunBuku*12,$Z114&gt;TahunBuku*12))</f>
        <v/>
      </c>
      <c r="AB114" s="20" t="str">
        <f>IF($B114="","",--AND($Y114&gt;TahunBuku*12,$Y114&lt;=TahunBuku*12+12))</f>
        <v/>
      </c>
      <c r="AC114" s="20" t="str">
        <f>IF($B114="","",--AND($Z114&gt;TahunBuku*12,$Z114&lt;=TahunBuku*12+12,$Y114&lt;=$Z114))</f>
        <v/>
      </c>
      <c r="AD114" s="21" t="str">
        <f>IF($B114="","",IFERROR(IF($S114="Garis Lurus",$G114-($G114-$H114)*MIN($T114*12,MAX(0,TahunBuku*12-$Y114+1))/($T114*12),IF($S114="Saldo Menurun",IF(TahunBuku-1&lt;YEAR($F114),$G114,IF(TahunBuku-1&gt;=INT(($Y114+$T114*12-2)/12),$H114,MAX($H114,$G114*(1-2/$T114*(13-MONTH($F114))/12)*(1-2/$T114)^(TahunBuku-1-YEAR($F114))))),IF($S114="Unit Produksi",$G114-($G114-$H114)*MIN(1,N($L114)/$K114),$G114))),$G114))</f>
        <v/>
      </c>
      <c r="AE114" s="21" t="str">
        <f>IF($B114="","",IFERROR(IF($S114="Garis Lurus",$G114-($G114-$H114)*MIN($T114*12,MAX(0,TahunBuku*12+12-$Y114+1))/($T114*12),IF($S114="Saldo Menurun",IF(TahunBuku&lt;YEAR($F114),$G114,IF(TahunBuku&gt;=INT(($Y114+$T114*12-2)/12),$H114,MAX($H114,$G114*(1-2/$T114*(13-MONTH($F114))/12)*(1-2/$T114)^(TahunBuku-YEAR($F114))))),IF($S114="Unit Produksi",$G114-($G114-$H114)*MIN(1,(N($L114)+N($M114))/$K114),$G114))),$G114))</f>
        <v/>
      </c>
      <c r="AF114" s="20" t="str">
        <f>IF($B114="","",IF(OR($S114="Garis Lurus",$S114="Saldo Menurun",$S114="Unit Produksi"),MAX(0,IF($S114="Unit Produksi",TahunBuku*12+12,MIN(TahunBuku*12+12,$Y114+$T114*12-1))-MAX(TahunBuku*12+1,$Y114)+1),0))</f>
        <v/>
      </c>
      <c r="AG114" s="20" t="str">
        <f>IF($B114="","",IF(OR($S114="Garis Lurus",$S114="Saldo Menurun",$S114="Unit Produksi"),MAX(0,MIN($Z114,IF($S114="Unit Produksi",TahunBuku*12+12,MIN(TahunBuku*12+12,$Y114+$T114*12-1)))-MAX(TahunBuku*12+1,$Y114)+1),0))</f>
        <v/>
      </c>
      <c r="AH114" s="21" t="str">
        <f>IF($B114="","",IFERROR(IF($W114="Garis Lurus",$G114*(1-MIN($V114*12,MAX(0,TahunBuku*12-$Y114+1))/($V114*12)),IF($W114="Saldo Menurun",IF(TahunBuku-1&lt;YEAR($F114),$G114,IF(TahunBuku-1&gt;=INT(($Y114+$V114*12-2)/12),0,$G114*(1-2/$V114*(13-MONTH($F114))/12)*(1-2/$V114)^(TahunBuku-1-YEAR($F114)))),$G114)),$G114))</f>
        <v/>
      </c>
      <c r="AI114" s="21" t="str">
        <f>IF($B114="","",IFERROR(IF($W114="Garis Lurus",$G114*(1-MIN($V114*12,MAX(0,TahunBuku*12+12-$Y114+1))/($V114*12)),IF($W114="Saldo Menurun",IF(TahunBuku&lt;YEAR($F114),$G114,IF(TahunBuku&gt;=INT(($Y114+$V114*12-2)/12),0,$G114*(1-2/$V114*(13-MONTH($F114))/12)*(1-2/$V114)^(TahunBuku-YEAR($F114)))),$G114)),$G114))</f>
        <v/>
      </c>
      <c r="AJ114" s="20" t="str">
        <f>IF($B114="","",IF(OR($W114="Garis Lurus",$W114="Saldo Menurun"),MAX(0,MIN(TahunBuku*12+12,$Y114+$V114*12-1)-MAX(TahunBuku*12+1,$Y114)+1),0))</f>
        <v/>
      </c>
      <c r="AK114" s="20" t="str">
        <f>IF($B114="","",IF(OR($W114="Garis Lurus",$W114="Saldo Menurun"),MAX(0,MIN($Z114,TahunBuku*12+12,$Y114+$V114*12-1)-MAX(TahunBuku*12+1,$Y114)+1),0))</f>
        <v/>
      </c>
      <c r="AL114" s="22" t="str">
        <f>IF($B114="","",$G114*$AA114)</f>
        <v/>
      </c>
      <c r="AM114" s="22" t="str">
        <f>IF($B114="","",$G114*$AB114)</f>
        <v/>
      </c>
      <c r="AN114" s="22" t="str">
        <f>IF($B114="","",$G114*$AC114)</f>
        <v/>
      </c>
      <c r="AO114" s="22" t="str">
        <f>IF($B114="","",AL114+AM114-AN114)</f>
        <v/>
      </c>
      <c r="AP114" s="22" t="str">
        <f>IF($B114="","",($G114-$AD114)*$AA114)</f>
        <v/>
      </c>
      <c r="AQ114" s="22" t="str">
        <f>IF($B114="","",IF($AF114=0,0,($AD114-$AE114)*$AG114/$AF114)*MAX($AA114,$AB114))</f>
        <v/>
      </c>
      <c r="AR114" s="22" t="str">
        <f>IF($B114="","",(AP114+AQ114)*$AC114)</f>
        <v/>
      </c>
      <c r="AS114" s="22" t="str">
        <f>IF($B114="","",AP114+AQ114-AR114)</f>
        <v/>
      </c>
      <c r="AT114" s="22" t="str">
        <f>IF($B114="","",AO114-AS114)</f>
        <v/>
      </c>
      <c r="AU114" s="22" t="str">
        <f>IF($B114="","",IF($AC114=1,N($R114)-($G114-AR114),0))</f>
        <v/>
      </c>
      <c r="AV114" s="22" t="str">
        <f>IF($B114="","",($G114-$AH114)*$AA114)</f>
        <v/>
      </c>
      <c r="AW114" s="22" t="str">
        <f>IF($B114="","",IF($AJ114=0,0,($AH114-$AI114)*$AK114/$AJ114)*MAX($AA114,$AB114))</f>
        <v/>
      </c>
      <c r="AX114" s="22" t="str">
        <f>IF($B114="","",(AV114+AW114)*$AC114)</f>
        <v/>
      </c>
      <c r="AY114" s="22" t="str">
        <f>IF($B114="","",AV114+AW114-AX114)</f>
        <v/>
      </c>
      <c r="AZ114" s="22" t="str">
        <f>IF($B114="","",AO114-AY114)</f>
        <v/>
      </c>
      <c r="BA114" s="22" t="str">
        <f>IF($B114="","",IF($AC114=1,N($R114)-($G114-AX114),0))</f>
        <v/>
      </c>
      <c r="BB114" s="22" t="str">
        <f>IF($B114="","",ROUND(AQ114-AW114,0))</f>
        <v/>
      </c>
      <c r="BC114" s="22" t="str">
        <f>IF($B114="","",ROUND(BA114-AU114,0))</f>
        <v/>
      </c>
      <c r="BD114" s="22" t="str">
        <f>IF($B114="","",BB114+BC114)</f>
        <v/>
      </c>
      <c r="BE114" s="22" t="str">
        <f>IF($B114="","",ROUND(AV114-AP114,0))</f>
        <v/>
      </c>
      <c r="BF114" s="22" t="str">
        <f>IF($B114="","",ROUND(AT114-AZ114,0))</f>
        <v/>
      </c>
      <c r="BG114" s="22" t="str">
        <f>IF($B114="","",ROUND(BF114*TarifPPh,0))</f>
        <v/>
      </c>
      <c r="BH114" t="str">
        <f>IF($B114="","",IF($D114="","Kategori kosong",IF($F114="","Tgl perolehan kosong",IF(N($H114)&gt;$G114,"Residu &gt; harga perolehan",IF(AND(LEFT($U114,8)="Bangunan",$W114="Saldo Menurun"),"Bangunan wajib Garis Lurus (Ps.11 UU PPh)",IF(AND($S114="Unit Produksi",N($K114)=0),"Isi kapasitas unit",IF(AND(OR($S114="Garis Lurus",$S114="Saldo Menurun"),N($T114)&lt;=0),"Umur komersial kosong",IF(AND(OR($W114="Garis Lurus",$W114="Saldo Menurun"),N($V114)&lt;=0),"Masa manfaat fiskal kosong",IF(AND($Q114&lt;&gt;"",$Q114&lt;$F114),"Tgl pelepasan &lt; perolehan","OK")))))))))</f>
        <v/>
      </c>
    </row>
    <row r="115" spans="1:60" x14ac:dyDescent="0.25">
      <c r="A115" t="str">
        <f>IF($B115="","",ROW()-6)</f>
        <v/>
      </c>
      <c r="B115" s="9"/>
      <c r="C115" s="9"/>
      <c r="D115" s="9"/>
      <c r="E115" s="9"/>
      <c r="F115" s="17"/>
      <c r="G115" s="18"/>
      <c r="H115" s="18"/>
      <c r="I115" s="9"/>
      <c r="J115" s="9"/>
      <c r="K115" s="19"/>
      <c r="L115" s="19"/>
      <c r="M115" s="19"/>
      <c r="N115" s="9"/>
      <c r="O115" s="9"/>
      <c r="P115" s="9"/>
      <c r="Q115" s="17"/>
      <c r="R115" s="18"/>
      <c r="S115" t="str">
        <f>IF($B115="","",IF($I115&lt;&gt;"",$I115,IFERROR(INDEX(Kat_Metode,MATCH($D115,Kat_Nama,0)),"")))</f>
        <v/>
      </c>
      <c r="T115" t="str">
        <f>IF($B115="","",IF($J115&lt;&gt;"",$J115,IFERROR(INDEX(Kat_Umur,MATCH($D115,Kat_Nama,0)),0)))</f>
        <v/>
      </c>
      <c r="U115" t="str">
        <f>IF($B115="","",IF($N115&lt;&gt;"",$N115,IFERROR(INDEX(Kat_Kelompok,MATCH($D115,Kat_Nama,0)),"")))</f>
        <v/>
      </c>
      <c r="V115" t="str">
        <f>IF($B115="","",IF($U115="Masa Manfaat Sebenarnya",N($O115),IFERROR(INDEX(Kel_Masa,MATCH($U115,Kel_Nama,0)),0)))</f>
        <v/>
      </c>
      <c r="W115" t="str">
        <f>IF($B115="","",IF($P115&lt;&gt;"",$P115,IF(OR($U115="Tidak Disusutkan",$V115=0),"Tidak Disusutkan","Garis Lurus")))</f>
        <v/>
      </c>
      <c r="X115" t="str">
        <f>IF($B115="","",IF($Y115&gt;TahunBuku*12+12,"Belum Diperoleh",IF($Z115&lt;=TahunBuku*12,"Dilepas (thn lalu)",IF($AC115=1,"Dilepas thn ini",IF($AB115=1,"Perolehan baru","Aktif")))))</f>
        <v/>
      </c>
      <c r="Y115" s="20" t="str">
        <f>IF($B115="","",YEAR($F115)*12+MONTH($F115))</f>
        <v/>
      </c>
      <c r="Z115" s="20" t="str">
        <f>IF($B115="","",IF($Q115="",99999,YEAR($Q115)*12+MONTH($Q115)))</f>
        <v/>
      </c>
      <c r="AA115" s="20" t="str">
        <f>IF($B115="","",--AND($Y115&lt;=TahunBuku*12,$Z115&gt;TahunBuku*12))</f>
        <v/>
      </c>
      <c r="AB115" s="20" t="str">
        <f>IF($B115="","",--AND($Y115&gt;TahunBuku*12,$Y115&lt;=TahunBuku*12+12))</f>
        <v/>
      </c>
      <c r="AC115" s="20" t="str">
        <f>IF($B115="","",--AND($Z115&gt;TahunBuku*12,$Z115&lt;=TahunBuku*12+12,$Y115&lt;=$Z115))</f>
        <v/>
      </c>
      <c r="AD115" s="21" t="str">
        <f>IF($B115="","",IFERROR(IF($S115="Garis Lurus",$G115-($G115-$H115)*MIN($T115*12,MAX(0,TahunBuku*12-$Y115+1))/($T115*12),IF($S115="Saldo Menurun",IF(TahunBuku-1&lt;YEAR($F115),$G115,IF(TahunBuku-1&gt;=INT(($Y115+$T115*12-2)/12),$H115,MAX($H115,$G115*(1-2/$T115*(13-MONTH($F115))/12)*(1-2/$T115)^(TahunBuku-1-YEAR($F115))))),IF($S115="Unit Produksi",$G115-($G115-$H115)*MIN(1,N($L115)/$K115),$G115))),$G115))</f>
        <v/>
      </c>
      <c r="AE115" s="21" t="str">
        <f>IF($B115="","",IFERROR(IF($S115="Garis Lurus",$G115-($G115-$H115)*MIN($T115*12,MAX(0,TahunBuku*12+12-$Y115+1))/($T115*12),IF($S115="Saldo Menurun",IF(TahunBuku&lt;YEAR($F115),$G115,IF(TahunBuku&gt;=INT(($Y115+$T115*12-2)/12),$H115,MAX($H115,$G115*(1-2/$T115*(13-MONTH($F115))/12)*(1-2/$T115)^(TahunBuku-YEAR($F115))))),IF($S115="Unit Produksi",$G115-($G115-$H115)*MIN(1,(N($L115)+N($M115))/$K115),$G115))),$G115))</f>
        <v/>
      </c>
      <c r="AF115" s="20" t="str">
        <f>IF($B115="","",IF(OR($S115="Garis Lurus",$S115="Saldo Menurun",$S115="Unit Produksi"),MAX(0,IF($S115="Unit Produksi",TahunBuku*12+12,MIN(TahunBuku*12+12,$Y115+$T115*12-1))-MAX(TahunBuku*12+1,$Y115)+1),0))</f>
        <v/>
      </c>
      <c r="AG115" s="20" t="str">
        <f>IF($B115="","",IF(OR($S115="Garis Lurus",$S115="Saldo Menurun",$S115="Unit Produksi"),MAX(0,MIN($Z115,IF($S115="Unit Produksi",TahunBuku*12+12,MIN(TahunBuku*12+12,$Y115+$T115*12-1)))-MAX(TahunBuku*12+1,$Y115)+1),0))</f>
        <v/>
      </c>
      <c r="AH115" s="21" t="str">
        <f>IF($B115="","",IFERROR(IF($W115="Garis Lurus",$G115*(1-MIN($V115*12,MAX(0,TahunBuku*12-$Y115+1))/($V115*12)),IF($W115="Saldo Menurun",IF(TahunBuku-1&lt;YEAR($F115),$G115,IF(TahunBuku-1&gt;=INT(($Y115+$V115*12-2)/12),0,$G115*(1-2/$V115*(13-MONTH($F115))/12)*(1-2/$V115)^(TahunBuku-1-YEAR($F115)))),$G115)),$G115))</f>
        <v/>
      </c>
      <c r="AI115" s="21" t="str">
        <f>IF($B115="","",IFERROR(IF($W115="Garis Lurus",$G115*(1-MIN($V115*12,MAX(0,TahunBuku*12+12-$Y115+1))/($V115*12)),IF($W115="Saldo Menurun",IF(TahunBuku&lt;YEAR($F115),$G115,IF(TahunBuku&gt;=INT(($Y115+$V115*12-2)/12),0,$G115*(1-2/$V115*(13-MONTH($F115))/12)*(1-2/$V115)^(TahunBuku-YEAR($F115)))),$G115)),$G115))</f>
        <v/>
      </c>
      <c r="AJ115" s="20" t="str">
        <f>IF($B115="","",IF(OR($W115="Garis Lurus",$W115="Saldo Menurun"),MAX(0,MIN(TahunBuku*12+12,$Y115+$V115*12-1)-MAX(TahunBuku*12+1,$Y115)+1),0))</f>
        <v/>
      </c>
      <c r="AK115" s="20" t="str">
        <f>IF($B115="","",IF(OR($W115="Garis Lurus",$W115="Saldo Menurun"),MAX(0,MIN($Z115,TahunBuku*12+12,$Y115+$V115*12-1)-MAX(TahunBuku*12+1,$Y115)+1),0))</f>
        <v/>
      </c>
      <c r="AL115" s="22" t="str">
        <f>IF($B115="","",$G115*$AA115)</f>
        <v/>
      </c>
      <c r="AM115" s="22" t="str">
        <f>IF($B115="","",$G115*$AB115)</f>
        <v/>
      </c>
      <c r="AN115" s="22" t="str">
        <f>IF($B115="","",$G115*$AC115)</f>
        <v/>
      </c>
      <c r="AO115" s="22" t="str">
        <f>IF($B115="","",AL115+AM115-AN115)</f>
        <v/>
      </c>
      <c r="AP115" s="22" t="str">
        <f>IF($B115="","",($G115-$AD115)*$AA115)</f>
        <v/>
      </c>
      <c r="AQ115" s="22" t="str">
        <f>IF($B115="","",IF($AF115=0,0,($AD115-$AE115)*$AG115/$AF115)*MAX($AA115,$AB115))</f>
        <v/>
      </c>
      <c r="AR115" s="22" t="str">
        <f>IF($B115="","",(AP115+AQ115)*$AC115)</f>
        <v/>
      </c>
      <c r="AS115" s="22" t="str">
        <f>IF($B115="","",AP115+AQ115-AR115)</f>
        <v/>
      </c>
      <c r="AT115" s="22" t="str">
        <f>IF($B115="","",AO115-AS115)</f>
        <v/>
      </c>
      <c r="AU115" s="22" t="str">
        <f>IF($B115="","",IF($AC115=1,N($R115)-($G115-AR115),0))</f>
        <v/>
      </c>
      <c r="AV115" s="22" t="str">
        <f>IF($B115="","",($G115-$AH115)*$AA115)</f>
        <v/>
      </c>
      <c r="AW115" s="22" t="str">
        <f>IF($B115="","",IF($AJ115=0,0,($AH115-$AI115)*$AK115/$AJ115)*MAX($AA115,$AB115))</f>
        <v/>
      </c>
      <c r="AX115" s="22" t="str">
        <f>IF($B115="","",(AV115+AW115)*$AC115)</f>
        <v/>
      </c>
      <c r="AY115" s="22" t="str">
        <f>IF($B115="","",AV115+AW115-AX115)</f>
        <v/>
      </c>
      <c r="AZ115" s="22" t="str">
        <f>IF($B115="","",AO115-AY115)</f>
        <v/>
      </c>
      <c r="BA115" s="22" t="str">
        <f>IF($B115="","",IF($AC115=1,N($R115)-($G115-AX115),0))</f>
        <v/>
      </c>
      <c r="BB115" s="22" t="str">
        <f>IF($B115="","",ROUND(AQ115-AW115,0))</f>
        <v/>
      </c>
      <c r="BC115" s="22" t="str">
        <f>IF($B115="","",ROUND(BA115-AU115,0))</f>
        <v/>
      </c>
      <c r="BD115" s="22" t="str">
        <f>IF($B115="","",BB115+BC115)</f>
        <v/>
      </c>
      <c r="BE115" s="22" t="str">
        <f>IF($B115="","",ROUND(AV115-AP115,0))</f>
        <v/>
      </c>
      <c r="BF115" s="22" t="str">
        <f>IF($B115="","",ROUND(AT115-AZ115,0))</f>
        <v/>
      </c>
      <c r="BG115" s="22" t="str">
        <f>IF($B115="","",ROUND(BF115*TarifPPh,0))</f>
        <v/>
      </c>
      <c r="BH115" t="str">
        <f>IF($B115="","",IF($D115="","Kategori kosong",IF($F115="","Tgl perolehan kosong",IF(N($H115)&gt;$G115,"Residu &gt; harga perolehan",IF(AND(LEFT($U115,8)="Bangunan",$W115="Saldo Menurun"),"Bangunan wajib Garis Lurus (Ps.11 UU PPh)",IF(AND($S115="Unit Produksi",N($K115)=0),"Isi kapasitas unit",IF(AND(OR($S115="Garis Lurus",$S115="Saldo Menurun"),N($T115)&lt;=0),"Umur komersial kosong",IF(AND(OR($W115="Garis Lurus",$W115="Saldo Menurun"),N($V115)&lt;=0),"Masa manfaat fiskal kosong",IF(AND($Q115&lt;&gt;"",$Q115&lt;$F115),"Tgl pelepasan &lt; perolehan","OK")))))))))</f>
        <v/>
      </c>
    </row>
    <row r="116" spans="1:60" x14ac:dyDescent="0.25">
      <c r="A116" t="str">
        <f>IF($B116="","",ROW()-6)</f>
        <v/>
      </c>
      <c r="B116" s="9"/>
      <c r="C116" s="9"/>
      <c r="D116" s="9"/>
      <c r="E116" s="9"/>
      <c r="F116" s="17"/>
      <c r="G116" s="18"/>
      <c r="H116" s="18"/>
      <c r="I116" s="9"/>
      <c r="J116" s="9"/>
      <c r="K116" s="19"/>
      <c r="L116" s="19"/>
      <c r="M116" s="19"/>
      <c r="N116" s="9"/>
      <c r="O116" s="9"/>
      <c r="P116" s="9"/>
      <c r="Q116" s="17"/>
      <c r="R116" s="18"/>
      <c r="S116" t="str">
        <f>IF($B116="","",IF($I116&lt;&gt;"",$I116,IFERROR(INDEX(Kat_Metode,MATCH($D116,Kat_Nama,0)),"")))</f>
        <v/>
      </c>
      <c r="T116" t="str">
        <f>IF($B116="","",IF($J116&lt;&gt;"",$J116,IFERROR(INDEX(Kat_Umur,MATCH($D116,Kat_Nama,0)),0)))</f>
        <v/>
      </c>
      <c r="U116" t="str">
        <f>IF($B116="","",IF($N116&lt;&gt;"",$N116,IFERROR(INDEX(Kat_Kelompok,MATCH($D116,Kat_Nama,0)),"")))</f>
        <v/>
      </c>
      <c r="V116" t="str">
        <f>IF($B116="","",IF($U116="Masa Manfaat Sebenarnya",N($O116),IFERROR(INDEX(Kel_Masa,MATCH($U116,Kel_Nama,0)),0)))</f>
        <v/>
      </c>
      <c r="W116" t="str">
        <f>IF($B116="","",IF($P116&lt;&gt;"",$P116,IF(OR($U116="Tidak Disusutkan",$V116=0),"Tidak Disusutkan","Garis Lurus")))</f>
        <v/>
      </c>
      <c r="X116" t="str">
        <f>IF($B116="","",IF($Y116&gt;TahunBuku*12+12,"Belum Diperoleh",IF($Z116&lt;=TahunBuku*12,"Dilepas (thn lalu)",IF($AC116=1,"Dilepas thn ini",IF($AB116=1,"Perolehan baru","Aktif")))))</f>
        <v/>
      </c>
      <c r="Y116" s="20" t="str">
        <f>IF($B116="","",YEAR($F116)*12+MONTH($F116))</f>
        <v/>
      </c>
      <c r="Z116" s="20" t="str">
        <f>IF($B116="","",IF($Q116="",99999,YEAR($Q116)*12+MONTH($Q116)))</f>
        <v/>
      </c>
      <c r="AA116" s="20" t="str">
        <f>IF($B116="","",--AND($Y116&lt;=TahunBuku*12,$Z116&gt;TahunBuku*12))</f>
        <v/>
      </c>
      <c r="AB116" s="20" t="str">
        <f>IF($B116="","",--AND($Y116&gt;TahunBuku*12,$Y116&lt;=TahunBuku*12+12))</f>
        <v/>
      </c>
      <c r="AC116" s="20" t="str">
        <f>IF($B116="","",--AND($Z116&gt;TahunBuku*12,$Z116&lt;=TahunBuku*12+12,$Y116&lt;=$Z116))</f>
        <v/>
      </c>
      <c r="AD116" s="21" t="str">
        <f>IF($B116="","",IFERROR(IF($S116="Garis Lurus",$G116-($G116-$H116)*MIN($T116*12,MAX(0,TahunBuku*12-$Y116+1))/($T116*12),IF($S116="Saldo Menurun",IF(TahunBuku-1&lt;YEAR($F116),$G116,IF(TahunBuku-1&gt;=INT(($Y116+$T116*12-2)/12),$H116,MAX($H116,$G116*(1-2/$T116*(13-MONTH($F116))/12)*(1-2/$T116)^(TahunBuku-1-YEAR($F116))))),IF($S116="Unit Produksi",$G116-($G116-$H116)*MIN(1,N($L116)/$K116),$G116))),$G116))</f>
        <v/>
      </c>
      <c r="AE116" s="21" t="str">
        <f>IF($B116="","",IFERROR(IF($S116="Garis Lurus",$G116-($G116-$H116)*MIN($T116*12,MAX(0,TahunBuku*12+12-$Y116+1))/($T116*12),IF($S116="Saldo Menurun",IF(TahunBuku&lt;YEAR($F116),$G116,IF(TahunBuku&gt;=INT(($Y116+$T116*12-2)/12),$H116,MAX($H116,$G116*(1-2/$T116*(13-MONTH($F116))/12)*(1-2/$T116)^(TahunBuku-YEAR($F116))))),IF($S116="Unit Produksi",$G116-($G116-$H116)*MIN(1,(N($L116)+N($M116))/$K116),$G116))),$G116))</f>
        <v/>
      </c>
      <c r="AF116" s="20" t="str">
        <f>IF($B116="","",IF(OR($S116="Garis Lurus",$S116="Saldo Menurun",$S116="Unit Produksi"),MAX(0,IF($S116="Unit Produksi",TahunBuku*12+12,MIN(TahunBuku*12+12,$Y116+$T116*12-1))-MAX(TahunBuku*12+1,$Y116)+1),0))</f>
        <v/>
      </c>
      <c r="AG116" s="20" t="str">
        <f>IF($B116="","",IF(OR($S116="Garis Lurus",$S116="Saldo Menurun",$S116="Unit Produksi"),MAX(0,MIN($Z116,IF($S116="Unit Produksi",TahunBuku*12+12,MIN(TahunBuku*12+12,$Y116+$T116*12-1)))-MAX(TahunBuku*12+1,$Y116)+1),0))</f>
        <v/>
      </c>
      <c r="AH116" s="21" t="str">
        <f>IF($B116="","",IFERROR(IF($W116="Garis Lurus",$G116*(1-MIN($V116*12,MAX(0,TahunBuku*12-$Y116+1))/($V116*12)),IF($W116="Saldo Menurun",IF(TahunBuku-1&lt;YEAR($F116),$G116,IF(TahunBuku-1&gt;=INT(($Y116+$V116*12-2)/12),0,$G116*(1-2/$V116*(13-MONTH($F116))/12)*(1-2/$V116)^(TahunBuku-1-YEAR($F116)))),$G116)),$G116))</f>
        <v/>
      </c>
      <c r="AI116" s="21" t="str">
        <f>IF($B116="","",IFERROR(IF($W116="Garis Lurus",$G116*(1-MIN($V116*12,MAX(0,TahunBuku*12+12-$Y116+1))/($V116*12)),IF($W116="Saldo Menurun",IF(TahunBuku&lt;YEAR($F116),$G116,IF(TahunBuku&gt;=INT(($Y116+$V116*12-2)/12),0,$G116*(1-2/$V116*(13-MONTH($F116))/12)*(1-2/$V116)^(TahunBuku-YEAR($F116)))),$G116)),$G116))</f>
        <v/>
      </c>
      <c r="AJ116" s="20" t="str">
        <f>IF($B116="","",IF(OR($W116="Garis Lurus",$W116="Saldo Menurun"),MAX(0,MIN(TahunBuku*12+12,$Y116+$V116*12-1)-MAX(TahunBuku*12+1,$Y116)+1),0))</f>
        <v/>
      </c>
      <c r="AK116" s="20" t="str">
        <f>IF($B116="","",IF(OR($W116="Garis Lurus",$W116="Saldo Menurun"),MAX(0,MIN($Z116,TahunBuku*12+12,$Y116+$V116*12-1)-MAX(TahunBuku*12+1,$Y116)+1),0))</f>
        <v/>
      </c>
      <c r="AL116" s="22" t="str">
        <f>IF($B116="","",$G116*$AA116)</f>
        <v/>
      </c>
      <c r="AM116" s="22" t="str">
        <f>IF($B116="","",$G116*$AB116)</f>
        <v/>
      </c>
      <c r="AN116" s="22" t="str">
        <f>IF($B116="","",$G116*$AC116)</f>
        <v/>
      </c>
      <c r="AO116" s="22" t="str">
        <f>IF($B116="","",AL116+AM116-AN116)</f>
        <v/>
      </c>
      <c r="AP116" s="22" t="str">
        <f>IF($B116="","",($G116-$AD116)*$AA116)</f>
        <v/>
      </c>
      <c r="AQ116" s="22" t="str">
        <f>IF($B116="","",IF($AF116=0,0,($AD116-$AE116)*$AG116/$AF116)*MAX($AA116,$AB116))</f>
        <v/>
      </c>
      <c r="AR116" s="22" t="str">
        <f>IF($B116="","",(AP116+AQ116)*$AC116)</f>
        <v/>
      </c>
      <c r="AS116" s="22" t="str">
        <f>IF($B116="","",AP116+AQ116-AR116)</f>
        <v/>
      </c>
      <c r="AT116" s="22" t="str">
        <f>IF($B116="","",AO116-AS116)</f>
        <v/>
      </c>
      <c r="AU116" s="22" t="str">
        <f>IF($B116="","",IF($AC116=1,N($R116)-($G116-AR116),0))</f>
        <v/>
      </c>
      <c r="AV116" s="22" t="str">
        <f>IF($B116="","",($G116-$AH116)*$AA116)</f>
        <v/>
      </c>
      <c r="AW116" s="22" t="str">
        <f>IF($B116="","",IF($AJ116=0,0,($AH116-$AI116)*$AK116/$AJ116)*MAX($AA116,$AB116))</f>
        <v/>
      </c>
      <c r="AX116" s="22" t="str">
        <f>IF($B116="","",(AV116+AW116)*$AC116)</f>
        <v/>
      </c>
      <c r="AY116" s="22" t="str">
        <f>IF($B116="","",AV116+AW116-AX116)</f>
        <v/>
      </c>
      <c r="AZ116" s="22" t="str">
        <f>IF($B116="","",AO116-AY116)</f>
        <v/>
      </c>
      <c r="BA116" s="22" t="str">
        <f>IF($B116="","",IF($AC116=1,N($R116)-($G116-AX116),0))</f>
        <v/>
      </c>
      <c r="BB116" s="22" t="str">
        <f>IF($B116="","",ROUND(AQ116-AW116,0))</f>
        <v/>
      </c>
      <c r="BC116" s="22" t="str">
        <f>IF($B116="","",ROUND(BA116-AU116,0))</f>
        <v/>
      </c>
      <c r="BD116" s="22" t="str">
        <f>IF($B116="","",BB116+BC116)</f>
        <v/>
      </c>
      <c r="BE116" s="22" t="str">
        <f>IF($B116="","",ROUND(AV116-AP116,0))</f>
        <v/>
      </c>
      <c r="BF116" s="22" t="str">
        <f>IF($B116="","",ROUND(AT116-AZ116,0))</f>
        <v/>
      </c>
      <c r="BG116" s="22" t="str">
        <f>IF($B116="","",ROUND(BF116*TarifPPh,0))</f>
        <v/>
      </c>
      <c r="BH116" t="str">
        <f>IF($B116="","",IF($D116="","Kategori kosong",IF($F116="","Tgl perolehan kosong",IF(N($H116)&gt;$G116,"Residu &gt; harga perolehan",IF(AND(LEFT($U116,8)="Bangunan",$W116="Saldo Menurun"),"Bangunan wajib Garis Lurus (Ps.11 UU PPh)",IF(AND($S116="Unit Produksi",N($K116)=0),"Isi kapasitas unit",IF(AND(OR($S116="Garis Lurus",$S116="Saldo Menurun"),N($T116)&lt;=0),"Umur komersial kosong",IF(AND(OR($W116="Garis Lurus",$W116="Saldo Menurun"),N($V116)&lt;=0),"Masa manfaat fiskal kosong",IF(AND($Q116&lt;&gt;"",$Q116&lt;$F116),"Tgl pelepasan &lt; perolehan","OK")))))))))</f>
        <v/>
      </c>
    </row>
    <row r="117" spans="1:60" x14ac:dyDescent="0.25">
      <c r="A117" t="str">
        <f>IF($B117="","",ROW()-6)</f>
        <v/>
      </c>
      <c r="B117" s="9"/>
      <c r="C117" s="9"/>
      <c r="D117" s="9"/>
      <c r="E117" s="9"/>
      <c r="F117" s="17"/>
      <c r="G117" s="18"/>
      <c r="H117" s="18"/>
      <c r="I117" s="9"/>
      <c r="J117" s="9"/>
      <c r="K117" s="19"/>
      <c r="L117" s="19"/>
      <c r="M117" s="19"/>
      <c r="N117" s="9"/>
      <c r="O117" s="9"/>
      <c r="P117" s="9"/>
      <c r="Q117" s="17"/>
      <c r="R117" s="18"/>
      <c r="S117" t="str">
        <f>IF($B117="","",IF($I117&lt;&gt;"",$I117,IFERROR(INDEX(Kat_Metode,MATCH($D117,Kat_Nama,0)),"")))</f>
        <v/>
      </c>
      <c r="T117" t="str">
        <f>IF($B117="","",IF($J117&lt;&gt;"",$J117,IFERROR(INDEX(Kat_Umur,MATCH($D117,Kat_Nama,0)),0)))</f>
        <v/>
      </c>
      <c r="U117" t="str">
        <f>IF($B117="","",IF($N117&lt;&gt;"",$N117,IFERROR(INDEX(Kat_Kelompok,MATCH($D117,Kat_Nama,0)),"")))</f>
        <v/>
      </c>
      <c r="V117" t="str">
        <f>IF($B117="","",IF($U117="Masa Manfaat Sebenarnya",N($O117),IFERROR(INDEX(Kel_Masa,MATCH($U117,Kel_Nama,0)),0)))</f>
        <v/>
      </c>
      <c r="W117" t="str">
        <f>IF($B117="","",IF($P117&lt;&gt;"",$P117,IF(OR($U117="Tidak Disusutkan",$V117=0),"Tidak Disusutkan","Garis Lurus")))</f>
        <v/>
      </c>
      <c r="X117" t="str">
        <f>IF($B117="","",IF($Y117&gt;TahunBuku*12+12,"Belum Diperoleh",IF($Z117&lt;=TahunBuku*12,"Dilepas (thn lalu)",IF($AC117=1,"Dilepas thn ini",IF($AB117=1,"Perolehan baru","Aktif")))))</f>
        <v/>
      </c>
      <c r="Y117" s="20" t="str">
        <f>IF($B117="","",YEAR($F117)*12+MONTH($F117))</f>
        <v/>
      </c>
      <c r="Z117" s="20" t="str">
        <f>IF($B117="","",IF($Q117="",99999,YEAR($Q117)*12+MONTH($Q117)))</f>
        <v/>
      </c>
      <c r="AA117" s="20" t="str">
        <f>IF($B117="","",--AND($Y117&lt;=TahunBuku*12,$Z117&gt;TahunBuku*12))</f>
        <v/>
      </c>
      <c r="AB117" s="20" t="str">
        <f>IF($B117="","",--AND($Y117&gt;TahunBuku*12,$Y117&lt;=TahunBuku*12+12))</f>
        <v/>
      </c>
      <c r="AC117" s="20" t="str">
        <f>IF($B117="","",--AND($Z117&gt;TahunBuku*12,$Z117&lt;=TahunBuku*12+12,$Y117&lt;=$Z117))</f>
        <v/>
      </c>
      <c r="AD117" s="21" t="str">
        <f>IF($B117="","",IFERROR(IF($S117="Garis Lurus",$G117-($G117-$H117)*MIN($T117*12,MAX(0,TahunBuku*12-$Y117+1))/($T117*12),IF($S117="Saldo Menurun",IF(TahunBuku-1&lt;YEAR($F117),$G117,IF(TahunBuku-1&gt;=INT(($Y117+$T117*12-2)/12),$H117,MAX($H117,$G117*(1-2/$T117*(13-MONTH($F117))/12)*(1-2/$T117)^(TahunBuku-1-YEAR($F117))))),IF($S117="Unit Produksi",$G117-($G117-$H117)*MIN(1,N($L117)/$K117),$G117))),$G117))</f>
        <v/>
      </c>
      <c r="AE117" s="21" t="str">
        <f>IF($B117="","",IFERROR(IF($S117="Garis Lurus",$G117-($G117-$H117)*MIN($T117*12,MAX(0,TahunBuku*12+12-$Y117+1))/($T117*12),IF($S117="Saldo Menurun",IF(TahunBuku&lt;YEAR($F117),$G117,IF(TahunBuku&gt;=INT(($Y117+$T117*12-2)/12),$H117,MAX($H117,$G117*(1-2/$T117*(13-MONTH($F117))/12)*(1-2/$T117)^(TahunBuku-YEAR($F117))))),IF($S117="Unit Produksi",$G117-($G117-$H117)*MIN(1,(N($L117)+N($M117))/$K117),$G117))),$G117))</f>
        <v/>
      </c>
      <c r="AF117" s="20" t="str">
        <f>IF($B117="","",IF(OR($S117="Garis Lurus",$S117="Saldo Menurun",$S117="Unit Produksi"),MAX(0,IF($S117="Unit Produksi",TahunBuku*12+12,MIN(TahunBuku*12+12,$Y117+$T117*12-1))-MAX(TahunBuku*12+1,$Y117)+1),0))</f>
        <v/>
      </c>
      <c r="AG117" s="20" t="str">
        <f>IF($B117="","",IF(OR($S117="Garis Lurus",$S117="Saldo Menurun",$S117="Unit Produksi"),MAX(0,MIN($Z117,IF($S117="Unit Produksi",TahunBuku*12+12,MIN(TahunBuku*12+12,$Y117+$T117*12-1)))-MAX(TahunBuku*12+1,$Y117)+1),0))</f>
        <v/>
      </c>
      <c r="AH117" s="21" t="str">
        <f>IF($B117="","",IFERROR(IF($W117="Garis Lurus",$G117*(1-MIN($V117*12,MAX(0,TahunBuku*12-$Y117+1))/($V117*12)),IF($W117="Saldo Menurun",IF(TahunBuku-1&lt;YEAR($F117),$G117,IF(TahunBuku-1&gt;=INT(($Y117+$V117*12-2)/12),0,$G117*(1-2/$V117*(13-MONTH($F117))/12)*(1-2/$V117)^(TahunBuku-1-YEAR($F117)))),$G117)),$G117))</f>
        <v/>
      </c>
      <c r="AI117" s="21" t="str">
        <f>IF($B117="","",IFERROR(IF($W117="Garis Lurus",$G117*(1-MIN($V117*12,MAX(0,TahunBuku*12+12-$Y117+1))/($V117*12)),IF($W117="Saldo Menurun",IF(TahunBuku&lt;YEAR($F117),$G117,IF(TahunBuku&gt;=INT(($Y117+$V117*12-2)/12),0,$G117*(1-2/$V117*(13-MONTH($F117))/12)*(1-2/$V117)^(TahunBuku-YEAR($F117)))),$G117)),$G117))</f>
        <v/>
      </c>
      <c r="AJ117" s="20" t="str">
        <f>IF($B117="","",IF(OR($W117="Garis Lurus",$W117="Saldo Menurun"),MAX(0,MIN(TahunBuku*12+12,$Y117+$V117*12-1)-MAX(TahunBuku*12+1,$Y117)+1),0))</f>
        <v/>
      </c>
      <c r="AK117" s="20" t="str">
        <f>IF($B117="","",IF(OR($W117="Garis Lurus",$W117="Saldo Menurun"),MAX(0,MIN($Z117,TahunBuku*12+12,$Y117+$V117*12-1)-MAX(TahunBuku*12+1,$Y117)+1),0))</f>
        <v/>
      </c>
      <c r="AL117" s="22" t="str">
        <f>IF($B117="","",$G117*$AA117)</f>
        <v/>
      </c>
      <c r="AM117" s="22" t="str">
        <f>IF($B117="","",$G117*$AB117)</f>
        <v/>
      </c>
      <c r="AN117" s="22" t="str">
        <f>IF($B117="","",$G117*$AC117)</f>
        <v/>
      </c>
      <c r="AO117" s="22" t="str">
        <f>IF($B117="","",AL117+AM117-AN117)</f>
        <v/>
      </c>
      <c r="AP117" s="22" t="str">
        <f>IF($B117="","",($G117-$AD117)*$AA117)</f>
        <v/>
      </c>
      <c r="AQ117" s="22" t="str">
        <f>IF($B117="","",IF($AF117=0,0,($AD117-$AE117)*$AG117/$AF117)*MAX($AA117,$AB117))</f>
        <v/>
      </c>
      <c r="AR117" s="22" t="str">
        <f>IF($B117="","",(AP117+AQ117)*$AC117)</f>
        <v/>
      </c>
      <c r="AS117" s="22" t="str">
        <f>IF($B117="","",AP117+AQ117-AR117)</f>
        <v/>
      </c>
      <c r="AT117" s="22" t="str">
        <f>IF($B117="","",AO117-AS117)</f>
        <v/>
      </c>
      <c r="AU117" s="22" t="str">
        <f>IF($B117="","",IF($AC117=1,N($R117)-($G117-AR117),0))</f>
        <v/>
      </c>
      <c r="AV117" s="22" t="str">
        <f>IF($B117="","",($G117-$AH117)*$AA117)</f>
        <v/>
      </c>
      <c r="AW117" s="22" t="str">
        <f>IF($B117="","",IF($AJ117=0,0,($AH117-$AI117)*$AK117/$AJ117)*MAX($AA117,$AB117))</f>
        <v/>
      </c>
      <c r="AX117" s="22" t="str">
        <f>IF($B117="","",(AV117+AW117)*$AC117)</f>
        <v/>
      </c>
      <c r="AY117" s="22" t="str">
        <f>IF($B117="","",AV117+AW117-AX117)</f>
        <v/>
      </c>
      <c r="AZ117" s="22" t="str">
        <f>IF($B117="","",AO117-AY117)</f>
        <v/>
      </c>
      <c r="BA117" s="22" t="str">
        <f>IF($B117="","",IF($AC117=1,N($R117)-($G117-AX117),0))</f>
        <v/>
      </c>
      <c r="BB117" s="22" t="str">
        <f>IF($B117="","",ROUND(AQ117-AW117,0))</f>
        <v/>
      </c>
      <c r="BC117" s="22" t="str">
        <f>IF($B117="","",ROUND(BA117-AU117,0))</f>
        <v/>
      </c>
      <c r="BD117" s="22" t="str">
        <f>IF($B117="","",BB117+BC117)</f>
        <v/>
      </c>
      <c r="BE117" s="22" t="str">
        <f>IF($B117="","",ROUND(AV117-AP117,0))</f>
        <v/>
      </c>
      <c r="BF117" s="22" t="str">
        <f>IF($B117="","",ROUND(AT117-AZ117,0))</f>
        <v/>
      </c>
      <c r="BG117" s="22" t="str">
        <f>IF($B117="","",ROUND(BF117*TarifPPh,0))</f>
        <v/>
      </c>
      <c r="BH117" t="str">
        <f>IF($B117="","",IF($D117="","Kategori kosong",IF($F117="","Tgl perolehan kosong",IF(N($H117)&gt;$G117,"Residu &gt; harga perolehan",IF(AND(LEFT($U117,8)="Bangunan",$W117="Saldo Menurun"),"Bangunan wajib Garis Lurus (Ps.11 UU PPh)",IF(AND($S117="Unit Produksi",N($K117)=0),"Isi kapasitas unit",IF(AND(OR($S117="Garis Lurus",$S117="Saldo Menurun"),N($T117)&lt;=0),"Umur komersial kosong",IF(AND(OR($W117="Garis Lurus",$W117="Saldo Menurun"),N($V117)&lt;=0),"Masa manfaat fiskal kosong",IF(AND($Q117&lt;&gt;"",$Q117&lt;$F117),"Tgl pelepasan &lt; perolehan","OK")))))))))</f>
        <v/>
      </c>
    </row>
    <row r="118" spans="1:60" x14ac:dyDescent="0.25">
      <c r="A118" t="str">
        <f>IF($B118="","",ROW()-6)</f>
        <v/>
      </c>
      <c r="B118" s="9"/>
      <c r="C118" s="9"/>
      <c r="D118" s="9"/>
      <c r="E118" s="9"/>
      <c r="F118" s="17"/>
      <c r="G118" s="18"/>
      <c r="H118" s="18"/>
      <c r="I118" s="9"/>
      <c r="J118" s="9"/>
      <c r="K118" s="19"/>
      <c r="L118" s="19"/>
      <c r="M118" s="19"/>
      <c r="N118" s="9"/>
      <c r="O118" s="9"/>
      <c r="P118" s="9"/>
      <c r="Q118" s="17"/>
      <c r="R118" s="18"/>
      <c r="S118" t="str">
        <f>IF($B118="","",IF($I118&lt;&gt;"",$I118,IFERROR(INDEX(Kat_Metode,MATCH($D118,Kat_Nama,0)),"")))</f>
        <v/>
      </c>
      <c r="T118" t="str">
        <f>IF($B118="","",IF($J118&lt;&gt;"",$J118,IFERROR(INDEX(Kat_Umur,MATCH($D118,Kat_Nama,0)),0)))</f>
        <v/>
      </c>
      <c r="U118" t="str">
        <f>IF($B118="","",IF($N118&lt;&gt;"",$N118,IFERROR(INDEX(Kat_Kelompok,MATCH($D118,Kat_Nama,0)),"")))</f>
        <v/>
      </c>
      <c r="V118" t="str">
        <f>IF($B118="","",IF($U118="Masa Manfaat Sebenarnya",N($O118),IFERROR(INDEX(Kel_Masa,MATCH($U118,Kel_Nama,0)),0)))</f>
        <v/>
      </c>
      <c r="W118" t="str">
        <f>IF($B118="","",IF($P118&lt;&gt;"",$P118,IF(OR($U118="Tidak Disusutkan",$V118=0),"Tidak Disusutkan","Garis Lurus")))</f>
        <v/>
      </c>
      <c r="X118" t="str">
        <f>IF($B118="","",IF($Y118&gt;TahunBuku*12+12,"Belum Diperoleh",IF($Z118&lt;=TahunBuku*12,"Dilepas (thn lalu)",IF($AC118=1,"Dilepas thn ini",IF($AB118=1,"Perolehan baru","Aktif")))))</f>
        <v/>
      </c>
      <c r="Y118" s="20" t="str">
        <f>IF($B118="","",YEAR($F118)*12+MONTH($F118))</f>
        <v/>
      </c>
      <c r="Z118" s="20" t="str">
        <f>IF($B118="","",IF($Q118="",99999,YEAR($Q118)*12+MONTH($Q118)))</f>
        <v/>
      </c>
      <c r="AA118" s="20" t="str">
        <f>IF($B118="","",--AND($Y118&lt;=TahunBuku*12,$Z118&gt;TahunBuku*12))</f>
        <v/>
      </c>
      <c r="AB118" s="20" t="str">
        <f>IF($B118="","",--AND($Y118&gt;TahunBuku*12,$Y118&lt;=TahunBuku*12+12))</f>
        <v/>
      </c>
      <c r="AC118" s="20" t="str">
        <f>IF($B118="","",--AND($Z118&gt;TahunBuku*12,$Z118&lt;=TahunBuku*12+12,$Y118&lt;=$Z118))</f>
        <v/>
      </c>
      <c r="AD118" s="21" t="str">
        <f>IF($B118="","",IFERROR(IF($S118="Garis Lurus",$G118-($G118-$H118)*MIN($T118*12,MAX(0,TahunBuku*12-$Y118+1))/($T118*12),IF($S118="Saldo Menurun",IF(TahunBuku-1&lt;YEAR($F118),$G118,IF(TahunBuku-1&gt;=INT(($Y118+$T118*12-2)/12),$H118,MAX($H118,$G118*(1-2/$T118*(13-MONTH($F118))/12)*(1-2/$T118)^(TahunBuku-1-YEAR($F118))))),IF($S118="Unit Produksi",$G118-($G118-$H118)*MIN(1,N($L118)/$K118),$G118))),$G118))</f>
        <v/>
      </c>
      <c r="AE118" s="21" t="str">
        <f>IF($B118="","",IFERROR(IF($S118="Garis Lurus",$G118-($G118-$H118)*MIN($T118*12,MAX(0,TahunBuku*12+12-$Y118+1))/($T118*12),IF($S118="Saldo Menurun",IF(TahunBuku&lt;YEAR($F118),$G118,IF(TahunBuku&gt;=INT(($Y118+$T118*12-2)/12),$H118,MAX($H118,$G118*(1-2/$T118*(13-MONTH($F118))/12)*(1-2/$T118)^(TahunBuku-YEAR($F118))))),IF($S118="Unit Produksi",$G118-($G118-$H118)*MIN(1,(N($L118)+N($M118))/$K118),$G118))),$G118))</f>
        <v/>
      </c>
      <c r="AF118" s="20" t="str">
        <f>IF($B118="","",IF(OR($S118="Garis Lurus",$S118="Saldo Menurun",$S118="Unit Produksi"),MAX(0,IF($S118="Unit Produksi",TahunBuku*12+12,MIN(TahunBuku*12+12,$Y118+$T118*12-1))-MAX(TahunBuku*12+1,$Y118)+1),0))</f>
        <v/>
      </c>
      <c r="AG118" s="20" t="str">
        <f>IF($B118="","",IF(OR($S118="Garis Lurus",$S118="Saldo Menurun",$S118="Unit Produksi"),MAX(0,MIN($Z118,IF($S118="Unit Produksi",TahunBuku*12+12,MIN(TahunBuku*12+12,$Y118+$T118*12-1)))-MAX(TahunBuku*12+1,$Y118)+1),0))</f>
        <v/>
      </c>
      <c r="AH118" s="21" t="str">
        <f>IF($B118="","",IFERROR(IF($W118="Garis Lurus",$G118*(1-MIN($V118*12,MAX(0,TahunBuku*12-$Y118+1))/($V118*12)),IF($W118="Saldo Menurun",IF(TahunBuku-1&lt;YEAR($F118),$G118,IF(TahunBuku-1&gt;=INT(($Y118+$V118*12-2)/12),0,$G118*(1-2/$V118*(13-MONTH($F118))/12)*(1-2/$V118)^(TahunBuku-1-YEAR($F118)))),$G118)),$G118))</f>
        <v/>
      </c>
      <c r="AI118" s="21" t="str">
        <f>IF($B118="","",IFERROR(IF($W118="Garis Lurus",$G118*(1-MIN($V118*12,MAX(0,TahunBuku*12+12-$Y118+1))/($V118*12)),IF($W118="Saldo Menurun",IF(TahunBuku&lt;YEAR($F118),$G118,IF(TahunBuku&gt;=INT(($Y118+$V118*12-2)/12),0,$G118*(1-2/$V118*(13-MONTH($F118))/12)*(1-2/$V118)^(TahunBuku-YEAR($F118)))),$G118)),$G118))</f>
        <v/>
      </c>
      <c r="AJ118" s="20" t="str">
        <f>IF($B118="","",IF(OR($W118="Garis Lurus",$W118="Saldo Menurun"),MAX(0,MIN(TahunBuku*12+12,$Y118+$V118*12-1)-MAX(TahunBuku*12+1,$Y118)+1),0))</f>
        <v/>
      </c>
      <c r="AK118" s="20" t="str">
        <f>IF($B118="","",IF(OR($W118="Garis Lurus",$W118="Saldo Menurun"),MAX(0,MIN($Z118,TahunBuku*12+12,$Y118+$V118*12-1)-MAX(TahunBuku*12+1,$Y118)+1),0))</f>
        <v/>
      </c>
      <c r="AL118" s="22" t="str">
        <f>IF($B118="","",$G118*$AA118)</f>
        <v/>
      </c>
      <c r="AM118" s="22" t="str">
        <f>IF($B118="","",$G118*$AB118)</f>
        <v/>
      </c>
      <c r="AN118" s="22" t="str">
        <f>IF($B118="","",$G118*$AC118)</f>
        <v/>
      </c>
      <c r="AO118" s="22" t="str">
        <f>IF($B118="","",AL118+AM118-AN118)</f>
        <v/>
      </c>
      <c r="AP118" s="22" t="str">
        <f>IF($B118="","",($G118-$AD118)*$AA118)</f>
        <v/>
      </c>
      <c r="AQ118" s="22" t="str">
        <f>IF($B118="","",IF($AF118=0,0,($AD118-$AE118)*$AG118/$AF118)*MAX($AA118,$AB118))</f>
        <v/>
      </c>
      <c r="AR118" s="22" t="str">
        <f>IF($B118="","",(AP118+AQ118)*$AC118)</f>
        <v/>
      </c>
      <c r="AS118" s="22" t="str">
        <f>IF($B118="","",AP118+AQ118-AR118)</f>
        <v/>
      </c>
      <c r="AT118" s="22" t="str">
        <f>IF($B118="","",AO118-AS118)</f>
        <v/>
      </c>
      <c r="AU118" s="22" t="str">
        <f>IF($B118="","",IF($AC118=1,N($R118)-($G118-AR118),0))</f>
        <v/>
      </c>
      <c r="AV118" s="22" t="str">
        <f>IF($B118="","",($G118-$AH118)*$AA118)</f>
        <v/>
      </c>
      <c r="AW118" s="22" t="str">
        <f>IF($B118="","",IF($AJ118=0,0,($AH118-$AI118)*$AK118/$AJ118)*MAX($AA118,$AB118))</f>
        <v/>
      </c>
      <c r="AX118" s="22" t="str">
        <f>IF($B118="","",(AV118+AW118)*$AC118)</f>
        <v/>
      </c>
      <c r="AY118" s="22" t="str">
        <f>IF($B118="","",AV118+AW118-AX118)</f>
        <v/>
      </c>
      <c r="AZ118" s="22" t="str">
        <f>IF($B118="","",AO118-AY118)</f>
        <v/>
      </c>
      <c r="BA118" s="22" t="str">
        <f>IF($B118="","",IF($AC118=1,N($R118)-($G118-AX118),0))</f>
        <v/>
      </c>
      <c r="BB118" s="22" t="str">
        <f>IF($B118="","",ROUND(AQ118-AW118,0))</f>
        <v/>
      </c>
      <c r="BC118" s="22" t="str">
        <f>IF($B118="","",ROUND(BA118-AU118,0))</f>
        <v/>
      </c>
      <c r="BD118" s="22" t="str">
        <f>IF($B118="","",BB118+BC118)</f>
        <v/>
      </c>
      <c r="BE118" s="22" t="str">
        <f>IF($B118="","",ROUND(AV118-AP118,0))</f>
        <v/>
      </c>
      <c r="BF118" s="22" t="str">
        <f>IF($B118="","",ROUND(AT118-AZ118,0))</f>
        <v/>
      </c>
      <c r="BG118" s="22" t="str">
        <f>IF($B118="","",ROUND(BF118*TarifPPh,0))</f>
        <v/>
      </c>
      <c r="BH118" t="str">
        <f>IF($B118="","",IF($D118="","Kategori kosong",IF($F118="","Tgl perolehan kosong",IF(N($H118)&gt;$G118,"Residu &gt; harga perolehan",IF(AND(LEFT($U118,8)="Bangunan",$W118="Saldo Menurun"),"Bangunan wajib Garis Lurus (Ps.11 UU PPh)",IF(AND($S118="Unit Produksi",N($K118)=0),"Isi kapasitas unit",IF(AND(OR($S118="Garis Lurus",$S118="Saldo Menurun"),N($T118)&lt;=0),"Umur komersial kosong",IF(AND(OR($W118="Garis Lurus",$W118="Saldo Menurun"),N($V118)&lt;=0),"Masa manfaat fiskal kosong",IF(AND($Q118&lt;&gt;"",$Q118&lt;$F118),"Tgl pelepasan &lt; perolehan","OK")))))))))</f>
        <v/>
      </c>
    </row>
    <row r="119" spans="1:60" x14ac:dyDescent="0.25">
      <c r="A119" t="str">
        <f>IF($B119="","",ROW()-6)</f>
        <v/>
      </c>
      <c r="B119" s="9"/>
      <c r="C119" s="9"/>
      <c r="D119" s="9"/>
      <c r="E119" s="9"/>
      <c r="F119" s="17"/>
      <c r="G119" s="18"/>
      <c r="H119" s="18"/>
      <c r="I119" s="9"/>
      <c r="J119" s="9"/>
      <c r="K119" s="19"/>
      <c r="L119" s="19"/>
      <c r="M119" s="19"/>
      <c r="N119" s="9"/>
      <c r="O119" s="9"/>
      <c r="P119" s="9"/>
      <c r="Q119" s="17"/>
      <c r="R119" s="18"/>
      <c r="S119" t="str">
        <f>IF($B119="","",IF($I119&lt;&gt;"",$I119,IFERROR(INDEX(Kat_Metode,MATCH($D119,Kat_Nama,0)),"")))</f>
        <v/>
      </c>
      <c r="T119" t="str">
        <f>IF($B119="","",IF($J119&lt;&gt;"",$J119,IFERROR(INDEX(Kat_Umur,MATCH($D119,Kat_Nama,0)),0)))</f>
        <v/>
      </c>
      <c r="U119" t="str">
        <f>IF($B119="","",IF($N119&lt;&gt;"",$N119,IFERROR(INDEX(Kat_Kelompok,MATCH($D119,Kat_Nama,0)),"")))</f>
        <v/>
      </c>
      <c r="V119" t="str">
        <f>IF($B119="","",IF($U119="Masa Manfaat Sebenarnya",N($O119),IFERROR(INDEX(Kel_Masa,MATCH($U119,Kel_Nama,0)),0)))</f>
        <v/>
      </c>
      <c r="W119" t="str">
        <f>IF($B119="","",IF($P119&lt;&gt;"",$P119,IF(OR($U119="Tidak Disusutkan",$V119=0),"Tidak Disusutkan","Garis Lurus")))</f>
        <v/>
      </c>
      <c r="X119" t="str">
        <f>IF($B119="","",IF($Y119&gt;TahunBuku*12+12,"Belum Diperoleh",IF($Z119&lt;=TahunBuku*12,"Dilepas (thn lalu)",IF($AC119=1,"Dilepas thn ini",IF($AB119=1,"Perolehan baru","Aktif")))))</f>
        <v/>
      </c>
      <c r="Y119" s="20" t="str">
        <f>IF($B119="","",YEAR($F119)*12+MONTH($F119))</f>
        <v/>
      </c>
      <c r="Z119" s="20" t="str">
        <f>IF($B119="","",IF($Q119="",99999,YEAR($Q119)*12+MONTH($Q119)))</f>
        <v/>
      </c>
      <c r="AA119" s="20" t="str">
        <f>IF($B119="","",--AND($Y119&lt;=TahunBuku*12,$Z119&gt;TahunBuku*12))</f>
        <v/>
      </c>
      <c r="AB119" s="20" t="str">
        <f>IF($B119="","",--AND($Y119&gt;TahunBuku*12,$Y119&lt;=TahunBuku*12+12))</f>
        <v/>
      </c>
      <c r="AC119" s="20" t="str">
        <f>IF($B119="","",--AND($Z119&gt;TahunBuku*12,$Z119&lt;=TahunBuku*12+12,$Y119&lt;=$Z119))</f>
        <v/>
      </c>
      <c r="AD119" s="21" t="str">
        <f>IF($B119="","",IFERROR(IF($S119="Garis Lurus",$G119-($G119-$H119)*MIN($T119*12,MAX(0,TahunBuku*12-$Y119+1))/($T119*12),IF($S119="Saldo Menurun",IF(TahunBuku-1&lt;YEAR($F119),$G119,IF(TahunBuku-1&gt;=INT(($Y119+$T119*12-2)/12),$H119,MAX($H119,$G119*(1-2/$T119*(13-MONTH($F119))/12)*(1-2/$T119)^(TahunBuku-1-YEAR($F119))))),IF($S119="Unit Produksi",$G119-($G119-$H119)*MIN(1,N($L119)/$K119),$G119))),$G119))</f>
        <v/>
      </c>
      <c r="AE119" s="21" t="str">
        <f>IF($B119="","",IFERROR(IF($S119="Garis Lurus",$G119-($G119-$H119)*MIN($T119*12,MAX(0,TahunBuku*12+12-$Y119+1))/($T119*12),IF($S119="Saldo Menurun",IF(TahunBuku&lt;YEAR($F119),$G119,IF(TahunBuku&gt;=INT(($Y119+$T119*12-2)/12),$H119,MAX($H119,$G119*(1-2/$T119*(13-MONTH($F119))/12)*(1-2/$T119)^(TahunBuku-YEAR($F119))))),IF($S119="Unit Produksi",$G119-($G119-$H119)*MIN(1,(N($L119)+N($M119))/$K119),$G119))),$G119))</f>
        <v/>
      </c>
      <c r="AF119" s="20" t="str">
        <f>IF($B119="","",IF(OR($S119="Garis Lurus",$S119="Saldo Menurun",$S119="Unit Produksi"),MAX(0,IF($S119="Unit Produksi",TahunBuku*12+12,MIN(TahunBuku*12+12,$Y119+$T119*12-1))-MAX(TahunBuku*12+1,$Y119)+1),0))</f>
        <v/>
      </c>
      <c r="AG119" s="20" t="str">
        <f>IF($B119="","",IF(OR($S119="Garis Lurus",$S119="Saldo Menurun",$S119="Unit Produksi"),MAX(0,MIN($Z119,IF($S119="Unit Produksi",TahunBuku*12+12,MIN(TahunBuku*12+12,$Y119+$T119*12-1)))-MAX(TahunBuku*12+1,$Y119)+1),0))</f>
        <v/>
      </c>
      <c r="AH119" s="21" t="str">
        <f>IF($B119="","",IFERROR(IF($W119="Garis Lurus",$G119*(1-MIN($V119*12,MAX(0,TahunBuku*12-$Y119+1))/($V119*12)),IF($W119="Saldo Menurun",IF(TahunBuku-1&lt;YEAR($F119),$G119,IF(TahunBuku-1&gt;=INT(($Y119+$V119*12-2)/12),0,$G119*(1-2/$V119*(13-MONTH($F119))/12)*(1-2/$V119)^(TahunBuku-1-YEAR($F119)))),$G119)),$G119))</f>
        <v/>
      </c>
      <c r="AI119" s="21" t="str">
        <f>IF($B119="","",IFERROR(IF($W119="Garis Lurus",$G119*(1-MIN($V119*12,MAX(0,TahunBuku*12+12-$Y119+1))/($V119*12)),IF($W119="Saldo Menurun",IF(TahunBuku&lt;YEAR($F119),$G119,IF(TahunBuku&gt;=INT(($Y119+$V119*12-2)/12),0,$G119*(1-2/$V119*(13-MONTH($F119))/12)*(1-2/$V119)^(TahunBuku-YEAR($F119)))),$G119)),$G119))</f>
        <v/>
      </c>
      <c r="AJ119" s="20" t="str">
        <f>IF($B119="","",IF(OR($W119="Garis Lurus",$W119="Saldo Menurun"),MAX(0,MIN(TahunBuku*12+12,$Y119+$V119*12-1)-MAX(TahunBuku*12+1,$Y119)+1),0))</f>
        <v/>
      </c>
      <c r="AK119" s="20" t="str">
        <f>IF($B119="","",IF(OR($W119="Garis Lurus",$W119="Saldo Menurun"),MAX(0,MIN($Z119,TahunBuku*12+12,$Y119+$V119*12-1)-MAX(TahunBuku*12+1,$Y119)+1),0))</f>
        <v/>
      </c>
      <c r="AL119" s="22" t="str">
        <f>IF($B119="","",$G119*$AA119)</f>
        <v/>
      </c>
      <c r="AM119" s="22" t="str">
        <f>IF($B119="","",$G119*$AB119)</f>
        <v/>
      </c>
      <c r="AN119" s="22" t="str">
        <f>IF($B119="","",$G119*$AC119)</f>
        <v/>
      </c>
      <c r="AO119" s="22" t="str">
        <f>IF($B119="","",AL119+AM119-AN119)</f>
        <v/>
      </c>
      <c r="AP119" s="22" t="str">
        <f>IF($B119="","",($G119-$AD119)*$AA119)</f>
        <v/>
      </c>
      <c r="AQ119" s="22" t="str">
        <f>IF($B119="","",IF($AF119=0,0,($AD119-$AE119)*$AG119/$AF119)*MAX($AA119,$AB119))</f>
        <v/>
      </c>
      <c r="AR119" s="22" t="str">
        <f>IF($B119="","",(AP119+AQ119)*$AC119)</f>
        <v/>
      </c>
      <c r="AS119" s="22" t="str">
        <f>IF($B119="","",AP119+AQ119-AR119)</f>
        <v/>
      </c>
      <c r="AT119" s="22" t="str">
        <f>IF($B119="","",AO119-AS119)</f>
        <v/>
      </c>
      <c r="AU119" s="22" t="str">
        <f>IF($B119="","",IF($AC119=1,N($R119)-($G119-AR119),0))</f>
        <v/>
      </c>
      <c r="AV119" s="22" t="str">
        <f>IF($B119="","",($G119-$AH119)*$AA119)</f>
        <v/>
      </c>
      <c r="AW119" s="22" t="str">
        <f>IF($B119="","",IF($AJ119=0,0,($AH119-$AI119)*$AK119/$AJ119)*MAX($AA119,$AB119))</f>
        <v/>
      </c>
      <c r="AX119" s="22" t="str">
        <f>IF($B119="","",(AV119+AW119)*$AC119)</f>
        <v/>
      </c>
      <c r="AY119" s="22" t="str">
        <f>IF($B119="","",AV119+AW119-AX119)</f>
        <v/>
      </c>
      <c r="AZ119" s="22" t="str">
        <f>IF($B119="","",AO119-AY119)</f>
        <v/>
      </c>
      <c r="BA119" s="22" t="str">
        <f>IF($B119="","",IF($AC119=1,N($R119)-($G119-AX119),0))</f>
        <v/>
      </c>
      <c r="BB119" s="22" t="str">
        <f>IF($B119="","",ROUND(AQ119-AW119,0))</f>
        <v/>
      </c>
      <c r="BC119" s="22" t="str">
        <f>IF($B119="","",ROUND(BA119-AU119,0))</f>
        <v/>
      </c>
      <c r="BD119" s="22" t="str">
        <f>IF($B119="","",BB119+BC119)</f>
        <v/>
      </c>
      <c r="BE119" s="22" t="str">
        <f>IF($B119="","",ROUND(AV119-AP119,0))</f>
        <v/>
      </c>
      <c r="BF119" s="22" t="str">
        <f>IF($B119="","",ROUND(AT119-AZ119,0))</f>
        <v/>
      </c>
      <c r="BG119" s="22" t="str">
        <f>IF($B119="","",ROUND(BF119*TarifPPh,0))</f>
        <v/>
      </c>
      <c r="BH119" t="str">
        <f>IF($B119="","",IF($D119="","Kategori kosong",IF($F119="","Tgl perolehan kosong",IF(N($H119)&gt;$G119,"Residu &gt; harga perolehan",IF(AND(LEFT($U119,8)="Bangunan",$W119="Saldo Menurun"),"Bangunan wajib Garis Lurus (Ps.11 UU PPh)",IF(AND($S119="Unit Produksi",N($K119)=0),"Isi kapasitas unit",IF(AND(OR($S119="Garis Lurus",$S119="Saldo Menurun"),N($T119)&lt;=0),"Umur komersial kosong",IF(AND(OR($W119="Garis Lurus",$W119="Saldo Menurun"),N($V119)&lt;=0),"Masa manfaat fiskal kosong",IF(AND($Q119&lt;&gt;"",$Q119&lt;$F119),"Tgl pelepasan &lt; perolehan","OK")))))))))</f>
        <v/>
      </c>
    </row>
    <row r="120" spans="1:60" x14ac:dyDescent="0.25">
      <c r="A120" t="str">
        <f>IF($B120="","",ROW()-6)</f>
        <v/>
      </c>
      <c r="B120" s="9"/>
      <c r="C120" s="9"/>
      <c r="D120" s="9"/>
      <c r="E120" s="9"/>
      <c r="F120" s="17"/>
      <c r="G120" s="18"/>
      <c r="H120" s="18"/>
      <c r="I120" s="9"/>
      <c r="J120" s="9"/>
      <c r="K120" s="19"/>
      <c r="L120" s="19"/>
      <c r="M120" s="19"/>
      <c r="N120" s="9"/>
      <c r="O120" s="9"/>
      <c r="P120" s="9"/>
      <c r="Q120" s="17"/>
      <c r="R120" s="18"/>
      <c r="S120" t="str">
        <f>IF($B120="","",IF($I120&lt;&gt;"",$I120,IFERROR(INDEX(Kat_Metode,MATCH($D120,Kat_Nama,0)),"")))</f>
        <v/>
      </c>
      <c r="T120" t="str">
        <f>IF($B120="","",IF($J120&lt;&gt;"",$J120,IFERROR(INDEX(Kat_Umur,MATCH($D120,Kat_Nama,0)),0)))</f>
        <v/>
      </c>
      <c r="U120" t="str">
        <f>IF($B120="","",IF($N120&lt;&gt;"",$N120,IFERROR(INDEX(Kat_Kelompok,MATCH($D120,Kat_Nama,0)),"")))</f>
        <v/>
      </c>
      <c r="V120" t="str">
        <f>IF($B120="","",IF($U120="Masa Manfaat Sebenarnya",N($O120),IFERROR(INDEX(Kel_Masa,MATCH($U120,Kel_Nama,0)),0)))</f>
        <v/>
      </c>
      <c r="W120" t="str">
        <f>IF($B120="","",IF($P120&lt;&gt;"",$P120,IF(OR($U120="Tidak Disusutkan",$V120=0),"Tidak Disusutkan","Garis Lurus")))</f>
        <v/>
      </c>
      <c r="X120" t="str">
        <f>IF($B120="","",IF($Y120&gt;TahunBuku*12+12,"Belum Diperoleh",IF($Z120&lt;=TahunBuku*12,"Dilepas (thn lalu)",IF($AC120=1,"Dilepas thn ini",IF($AB120=1,"Perolehan baru","Aktif")))))</f>
        <v/>
      </c>
      <c r="Y120" s="20" t="str">
        <f>IF($B120="","",YEAR($F120)*12+MONTH($F120))</f>
        <v/>
      </c>
      <c r="Z120" s="20" t="str">
        <f>IF($B120="","",IF($Q120="",99999,YEAR($Q120)*12+MONTH($Q120)))</f>
        <v/>
      </c>
      <c r="AA120" s="20" t="str">
        <f>IF($B120="","",--AND($Y120&lt;=TahunBuku*12,$Z120&gt;TahunBuku*12))</f>
        <v/>
      </c>
      <c r="AB120" s="20" t="str">
        <f>IF($B120="","",--AND($Y120&gt;TahunBuku*12,$Y120&lt;=TahunBuku*12+12))</f>
        <v/>
      </c>
      <c r="AC120" s="20" t="str">
        <f>IF($B120="","",--AND($Z120&gt;TahunBuku*12,$Z120&lt;=TahunBuku*12+12,$Y120&lt;=$Z120))</f>
        <v/>
      </c>
      <c r="AD120" s="21" t="str">
        <f>IF($B120="","",IFERROR(IF($S120="Garis Lurus",$G120-($G120-$H120)*MIN($T120*12,MAX(0,TahunBuku*12-$Y120+1))/($T120*12),IF($S120="Saldo Menurun",IF(TahunBuku-1&lt;YEAR($F120),$G120,IF(TahunBuku-1&gt;=INT(($Y120+$T120*12-2)/12),$H120,MAX($H120,$G120*(1-2/$T120*(13-MONTH($F120))/12)*(1-2/$T120)^(TahunBuku-1-YEAR($F120))))),IF($S120="Unit Produksi",$G120-($G120-$H120)*MIN(1,N($L120)/$K120),$G120))),$G120))</f>
        <v/>
      </c>
      <c r="AE120" s="21" t="str">
        <f>IF($B120="","",IFERROR(IF($S120="Garis Lurus",$G120-($G120-$H120)*MIN($T120*12,MAX(0,TahunBuku*12+12-$Y120+1))/($T120*12),IF($S120="Saldo Menurun",IF(TahunBuku&lt;YEAR($F120),$G120,IF(TahunBuku&gt;=INT(($Y120+$T120*12-2)/12),$H120,MAX($H120,$G120*(1-2/$T120*(13-MONTH($F120))/12)*(1-2/$T120)^(TahunBuku-YEAR($F120))))),IF($S120="Unit Produksi",$G120-($G120-$H120)*MIN(1,(N($L120)+N($M120))/$K120),$G120))),$G120))</f>
        <v/>
      </c>
      <c r="AF120" s="20" t="str">
        <f>IF($B120="","",IF(OR($S120="Garis Lurus",$S120="Saldo Menurun",$S120="Unit Produksi"),MAX(0,IF($S120="Unit Produksi",TahunBuku*12+12,MIN(TahunBuku*12+12,$Y120+$T120*12-1))-MAX(TahunBuku*12+1,$Y120)+1),0))</f>
        <v/>
      </c>
      <c r="AG120" s="20" t="str">
        <f>IF($B120="","",IF(OR($S120="Garis Lurus",$S120="Saldo Menurun",$S120="Unit Produksi"),MAX(0,MIN($Z120,IF($S120="Unit Produksi",TahunBuku*12+12,MIN(TahunBuku*12+12,$Y120+$T120*12-1)))-MAX(TahunBuku*12+1,$Y120)+1),0))</f>
        <v/>
      </c>
      <c r="AH120" s="21" t="str">
        <f>IF($B120="","",IFERROR(IF($W120="Garis Lurus",$G120*(1-MIN($V120*12,MAX(0,TahunBuku*12-$Y120+1))/($V120*12)),IF($W120="Saldo Menurun",IF(TahunBuku-1&lt;YEAR($F120),$G120,IF(TahunBuku-1&gt;=INT(($Y120+$V120*12-2)/12),0,$G120*(1-2/$V120*(13-MONTH($F120))/12)*(1-2/$V120)^(TahunBuku-1-YEAR($F120)))),$G120)),$G120))</f>
        <v/>
      </c>
      <c r="AI120" s="21" t="str">
        <f>IF($B120="","",IFERROR(IF($W120="Garis Lurus",$G120*(1-MIN($V120*12,MAX(0,TahunBuku*12+12-$Y120+1))/($V120*12)),IF($W120="Saldo Menurun",IF(TahunBuku&lt;YEAR($F120),$G120,IF(TahunBuku&gt;=INT(($Y120+$V120*12-2)/12),0,$G120*(1-2/$V120*(13-MONTH($F120))/12)*(1-2/$V120)^(TahunBuku-YEAR($F120)))),$G120)),$G120))</f>
        <v/>
      </c>
      <c r="AJ120" s="20" t="str">
        <f>IF($B120="","",IF(OR($W120="Garis Lurus",$W120="Saldo Menurun"),MAX(0,MIN(TahunBuku*12+12,$Y120+$V120*12-1)-MAX(TahunBuku*12+1,$Y120)+1),0))</f>
        <v/>
      </c>
      <c r="AK120" s="20" t="str">
        <f>IF($B120="","",IF(OR($W120="Garis Lurus",$W120="Saldo Menurun"),MAX(0,MIN($Z120,TahunBuku*12+12,$Y120+$V120*12-1)-MAX(TahunBuku*12+1,$Y120)+1),0))</f>
        <v/>
      </c>
      <c r="AL120" s="22" t="str">
        <f>IF($B120="","",$G120*$AA120)</f>
        <v/>
      </c>
      <c r="AM120" s="22" t="str">
        <f>IF($B120="","",$G120*$AB120)</f>
        <v/>
      </c>
      <c r="AN120" s="22" t="str">
        <f>IF($B120="","",$G120*$AC120)</f>
        <v/>
      </c>
      <c r="AO120" s="22" t="str">
        <f>IF($B120="","",AL120+AM120-AN120)</f>
        <v/>
      </c>
      <c r="AP120" s="22" t="str">
        <f>IF($B120="","",($G120-$AD120)*$AA120)</f>
        <v/>
      </c>
      <c r="AQ120" s="22" t="str">
        <f>IF($B120="","",IF($AF120=0,0,($AD120-$AE120)*$AG120/$AF120)*MAX($AA120,$AB120))</f>
        <v/>
      </c>
      <c r="AR120" s="22" t="str">
        <f>IF($B120="","",(AP120+AQ120)*$AC120)</f>
        <v/>
      </c>
      <c r="AS120" s="22" t="str">
        <f>IF($B120="","",AP120+AQ120-AR120)</f>
        <v/>
      </c>
      <c r="AT120" s="22" t="str">
        <f>IF($B120="","",AO120-AS120)</f>
        <v/>
      </c>
      <c r="AU120" s="22" t="str">
        <f>IF($B120="","",IF($AC120=1,N($R120)-($G120-AR120),0))</f>
        <v/>
      </c>
      <c r="AV120" s="22" t="str">
        <f>IF($B120="","",($G120-$AH120)*$AA120)</f>
        <v/>
      </c>
      <c r="AW120" s="22" t="str">
        <f>IF($B120="","",IF($AJ120=0,0,($AH120-$AI120)*$AK120/$AJ120)*MAX($AA120,$AB120))</f>
        <v/>
      </c>
      <c r="AX120" s="22" t="str">
        <f>IF($B120="","",(AV120+AW120)*$AC120)</f>
        <v/>
      </c>
      <c r="AY120" s="22" t="str">
        <f>IF($B120="","",AV120+AW120-AX120)</f>
        <v/>
      </c>
      <c r="AZ120" s="22" t="str">
        <f>IF($B120="","",AO120-AY120)</f>
        <v/>
      </c>
      <c r="BA120" s="22" t="str">
        <f>IF($B120="","",IF($AC120=1,N($R120)-($G120-AX120),0))</f>
        <v/>
      </c>
      <c r="BB120" s="22" t="str">
        <f>IF($B120="","",ROUND(AQ120-AW120,0))</f>
        <v/>
      </c>
      <c r="BC120" s="22" t="str">
        <f>IF($B120="","",ROUND(BA120-AU120,0))</f>
        <v/>
      </c>
      <c r="BD120" s="22" t="str">
        <f>IF($B120="","",BB120+BC120)</f>
        <v/>
      </c>
      <c r="BE120" s="22" t="str">
        <f>IF($B120="","",ROUND(AV120-AP120,0))</f>
        <v/>
      </c>
      <c r="BF120" s="22" t="str">
        <f>IF($B120="","",ROUND(AT120-AZ120,0))</f>
        <v/>
      </c>
      <c r="BG120" s="22" t="str">
        <f>IF($B120="","",ROUND(BF120*TarifPPh,0))</f>
        <v/>
      </c>
      <c r="BH120" t="str">
        <f>IF($B120="","",IF($D120="","Kategori kosong",IF($F120="","Tgl perolehan kosong",IF(N($H120)&gt;$G120,"Residu &gt; harga perolehan",IF(AND(LEFT($U120,8)="Bangunan",$W120="Saldo Menurun"),"Bangunan wajib Garis Lurus (Ps.11 UU PPh)",IF(AND($S120="Unit Produksi",N($K120)=0),"Isi kapasitas unit",IF(AND(OR($S120="Garis Lurus",$S120="Saldo Menurun"),N($T120)&lt;=0),"Umur komersial kosong",IF(AND(OR($W120="Garis Lurus",$W120="Saldo Menurun"),N($V120)&lt;=0),"Masa manfaat fiskal kosong",IF(AND($Q120&lt;&gt;"",$Q120&lt;$F120),"Tgl pelepasan &lt; perolehan","OK")))))))))</f>
        <v/>
      </c>
    </row>
    <row r="121" spans="1:60" x14ac:dyDescent="0.25">
      <c r="A121" t="str">
        <f>IF($B121="","",ROW()-6)</f>
        <v/>
      </c>
      <c r="B121" s="9"/>
      <c r="C121" s="9"/>
      <c r="D121" s="9"/>
      <c r="E121" s="9"/>
      <c r="F121" s="17"/>
      <c r="G121" s="18"/>
      <c r="H121" s="18"/>
      <c r="I121" s="9"/>
      <c r="J121" s="9"/>
      <c r="K121" s="19"/>
      <c r="L121" s="19"/>
      <c r="M121" s="19"/>
      <c r="N121" s="9"/>
      <c r="O121" s="9"/>
      <c r="P121" s="9"/>
      <c r="Q121" s="17"/>
      <c r="R121" s="18"/>
      <c r="S121" t="str">
        <f>IF($B121="","",IF($I121&lt;&gt;"",$I121,IFERROR(INDEX(Kat_Metode,MATCH($D121,Kat_Nama,0)),"")))</f>
        <v/>
      </c>
      <c r="T121" t="str">
        <f>IF($B121="","",IF($J121&lt;&gt;"",$J121,IFERROR(INDEX(Kat_Umur,MATCH($D121,Kat_Nama,0)),0)))</f>
        <v/>
      </c>
      <c r="U121" t="str">
        <f>IF($B121="","",IF($N121&lt;&gt;"",$N121,IFERROR(INDEX(Kat_Kelompok,MATCH($D121,Kat_Nama,0)),"")))</f>
        <v/>
      </c>
      <c r="V121" t="str">
        <f>IF($B121="","",IF($U121="Masa Manfaat Sebenarnya",N($O121),IFERROR(INDEX(Kel_Masa,MATCH($U121,Kel_Nama,0)),0)))</f>
        <v/>
      </c>
      <c r="W121" t="str">
        <f>IF($B121="","",IF($P121&lt;&gt;"",$P121,IF(OR($U121="Tidak Disusutkan",$V121=0),"Tidak Disusutkan","Garis Lurus")))</f>
        <v/>
      </c>
      <c r="X121" t="str">
        <f>IF($B121="","",IF($Y121&gt;TahunBuku*12+12,"Belum Diperoleh",IF($Z121&lt;=TahunBuku*12,"Dilepas (thn lalu)",IF($AC121=1,"Dilepas thn ini",IF($AB121=1,"Perolehan baru","Aktif")))))</f>
        <v/>
      </c>
      <c r="Y121" s="20" t="str">
        <f>IF($B121="","",YEAR($F121)*12+MONTH($F121))</f>
        <v/>
      </c>
      <c r="Z121" s="20" t="str">
        <f>IF($B121="","",IF($Q121="",99999,YEAR($Q121)*12+MONTH($Q121)))</f>
        <v/>
      </c>
      <c r="AA121" s="20" t="str">
        <f>IF($B121="","",--AND($Y121&lt;=TahunBuku*12,$Z121&gt;TahunBuku*12))</f>
        <v/>
      </c>
      <c r="AB121" s="20" t="str">
        <f>IF($B121="","",--AND($Y121&gt;TahunBuku*12,$Y121&lt;=TahunBuku*12+12))</f>
        <v/>
      </c>
      <c r="AC121" s="20" t="str">
        <f>IF($B121="","",--AND($Z121&gt;TahunBuku*12,$Z121&lt;=TahunBuku*12+12,$Y121&lt;=$Z121))</f>
        <v/>
      </c>
      <c r="AD121" s="21" t="str">
        <f>IF($B121="","",IFERROR(IF($S121="Garis Lurus",$G121-($G121-$H121)*MIN($T121*12,MAX(0,TahunBuku*12-$Y121+1))/($T121*12),IF($S121="Saldo Menurun",IF(TahunBuku-1&lt;YEAR($F121),$G121,IF(TahunBuku-1&gt;=INT(($Y121+$T121*12-2)/12),$H121,MAX($H121,$G121*(1-2/$T121*(13-MONTH($F121))/12)*(1-2/$T121)^(TahunBuku-1-YEAR($F121))))),IF($S121="Unit Produksi",$G121-($G121-$H121)*MIN(1,N($L121)/$K121),$G121))),$G121))</f>
        <v/>
      </c>
      <c r="AE121" s="21" t="str">
        <f>IF($B121="","",IFERROR(IF($S121="Garis Lurus",$G121-($G121-$H121)*MIN($T121*12,MAX(0,TahunBuku*12+12-$Y121+1))/($T121*12),IF($S121="Saldo Menurun",IF(TahunBuku&lt;YEAR($F121),$G121,IF(TahunBuku&gt;=INT(($Y121+$T121*12-2)/12),$H121,MAX($H121,$G121*(1-2/$T121*(13-MONTH($F121))/12)*(1-2/$T121)^(TahunBuku-YEAR($F121))))),IF($S121="Unit Produksi",$G121-($G121-$H121)*MIN(1,(N($L121)+N($M121))/$K121),$G121))),$G121))</f>
        <v/>
      </c>
      <c r="AF121" s="20" t="str">
        <f>IF($B121="","",IF(OR($S121="Garis Lurus",$S121="Saldo Menurun",$S121="Unit Produksi"),MAX(0,IF($S121="Unit Produksi",TahunBuku*12+12,MIN(TahunBuku*12+12,$Y121+$T121*12-1))-MAX(TahunBuku*12+1,$Y121)+1),0))</f>
        <v/>
      </c>
      <c r="AG121" s="20" t="str">
        <f>IF($B121="","",IF(OR($S121="Garis Lurus",$S121="Saldo Menurun",$S121="Unit Produksi"),MAX(0,MIN($Z121,IF($S121="Unit Produksi",TahunBuku*12+12,MIN(TahunBuku*12+12,$Y121+$T121*12-1)))-MAX(TahunBuku*12+1,$Y121)+1),0))</f>
        <v/>
      </c>
      <c r="AH121" s="21" t="str">
        <f>IF($B121="","",IFERROR(IF($W121="Garis Lurus",$G121*(1-MIN($V121*12,MAX(0,TahunBuku*12-$Y121+1))/($V121*12)),IF($W121="Saldo Menurun",IF(TahunBuku-1&lt;YEAR($F121),$G121,IF(TahunBuku-1&gt;=INT(($Y121+$V121*12-2)/12),0,$G121*(1-2/$V121*(13-MONTH($F121))/12)*(1-2/$V121)^(TahunBuku-1-YEAR($F121)))),$G121)),$G121))</f>
        <v/>
      </c>
      <c r="AI121" s="21" t="str">
        <f>IF($B121="","",IFERROR(IF($W121="Garis Lurus",$G121*(1-MIN($V121*12,MAX(0,TahunBuku*12+12-$Y121+1))/($V121*12)),IF($W121="Saldo Menurun",IF(TahunBuku&lt;YEAR($F121),$G121,IF(TahunBuku&gt;=INT(($Y121+$V121*12-2)/12),0,$G121*(1-2/$V121*(13-MONTH($F121))/12)*(1-2/$V121)^(TahunBuku-YEAR($F121)))),$G121)),$G121))</f>
        <v/>
      </c>
      <c r="AJ121" s="20" t="str">
        <f>IF($B121="","",IF(OR($W121="Garis Lurus",$W121="Saldo Menurun"),MAX(0,MIN(TahunBuku*12+12,$Y121+$V121*12-1)-MAX(TahunBuku*12+1,$Y121)+1),0))</f>
        <v/>
      </c>
      <c r="AK121" s="20" t="str">
        <f>IF($B121="","",IF(OR($W121="Garis Lurus",$W121="Saldo Menurun"),MAX(0,MIN($Z121,TahunBuku*12+12,$Y121+$V121*12-1)-MAX(TahunBuku*12+1,$Y121)+1),0))</f>
        <v/>
      </c>
      <c r="AL121" s="22" t="str">
        <f>IF($B121="","",$G121*$AA121)</f>
        <v/>
      </c>
      <c r="AM121" s="22" t="str">
        <f>IF($B121="","",$G121*$AB121)</f>
        <v/>
      </c>
      <c r="AN121" s="22" t="str">
        <f>IF($B121="","",$G121*$AC121)</f>
        <v/>
      </c>
      <c r="AO121" s="22" t="str">
        <f>IF($B121="","",AL121+AM121-AN121)</f>
        <v/>
      </c>
      <c r="AP121" s="22" t="str">
        <f>IF($B121="","",($G121-$AD121)*$AA121)</f>
        <v/>
      </c>
      <c r="AQ121" s="22" t="str">
        <f>IF($B121="","",IF($AF121=0,0,($AD121-$AE121)*$AG121/$AF121)*MAX($AA121,$AB121))</f>
        <v/>
      </c>
      <c r="AR121" s="22" t="str">
        <f>IF($B121="","",(AP121+AQ121)*$AC121)</f>
        <v/>
      </c>
      <c r="AS121" s="22" t="str">
        <f>IF($B121="","",AP121+AQ121-AR121)</f>
        <v/>
      </c>
      <c r="AT121" s="22" t="str">
        <f>IF($B121="","",AO121-AS121)</f>
        <v/>
      </c>
      <c r="AU121" s="22" t="str">
        <f>IF($B121="","",IF($AC121=1,N($R121)-($G121-AR121),0))</f>
        <v/>
      </c>
      <c r="AV121" s="22" t="str">
        <f>IF($B121="","",($G121-$AH121)*$AA121)</f>
        <v/>
      </c>
      <c r="AW121" s="22" t="str">
        <f>IF($B121="","",IF($AJ121=0,0,($AH121-$AI121)*$AK121/$AJ121)*MAX($AA121,$AB121))</f>
        <v/>
      </c>
      <c r="AX121" s="22" t="str">
        <f>IF($B121="","",(AV121+AW121)*$AC121)</f>
        <v/>
      </c>
      <c r="AY121" s="22" t="str">
        <f>IF($B121="","",AV121+AW121-AX121)</f>
        <v/>
      </c>
      <c r="AZ121" s="22" t="str">
        <f>IF($B121="","",AO121-AY121)</f>
        <v/>
      </c>
      <c r="BA121" s="22" t="str">
        <f>IF($B121="","",IF($AC121=1,N($R121)-($G121-AX121),0))</f>
        <v/>
      </c>
      <c r="BB121" s="22" t="str">
        <f>IF($B121="","",ROUND(AQ121-AW121,0))</f>
        <v/>
      </c>
      <c r="BC121" s="22" t="str">
        <f>IF($B121="","",ROUND(BA121-AU121,0))</f>
        <v/>
      </c>
      <c r="BD121" s="22" t="str">
        <f>IF($B121="","",BB121+BC121)</f>
        <v/>
      </c>
      <c r="BE121" s="22" t="str">
        <f>IF($B121="","",ROUND(AV121-AP121,0))</f>
        <v/>
      </c>
      <c r="BF121" s="22" t="str">
        <f>IF($B121="","",ROUND(AT121-AZ121,0))</f>
        <v/>
      </c>
      <c r="BG121" s="22" t="str">
        <f>IF($B121="","",ROUND(BF121*TarifPPh,0))</f>
        <v/>
      </c>
      <c r="BH121" t="str">
        <f>IF($B121="","",IF($D121="","Kategori kosong",IF($F121="","Tgl perolehan kosong",IF(N($H121)&gt;$G121,"Residu &gt; harga perolehan",IF(AND(LEFT($U121,8)="Bangunan",$W121="Saldo Menurun"),"Bangunan wajib Garis Lurus (Ps.11 UU PPh)",IF(AND($S121="Unit Produksi",N($K121)=0),"Isi kapasitas unit",IF(AND(OR($S121="Garis Lurus",$S121="Saldo Menurun"),N($T121)&lt;=0),"Umur komersial kosong",IF(AND(OR($W121="Garis Lurus",$W121="Saldo Menurun"),N($V121)&lt;=0),"Masa manfaat fiskal kosong",IF(AND($Q121&lt;&gt;"",$Q121&lt;$F121),"Tgl pelepasan &lt; perolehan","OK")))))))))</f>
        <v/>
      </c>
    </row>
    <row r="122" spans="1:60" x14ac:dyDescent="0.25">
      <c r="A122" t="str">
        <f>IF($B122="","",ROW()-6)</f>
        <v/>
      </c>
      <c r="B122" s="9"/>
      <c r="C122" s="9"/>
      <c r="D122" s="9"/>
      <c r="E122" s="9"/>
      <c r="F122" s="17"/>
      <c r="G122" s="18"/>
      <c r="H122" s="18"/>
      <c r="I122" s="9"/>
      <c r="J122" s="9"/>
      <c r="K122" s="19"/>
      <c r="L122" s="19"/>
      <c r="M122" s="19"/>
      <c r="N122" s="9"/>
      <c r="O122" s="9"/>
      <c r="P122" s="9"/>
      <c r="Q122" s="17"/>
      <c r="R122" s="18"/>
      <c r="S122" t="str">
        <f>IF($B122="","",IF($I122&lt;&gt;"",$I122,IFERROR(INDEX(Kat_Metode,MATCH($D122,Kat_Nama,0)),"")))</f>
        <v/>
      </c>
      <c r="T122" t="str">
        <f>IF($B122="","",IF($J122&lt;&gt;"",$J122,IFERROR(INDEX(Kat_Umur,MATCH($D122,Kat_Nama,0)),0)))</f>
        <v/>
      </c>
      <c r="U122" t="str">
        <f>IF($B122="","",IF($N122&lt;&gt;"",$N122,IFERROR(INDEX(Kat_Kelompok,MATCH($D122,Kat_Nama,0)),"")))</f>
        <v/>
      </c>
      <c r="V122" t="str">
        <f>IF($B122="","",IF($U122="Masa Manfaat Sebenarnya",N($O122),IFERROR(INDEX(Kel_Masa,MATCH($U122,Kel_Nama,0)),0)))</f>
        <v/>
      </c>
      <c r="W122" t="str">
        <f>IF($B122="","",IF($P122&lt;&gt;"",$P122,IF(OR($U122="Tidak Disusutkan",$V122=0),"Tidak Disusutkan","Garis Lurus")))</f>
        <v/>
      </c>
      <c r="X122" t="str">
        <f>IF($B122="","",IF($Y122&gt;TahunBuku*12+12,"Belum Diperoleh",IF($Z122&lt;=TahunBuku*12,"Dilepas (thn lalu)",IF($AC122=1,"Dilepas thn ini",IF($AB122=1,"Perolehan baru","Aktif")))))</f>
        <v/>
      </c>
      <c r="Y122" s="20" t="str">
        <f>IF($B122="","",YEAR($F122)*12+MONTH($F122))</f>
        <v/>
      </c>
      <c r="Z122" s="20" t="str">
        <f>IF($B122="","",IF($Q122="",99999,YEAR($Q122)*12+MONTH($Q122)))</f>
        <v/>
      </c>
      <c r="AA122" s="20" t="str">
        <f>IF($B122="","",--AND($Y122&lt;=TahunBuku*12,$Z122&gt;TahunBuku*12))</f>
        <v/>
      </c>
      <c r="AB122" s="20" t="str">
        <f>IF($B122="","",--AND($Y122&gt;TahunBuku*12,$Y122&lt;=TahunBuku*12+12))</f>
        <v/>
      </c>
      <c r="AC122" s="20" t="str">
        <f>IF($B122="","",--AND($Z122&gt;TahunBuku*12,$Z122&lt;=TahunBuku*12+12,$Y122&lt;=$Z122))</f>
        <v/>
      </c>
      <c r="AD122" s="21" t="str">
        <f>IF($B122="","",IFERROR(IF($S122="Garis Lurus",$G122-($G122-$H122)*MIN($T122*12,MAX(0,TahunBuku*12-$Y122+1))/($T122*12),IF($S122="Saldo Menurun",IF(TahunBuku-1&lt;YEAR($F122),$G122,IF(TahunBuku-1&gt;=INT(($Y122+$T122*12-2)/12),$H122,MAX($H122,$G122*(1-2/$T122*(13-MONTH($F122))/12)*(1-2/$T122)^(TahunBuku-1-YEAR($F122))))),IF($S122="Unit Produksi",$G122-($G122-$H122)*MIN(1,N($L122)/$K122),$G122))),$G122))</f>
        <v/>
      </c>
      <c r="AE122" s="21" t="str">
        <f>IF($B122="","",IFERROR(IF($S122="Garis Lurus",$G122-($G122-$H122)*MIN($T122*12,MAX(0,TahunBuku*12+12-$Y122+1))/($T122*12),IF($S122="Saldo Menurun",IF(TahunBuku&lt;YEAR($F122),$G122,IF(TahunBuku&gt;=INT(($Y122+$T122*12-2)/12),$H122,MAX($H122,$G122*(1-2/$T122*(13-MONTH($F122))/12)*(1-2/$T122)^(TahunBuku-YEAR($F122))))),IF($S122="Unit Produksi",$G122-($G122-$H122)*MIN(1,(N($L122)+N($M122))/$K122),$G122))),$G122))</f>
        <v/>
      </c>
      <c r="AF122" s="20" t="str">
        <f>IF($B122="","",IF(OR($S122="Garis Lurus",$S122="Saldo Menurun",$S122="Unit Produksi"),MAX(0,IF($S122="Unit Produksi",TahunBuku*12+12,MIN(TahunBuku*12+12,$Y122+$T122*12-1))-MAX(TahunBuku*12+1,$Y122)+1),0))</f>
        <v/>
      </c>
      <c r="AG122" s="20" t="str">
        <f>IF($B122="","",IF(OR($S122="Garis Lurus",$S122="Saldo Menurun",$S122="Unit Produksi"),MAX(0,MIN($Z122,IF($S122="Unit Produksi",TahunBuku*12+12,MIN(TahunBuku*12+12,$Y122+$T122*12-1)))-MAX(TahunBuku*12+1,$Y122)+1),0))</f>
        <v/>
      </c>
      <c r="AH122" s="21" t="str">
        <f>IF($B122="","",IFERROR(IF($W122="Garis Lurus",$G122*(1-MIN($V122*12,MAX(0,TahunBuku*12-$Y122+1))/($V122*12)),IF($W122="Saldo Menurun",IF(TahunBuku-1&lt;YEAR($F122),$G122,IF(TahunBuku-1&gt;=INT(($Y122+$V122*12-2)/12),0,$G122*(1-2/$V122*(13-MONTH($F122))/12)*(1-2/$V122)^(TahunBuku-1-YEAR($F122)))),$G122)),$G122))</f>
        <v/>
      </c>
      <c r="AI122" s="21" t="str">
        <f>IF($B122="","",IFERROR(IF($W122="Garis Lurus",$G122*(1-MIN($V122*12,MAX(0,TahunBuku*12+12-$Y122+1))/($V122*12)),IF($W122="Saldo Menurun",IF(TahunBuku&lt;YEAR($F122),$G122,IF(TahunBuku&gt;=INT(($Y122+$V122*12-2)/12),0,$G122*(1-2/$V122*(13-MONTH($F122))/12)*(1-2/$V122)^(TahunBuku-YEAR($F122)))),$G122)),$G122))</f>
        <v/>
      </c>
      <c r="AJ122" s="20" t="str">
        <f>IF($B122="","",IF(OR($W122="Garis Lurus",$W122="Saldo Menurun"),MAX(0,MIN(TahunBuku*12+12,$Y122+$V122*12-1)-MAX(TahunBuku*12+1,$Y122)+1),0))</f>
        <v/>
      </c>
      <c r="AK122" s="20" t="str">
        <f>IF($B122="","",IF(OR($W122="Garis Lurus",$W122="Saldo Menurun"),MAX(0,MIN($Z122,TahunBuku*12+12,$Y122+$V122*12-1)-MAX(TahunBuku*12+1,$Y122)+1),0))</f>
        <v/>
      </c>
      <c r="AL122" s="22" t="str">
        <f>IF($B122="","",$G122*$AA122)</f>
        <v/>
      </c>
      <c r="AM122" s="22" t="str">
        <f>IF($B122="","",$G122*$AB122)</f>
        <v/>
      </c>
      <c r="AN122" s="22" t="str">
        <f>IF($B122="","",$G122*$AC122)</f>
        <v/>
      </c>
      <c r="AO122" s="22" t="str">
        <f>IF($B122="","",AL122+AM122-AN122)</f>
        <v/>
      </c>
      <c r="AP122" s="22" t="str">
        <f>IF($B122="","",($G122-$AD122)*$AA122)</f>
        <v/>
      </c>
      <c r="AQ122" s="22" t="str">
        <f>IF($B122="","",IF($AF122=0,0,($AD122-$AE122)*$AG122/$AF122)*MAX($AA122,$AB122))</f>
        <v/>
      </c>
      <c r="AR122" s="22" t="str">
        <f>IF($B122="","",(AP122+AQ122)*$AC122)</f>
        <v/>
      </c>
      <c r="AS122" s="22" t="str">
        <f>IF($B122="","",AP122+AQ122-AR122)</f>
        <v/>
      </c>
      <c r="AT122" s="22" t="str">
        <f>IF($B122="","",AO122-AS122)</f>
        <v/>
      </c>
      <c r="AU122" s="22" t="str">
        <f>IF($B122="","",IF($AC122=1,N($R122)-($G122-AR122),0))</f>
        <v/>
      </c>
      <c r="AV122" s="22" t="str">
        <f>IF($B122="","",($G122-$AH122)*$AA122)</f>
        <v/>
      </c>
      <c r="AW122" s="22" t="str">
        <f>IF($B122="","",IF($AJ122=0,0,($AH122-$AI122)*$AK122/$AJ122)*MAX($AA122,$AB122))</f>
        <v/>
      </c>
      <c r="AX122" s="22" t="str">
        <f>IF($B122="","",(AV122+AW122)*$AC122)</f>
        <v/>
      </c>
      <c r="AY122" s="22" t="str">
        <f>IF($B122="","",AV122+AW122-AX122)</f>
        <v/>
      </c>
      <c r="AZ122" s="22" t="str">
        <f>IF($B122="","",AO122-AY122)</f>
        <v/>
      </c>
      <c r="BA122" s="22" t="str">
        <f>IF($B122="","",IF($AC122=1,N($R122)-($G122-AX122),0))</f>
        <v/>
      </c>
      <c r="BB122" s="22" t="str">
        <f>IF($B122="","",ROUND(AQ122-AW122,0))</f>
        <v/>
      </c>
      <c r="BC122" s="22" t="str">
        <f>IF($B122="","",ROUND(BA122-AU122,0))</f>
        <v/>
      </c>
      <c r="BD122" s="22" t="str">
        <f>IF($B122="","",BB122+BC122)</f>
        <v/>
      </c>
      <c r="BE122" s="22" t="str">
        <f>IF($B122="","",ROUND(AV122-AP122,0))</f>
        <v/>
      </c>
      <c r="BF122" s="22" t="str">
        <f>IF($B122="","",ROUND(AT122-AZ122,0))</f>
        <v/>
      </c>
      <c r="BG122" s="22" t="str">
        <f>IF($B122="","",ROUND(BF122*TarifPPh,0))</f>
        <v/>
      </c>
      <c r="BH122" t="str">
        <f>IF($B122="","",IF($D122="","Kategori kosong",IF($F122="","Tgl perolehan kosong",IF(N($H122)&gt;$G122,"Residu &gt; harga perolehan",IF(AND(LEFT($U122,8)="Bangunan",$W122="Saldo Menurun"),"Bangunan wajib Garis Lurus (Ps.11 UU PPh)",IF(AND($S122="Unit Produksi",N($K122)=0),"Isi kapasitas unit",IF(AND(OR($S122="Garis Lurus",$S122="Saldo Menurun"),N($T122)&lt;=0),"Umur komersial kosong",IF(AND(OR($W122="Garis Lurus",$W122="Saldo Menurun"),N($V122)&lt;=0),"Masa manfaat fiskal kosong",IF(AND($Q122&lt;&gt;"",$Q122&lt;$F122),"Tgl pelepasan &lt; perolehan","OK")))))))))</f>
        <v/>
      </c>
    </row>
    <row r="123" spans="1:60" x14ac:dyDescent="0.25">
      <c r="A123" t="str">
        <f>IF($B123="","",ROW()-6)</f>
        <v/>
      </c>
      <c r="B123" s="9"/>
      <c r="C123" s="9"/>
      <c r="D123" s="9"/>
      <c r="E123" s="9"/>
      <c r="F123" s="17"/>
      <c r="G123" s="18"/>
      <c r="H123" s="18"/>
      <c r="I123" s="9"/>
      <c r="J123" s="9"/>
      <c r="K123" s="19"/>
      <c r="L123" s="19"/>
      <c r="M123" s="19"/>
      <c r="N123" s="9"/>
      <c r="O123" s="9"/>
      <c r="P123" s="9"/>
      <c r="Q123" s="17"/>
      <c r="R123" s="18"/>
      <c r="S123" t="str">
        <f>IF($B123="","",IF($I123&lt;&gt;"",$I123,IFERROR(INDEX(Kat_Metode,MATCH($D123,Kat_Nama,0)),"")))</f>
        <v/>
      </c>
      <c r="T123" t="str">
        <f>IF($B123="","",IF($J123&lt;&gt;"",$J123,IFERROR(INDEX(Kat_Umur,MATCH($D123,Kat_Nama,0)),0)))</f>
        <v/>
      </c>
      <c r="U123" t="str">
        <f>IF($B123="","",IF($N123&lt;&gt;"",$N123,IFERROR(INDEX(Kat_Kelompok,MATCH($D123,Kat_Nama,0)),"")))</f>
        <v/>
      </c>
      <c r="V123" t="str">
        <f>IF($B123="","",IF($U123="Masa Manfaat Sebenarnya",N($O123),IFERROR(INDEX(Kel_Masa,MATCH($U123,Kel_Nama,0)),0)))</f>
        <v/>
      </c>
      <c r="W123" t="str">
        <f>IF($B123="","",IF($P123&lt;&gt;"",$P123,IF(OR($U123="Tidak Disusutkan",$V123=0),"Tidak Disusutkan","Garis Lurus")))</f>
        <v/>
      </c>
      <c r="X123" t="str">
        <f>IF($B123="","",IF($Y123&gt;TahunBuku*12+12,"Belum Diperoleh",IF($Z123&lt;=TahunBuku*12,"Dilepas (thn lalu)",IF($AC123=1,"Dilepas thn ini",IF($AB123=1,"Perolehan baru","Aktif")))))</f>
        <v/>
      </c>
      <c r="Y123" s="20" t="str">
        <f>IF($B123="","",YEAR($F123)*12+MONTH($F123))</f>
        <v/>
      </c>
      <c r="Z123" s="20" t="str">
        <f>IF($B123="","",IF($Q123="",99999,YEAR($Q123)*12+MONTH($Q123)))</f>
        <v/>
      </c>
      <c r="AA123" s="20" t="str">
        <f>IF($B123="","",--AND($Y123&lt;=TahunBuku*12,$Z123&gt;TahunBuku*12))</f>
        <v/>
      </c>
      <c r="AB123" s="20" t="str">
        <f>IF($B123="","",--AND($Y123&gt;TahunBuku*12,$Y123&lt;=TahunBuku*12+12))</f>
        <v/>
      </c>
      <c r="AC123" s="20" t="str">
        <f>IF($B123="","",--AND($Z123&gt;TahunBuku*12,$Z123&lt;=TahunBuku*12+12,$Y123&lt;=$Z123))</f>
        <v/>
      </c>
      <c r="AD123" s="21" t="str">
        <f>IF($B123="","",IFERROR(IF($S123="Garis Lurus",$G123-($G123-$H123)*MIN($T123*12,MAX(0,TahunBuku*12-$Y123+1))/($T123*12),IF($S123="Saldo Menurun",IF(TahunBuku-1&lt;YEAR($F123),$G123,IF(TahunBuku-1&gt;=INT(($Y123+$T123*12-2)/12),$H123,MAX($H123,$G123*(1-2/$T123*(13-MONTH($F123))/12)*(1-2/$T123)^(TahunBuku-1-YEAR($F123))))),IF($S123="Unit Produksi",$G123-($G123-$H123)*MIN(1,N($L123)/$K123),$G123))),$G123))</f>
        <v/>
      </c>
      <c r="AE123" s="21" t="str">
        <f>IF($B123="","",IFERROR(IF($S123="Garis Lurus",$G123-($G123-$H123)*MIN($T123*12,MAX(0,TahunBuku*12+12-$Y123+1))/($T123*12),IF($S123="Saldo Menurun",IF(TahunBuku&lt;YEAR($F123),$G123,IF(TahunBuku&gt;=INT(($Y123+$T123*12-2)/12),$H123,MAX($H123,$G123*(1-2/$T123*(13-MONTH($F123))/12)*(1-2/$T123)^(TahunBuku-YEAR($F123))))),IF($S123="Unit Produksi",$G123-($G123-$H123)*MIN(1,(N($L123)+N($M123))/$K123),$G123))),$G123))</f>
        <v/>
      </c>
      <c r="AF123" s="20" t="str">
        <f>IF($B123="","",IF(OR($S123="Garis Lurus",$S123="Saldo Menurun",$S123="Unit Produksi"),MAX(0,IF($S123="Unit Produksi",TahunBuku*12+12,MIN(TahunBuku*12+12,$Y123+$T123*12-1))-MAX(TahunBuku*12+1,$Y123)+1),0))</f>
        <v/>
      </c>
      <c r="AG123" s="20" t="str">
        <f>IF($B123="","",IF(OR($S123="Garis Lurus",$S123="Saldo Menurun",$S123="Unit Produksi"),MAX(0,MIN($Z123,IF($S123="Unit Produksi",TahunBuku*12+12,MIN(TahunBuku*12+12,$Y123+$T123*12-1)))-MAX(TahunBuku*12+1,$Y123)+1),0))</f>
        <v/>
      </c>
      <c r="AH123" s="21" t="str">
        <f>IF($B123="","",IFERROR(IF($W123="Garis Lurus",$G123*(1-MIN($V123*12,MAX(0,TahunBuku*12-$Y123+1))/($V123*12)),IF($W123="Saldo Menurun",IF(TahunBuku-1&lt;YEAR($F123),$G123,IF(TahunBuku-1&gt;=INT(($Y123+$V123*12-2)/12),0,$G123*(1-2/$V123*(13-MONTH($F123))/12)*(1-2/$V123)^(TahunBuku-1-YEAR($F123)))),$G123)),$G123))</f>
        <v/>
      </c>
      <c r="AI123" s="21" t="str">
        <f>IF($B123="","",IFERROR(IF($W123="Garis Lurus",$G123*(1-MIN($V123*12,MAX(0,TahunBuku*12+12-$Y123+1))/($V123*12)),IF($W123="Saldo Menurun",IF(TahunBuku&lt;YEAR($F123),$G123,IF(TahunBuku&gt;=INT(($Y123+$V123*12-2)/12),0,$G123*(1-2/$V123*(13-MONTH($F123))/12)*(1-2/$V123)^(TahunBuku-YEAR($F123)))),$G123)),$G123))</f>
        <v/>
      </c>
      <c r="AJ123" s="20" t="str">
        <f>IF($B123="","",IF(OR($W123="Garis Lurus",$W123="Saldo Menurun"),MAX(0,MIN(TahunBuku*12+12,$Y123+$V123*12-1)-MAX(TahunBuku*12+1,$Y123)+1),0))</f>
        <v/>
      </c>
      <c r="AK123" s="20" t="str">
        <f>IF($B123="","",IF(OR($W123="Garis Lurus",$W123="Saldo Menurun"),MAX(0,MIN($Z123,TahunBuku*12+12,$Y123+$V123*12-1)-MAX(TahunBuku*12+1,$Y123)+1),0))</f>
        <v/>
      </c>
      <c r="AL123" s="22" t="str">
        <f>IF($B123="","",$G123*$AA123)</f>
        <v/>
      </c>
      <c r="AM123" s="22" t="str">
        <f>IF($B123="","",$G123*$AB123)</f>
        <v/>
      </c>
      <c r="AN123" s="22" t="str">
        <f>IF($B123="","",$G123*$AC123)</f>
        <v/>
      </c>
      <c r="AO123" s="22" t="str">
        <f>IF($B123="","",AL123+AM123-AN123)</f>
        <v/>
      </c>
      <c r="AP123" s="22" t="str">
        <f>IF($B123="","",($G123-$AD123)*$AA123)</f>
        <v/>
      </c>
      <c r="AQ123" s="22" t="str">
        <f>IF($B123="","",IF($AF123=0,0,($AD123-$AE123)*$AG123/$AF123)*MAX($AA123,$AB123))</f>
        <v/>
      </c>
      <c r="AR123" s="22" t="str">
        <f>IF($B123="","",(AP123+AQ123)*$AC123)</f>
        <v/>
      </c>
      <c r="AS123" s="22" t="str">
        <f>IF($B123="","",AP123+AQ123-AR123)</f>
        <v/>
      </c>
      <c r="AT123" s="22" t="str">
        <f>IF($B123="","",AO123-AS123)</f>
        <v/>
      </c>
      <c r="AU123" s="22" t="str">
        <f>IF($B123="","",IF($AC123=1,N($R123)-($G123-AR123),0))</f>
        <v/>
      </c>
      <c r="AV123" s="22" t="str">
        <f>IF($B123="","",($G123-$AH123)*$AA123)</f>
        <v/>
      </c>
      <c r="AW123" s="22" t="str">
        <f>IF($B123="","",IF($AJ123=0,0,($AH123-$AI123)*$AK123/$AJ123)*MAX($AA123,$AB123))</f>
        <v/>
      </c>
      <c r="AX123" s="22" t="str">
        <f>IF($B123="","",(AV123+AW123)*$AC123)</f>
        <v/>
      </c>
      <c r="AY123" s="22" t="str">
        <f>IF($B123="","",AV123+AW123-AX123)</f>
        <v/>
      </c>
      <c r="AZ123" s="22" t="str">
        <f>IF($B123="","",AO123-AY123)</f>
        <v/>
      </c>
      <c r="BA123" s="22" t="str">
        <f>IF($B123="","",IF($AC123=1,N($R123)-($G123-AX123),0))</f>
        <v/>
      </c>
      <c r="BB123" s="22" t="str">
        <f>IF($B123="","",ROUND(AQ123-AW123,0))</f>
        <v/>
      </c>
      <c r="BC123" s="22" t="str">
        <f>IF($B123="","",ROUND(BA123-AU123,0))</f>
        <v/>
      </c>
      <c r="BD123" s="22" t="str">
        <f>IF($B123="","",BB123+BC123)</f>
        <v/>
      </c>
      <c r="BE123" s="22" t="str">
        <f>IF($B123="","",ROUND(AV123-AP123,0))</f>
        <v/>
      </c>
      <c r="BF123" s="22" t="str">
        <f>IF($B123="","",ROUND(AT123-AZ123,0))</f>
        <v/>
      </c>
      <c r="BG123" s="22" t="str">
        <f>IF($B123="","",ROUND(BF123*TarifPPh,0))</f>
        <v/>
      </c>
      <c r="BH123" t="str">
        <f>IF($B123="","",IF($D123="","Kategori kosong",IF($F123="","Tgl perolehan kosong",IF(N($H123)&gt;$G123,"Residu &gt; harga perolehan",IF(AND(LEFT($U123,8)="Bangunan",$W123="Saldo Menurun"),"Bangunan wajib Garis Lurus (Ps.11 UU PPh)",IF(AND($S123="Unit Produksi",N($K123)=0),"Isi kapasitas unit",IF(AND(OR($S123="Garis Lurus",$S123="Saldo Menurun"),N($T123)&lt;=0),"Umur komersial kosong",IF(AND(OR($W123="Garis Lurus",$W123="Saldo Menurun"),N($V123)&lt;=0),"Masa manfaat fiskal kosong",IF(AND($Q123&lt;&gt;"",$Q123&lt;$F123),"Tgl pelepasan &lt; perolehan","OK")))))))))</f>
        <v/>
      </c>
    </row>
    <row r="124" spans="1:60" x14ac:dyDescent="0.25">
      <c r="A124" t="str">
        <f>IF($B124="","",ROW()-6)</f>
        <v/>
      </c>
      <c r="B124" s="9"/>
      <c r="C124" s="9"/>
      <c r="D124" s="9"/>
      <c r="E124" s="9"/>
      <c r="F124" s="17"/>
      <c r="G124" s="18"/>
      <c r="H124" s="18"/>
      <c r="I124" s="9"/>
      <c r="J124" s="9"/>
      <c r="K124" s="19"/>
      <c r="L124" s="19"/>
      <c r="M124" s="19"/>
      <c r="N124" s="9"/>
      <c r="O124" s="9"/>
      <c r="P124" s="9"/>
      <c r="Q124" s="17"/>
      <c r="R124" s="18"/>
      <c r="S124" t="str">
        <f>IF($B124="","",IF($I124&lt;&gt;"",$I124,IFERROR(INDEX(Kat_Metode,MATCH($D124,Kat_Nama,0)),"")))</f>
        <v/>
      </c>
      <c r="T124" t="str">
        <f>IF($B124="","",IF($J124&lt;&gt;"",$J124,IFERROR(INDEX(Kat_Umur,MATCH($D124,Kat_Nama,0)),0)))</f>
        <v/>
      </c>
      <c r="U124" t="str">
        <f>IF($B124="","",IF($N124&lt;&gt;"",$N124,IFERROR(INDEX(Kat_Kelompok,MATCH($D124,Kat_Nama,0)),"")))</f>
        <v/>
      </c>
      <c r="V124" t="str">
        <f>IF($B124="","",IF($U124="Masa Manfaat Sebenarnya",N($O124),IFERROR(INDEX(Kel_Masa,MATCH($U124,Kel_Nama,0)),0)))</f>
        <v/>
      </c>
      <c r="W124" t="str">
        <f>IF($B124="","",IF($P124&lt;&gt;"",$P124,IF(OR($U124="Tidak Disusutkan",$V124=0),"Tidak Disusutkan","Garis Lurus")))</f>
        <v/>
      </c>
      <c r="X124" t="str">
        <f>IF($B124="","",IF($Y124&gt;TahunBuku*12+12,"Belum Diperoleh",IF($Z124&lt;=TahunBuku*12,"Dilepas (thn lalu)",IF($AC124=1,"Dilepas thn ini",IF($AB124=1,"Perolehan baru","Aktif")))))</f>
        <v/>
      </c>
      <c r="Y124" s="20" t="str">
        <f>IF($B124="","",YEAR($F124)*12+MONTH($F124))</f>
        <v/>
      </c>
      <c r="Z124" s="20" t="str">
        <f>IF($B124="","",IF($Q124="",99999,YEAR($Q124)*12+MONTH($Q124)))</f>
        <v/>
      </c>
      <c r="AA124" s="20" t="str">
        <f>IF($B124="","",--AND($Y124&lt;=TahunBuku*12,$Z124&gt;TahunBuku*12))</f>
        <v/>
      </c>
      <c r="AB124" s="20" t="str">
        <f>IF($B124="","",--AND($Y124&gt;TahunBuku*12,$Y124&lt;=TahunBuku*12+12))</f>
        <v/>
      </c>
      <c r="AC124" s="20" t="str">
        <f>IF($B124="","",--AND($Z124&gt;TahunBuku*12,$Z124&lt;=TahunBuku*12+12,$Y124&lt;=$Z124))</f>
        <v/>
      </c>
      <c r="AD124" s="21" t="str">
        <f>IF($B124="","",IFERROR(IF($S124="Garis Lurus",$G124-($G124-$H124)*MIN($T124*12,MAX(0,TahunBuku*12-$Y124+1))/($T124*12),IF($S124="Saldo Menurun",IF(TahunBuku-1&lt;YEAR($F124),$G124,IF(TahunBuku-1&gt;=INT(($Y124+$T124*12-2)/12),$H124,MAX($H124,$G124*(1-2/$T124*(13-MONTH($F124))/12)*(1-2/$T124)^(TahunBuku-1-YEAR($F124))))),IF($S124="Unit Produksi",$G124-($G124-$H124)*MIN(1,N($L124)/$K124),$G124))),$G124))</f>
        <v/>
      </c>
      <c r="AE124" s="21" t="str">
        <f>IF($B124="","",IFERROR(IF($S124="Garis Lurus",$G124-($G124-$H124)*MIN($T124*12,MAX(0,TahunBuku*12+12-$Y124+1))/($T124*12),IF($S124="Saldo Menurun",IF(TahunBuku&lt;YEAR($F124),$G124,IF(TahunBuku&gt;=INT(($Y124+$T124*12-2)/12),$H124,MAX($H124,$G124*(1-2/$T124*(13-MONTH($F124))/12)*(1-2/$T124)^(TahunBuku-YEAR($F124))))),IF($S124="Unit Produksi",$G124-($G124-$H124)*MIN(1,(N($L124)+N($M124))/$K124),$G124))),$G124))</f>
        <v/>
      </c>
      <c r="AF124" s="20" t="str">
        <f>IF($B124="","",IF(OR($S124="Garis Lurus",$S124="Saldo Menurun",$S124="Unit Produksi"),MAX(0,IF($S124="Unit Produksi",TahunBuku*12+12,MIN(TahunBuku*12+12,$Y124+$T124*12-1))-MAX(TahunBuku*12+1,$Y124)+1),0))</f>
        <v/>
      </c>
      <c r="AG124" s="20" t="str">
        <f>IF($B124="","",IF(OR($S124="Garis Lurus",$S124="Saldo Menurun",$S124="Unit Produksi"),MAX(0,MIN($Z124,IF($S124="Unit Produksi",TahunBuku*12+12,MIN(TahunBuku*12+12,$Y124+$T124*12-1)))-MAX(TahunBuku*12+1,$Y124)+1),0))</f>
        <v/>
      </c>
      <c r="AH124" s="21" t="str">
        <f>IF($B124="","",IFERROR(IF($W124="Garis Lurus",$G124*(1-MIN($V124*12,MAX(0,TahunBuku*12-$Y124+1))/($V124*12)),IF($W124="Saldo Menurun",IF(TahunBuku-1&lt;YEAR($F124),$G124,IF(TahunBuku-1&gt;=INT(($Y124+$V124*12-2)/12),0,$G124*(1-2/$V124*(13-MONTH($F124))/12)*(1-2/$V124)^(TahunBuku-1-YEAR($F124)))),$G124)),$G124))</f>
        <v/>
      </c>
      <c r="AI124" s="21" t="str">
        <f>IF($B124="","",IFERROR(IF($W124="Garis Lurus",$G124*(1-MIN($V124*12,MAX(0,TahunBuku*12+12-$Y124+1))/($V124*12)),IF($W124="Saldo Menurun",IF(TahunBuku&lt;YEAR($F124),$G124,IF(TahunBuku&gt;=INT(($Y124+$V124*12-2)/12),0,$G124*(1-2/$V124*(13-MONTH($F124))/12)*(1-2/$V124)^(TahunBuku-YEAR($F124)))),$G124)),$G124))</f>
        <v/>
      </c>
      <c r="AJ124" s="20" t="str">
        <f>IF($B124="","",IF(OR($W124="Garis Lurus",$W124="Saldo Menurun"),MAX(0,MIN(TahunBuku*12+12,$Y124+$V124*12-1)-MAX(TahunBuku*12+1,$Y124)+1),0))</f>
        <v/>
      </c>
      <c r="AK124" s="20" t="str">
        <f>IF($B124="","",IF(OR($W124="Garis Lurus",$W124="Saldo Menurun"),MAX(0,MIN($Z124,TahunBuku*12+12,$Y124+$V124*12-1)-MAX(TahunBuku*12+1,$Y124)+1),0))</f>
        <v/>
      </c>
      <c r="AL124" s="22" t="str">
        <f>IF($B124="","",$G124*$AA124)</f>
        <v/>
      </c>
      <c r="AM124" s="22" t="str">
        <f>IF($B124="","",$G124*$AB124)</f>
        <v/>
      </c>
      <c r="AN124" s="22" t="str">
        <f>IF($B124="","",$G124*$AC124)</f>
        <v/>
      </c>
      <c r="AO124" s="22" t="str">
        <f>IF($B124="","",AL124+AM124-AN124)</f>
        <v/>
      </c>
      <c r="AP124" s="22" t="str">
        <f>IF($B124="","",($G124-$AD124)*$AA124)</f>
        <v/>
      </c>
      <c r="AQ124" s="22" t="str">
        <f>IF($B124="","",IF($AF124=0,0,($AD124-$AE124)*$AG124/$AF124)*MAX($AA124,$AB124))</f>
        <v/>
      </c>
      <c r="AR124" s="22" t="str">
        <f>IF($B124="","",(AP124+AQ124)*$AC124)</f>
        <v/>
      </c>
      <c r="AS124" s="22" t="str">
        <f>IF($B124="","",AP124+AQ124-AR124)</f>
        <v/>
      </c>
      <c r="AT124" s="22" t="str">
        <f>IF($B124="","",AO124-AS124)</f>
        <v/>
      </c>
      <c r="AU124" s="22" t="str">
        <f>IF($B124="","",IF($AC124=1,N($R124)-($G124-AR124),0))</f>
        <v/>
      </c>
      <c r="AV124" s="22" t="str">
        <f>IF($B124="","",($G124-$AH124)*$AA124)</f>
        <v/>
      </c>
      <c r="AW124" s="22" t="str">
        <f>IF($B124="","",IF($AJ124=0,0,($AH124-$AI124)*$AK124/$AJ124)*MAX($AA124,$AB124))</f>
        <v/>
      </c>
      <c r="AX124" s="22" t="str">
        <f>IF($B124="","",(AV124+AW124)*$AC124)</f>
        <v/>
      </c>
      <c r="AY124" s="22" t="str">
        <f>IF($B124="","",AV124+AW124-AX124)</f>
        <v/>
      </c>
      <c r="AZ124" s="22" t="str">
        <f>IF($B124="","",AO124-AY124)</f>
        <v/>
      </c>
      <c r="BA124" s="22" t="str">
        <f>IF($B124="","",IF($AC124=1,N($R124)-($G124-AX124),0))</f>
        <v/>
      </c>
      <c r="BB124" s="22" t="str">
        <f>IF($B124="","",ROUND(AQ124-AW124,0))</f>
        <v/>
      </c>
      <c r="BC124" s="22" t="str">
        <f>IF($B124="","",ROUND(BA124-AU124,0))</f>
        <v/>
      </c>
      <c r="BD124" s="22" t="str">
        <f>IF($B124="","",BB124+BC124)</f>
        <v/>
      </c>
      <c r="BE124" s="22" t="str">
        <f>IF($B124="","",ROUND(AV124-AP124,0))</f>
        <v/>
      </c>
      <c r="BF124" s="22" t="str">
        <f>IF($B124="","",ROUND(AT124-AZ124,0))</f>
        <v/>
      </c>
      <c r="BG124" s="22" t="str">
        <f>IF($B124="","",ROUND(BF124*TarifPPh,0))</f>
        <v/>
      </c>
      <c r="BH124" t="str">
        <f>IF($B124="","",IF($D124="","Kategori kosong",IF($F124="","Tgl perolehan kosong",IF(N($H124)&gt;$G124,"Residu &gt; harga perolehan",IF(AND(LEFT($U124,8)="Bangunan",$W124="Saldo Menurun"),"Bangunan wajib Garis Lurus (Ps.11 UU PPh)",IF(AND($S124="Unit Produksi",N($K124)=0),"Isi kapasitas unit",IF(AND(OR($S124="Garis Lurus",$S124="Saldo Menurun"),N($T124)&lt;=0),"Umur komersial kosong",IF(AND(OR($W124="Garis Lurus",$W124="Saldo Menurun"),N($V124)&lt;=0),"Masa manfaat fiskal kosong",IF(AND($Q124&lt;&gt;"",$Q124&lt;$F124),"Tgl pelepasan &lt; perolehan","OK")))))))))</f>
        <v/>
      </c>
    </row>
    <row r="125" spans="1:60" x14ac:dyDescent="0.25">
      <c r="A125" t="str">
        <f>IF($B125="","",ROW()-6)</f>
        <v/>
      </c>
      <c r="B125" s="9"/>
      <c r="C125" s="9"/>
      <c r="D125" s="9"/>
      <c r="E125" s="9"/>
      <c r="F125" s="17"/>
      <c r="G125" s="18"/>
      <c r="H125" s="18"/>
      <c r="I125" s="9"/>
      <c r="J125" s="9"/>
      <c r="K125" s="19"/>
      <c r="L125" s="19"/>
      <c r="M125" s="19"/>
      <c r="N125" s="9"/>
      <c r="O125" s="9"/>
      <c r="P125" s="9"/>
      <c r="Q125" s="17"/>
      <c r="R125" s="18"/>
      <c r="S125" t="str">
        <f>IF($B125="","",IF($I125&lt;&gt;"",$I125,IFERROR(INDEX(Kat_Metode,MATCH($D125,Kat_Nama,0)),"")))</f>
        <v/>
      </c>
      <c r="T125" t="str">
        <f>IF($B125="","",IF($J125&lt;&gt;"",$J125,IFERROR(INDEX(Kat_Umur,MATCH($D125,Kat_Nama,0)),0)))</f>
        <v/>
      </c>
      <c r="U125" t="str">
        <f>IF($B125="","",IF($N125&lt;&gt;"",$N125,IFERROR(INDEX(Kat_Kelompok,MATCH($D125,Kat_Nama,0)),"")))</f>
        <v/>
      </c>
      <c r="V125" t="str">
        <f>IF($B125="","",IF($U125="Masa Manfaat Sebenarnya",N($O125),IFERROR(INDEX(Kel_Masa,MATCH($U125,Kel_Nama,0)),0)))</f>
        <v/>
      </c>
      <c r="W125" t="str">
        <f>IF($B125="","",IF($P125&lt;&gt;"",$P125,IF(OR($U125="Tidak Disusutkan",$V125=0),"Tidak Disusutkan","Garis Lurus")))</f>
        <v/>
      </c>
      <c r="X125" t="str">
        <f>IF($B125="","",IF($Y125&gt;TahunBuku*12+12,"Belum Diperoleh",IF($Z125&lt;=TahunBuku*12,"Dilepas (thn lalu)",IF($AC125=1,"Dilepas thn ini",IF($AB125=1,"Perolehan baru","Aktif")))))</f>
        <v/>
      </c>
      <c r="Y125" s="20" t="str">
        <f>IF($B125="","",YEAR($F125)*12+MONTH($F125))</f>
        <v/>
      </c>
      <c r="Z125" s="20" t="str">
        <f>IF($B125="","",IF($Q125="",99999,YEAR($Q125)*12+MONTH($Q125)))</f>
        <v/>
      </c>
      <c r="AA125" s="20" t="str">
        <f>IF($B125="","",--AND($Y125&lt;=TahunBuku*12,$Z125&gt;TahunBuku*12))</f>
        <v/>
      </c>
      <c r="AB125" s="20" t="str">
        <f>IF($B125="","",--AND($Y125&gt;TahunBuku*12,$Y125&lt;=TahunBuku*12+12))</f>
        <v/>
      </c>
      <c r="AC125" s="20" t="str">
        <f>IF($B125="","",--AND($Z125&gt;TahunBuku*12,$Z125&lt;=TahunBuku*12+12,$Y125&lt;=$Z125))</f>
        <v/>
      </c>
      <c r="AD125" s="21" t="str">
        <f>IF($B125="","",IFERROR(IF($S125="Garis Lurus",$G125-($G125-$H125)*MIN($T125*12,MAX(0,TahunBuku*12-$Y125+1))/($T125*12),IF($S125="Saldo Menurun",IF(TahunBuku-1&lt;YEAR($F125),$G125,IF(TahunBuku-1&gt;=INT(($Y125+$T125*12-2)/12),$H125,MAX($H125,$G125*(1-2/$T125*(13-MONTH($F125))/12)*(1-2/$T125)^(TahunBuku-1-YEAR($F125))))),IF($S125="Unit Produksi",$G125-($G125-$H125)*MIN(1,N($L125)/$K125),$G125))),$G125))</f>
        <v/>
      </c>
      <c r="AE125" s="21" t="str">
        <f>IF($B125="","",IFERROR(IF($S125="Garis Lurus",$G125-($G125-$H125)*MIN($T125*12,MAX(0,TahunBuku*12+12-$Y125+1))/($T125*12),IF($S125="Saldo Menurun",IF(TahunBuku&lt;YEAR($F125),$G125,IF(TahunBuku&gt;=INT(($Y125+$T125*12-2)/12),$H125,MAX($H125,$G125*(1-2/$T125*(13-MONTH($F125))/12)*(1-2/$T125)^(TahunBuku-YEAR($F125))))),IF($S125="Unit Produksi",$G125-($G125-$H125)*MIN(1,(N($L125)+N($M125))/$K125),$G125))),$G125))</f>
        <v/>
      </c>
      <c r="AF125" s="20" t="str">
        <f>IF($B125="","",IF(OR($S125="Garis Lurus",$S125="Saldo Menurun",$S125="Unit Produksi"),MAX(0,IF($S125="Unit Produksi",TahunBuku*12+12,MIN(TahunBuku*12+12,$Y125+$T125*12-1))-MAX(TahunBuku*12+1,$Y125)+1),0))</f>
        <v/>
      </c>
      <c r="AG125" s="20" t="str">
        <f>IF($B125="","",IF(OR($S125="Garis Lurus",$S125="Saldo Menurun",$S125="Unit Produksi"),MAX(0,MIN($Z125,IF($S125="Unit Produksi",TahunBuku*12+12,MIN(TahunBuku*12+12,$Y125+$T125*12-1)))-MAX(TahunBuku*12+1,$Y125)+1),0))</f>
        <v/>
      </c>
      <c r="AH125" s="21" t="str">
        <f>IF($B125="","",IFERROR(IF($W125="Garis Lurus",$G125*(1-MIN($V125*12,MAX(0,TahunBuku*12-$Y125+1))/($V125*12)),IF($W125="Saldo Menurun",IF(TahunBuku-1&lt;YEAR($F125),$G125,IF(TahunBuku-1&gt;=INT(($Y125+$V125*12-2)/12),0,$G125*(1-2/$V125*(13-MONTH($F125))/12)*(1-2/$V125)^(TahunBuku-1-YEAR($F125)))),$G125)),$G125))</f>
        <v/>
      </c>
      <c r="AI125" s="21" t="str">
        <f>IF($B125="","",IFERROR(IF($W125="Garis Lurus",$G125*(1-MIN($V125*12,MAX(0,TahunBuku*12+12-$Y125+1))/($V125*12)),IF($W125="Saldo Menurun",IF(TahunBuku&lt;YEAR($F125),$G125,IF(TahunBuku&gt;=INT(($Y125+$V125*12-2)/12),0,$G125*(1-2/$V125*(13-MONTH($F125))/12)*(1-2/$V125)^(TahunBuku-YEAR($F125)))),$G125)),$G125))</f>
        <v/>
      </c>
      <c r="AJ125" s="20" t="str">
        <f>IF($B125="","",IF(OR($W125="Garis Lurus",$W125="Saldo Menurun"),MAX(0,MIN(TahunBuku*12+12,$Y125+$V125*12-1)-MAX(TahunBuku*12+1,$Y125)+1),0))</f>
        <v/>
      </c>
      <c r="AK125" s="20" t="str">
        <f>IF($B125="","",IF(OR($W125="Garis Lurus",$W125="Saldo Menurun"),MAX(0,MIN($Z125,TahunBuku*12+12,$Y125+$V125*12-1)-MAX(TahunBuku*12+1,$Y125)+1),0))</f>
        <v/>
      </c>
      <c r="AL125" s="22" t="str">
        <f>IF($B125="","",$G125*$AA125)</f>
        <v/>
      </c>
      <c r="AM125" s="22" t="str">
        <f>IF($B125="","",$G125*$AB125)</f>
        <v/>
      </c>
      <c r="AN125" s="22" t="str">
        <f>IF($B125="","",$G125*$AC125)</f>
        <v/>
      </c>
      <c r="AO125" s="22" t="str">
        <f>IF($B125="","",AL125+AM125-AN125)</f>
        <v/>
      </c>
      <c r="AP125" s="22" t="str">
        <f>IF($B125="","",($G125-$AD125)*$AA125)</f>
        <v/>
      </c>
      <c r="AQ125" s="22" t="str">
        <f>IF($B125="","",IF($AF125=0,0,($AD125-$AE125)*$AG125/$AF125)*MAX($AA125,$AB125))</f>
        <v/>
      </c>
      <c r="AR125" s="22" t="str">
        <f>IF($B125="","",(AP125+AQ125)*$AC125)</f>
        <v/>
      </c>
      <c r="AS125" s="22" t="str">
        <f>IF($B125="","",AP125+AQ125-AR125)</f>
        <v/>
      </c>
      <c r="AT125" s="22" t="str">
        <f>IF($B125="","",AO125-AS125)</f>
        <v/>
      </c>
      <c r="AU125" s="22" t="str">
        <f>IF($B125="","",IF($AC125=1,N($R125)-($G125-AR125),0))</f>
        <v/>
      </c>
      <c r="AV125" s="22" t="str">
        <f>IF($B125="","",($G125-$AH125)*$AA125)</f>
        <v/>
      </c>
      <c r="AW125" s="22" t="str">
        <f>IF($B125="","",IF($AJ125=0,0,($AH125-$AI125)*$AK125/$AJ125)*MAX($AA125,$AB125))</f>
        <v/>
      </c>
      <c r="AX125" s="22" t="str">
        <f>IF($B125="","",(AV125+AW125)*$AC125)</f>
        <v/>
      </c>
      <c r="AY125" s="22" t="str">
        <f>IF($B125="","",AV125+AW125-AX125)</f>
        <v/>
      </c>
      <c r="AZ125" s="22" t="str">
        <f>IF($B125="","",AO125-AY125)</f>
        <v/>
      </c>
      <c r="BA125" s="22" t="str">
        <f>IF($B125="","",IF($AC125=1,N($R125)-($G125-AX125),0))</f>
        <v/>
      </c>
      <c r="BB125" s="22" t="str">
        <f>IF($B125="","",ROUND(AQ125-AW125,0))</f>
        <v/>
      </c>
      <c r="BC125" s="22" t="str">
        <f>IF($B125="","",ROUND(BA125-AU125,0))</f>
        <v/>
      </c>
      <c r="BD125" s="22" t="str">
        <f>IF($B125="","",BB125+BC125)</f>
        <v/>
      </c>
      <c r="BE125" s="22" t="str">
        <f>IF($B125="","",ROUND(AV125-AP125,0))</f>
        <v/>
      </c>
      <c r="BF125" s="22" t="str">
        <f>IF($B125="","",ROUND(AT125-AZ125,0))</f>
        <v/>
      </c>
      <c r="BG125" s="22" t="str">
        <f>IF($B125="","",ROUND(BF125*TarifPPh,0))</f>
        <v/>
      </c>
      <c r="BH125" t="str">
        <f>IF($B125="","",IF($D125="","Kategori kosong",IF($F125="","Tgl perolehan kosong",IF(N($H125)&gt;$G125,"Residu &gt; harga perolehan",IF(AND(LEFT($U125,8)="Bangunan",$W125="Saldo Menurun"),"Bangunan wajib Garis Lurus (Ps.11 UU PPh)",IF(AND($S125="Unit Produksi",N($K125)=0),"Isi kapasitas unit",IF(AND(OR($S125="Garis Lurus",$S125="Saldo Menurun"),N($T125)&lt;=0),"Umur komersial kosong",IF(AND(OR($W125="Garis Lurus",$W125="Saldo Menurun"),N($V125)&lt;=0),"Masa manfaat fiskal kosong",IF(AND($Q125&lt;&gt;"",$Q125&lt;$F125),"Tgl pelepasan &lt; perolehan","OK")))))))))</f>
        <v/>
      </c>
    </row>
    <row r="126" spans="1:60" x14ac:dyDescent="0.25">
      <c r="A126" t="str">
        <f>IF($B126="","",ROW()-6)</f>
        <v/>
      </c>
      <c r="B126" s="9"/>
      <c r="C126" s="9"/>
      <c r="D126" s="9"/>
      <c r="E126" s="9"/>
      <c r="F126" s="17"/>
      <c r="G126" s="18"/>
      <c r="H126" s="18"/>
      <c r="I126" s="9"/>
      <c r="J126" s="9"/>
      <c r="K126" s="19"/>
      <c r="L126" s="19"/>
      <c r="M126" s="19"/>
      <c r="N126" s="9"/>
      <c r="O126" s="9"/>
      <c r="P126" s="9"/>
      <c r="Q126" s="17"/>
      <c r="R126" s="18"/>
      <c r="S126" t="str">
        <f>IF($B126="","",IF($I126&lt;&gt;"",$I126,IFERROR(INDEX(Kat_Metode,MATCH($D126,Kat_Nama,0)),"")))</f>
        <v/>
      </c>
      <c r="T126" t="str">
        <f>IF($B126="","",IF($J126&lt;&gt;"",$J126,IFERROR(INDEX(Kat_Umur,MATCH($D126,Kat_Nama,0)),0)))</f>
        <v/>
      </c>
      <c r="U126" t="str">
        <f>IF($B126="","",IF($N126&lt;&gt;"",$N126,IFERROR(INDEX(Kat_Kelompok,MATCH($D126,Kat_Nama,0)),"")))</f>
        <v/>
      </c>
      <c r="V126" t="str">
        <f>IF($B126="","",IF($U126="Masa Manfaat Sebenarnya",N($O126),IFERROR(INDEX(Kel_Masa,MATCH($U126,Kel_Nama,0)),0)))</f>
        <v/>
      </c>
      <c r="W126" t="str">
        <f>IF($B126="","",IF($P126&lt;&gt;"",$P126,IF(OR($U126="Tidak Disusutkan",$V126=0),"Tidak Disusutkan","Garis Lurus")))</f>
        <v/>
      </c>
      <c r="X126" t="str">
        <f>IF($B126="","",IF($Y126&gt;TahunBuku*12+12,"Belum Diperoleh",IF($Z126&lt;=TahunBuku*12,"Dilepas (thn lalu)",IF($AC126=1,"Dilepas thn ini",IF($AB126=1,"Perolehan baru","Aktif")))))</f>
        <v/>
      </c>
      <c r="Y126" s="20" t="str">
        <f>IF($B126="","",YEAR($F126)*12+MONTH($F126))</f>
        <v/>
      </c>
      <c r="Z126" s="20" t="str">
        <f>IF($B126="","",IF($Q126="",99999,YEAR($Q126)*12+MONTH($Q126)))</f>
        <v/>
      </c>
      <c r="AA126" s="20" t="str">
        <f>IF($B126="","",--AND($Y126&lt;=TahunBuku*12,$Z126&gt;TahunBuku*12))</f>
        <v/>
      </c>
      <c r="AB126" s="20" t="str">
        <f>IF($B126="","",--AND($Y126&gt;TahunBuku*12,$Y126&lt;=TahunBuku*12+12))</f>
        <v/>
      </c>
      <c r="AC126" s="20" t="str">
        <f>IF($B126="","",--AND($Z126&gt;TahunBuku*12,$Z126&lt;=TahunBuku*12+12,$Y126&lt;=$Z126))</f>
        <v/>
      </c>
      <c r="AD126" s="21" t="str">
        <f>IF($B126="","",IFERROR(IF($S126="Garis Lurus",$G126-($G126-$H126)*MIN($T126*12,MAX(0,TahunBuku*12-$Y126+1))/($T126*12),IF($S126="Saldo Menurun",IF(TahunBuku-1&lt;YEAR($F126),$G126,IF(TahunBuku-1&gt;=INT(($Y126+$T126*12-2)/12),$H126,MAX($H126,$G126*(1-2/$T126*(13-MONTH($F126))/12)*(1-2/$T126)^(TahunBuku-1-YEAR($F126))))),IF($S126="Unit Produksi",$G126-($G126-$H126)*MIN(1,N($L126)/$K126),$G126))),$G126))</f>
        <v/>
      </c>
      <c r="AE126" s="21" t="str">
        <f>IF($B126="","",IFERROR(IF($S126="Garis Lurus",$G126-($G126-$H126)*MIN($T126*12,MAX(0,TahunBuku*12+12-$Y126+1))/($T126*12),IF($S126="Saldo Menurun",IF(TahunBuku&lt;YEAR($F126),$G126,IF(TahunBuku&gt;=INT(($Y126+$T126*12-2)/12),$H126,MAX($H126,$G126*(1-2/$T126*(13-MONTH($F126))/12)*(1-2/$T126)^(TahunBuku-YEAR($F126))))),IF($S126="Unit Produksi",$G126-($G126-$H126)*MIN(1,(N($L126)+N($M126))/$K126),$G126))),$G126))</f>
        <v/>
      </c>
      <c r="AF126" s="20" t="str">
        <f>IF($B126="","",IF(OR($S126="Garis Lurus",$S126="Saldo Menurun",$S126="Unit Produksi"),MAX(0,IF($S126="Unit Produksi",TahunBuku*12+12,MIN(TahunBuku*12+12,$Y126+$T126*12-1))-MAX(TahunBuku*12+1,$Y126)+1),0))</f>
        <v/>
      </c>
      <c r="AG126" s="20" t="str">
        <f>IF($B126="","",IF(OR($S126="Garis Lurus",$S126="Saldo Menurun",$S126="Unit Produksi"),MAX(0,MIN($Z126,IF($S126="Unit Produksi",TahunBuku*12+12,MIN(TahunBuku*12+12,$Y126+$T126*12-1)))-MAX(TahunBuku*12+1,$Y126)+1),0))</f>
        <v/>
      </c>
      <c r="AH126" s="21" t="str">
        <f>IF($B126="","",IFERROR(IF($W126="Garis Lurus",$G126*(1-MIN($V126*12,MAX(0,TahunBuku*12-$Y126+1))/($V126*12)),IF($W126="Saldo Menurun",IF(TahunBuku-1&lt;YEAR($F126),$G126,IF(TahunBuku-1&gt;=INT(($Y126+$V126*12-2)/12),0,$G126*(1-2/$V126*(13-MONTH($F126))/12)*(1-2/$V126)^(TahunBuku-1-YEAR($F126)))),$G126)),$G126))</f>
        <v/>
      </c>
      <c r="AI126" s="21" t="str">
        <f>IF($B126="","",IFERROR(IF($W126="Garis Lurus",$G126*(1-MIN($V126*12,MAX(0,TahunBuku*12+12-$Y126+1))/($V126*12)),IF($W126="Saldo Menurun",IF(TahunBuku&lt;YEAR($F126),$G126,IF(TahunBuku&gt;=INT(($Y126+$V126*12-2)/12),0,$G126*(1-2/$V126*(13-MONTH($F126))/12)*(1-2/$V126)^(TahunBuku-YEAR($F126)))),$G126)),$G126))</f>
        <v/>
      </c>
      <c r="AJ126" s="20" t="str">
        <f>IF($B126="","",IF(OR($W126="Garis Lurus",$W126="Saldo Menurun"),MAX(0,MIN(TahunBuku*12+12,$Y126+$V126*12-1)-MAX(TahunBuku*12+1,$Y126)+1),0))</f>
        <v/>
      </c>
      <c r="AK126" s="20" t="str">
        <f>IF($B126="","",IF(OR($W126="Garis Lurus",$W126="Saldo Menurun"),MAX(0,MIN($Z126,TahunBuku*12+12,$Y126+$V126*12-1)-MAX(TahunBuku*12+1,$Y126)+1),0))</f>
        <v/>
      </c>
      <c r="AL126" s="22" t="str">
        <f>IF($B126="","",$G126*$AA126)</f>
        <v/>
      </c>
      <c r="AM126" s="22" t="str">
        <f>IF($B126="","",$G126*$AB126)</f>
        <v/>
      </c>
      <c r="AN126" s="22" t="str">
        <f>IF($B126="","",$G126*$AC126)</f>
        <v/>
      </c>
      <c r="AO126" s="22" t="str">
        <f>IF($B126="","",AL126+AM126-AN126)</f>
        <v/>
      </c>
      <c r="AP126" s="22" t="str">
        <f>IF($B126="","",($G126-$AD126)*$AA126)</f>
        <v/>
      </c>
      <c r="AQ126" s="22" t="str">
        <f>IF($B126="","",IF($AF126=0,0,($AD126-$AE126)*$AG126/$AF126)*MAX($AA126,$AB126))</f>
        <v/>
      </c>
      <c r="AR126" s="22" t="str">
        <f>IF($B126="","",(AP126+AQ126)*$AC126)</f>
        <v/>
      </c>
      <c r="AS126" s="22" t="str">
        <f>IF($B126="","",AP126+AQ126-AR126)</f>
        <v/>
      </c>
      <c r="AT126" s="22" t="str">
        <f>IF($B126="","",AO126-AS126)</f>
        <v/>
      </c>
      <c r="AU126" s="22" t="str">
        <f>IF($B126="","",IF($AC126=1,N($R126)-($G126-AR126),0))</f>
        <v/>
      </c>
      <c r="AV126" s="22" t="str">
        <f>IF($B126="","",($G126-$AH126)*$AA126)</f>
        <v/>
      </c>
      <c r="AW126" s="22" t="str">
        <f>IF($B126="","",IF($AJ126=0,0,($AH126-$AI126)*$AK126/$AJ126)*MAX($AA126,$AB126))</f>
        <v/>
      </c>
      <c r="AX126" s="22" t="str">
        <f>IF($B126="","",(AV126+AW126)*$AC126)</f>
        <v/>
      </c>
      <c r="AY126" s="22" t="str">
        <f>IF($B126="","",AV126+AW126-AX126)</f>
        <v/>
      </c>
      <c r="AZ126" s="22" t="str">
        <f>IF($B126="","",AO126-AY126)</f>
        <v/>
      </c>
      <c r="BA126" s="22" t="str">
        <f>IF($B126="","",IF($AC126=1,N($R126)-($G126-AX126),0))</f>
        <v/>
      </c>
      <c r="BB126" s="22" t="str">
        <f>IF($B126="","",ROUND(AQ126-AW126,0))</f>
        <v/>
      </c>
      <c r="BC126" s="22" t="str">
        <f>IF($B126="","",ROUND(BA126-AU126,0))</f>
        <v/>
      </c>
      <c r="BD126" s="22" t="str">
        <f>IF($B126="","",BB126+BC126)</f>
        <v/>
      </c>
      <c r="BE126" s="22" t="str">
        <f>IF($B126="","",ROUND(AV126-AP126,0))</f>
        <v/>
      </c>
      <c r="BF126" s="22" t="str">
        <f>IF($B126="","",ROUND(AT126-AZ126,0))</f>
        <v/>
      </c>
      <c r="BG126" s="22" t="str">
        <f>IF($B126="","",ROUND(BF126*TarifPPh,0))</f>
        <v/>
      </c>
      <c r="BH126" t="str">
        <f>IF($B126="","",IF($D126="","Kategori kosong",IF($F126="","Tgl perolehan kosong",IF(N($H126)&gt;$G126,"Residu &gt; harga perolehan",IF(AND(LEFT($U126,8)="Bangunan",$W126="Saldo Menurun"),"Bangunan wajib Garis Lurus (Ps.11 UU PPh)",IF(AND($S126="Unit Produksi",N($K126)=0),"Isi kapasitas unit",IF(AND(OR($S126="Garis Lurus",$S126="Saldo Menurun"),N($T126)&lt;=0),"Umur komersial kosong",IF(AND(OR($W126="Garis Lurus",$W126="Saldo Menurun"),N($V126)&lt;=0),"Masa manfaat fiskal kosong",IF(AND($Q126&lt;&gt;"",$Q126&lt;$F126),"Tgl pelepasan &lt; perolehan","OK")))))))))</f>
        <v/>
      </c>
    </row>
    <row r="127" spans="1:60" x14ac:dyDescent="0.25">
      <c r="A127" t="str">
        <f>IF($B127="","",ROW()-6)</f>
        <v/>
      </c>
      <c r="B127" s="9"/>
      <c r="C127" s="9"/>
      <c r="D127" s="9"/>
      <c r="E127" s="9"/>
      <c r="F127" s="17"/>
      <c r="G127" s="18"/>
      <c r="H127" s="18"/>
      <c r="I127" s="9"/>
      <c r="J127" s="9"/>
      <c r="K127" s="19"/>
      <c r="L127" s="19"/>
      <c r="M127" s="19"/>
      <c r="N127" s="9"/>
      <c r="O127" s="9"/>
      <c r="P127" s="9"/>
      <c r="Q127" s="17"/>
      <c r="R127" s="18"/>
      <c r="S127" t="str">
        <f>IF($B127="","",IF($I127&lt;&gt;"",$I127,IFERROR(INDEX(Kat_Metode,MATCH($D127,Kat_Nama,0)),"")))</f>
        <v/>
      </c>
      <c r="T127" t="str">
        <f>IF($B127="","",IF($J127&lt;&gt;"",$J127,IFERROR(INDEX(Kat_Umur,MATCH($D127,Kat_Nama,0)),0)))</f>
        <v/>
      </c>
      <c r="U127" t="str">
        <f>IF($B127="","",IF($N127&lt;&gt;"",$N127,IFERROR(INDEX(Kat_Kelompok,MATCH($D127,Kat_Nama,0)),"")))</f>
        <v/>
      </c>
      <c r="V127" t="str">
        <f>IF($B127="","",IF($U127="Masa Manfaat Sebenarnya",N($O127),IFERROR(INDEX(Kel_Masa,MATCH($U127,Kel_Nama,0)),0)))</f>
        <v/>
      </c>
      <c r="W127" t="str">
        <f>IF($B127="","",IF($P127&lt;&gt;"",$P127,IF(OR($U127="Tidak Disusutkan",$V127=0),"Tidak Disusutkan","Garis Lurus")))</f>
        <v/>
      </c>
      <c r="X127" t="str">
        <f>IF($B127="","",IF($Y127&gt;TahunBuku*12+12,"Belum Diperoleh",IF($Z127&lt;=TahunBuku*12,"Dilepas (thn lalu)",IF($AC127=1,"Dilepas thn ini",IF($AB127=1,"Perolehan baru","Aktif")))))</f>
        <v/>
      </c>
      <c r="Y127" s="20" t="str">
        <f>IF($B127="","",YEAR($F127)*12+MONTH($F127))</f>
        <v/>
      </c>
      <c r="Z127" s="20" t="str">
        <f>IF($B127="","",IF($Q127="",99999,YEAR($Q127)*12+MONTH($Q127)))</f>
        <v/>
      </c>
      <c r="AA127" s="20" t="str">
        <f>IF($B127="","",--AND($Y127&lt;=TahunBuku*12,$Z127&gt;TahunBuku*12))</f>
        <v/>
      </c>
      <c r="AB127" s="20" t="str">
        <f>IF($B127="","",--AND($Y127&gt;TahunBuku*12,$Y127&lt;=TahunBuku*12+12))</f>
        <v/>
      </c>
      <c r="AC127" s="20" t="str">
        <f>IF($B127="","",--AND($Z127&gt;TahunBuku*12,$Z127&lt;=TahunBuku*12+12,$Y127&lt;=$Z127))</f>
        <v/>
      </c>
      <c r="AD127" s="21" t="str">
        <f>IF($B127="","",IFERROR(IF($S127="Garis Lurus",$G127-($G127-$H127)*MIN($T127*12,MAX(0,TahunBuku*12-$Y127+1))/($T127*12),IF($S127="Saldo Menurun",IF(TahunBuku-1&lt;YEAR($F127),$G127,IF(TahunBuku-1&gt;=INT(($Y127+$T127*12-2)/12),$H127,MAX($H127,$G127*(1-2/$T127*(13-MONTH($F127))/12)*(1-2/$T127)^(TahunBuku-1-YEAR($F127))))),IF($S127="Unit Produksi",$G127-($G127-$H127)*MIN(1,N($L127)/$K127),$G127))),$G127))</f>
        <v/>
      </c>
      <c r="AE127" s="21" t="str">
        <f>IF($B127="","",IFERROR(IF($S127="Garis Lurus",$G127-($G127-$H127)*MIN($T127*12,MAX(0,TahunBuku*12+12-$Y127+1))/($T127*12),IF($S127="Saldo Menurun",IF(TahunBuku&lt;YEAR($F127),$G127,IF(TahunBuku&gt;=INT(($Y127+$T127*12-2)/12),$H127,MAX($H127,$G127*(1-2/$T127*(13-MONTH($F127))/12)*(1-2/$T127)^(TahunBuku-YEAR($F127))))),IF($S127="Unit Produksi",$G127-($G127-$H127)*MIN(1,(N($L127)+N($M127))/$K127),$G127))),$G127))</f>
        <v/>
      </c>
      <c r="AF127" s="20" t="str">
        <f>IF($B127="","",IF(OR($S127="Garis Lurus",$S127="Saldo Menurun",$S127="Unit Produksi"),MAX(0,IF($S127="Unit Produksi",TahunBuku*12+12,MIN(TahunBuku*12+12,$Y127+$T127*12-1))-MAX(TahunBuku*12+1,$Y127)+1),0))</f>
        <v/>
      </c>
      <c r="AG127" s="20" t="str">
        <f>IF($B127="","",IF(OR($S127="Garis Lurus",$S127="Saldo Menurun",$S127="Unit Produksi"),MAX(0,MIN($Z127,IF($S127="Unit Produksi",TahunBuku*12+12,MIN(TahunBuku*12+12,$Y127+$T127*12-1)))-MAX(TahunBuku*12+1,$Y127)+1),0))</f>
        <v/>
      </c>
      <c r="AH127" s="21" t="str">
        <f>IF($B127="","",IFERROR(IF($W127="Garis Lurus",$G127*(1-MIN($V127*12,MAX(0,TahunBuku*12-$Y127+1))/($V127*12)),IF($W127="Saldo Menurun",IF(TahunBuku-1&lt;YEAR($F127),$G127,IF(TahunBuku-1&gt;=INT(($Y127+$V127*12-2)/12),0,$G127*(1-2/$V127*(13-MONTH($F127))/12)*(1-2/$V127)^(TahunBuku-1-YEAR($F127)))),$G127)),$G127))</f>
        <v/>
      </c>
      <c r="AI127" s="21" t="str">
        <f>IF($B127="","",IFERROR(IF($W127="Garis Lurus",$G127*(1-MIN($V127*12,MAX(0,TahunBuku*12+12-$Y127+1))/($V127*12)),IF($W127="Saldo Menurun",IF(TahunBuku&lt;YEAR($F127),$G127,IF(TahunBuku&gt;=INT(($Y127+$V127*12-2)/12),0,$G127*(1-2/$V127*(13-MONTH($F127))/12)*(1-2/$V127)^(TahunBuku-YEAR($F127)))),$G127)),$G127))</f>
        <v/>
      </c>
      <c r="AJ127" s="20" t="str">
        <f>IF($B127="","",IF(OR($W127="Garis Lurus",$W127="Saldo Menurun"),MAX(0,MIN(TahunBuku*12+12,$Y127+$V127*12-1)-MAX(TahunBuku*12+1,$Y127)+1),0))</f>
        <v/>
      </c>
      <c r="AK127" s="20" t="str">
        <f>IF($B127="","",IF(OR($W127="Garis Lurus",$W127="Saldo Menurun"),MAX(0,MIN($Z127,TahunBuku*12+12,$Y127+$V127*12-1)-MAX(TahunBuku*12+1,$Y127)+1),0))</f>
        <v/>
      </c>
      <c r="AL127" s="22" t="str">
        <f>IF($B127="","",$G127*$AA127)</f>
        <v/>
      </c>
      <c r="AM127" s="22" t="str">
        <f>IF($B127="","",$G127*$AB127)</f>
        <v/>
      </c>
      <c r="AN127" s="22" t="str">
        <f>IF($B127="","",$G127*$AC127)</f>
        <v/>
      </c>
      <c r="AO127" s="22" t="str">
        <f>IF($B127="","",AL127+AM127-AN127)</f>
        <v/>
      </c>
      <c r="AP127" s="22" t="str">
        <f>IF($B127="","",($G127-$AD127)*$AA127)</f>
        <v/>
      </c>
      <c r="AQ127" s="22" t="str">
        <f>IF($B127="","",IF($AF127=0,0,($AD127-$AE127)*$AG127/$AF127)*MAX($AA127,$AB127))</f>
        <v/>
      </c>
      <c r="AR127" s="22" t="str">
        <f>IF($B127="","",(AP127+AQ127)*$AC127)</f>
        <v/>
      </c>
      <c r="AS127" s="22" t="str">
        <f>IF($B127="","",AP127+AQ127-AR127)</f>
        <v/>
      </c>
      <c r="AT127" s="22" t="str">
        <f>IF($B127="","",AO127-AS127)</f>
        <v/>
      </c>
      <c r="AU127" s="22" t="str">
        <f>IF($B127="","",IF($AC127=1,N($R127)-($G127-AR127),0))</f>
        <v/>
      </c>
      <c r="AV127" s="22" t="str">
        <f>IF($B127="","",($G127-$AH127)*$AA127)</f>
        <v/>
      </c>
      <c r="AW127" s="22" t="str">
        <f>IF($B127="","",IF($AJ127=0,0,($AH127-$AI127)*$AK127/$AJ127)*MAX($AA127,$AB127))</f>
        <v/>
      </c>
      <c r="AX127" s="22" t="str">
        <f>IF($B127="","",(AV127+AW127)*$AC127)</f>
        <v/>
      </c>
      <c r="AY127" s="22" t="str">
        <f>IF($B127="","",AV127+AW127-AX127)</f>
        <v/>
      </c>
      <c r="AZ127" s="22" t="str">
        <f>IF($B127="","",AO127-AY127)</f>
        <v/>
      </c>
      <c r="BA127" s="22" t="str">
        <f>IF($B127="","",IF($AC127=1,N($R127)-($G127-AX127),0))</f>
        <v/>
      </c>
      <c r="BB127" s="22" t="str">
        <f>IF($B127="","",ROUND(AQ127-AW127,0))</f>
        <v/>
      </c>
      <c r="BC127" s="22" t="str">
        <f>IF($B127="","",ROUND(BA127-AU127,0))</f>
        <v/>
      </c>
      <c r="BD127" s="22" t="str">
        <f>IF($B127="","",BB127+BC127)</f>
        <v/>
      </c>
      <c r="BE127" s="22" t="str">
        <f>IF($B127="","",ROUND(AV127-AP127,0))</f>
        <v/>
      </c>
      <c r="BF127" s="22" t="str">
        <f>IF($B127="","",ROUND(AT127-AZ127,0))</f>
        <v/>
      </c>
      <c r="BG127" s="22" t="str">
        <f>IF($B127="","",ROUND(BF127*TarifPPh,0))</f>
        <v/>
      </c>
      <c r="BH127" t="str">
        <f>IF($B127="","",IF($D127="","Kategori kosong",IF($F127="","Tgl perolehan kosong",IF(N($H127)&gt;$G127,"Residu &gt; harga perolehan",IF(AND(LEFT($U127,8)="Bangunan",$W127="Saldo Menurun"),"Bangunan wajib Garis Lurus (Ps.11 UU PPh)",IF(AND($S127="Unit Produksi",N($K127)=0),"Isi kapasitas unit",IF(AND(OR($S127="Garis Lurus",$S127="Saldo Menurun"),N($T127)&lt;=0),"Umur komersial kosong",IF(AND(OR($W127="Garis Lurus",$W127="Saldo Menurun"),N($V127)&lt;=0),"Masa manfaat fiskal kosong",IF(AND($Q127&lt;&gt;"",$Q127&lt;$F127),"Tgl pelepasan &lt; perolehan","OK")))))))))</f>
        <v/>
      </c>
    </row>
    <row r="128" spans="1:60" x14ac:dyDescent="0.25">
      <c r="A128" t="str">
        <f>IF($B128="","",ROW()-6)</f>
        <v/>
      </c>
      <c r="B128" s="9"/>
      <c r="C128" s="9"/>
      <c r="D128" s="9"/>
      <c r="E128" s="9"/>
      <c r="F128" s="17"/>
      <c r="G128" s="18"/>
      <c r="H128" s="18"/>
      <c r="I128" s="9"/>
      <c r="J128" s="9"/>
      <c r="K128" s="19"/>
      <c r="L128" s="19"/>
      <c r="M128" s="19"/>
      <c r="N128" s="9"/>
      <c r="O128" s="9"/>
      <c r="P128" s="9"/>
      <c r="Q128" s="17"/>
      <c r="R128" s="18"/>
      <c r="S128" t="str">
        <f>IF($B128="","",IF($I128&lt;&gt;"",$I128,IFERROR(INDEX(Kat_Metode,MATCH($D128,Kat_Nama,0)),"")))</f>
        <v/>
      </c>
      <c r="T128" t="str">
        <f>IF($B128="","",IF($J128&lt;&gt;"",$J128,IFERROR(INDEX(Kat_Umur,MATCH($D128,Kat_Nama,0)),0)))</f>
        <v/>
      </c>
      <c r="U128" t="str">
        <f>IF($B128="","",IF($N128&lt;&gt;"",$N128,IFERROR(INDEX(Kat_Kelompok,MATCH($D128,Kat_Nama,0)),"")))</f>
        <v/>
      </c>
      <c r="V128" t="str">
        <f>IF($B128="","",IF($U128="Masa Manfaat Sebenarnya",N($O128),IFERROR(INDEX(Kel_Masa,MATCH($U128,Kel_Nama,0)),0)))</f>
        <v/>
      </c>
      <c r="W128" t="str">
        <f>IF($B128="","",IF($P128&lt;&gt;"",$P128,IF(OR($U128="Tidak Disusutkan",$V128=0),"Tidak Disusutkan","Garis Lurus")))</f>
        <v/>
      </c>
      <c r="X128" t="str">
        <f>IF($B128="","",IF($Y128&gt;TahunBuku*12+12,"Belum Diperoleh",IF($Z128&lt;=TahunBuku*12,"Dilepas (thn lalu)",IF($AC128=1,"Dilepas thn ini",IF($AB128=1,"Perolehan baru","Aktif")))))</f>
        <v/>
      </c>
      <c r="Y128" s="20" t="str">
        <f>IF($B128="","",YEAR($F128)*12+MONTH($F128))</f>
        <v/>
      </c>
      <c r="Z128" s="20" t="str">
        <f>IF($B128="","",IF($Q128="",99999,YEAR($Q128)*12+MONTH($Q128)))</f>
        <v/>
      </c>
      <c r="AA128" s="20" t="str">
        <f>IF($B128="","",--AND($Y128&lt;=TahunBuku*12,$Z128&gt;TahunBuku*12))</f>
        <v/>
      </c>
      <c r="AB128" s="20" t="str">
        <f>IF($B128="","",--AND($Y128&gt;TahunBuku*12,$Y128&lt;=TahunBuku*12+12))</f>
        <v/>
      </c>
      <c r="AC128" s="20" t="str">
        <f>IF($B128="","",--AND($Z128&gt;TahunBuku*12,$Z128&lt;=TahunBuku*12+12,$Y128&lt;=$Z128))</f>
        <v/>
      </c>
      <c r="AD128" s="21" t="str">
        <f>IF($B128="","",IFERROR(IF($S128="Garis Lurus",$G128-($G128-$H128)*MIN($T128*12,MAX(0,TahunBuku*12-$Y128+1))/($T128*12),IF($S128="Saldo Menurun",IF(TahunBuku-1&lt;YEAR($F128),$G128,IF(TahunBuku-1&gt;=INT(($Y128+$T128*12-2)/12),$H128,MAX($H128,$G128*(1-2/$T128*(13-MONTH($F128))/12)*(1-2/$T128)^(TahunBuku-1-YEAR($F128))))),IF($S128="Unit Produksi",$G128-($G128-$H128)*MIN(1,N($L128)/$K128),$G128))),$G128))</f>
        <v/>
      </c>
      <c r="AE128" s="21" t="str">
        <f>IF($B128="","",IFERROR(IF($S128="Garis Lurus",$G128-($G128-$H128)*MIN($T128*12,MAX(0,TahunBuku*12+12-$Y128+1))/($T128*12),IF($S128="Saldo Menurun",IF(TahunBuku&lt;YEAR($F128),$G128,IF(TahunBuku&gt;=INT(($Y128+$T128*12-2)/12),$H128,MAX($H128,$G128*(1-2/$T128*(13-MONTH($F128))/12)*(1-2/$T128)^(TahunBuku-YEAR($F128))))),IF($S128="Unit Produksi",$G128-($G128-$H128)*MIN(1,(N($L128)+N($M128))/$K128),$G128))),$G128))</f>
        <v/>
      </c>
      <c r="AF128" s="20" t="str">
        <f>IF($B128="","",IF(OR($S128="Garis Lurus",$S128="Saldo Menurun",$S128="Unit Produksi"),MAX(0,IF($S128="Unit Produksi",TahunBuku*12+12,MIN(TahunBuku*12+12,$Y128+$T128*12-1))-MAX(TahunBuku*12+1,$Y128)+1),0))</f>
        <v/>
      </c>
      <c r="AG128" s="20" t="str">
        <f>IF($B128="","",IF(OR($S128="Garis Lurus",$S128="Saldo Menurun",$S128="Unit Produksi"),MAX(0,MIN($Z128,IF($S128="Unit Produksi",TahunBuku*12+12,MIN(TahunBuku*12+12,$Y128+$T128*12-1)))-MAX(TahunBuku*12+1,$Y128)+1),0))</f>
        <v/>
      </c>
      <c r="AH128" s="21" t="str">
        <f>IF($B128="","",IFERROR(IF($W128="Garis Lurus",$G128*(1-MIN($V128*12,MAX(0,TahunBuku*12-$Y128+1))/($V128*12)),IF($W128="Saldo Menurun",IF(TahunBuku-1&lt;YEAR($F128),$G128,IF(TahunBuku-1&gt;=INT(($Y128+$V128*12-2)/12),0,$G128*(1-2/$V128*(13-MONTH($F128))/12)*(1-2/$V128)^(TahunBuku-1-YEAR($F128)))),$G128)),$G128))</f>
        <v/>
      </c>
      <c r="AI128" s="21" t="str">
        <f>IF($B128="","",IFERROR(IF($W128="Garis Lurus",$G128*(1-MIN($V128*12,MAX(0,TahunBuku*12+12-$Y128+1))/($V128*12)),IF($W128="Saldo Menurun",IF(TahunBuku&lt;YEAR($F128),$G128,IF(TahunBuku&gt;=INT(($Y128+$V128*12-2)/12),0,$G128*(1-2/$V128*(13-MONTH($F128))/12)*(1-2/$V128)^(TahunBuku-YEAR($F128)))),$G128)),$G128))</f>
        <v/>
      </c>
      <c r="AJ128" s="20" t="str">
        <f>IF($B128="","",IF(OR($W128="Garis Lurus",$W128="Saldo Menurun"),MAX(0,MIN(TahunBuku*12+12,$Y128+$V128*12-1)-MAX(TahunBuku*12+1,$Y128)+1),0))</f>
        <v/>
      </c>
      <c r="AK128" s="20" t="str">
        <f>IF($B128="","",IF(OR($W128="Garis Lurus",$W128="Saldo Menurun"),MAX(0,MIN($Z128,TahunBuku*12+12,$Y128+$V128*12-1)-MAX(TahunBuku*12+1,$Y128)+1),0))</f>
        <v/>
      </c>
      <c r="AL128" s="22" t="str">
        <f>IF($B128="","",$G128*$AA128)</f>
        <v/>
      </c>
      <c r="AM128" s="22" t="str">
        <f>IF($B128="","",$G128*$AB128)</f>
        <v/>
      </c>
      <c r="AN128" s="22" t="str">
        <f>IF($B128="","",$G128*$AC128)</f>
        <v/>
      </c>
      <c r="AO128" s="22" t="str">
        <f>IF($B128="","",AL128+AM128-AN128)</f>
        <v/>
      </c>
      <c r="AP128" s="22" t="str">
        <f>IF($B128="","",($G128-$AD128)*$AA128)</f>
        <v/>
      </c>
      <c r="AQ128" s="22" t="str">
        <f>IF($B128="","",IF($AF128=0,0,($AD128-$AE128)*$AG128/$AF128)*MAX($AA128,$AB128))</f>
        <v/>
      </c>
      <c r="AR128" s="22" t="str">
        <f>IF($B128="","",(AP128+AQ128)*$AC128)</f>
        <v/>
      </c>
      <c r="AS128" s="22" t="str">
        <f>IF($B128="","",AP128+AQ128-AR128)</f>
        <v/>
      </c>
      <c r="AT128" s="22" t="str">
        <f>IF($B128="","",AO128-AS128)</f>
        <v/>
      </c>
      <c r="AU128" s="22" t="str">
        <f>IF($B128="","",IF($AC128=1,N($R128)-($G128-AR128),0))</f>
        <v/>
      </c>
      <c r="AV128" s="22" t="str">
        <f>IF($B128="","",($G128-$AH128)*$AA128)</f>
        <v/>
      </c>
      <c r="AW128" s="22" t="str">
        <f>IF($B128="","",IF($AJ128=0,0,($AH128-$AI128)*$AK128/$AJ128)*MAX($AA128,$AB128))</f>
        <v/>
      </c>
      <c r="AX128" s="22" t="str">
        <f>IF($B128="","",(AV128+AW128)*$AC128)</f>
        <v/>
      </c>
      <c r="AY128" s="22" t="str">
        <f>IF($B128="","",AV128+AW128-AX128)</f>
        <v/>
      </c>
      <c r="AZ128" s="22" t="str">
        <f>IF($B128="","",AO128-AY128)</f>
        <v/>
      </c>
      <c r="BA128" s="22" t="str">
        <f>IF($B128="","",IF($AC128=1,N($R128)-($G128-AX128),0))</f>
        <v/>
      </c>
      <c r="BB128" s="22" t="str">
        <f>IF($B128="","",ROUND(AQ128-AW128,0))</f>
        <v/>
      </c>
      <c r="BC128" s="22" t="str">
        <f>IF($B128="","",ROUND(BA128-AU128,0))</f>
        <v/>
      </c>
      <c r="BD128" s="22" t="str">
        <f>IF($B128="","",BB128+BC128)</f>
        <v/>
      </c>
      <c r="BE128" s="22" t="str">
        <f>IF($B128="","",ROUND(AV128-AP128,0))</f>
        <v/>
      </c>
      <c r="BF128" s="22" t="str">
        <f>IF($B128="","",ROUND(AT128-AZ128,0))</f>
        <v/>
      </c>
      <c r="BG128" s="22" t="str">
        <f>IF($B128="","",ROUND(BF128*TarifPPh,0))</f>
        <v/>
      </c>
      <c r="BH128" t="str">
        <f>IF($B128="","",IF($D128="","Kategori kosong",IF($F128="","Tgl perolehan kosong",IF(N($H128)&gt;$G128,"Residu &gt; harga perolehan",IF(AND(LEFT($U128,8)="Bangunan",$W128="Saldo Menurun"),"Bangunan wajib Garis Lurus (Ps.11 UU PPh)",IF(AND($S128="Unit Produksi",N($K128)=0),"Isi kapasitas unit",IF(AND(OR($S128="Garis Lurus",$S128="Saldo Menurun"),N($T128)&lt;=0),"Umur komersial kosong",IF(AND(OR($W128="Garis Lurus",$W128="Saldo Menurun"),N($V128)&lt;=0),"Masa manfaat fiskal kosong",IF(AND($Q128&lt;&gt;"",$Q128&lt;$F128),"Tgl pelepasan &lt; perolehan","OK")))))))))</f>
        <v/>
      </c>
    </row>
    <row r="129" spans="1:60" x14ac:dyDescent="0.25">
      <c r="A129" t="str">
        <f>IF($B129="","",ROW()-6)</f>
        <v/>
      </c>
      <c r="B129" s="9"/>
      <c r="C129" s="9"/>
      <c r="D129" s="9"/>
      <c r="E129" s="9"/>
      <c r="F129" s="17"/>
      <c r="G129" s="18"/>
      <c r="H129" s="18"/>
      <c r="I129" s="9"/>
      <c r="J129" s="9"/>
      <c r="K129" s="19"/>
      <c r="L129" s="19"/>
      <c r="M129" s="19"/>
      <c r="N129" s="9"/>
      <c r="O129" s="9"/>
      <c r="P129" s="9"/>
      <c r="Q129" s="17"/>
      <c r="R129" s="18"/>
      <c r="S129" t="str">
        <f>IF($B129="","",IF($I129&lt;&gt;"",$I129,IFERROR(INDEX(Kat_Metode,MATCH($D129,Kat_Nama,0)),"")))</f>
        <v/>
      </c>
      <c r="T129" t="str">
        <f>IF($B129="","",IF($J129&lt;&gt;"",$J129,IFERROR(INDEX(Kat_Umur,MATCH($D129,Kat_Nama,0)),0)))</f>
        <v/>
      </c>
      <c r="U129" t="str">
        <f>IF($B129="","",IF($N129&lt;&gt;"",$N129,IFERROR(INDEX(Kat_Kelompok,MATCH($D129,Kat_Nama,0)),"")))</f>
        <v/>
      </c>
      <c r="V129" t="str">
        <f>IF($B129="","",IF($U129="Masa Manfaat Sebenarnya",N($O129),IFERROR(INDEX(Kel_Masa,MATCH($U129,Kel_Nama,0)),0)))</f>
        <v/>
      </c>
      <c r="W129" t="str">
        <f>IF($B129="","",IF($P129&lt;&gt;"",$P129,IF(OR($U129="Tidak Disusutkan",$V129=0),"Tidak Disusutkan","Garis Lurus")))</f>
        <v/>
      </c>
      <c r="X129" t="str">
        <f>IF($B129="","",IF($Y129&gt;TahunBuku*12+12,"Belum Diperoleh",IF($Z129&lt;=TahunBuku*12,"Dilepas (thn lalu)",IF($AC129=1,"Dilepas thn ini",IF($AB129=1,"Perolehan baru","Aktif")))))</f>
        <v/>
      </c>
      <c r="Y129" s="20" t="str">
        <f>IF($B129="","",YEAR($F129)*12+MONTH($F129))</f>
        <v/>
      </c>
      <c r="Z129" s="20" t="str">
        <f>IF($B129="","",IF($Q129="",99999,YEAR($Q129)*12+MONTH($Q129)))</f>
        <v/>
      </c>
      <c r="AA129" s="20" t="str">
        <f>IF($B129="","",--AND($Y129&lt;=TahunBuku*12,$Z129&gt;TahunBuku*12))</f>
        <v/>
      </c>
      <c r="AB129" s="20" t="str">
        <f>IF($B129="","",--AND($Y129&gt;TahunBuku*12,$Y129&lt;=TahunBuku*12+12))</f>
        <v/>
      </c>
      <c r="AC129" s="20" t="str">
        <f>IF($B129="","",--AND($Z129&gt;TahunBuku*12,$Z129&lt;=TahunBuku*12+12,$Y129&lt;=$Z129))</f>
        <v/>
      </c>
      <c r="AD129" s="21" t="str">
        <f>IF($B129="","",IFERROR(IF($S129="Garis Lurus",$G129-($G129-$H129)*MIN($T129*12,MAX(0,TahunBuku*12-$Y129+1))/($T129*12),IF($S129="Saldo Menurun",IF(TahunBuku-1&lt;YEAR($F129),$G129,IF(TahunBuku-1&gt;=INT(($Y129+$T129*12-2)/12),$H129,MAX($H129,$G129*(1-2/$T129*(13-MONTH($F129))/12)*(1-2/$T129)^(TahunBuku-1-YEAR($F129))))),IF($S129="Unit Produksi",$G129-($G129-$H129)*MIN(1,N($L129)/$K129),$G129))),$G129))</f>
        <v/>
      </c>
      <c r="AE129" s="21" t="str">
        <f>IF($B129="","",IFERROR(IF($S129="Garis Lurus",$G129-($G129-$H129)*MIN($T129*12,MAX(0,TahunBuku*12+12-$Y129+1))/($T129*12),IF($S129="Saldo Menurun",IF(TahunBuku&lt;YEAR($F129),$G129,IF(TahunBuku&gt;=INT(($Y129+$T129*12-2)/12),$H129,MAX($H129,$G129*(1-2/$T129*(13-MONTH($F129))/12)*(1-2/$T129)^(TahunBuku-YEAR($F129))))),IF($S129="Unit Produksi",$G129-($G129-$H129)*MIN(1,(N($L129)+N($M129))/$K129),$G129))),$G129))</f>
        <v/>
      </c>
      <c r="AF129" s="20" t="str">
        <f>IF($B129="","",IF(OR($S129="Garis Lurus",$S129="Saldo Menurun",$S129="Unit Produksi"),MAX(0,IF($S129="Unit Produksi",TahunBuku*12+12,MIN(TahunBuku*12+12,$Y129+$T129*12-1))-MAX(TahunBuku*12+1,$Y129)+1),0))</f>
        <v/>
      </c>
      <c r="AG129" s="20" t="str">
        <f>IF($B129="","",IF(OR($S129="Garis Lurus",$S129="Saldo Menurun",$S129="Unit Produksi"),MAX(0,MIN($Z129,IF($S129="Unit Produksi",TahunBuku*12+12,MIN(TahunBuku*12+12,$Y129+$T129*12-1)))-MAX(TahunBuku*12+1,$Y129)+1),0))</f>
        <v/>
      </c>
      <c r="AH129" s="21" t="str">
        <f>IF($B129="","",IFERROR(IF($W129="Garis Lurus",$G129*(1-MIN($V129*12,MAX(0,TahunBuku*12-$Y129+1))/($V129*12)),IF($W129="Saldo Menurun",IF(TahunBuku-1&lt;YEAR($F129),$G129,IF(TahunBuku-1&gt;=INT(($Y129+$V129*12-2)/12),0,$G129*(1-2/$V129*(13-MONTH($F129))/12)*(1-2/$V129)^(TahunBuku-1-YEAR($F129)))),$G129)),$G129))</f>
        <v/>
      </c>
      <c r="AI129" s="21" t="str">
        <f>IF($B129="","",IFERROR(IF($W129="Garis Lurus",$G129*(1-MIN($V129*12,MAX(0,TahunBuku*12+12-$Y129+1))/($V129*12)),IF($W129="Saldo Menurun",IF(TahunBuku&lt;YEAR($F129),$G129,IF(TahunBuku&gt;=INT(($Y129+$V129*12-2)/12),0,$G129*(1-2/$V129*(13-MONTH($F129))/12)*(1-2/$V129)^(TahunBuku-YEAR($F129)))),$G129)),$G129))</f>
        <v/>
      </c>
      <c r="AJ129" s="20" t="str">
        <f>IF($B129="","",IF(OR($W129="Garis Lurus",$W129="Saldo Menurun"),MAX(0,MIN(TahunBuku*12+12,$Y129+$V129*12-1)-MAX(TahunBuku*12+1,$Y129)+1),0))</f>
        <v/>
      </c>
      <c r="AK129" s="20" t="str">
        <f>IF($B129="","",IF(OR($W129="Garis Lurus",$W129="Saldo Menurun"),MAX(0,MIN($Z129,TahunBuku*12+12,$Y129+$V129*12-1)-MAX(TahunBuku*12+1,$Y129)+1),0))</f>
        <v/>
      </c>
      <c r="AL129" s="22" t="str">
        <f>IF($B129="","",$G129*$AA129)</f>
        <v/>
      </c>
      <c r="AM129" s="22" t="str">
        <f>IF($B129="","",$G129*$AB129)</f>
        <v/>
      </c>
      <c r="AN129" s="22" t="str">
        <f>IF($B129="","",$G129*$AC129)</f>
        <v/>
      </c>
      <c r="AO129" s="22" t="str">
        <f>IF($B129="","",AL129+AM129-AN129)</f>
        <v/>
      </c>
      <c r="AP129" s="22" t="str">
        <f>IF($B129="","",($G129-$AD129)*$AA129)</f>
        <v/>
      </c>
      <c r="AQ129" s="22" t="str">
        <f>IF($B129="","",IF($AF129=0,0,($AD129-$AE129)*$AG129/$AF129)*MAX($AA129,$AB129))</f>
        <v/>
      </c>
      <c r="AR129" s="22" t="str">
        <f>IF($B129="","",(AP129+AQ129)*$AC129)</f>
        <v/>
      </c>
      <c r="AS129" s="22" t="str">
        <f>IF($B129="","",AP129+AQ129-AR129)</f>
        <v/>
      </c>
      <c r="AT129" s="22" t="str">
        <f>IF($B129="","",AO129-AS129)</f>
        <v/>
      </c>
      <c r="AU129" s="22" t="str">
        <f>IF($B129="","",IF($AC129=1,N($R129)-($G129-AR129),0))</f>
        <v/>
      </c>
      <c r="AV129" s="22" t="str">
        <f>IF($B129="","",($G129-$AH129)*$AA129)</f>
        <v/>
      </c>
      <c r="AW129" s="22" t="str">
        <f>IF($B129="","",IF($AJ129=0,0,($AH129-$AI129)*$AK129/$AJ129)*MAX($AA129,$AB129))</f>
        <v/>
      </c>
      <c r="AX129" s="22" t="str">
        <f>IF($B129="","",(AV129+AW129)*$AC129)</f>
        <v/>
      </c>
      <c r="AY129" s="22" t="str">
        <f>IF($B129="","",AV129+AW129-AX129)</f>
        <v/>
      </c>
      <c r="AZ129" s="22" t="str">
        <f>IF($B129="","",AO129-AY129)</f>
        <v/>
      </c>
      <c r="BA129" s="22" t="str">
        <f>IF($B129="","",IF($AC129=1,N($R129)-($G129-AX129),0))</f>
        <v/>
      </c>
      <c r="BB129" s="22" t="str">
        <f>IF($B129="","",ROUND(AQ129-AW129,0))</f>
        <v/>
      </c>
      <c r="BC129" s="22" t="str">
        <f>IF($B129="","",ROUND(BA129-AU129,0))</f>
        <v/>
      </c>
      <c r="BD129" s="22" t="str">
        <f>IF($B129="","",BB129+BC129)</f>
        <v/>
      </c>
      <c r="BE129" s="22" t="str">
        <f>IF($B129="","",ROUND(AV129-AP129,0))</f>
        <v/>
      </c>
      <c r="BF129" s="22" t="str">
        <f>IF($B129="","",ROUND(AT129-AZ129,0))</f>
        <v/>
      </c>
      <c r="BG129" s="22" t="str">
        <f>IF($B129="","",ROUND(BF129*TarifPPh,0))</f>
        <v/>
      </c>
      <c r="BH129" t="str">
        <f>IF($B129="","",IF($D129="","Kategori kosong",IF($F129="","Tgl perolehan kosong",IF(N($H129)&gt;$G129,"Residu &gt; harga perolehan",IF(AND(LEFT($U129,8)="Bangunan",$W129="Saldo Menurun"),"Bangunan wajib Garis Lurus (Ps.11 UU PPh)",IF(AND($S129="Unit Produksi",N($K129)=0),"Isi kapasitas unit",IF(AND(OR($S129="Garis Lurus",$S129="Saldo Menurun"),N($T129)&lt;=0),"Umur komersial kosong",IF(AND(OR($W129="Garis Lurus",$W129="Saldo Menurun"),N($V129)&lt;=0),"Masa manfaat fiskal kosong",IF(AND($Q129&lt;&gt;"",$Q129&lt;$F129),"Tgl pelepasan &lt; perolehan","OK")))))))))</f>
        <v/>
      </c>
    </row>
    <row r="130" spans="1:60" x14ac:dyDescent="0.25">
      <c r="A130" t="str">
        <f>IF($B130="","",ROW()-6)</f>
        <v/>
      </c>
      <c r="B130" s="9"/>
      <c r="C130" s="9"/>
      <c r="D130" s="9"/>
      <c r="E130" s="9"/>
      <c r="F130" s="17"/>
      <c r="G130" s="18"/>
      <c r="H130" s="18"/>
      <c r="I130" s="9"/>
      <c r="J130" s="9"/>
      <c r="K130" s="19"/>
      <c r="L130" s="19"/>
      <c r="M130" s="19"/>
      <c r="N130" s="9"/>
      <c r="O130" s="9"/>
      <c r="P130" s="9"/>
      <c r="Q130" s="17"/>
      <c r="R130" s="18"/>
      <c r="S130" t="str">
        <f>IF($B130="","",IF($I130&lt;&gt;"",$I130,IFERROR(INDEX(Kat_Metode,MATCH($D130,Kat_Nama,0)),"")))</f>
        <v/>
      </c>
      <c r="T130" t="str">
        <f>IF($B130="","",IF($J130&lt;&gt;"",$J130,IFERROR(INDEX(Kat_Umur,MATCH($D130,Kat_Nama,0)),0)))</f>
        <v/>
      </c>
      <c r="U130" t="str">
        <f>IF($B130="","",IF($N130&lt;&gt;"",$N130,IFERROR(INDEX(Kat_Kelompok,MATCH($D130,Kat_Nama,0)),"")))</f>
        <v/>
      </c>
      <c r="V130" t="str">
        <f>IF($B130="","",IF($U130="Masa Manfaat Sebenarnya",N($O130),IFERROR(INDEX(Kel_Masa,MATCH($U130,Kel_Nama,0)),0)))</f>
        <v/>
      </c>
      <c r="W130" t="str">
        <f>IF($B130="","",IF($P130&lt;&gt;"",$P130,IF(OR($U130="Tidak Disusutkan",$V130=0),"Tidak Disusutkan","Garis Lurus")))</f>
        <v/>
      </c>
      <c r="X130" t="str">
        <f>IF($B130="","",IF($Y130&gt;TahunBuku*12+12,"Belum Diperoleh",IF($Z130&lt;=TahunBuku*12,"Dilepas (thn lalu)",IF($AC130=1,"Dilepas thn ini",IF($AB130=1,"Perolehan baru","Aktif")))))</f>
        <v/>
      </c>
      <c r="Y130" s="20" t="str">
        <f>IF($B130="","",YEAR($F130)*12+MONTH($F130))</f>
        <v/>
      </c>
      <c r="Z130" s="20" t="str">
        <f>IF($B130="","",IF($Q130="",99999,YEAR($Q130)*12+MONTH($Q130)))</f>
        <v/>
      </c>
      <c r="AA130" s="20" t="str">
        <f>IF($B130="","",--AND($Y130&lt;=TahunBuku*12,$Z130&gt;TahunBuku*12))</f>
        <v/>
      </c>
      <c r="AB130" s="20" t="str">
        <f>IF($B130="","",--AND($Y130&gt;TahunBuku*12,$Y130&lt;=TahunBuku*12+12))</f>
        <v/>
      </c>
      <c r="AC130" s="20" t="str">
        <f>IF($B130="","",--AND($Z130&gt;TahunBuku*12,$Z130&lt;=TahunBuku*12+12,$Y130&lt;=$Z130))</f>
        <v/>
      </c>
      <c r="AD130" s="21" t="str">
        <f>IF($B130="","",IFERROR(IF($S130="Garis Lurus",$G130-($G130-$H130)*MIN($T130*12,MAX(0,TahunBuku*12-$Y130+1))/($T130*12),IF($S130="Saldo Menurun",IF(TahunBuku-1&lt;YEAR($F130),$G130,IF(TahunBuku-1&gt;=INT(($Y130+$T130*12-2)/12),$H130,MAX($H130,$G130*(1-2/$T130*(13-MONTH($F130))/12)*(1-2/$T130)^(TahunBuku-1-YEAR($F130))))),IF($S130="Unit Produksi",$G130-($G130-$H130)*MIN(1,N($L130)/$K130),$G130))),$G130))</f>
        <v/>
      </c>
      <c r="AE130" s="21" t="str">
        <f>IF($B130="","",IFERROR(IF($S130="Garis Lurus",$G130-($G130-$H130)*MIN($T130*12,MAX(0,TahunBuku*12+12-$Y130+1))/($T130*12),IF($S130="Saldo Menurun",IF(TahunBuku&lt;YEAR($F130),$G130,IF(TahunBuku&gt;=INT(($Y130+$T130*12-2)/12),$H130,MAX($H130,$G130*(1-2/$T130*(13-MONTH($F130))/12)*(1-2/$T130)^(TahunBuku-YEAR($F130))))),IF($S130="Unit Produksi",$G130-($G130-$H130)*MIN(1,(N($L130)+N($M130))/$K130),$G130))),$G130))</f>
        <v/>
      </c>
      <c r="AF130" s="20" t="str">
        <f>IF($B130="","",IF(OR($S130="Garis Lurus",$S130="Saldo Menurun",$S130="Unit Produksi"),MAX(0,IF($S130="Unit Produksi",TahunBuku*12+12,MIN(TahunBuku*12+12,$Y130+$T130*12-1))-MAX(TahunBuku*12+1,$Y130)+1),0))</f>
        <v/>
      </c>
      <c r="AG130" s="20" t="str">
        <f>IF($B130="","",IF(OR($S130="Garis Lurus",$S130="Saldo Menurun",$S130="Unit Produksi"),MAX(0,MIN($Z130,IF($S130="Unit Produksi",TahunBuku*12+12,MIN(TahunBuku*12+12,$Y130+$T130*12-1)))-MAX(TahunBuku*12+1,$Y130)+1),0))</f>
        <v/>
      </c>
      <c r="AH130" s="21" t="str">
        <f>IF($B130="","",IFERROR(IF($W130="Garis Lurus",$G130*(1-MIN($V130*12,MAX(0,TahunBuku*12-$Y130+1))/($V130*12)),IF($W130="Saldo Menurun",IF(TahunBuku-1&lt;YEAR($F130),$G130,IF(TahunBuku-1&gt;=INT(($Y130+$V130*12-2)/12),0,$G130*(1-2/$V130*(13-MONTH($F130))/12)*(1-2/$V130)^(TahunBuku-1-YEAR($F130)))),$G130)),$G130))</f>
        <v/>
      </c>
      <c r="AI130" s="21" t="str">
        <f>IF($B130="","",IFERROR(IF($W130="Garis Lurus",$G130*(1-MIN($V130*12,MAX(0,TahunBuku*12+12-$Y130+1))/($V130*12)),IF($W130="Saldo Menurun",IF(TahunBuku&lt;YEAR($F130),$G130,IF(TahunBuku&gt;=INT(($Y130+$V130*12-2)/12),0,$G130*(1-2/$V130*(13-MONTH($F130))/12)*(1-2/$V130)^(TahunBuku-YEAR($F130)))),$G130)),$G130))</f>
        <v/>
      </c>
      <c r="AJ130" s="20" t="str">
        <f>IF($B130="","",IF(OR($W130="Garis Lurus",$W130="Saldo Menurun"),MAX(0,MIN(TahunBuku*12+12,$Y130+$V130*12-1)-MAX(TahunBuku*12+1,$Y130)+1),0))</f>
        <v/>
      </c>
      <c r="AK130" s="20" t="str">
        <f>IF($B130="","",IF(OR($W130="Garis Lurus",$W130="Saldo Menurun"),MAX(0,MIN($Z130,TahunBuku*12+12,$Y130+$V130*12-1)-MAX(TahunBuku*12+1,$Y130)+1),0))</f>
        <v/>
      </c>
      <c r="AL130" s="22" t="str">
        <f>IF($B130="","",$G130*$AA130)</f>
        <v/>
      </c>
      <c r="AM130" s="22" t="str">
        <f>IF($B130="","",$G130*$AB130)</f>
        <v/>
      </c>
      <c r="AN130" s="22" t="str">
        <f>IF($B130="","",$G130*$AC130)</f>
        <v/>
      </c>
      <c r="AO130" s="22" t="str">
        <f>IF($B130="","",AL130+AM130-AN130)</f>
        <v/>
      </c>
      <c r="AP130" s="22" t="str">
        <f>IF($B130="","",($G130-$AD130)*$AA130)</f>
        <v/>
      </c>
      <c r="AQ130" s="22" t="str">
        <f>IF($B130="","",IF($AF130=0,0,($AD130-$AE130)*$AG130/$AF130)*MAX($AA130,$AB130))</f>
        <v/>
      </c>
      <c r="AR130" s="22" t="str">
        <f>IF($B130="","",(AP130+AQ130)*$AC130)</f>
        <v/>
      </c>
      <c r="AS130" s="22" t="str">
        <f>IF($B130="","",AP130+AQ130-AR130)</f>
        <v/>
      </c>
      <c r="AT130" s="22" t="str">
        <f>IF($B130="","",AO130-AS130)</f>
        <v/>
      </c>
      <c r="AU130" s="22" t="str">
        <f>IF($B130="","",IF($AC130=1,N($R130)-($G130-AR130),0))</f>
        <v/>
      </c>
      <c r="AV130" s="22" t="str">
        <f>IF($B130="","",($G130-$AH130)*$AA130)</f>
        <v/>
      </c>
      <c r="AW130" s="22" t="str">
        <f>IF($B130="","",IF($AJ130=0,0,($AH130-$AI130)*$AK130/$AJ130)*MAX($AA130,$AB130))</f>
        <v/>
      </c>
      <c r="AX130" s="22" t="str">
        <f>IF($B130="","",(AV130+AW130)*$AC130)</f>
        <v/>
      </c>
      <c r="AY130" s="22" t="str">
        <f>IF($B130="","",AV130+AW130-AX130)</f>
        <v/>
      </c>
      <c r="AZ130" s="22" t="str">
        <f>IF($B130="","",AO130-AY130)</f>
        <v/>
      </c>
      <c r="BA130" s="22" t="str">
        <f>IF($B130="","",IF($AC130=1,N($R130)-($G130-AX130),0))</f>
        <v/>
      </c>
      <c r="BB130" s="22" t="str">
        <f>IF($B130="","",ROUND(AQ130-AW130,0))</f>
        <v/>
      </c>
      <c r="BC130" s="22" t="str">
        <f>IF($B130="","",ROUND(BA130-AU130,0))</f>
        <v/>
      </c>
      <c r="BD130" s="22" t="str">
        <f>IF($B130="","",BB130+BC130)</f>
        <v/>
      </c>
      <c r="BE130" s="22" t="str">
        <f>IF($B130="","",ROUND(AV130-AP130,0))</f>
        <v/>
      </c>
      <c r="BF130" s="22" t="str">
        <f>IF($B130="","",ROUND(AT130-AZ130,0))</f>
        <v/>
      </c>
      <c r="BG130" s="22" t="str">
        <f>IF($B130="","",ROUND(BF130*TarifPPh,0))</f>
        <v/>
      </c>
      <c r="BH130" t="str">
        <f>IF($B130="","",IF($D130="","Kategori kosong",IF($F130="","Tgl perolehan kosong",IF(N($H130)&gt;$G130,"Residu &gt; harga perolehan",IF(AND(LEFT($U130,8)="Bangunan",$W130="Saldo Menurun"),"Bangunan wajib Garis Lurus (Ps.11 UU PPh)",IF(AND($S130="Unit Produksi",N($K130)=0),"Isi kapasitas unit",IF(AND(OR($S130="Garis Lurus",$S130="Saldo Menurun"),N($T130)&lt;=0),"Umur komersial kosong",IF(AND(OR($W130="Garis Lurus",$W130="Saldo Menurun"),N($V130)&lt;=0),"Masa manfaat fiskal kosong",IF(AND($Q130&lt;&gt;"",$Q130&lt;$F130),"Tgl pelepasan &lt; perolehan","OK")))))))))</f>
        <v/>
      </c>
    </row>
    <row r="131" spans="1:60" x14ac:dyDescent="0.25">
      <c r="A131" t="str">
        <f>IF($B131="","",ROW()-6)</f>
        <v/>
      </c>
      <c r="B131" s="9"/>
      <c r="C131" s="9"/>
      <c r="D131" s="9"/>
      <c r="E131" s="9"/>
      <c r="F131" s="17"/>
      <c r="G131" s="18"/>
      <c r="H131" s="18"/>
      <c r="I131" s="9"/>
      <c r="J131" s="9"/>
      <c r="K131" s="19"/>
      <c r="L131" s="19"/>
      <c r="M131" s="19"/>
      <c r="N131" s="9"/>
      <c r="O131" s="9"/>
      <c r="P131" s="9"/>
      <c r="Q131" s="17"/>
      <c r="R131" s="18"/>
      <c r="S131" t="str">
        <f>IF($B131="","",IF($I131&lt;&gt;"",$I131,IFERROR(INDEX(Kat_Metode,MATCH($D131,Kat_Nama,0)),"")))</f>
        <v/>
      </c>
      <c r="T131" t="str">
        <f>IF($B131="","",IF($J131&lt;&gt;"",$J131,IFERROR(INDEX(Kat_Umur,MATCH($D131,Kat_Nama,0)),0)))</f>
        <v/>
      </c>
      <c r="U131" t="str">
        <f>IF($B131="","",IF($N131&lt;&gt;"",$N131,IFERROR(INDEX(Kat_Kelompok,MATCH($D131,Kat_Nama,0)),"")))</f>
        <v/>
      </c>
      <c r="V131" t="str">
        <f>IF($B131="","",IF($U131="Masa Manfaat Sebenarnya",N($O131),IFERROR(INDEX(Kel_Masa,MATCH($U131,Kel_Nama,0)),0)))</f>
        <v/>
      </c>
      <c r="W131" t="str">
        <f>IF($B131="","",IF($P131&lt;&gt;"",$P131,IF(OR($U131="Tidak Disusutkan",$V131=0),"Tidak Disusutkan","Garis Lurus")))</f>
        <v/>
      </c>
      <c r="X131" t="str">
        <f>IF($B131="","",IF($Y131&gt;TahunBuku*12+12,"Belum Diperoleh",IF($Z131&lt;=TahunBuku*12,"Dilepas (thn lalu)",IF($AC131=1,"Dilepas thn ini",IF($AB131=1,"Perolehan baru","Aktif")))))</f>
        <v/>
      </c>
      <c r="Y131" s="20" t="str">
        <f>IF($B131="","",YEAR($F131)*12+MONTH($F131))</f>
        <v/>
      </c>
      <c r="Z131" s="20" t="str">
        <f>IF($B131="","",IF($Q131="",99999,YEAR($Q131)*12+MONTH($Q131)))</f>
        <v/>
      </c>
      <c r="AA131" s="20" t="str">
        <f>IF($B131="","",--AND($Y131&lt;=TahunBuku*12,$Z131&gt;TahunBuku*12))</f>
        <v/>
      </c>
      <c r="AB131" s="20" t="str">
        <f>IF($B131="","",--AND($Y131&gt;TahunBuku*12,$Y131&lt;=TahunBuku*12+12))</f>
        <v/>
      </c>
      <c r="AC131" s="20" t="str">
        <f>IF($B131="","",--AND($Z131&gt;TahunBuku*12,$Z131&lt;=TahunBuku*12+12,$Y131&lt;=$Z131))</f>
        <v/>
      </c>
      <c r="AD131" s="21" t="str">
        <f>IF($B131="","",IFERROR(IF($S131="Garis Lurus",$G131-($G131-$H131)*MIN($T131*12,MAX(0,TahunBuku*12-$Y131+1))/($T131*12),IF($S131="Saldo Menurun",IF(TahunBuku-1&lt;YEAR($F131),$G131,IF(TahunBuku-1&gt;=INT(($Y131+$T131*12-2)/12),$H131,MAX($H131,$G131*(1-2/$T131*(13-MONTH($F131))/12)*(1-2/$T131)^(TahunBuku-1-YEAR($F131))))),IF($S131="Unit Produksi",$G131-($G131-$H131)*MIN(1,N($L131)/$K131),$G131))),$G131))</f>
        <v/>
      </c>
      <c r="AE131" s="21" t="str">
        <f>IF($B131="","",IFERROR(IF($S131="Garis Lurus",$G131-($G131-$H131)*MIN($T131*12,MAX(0,TahunBuku*12+12-$Y131+1))/($T131*12),IF($S131="Saldo Menurun",IF(TahunBuku&lt;YEAR($F131),$G131,IF(TahunBuku&gt;=INT(($Y131+$T131*12-2)/12),$H131,MAX($H131,$G131*(1-2/$T131*(13-MONTH($F131))/12)*(1-2/$T131)^(TahunBuku-YEAR($F131))))),IF($S131="Unit Produksi",$G131-($G131-$H131)*MIN(1,(N($L131)+N($M131))/$K131),$G131))),$G131))</f>
        <v/>
      </c>
      <c r="AF131" s="20" t="str">
        <f>IF($B131="","",IF(OR($S131="Garis Lurus",$S131="Saldo Menurun",$S131="Unit Produksi"),MAX(0,IF($S131="Unit Produksi",TahunBuku*12+12,MIN(TahunBuku*12+12,$Y131+$T131*12-1))-MAX(TahunBuku*12+1,$Y131)+1),0))</f>
        <v/>
      </c>
      <c r="AG131" s="20" t="str">
        <f>IF($B131="","",IF(OR($S131="Garis Lurus",$S131="Saldo Menurun",$S131="Unit Produksi"),MAX(0,MIN($Z131,IF($S131="Unit Produksi",TahunBuku*12+12,MIN(TahunBuku*12+12,$Y131+$T131*12-1)))-MAX(TahunBuku*12+1,$Y131)+1),0))</f>
        <v/>
      </c>
      <c r="AH131" s="21" t="str">
        <f>IF($B131="","",IFERROR(IF($W131="Garis Lurus",$G131*(1-MIN($V131*12,MAX(0,TahunBuku*12-$Y131+1))/($V131*12)),IF($W131="Saldo Menurun",IF(TahunBuku-1&lt;YEAR($F131),$G131,IF(TahunBuku-1&gt;=INT(($Y131+$V131*12-2)/12),0,$G131*(1-2/$V131*(13-MONTH($F131))/12)*(1-2/$V131)^(TahunBuku-1-YEAR($F131)))),$G131)),$G131))</f>
        <v/>
      </c>
      <c r="AI131" s="21" t="str">
        <f>IF($B131="","",IFERROR(IF($W131="Garis Lurus",$G131*(1-MIN($V131*12,MAX(0,TahunBuku*12+12-$Y131+1))/($V131*12)),IF($W131="Saldo Menurun",IF(TahunBuku&lt;YEAR($F131),$G131,IF(TahunBuku&gt;=INT(($Y131+$V131*12-2)/12),0,$G131*(1-2/$V131*(13-MONTH($F131))/12)*(1-2/$V131)^(TahunBuku-YEAR($F131)))),$G131)),$G131))</f>
        <v/>
      </c>
      <c r="AJ131" s="20" t="str">
        <f>IF($B131="","",IF(OR($W131="Garis Lurus",$W131="Saldo Menurun"),MAX(0,MIN(TahunBuku*12+12,$Y131+$V131*12-1)-MAX(TahunBuku*12+1,$Y131)+1),0))</f>
        <v/>
      </c>
      <c r="AK131" s="20" t="str">
        <f>IF($B131="","",IF(OR($W131="Garis Lurus",$W131="Saldo Menurun"),MAX(0,MIN($Z131,TahunBuku*12+12,$Y131+$V131*12-1)-MAX(TahunBuku*12+1,$Y131)+1),0))</f>
        <v/>
      </c>
      <c r="AL131" s="22" t="str">
        <f>IF($B131="","",$G131*$AA131)</f>
        <v/>
      </c>
      <c r="AM131" s="22" t="str">
        <f>IF($B131="","",$G131*$AB131)</f>
        <v/>
      </c>
      <c r="AN131" s="22" t="str">
        <f>IF($B131="","",$G131*$AC131)</f>
        <v/>
      </c>
      <c r="AO131" s="22" t="str">
        <f>IF($B131="","",AL131+AM131-AN131)</f>
        <v/>
      </c>
      <c r="AP131" s="22" t="str">
        <f>IF($B131="","",($G131-$AD131)*$AA131)</f>
        <v/>
      </c>
      <c r="AQ131" s="22" t="str">
        <f>IF($B131="","",IF($AF131=0,0,($AD131-$AE131)*$AG131/$AF131)*MAX($AA131,$AB131))</f>
        <v/>
      </c>
      <c r="AR131" s="22" t="str">
        <f>IF($B131="","",(AP131+AQ131)*$AC131)</f>
        <v/>
      </c>
      <c r="AS131" s="22" t="str">
        <f>IF($B131="","",AP131+AQ131-AR131)</f>
        <v/>
      </c>
      <c r="AT131" s="22" t="str">
        <f>IF($B131="","",AO131-AS131)</f>
        <v/>
      </c>
      <c r="AU131" s="22" t="str">
        <f>IF($B131="","",IF($AC131=1,N($R131)-($G131-AR131),0))</f>
        <v/>
      </c>
      <c r="AV131" s="22" t="str">
        <f>IF($B131="","",($G131-$AH131)*$AA131)</f>
        <v/>
      </c>
      <c r="AW131" s="22" t="str">
        <f>IF($B131="","",IF($AJ131=0,0,($AH131-$AI131)*$AK131/$AJ131)*MAX($AA131,$AB131))</f>
        <v/>
      </c>
      <c r="AX131" s="22" t="str">
        <f>IF($B131="","",(AV131+AW131)*$AC131)</f>
        <v/>
      </c>
      <c r="AY131" s="22" t="str">
        <f>IF($B131="","",AV131+AW131-AX131)</f>
        <v/>
      </c>
      <c r="AZ131" s="22" t="str">
        <f>IF($B131="","",AO131-AY131)</f>
        <v/>
      </c>
      <c r="BA131" s="22" t="str">
        <f>IF($B131="","",IF($AC131=1,N($R131)-($G131-AX131),0))</f>
        <v/>
      </c>
      <c r="BB131" s="22" t="str">
        <f>IF($B131="","",ROUND(AQ131-AW131,0))</f>
        <v/>
      </c>
      <c r="BC131" s="22" t="str">
        <f>IF($B131="","",ROUND(BA131-AU131,0))</f>
        <v/>
      </c>
      <c r="BD131" s="22" t="str">
        <f>IF($B131="","",BB131+BC131)</f>
        <v/>
      </c>
      <c r="BE131" s="22" t="str">
        <f>IF($B131="","",ROUND(AV131-AP131,0))</f>
        <v/>
      </c>
      <c r="BF131" s="22" t="str">
        <f>IF($B131="","",ROUND(AT131-AZ131,0))</f>
        <v/>
      </c>
      <c r="BG131" s="22" t="str">
        <f>IF($B131="","",ROUND(BF131*TarifPPh,0))</f>
        <v/>
      </c>
      <c r="BH131" t="str">
        <f>IF($B131="","",IF($D131="","Kategori kosong",IF($F131="","Tgl perolehan kosong",IF(N($H131)&gt;$G131,"Residu &gt; harga perolehan",IF(AND(LEFT($U131,8)="Bangunan",$W131="Saldo Menurun"),"Bangunan wajib Garis Lurus (Ps.11 UU PPh)",IF(AND($S131="Unit Produksi",N($K131)=0),"Isi kapasitas unit",IF(AND(OR($S131="Garis Lurus",$S131="Saldo Menurun"),N($T131)&lt;=0),"Umur komersial kosong",IF(AND(OR($W131="Garis Lurus",$W131="Saldo Menurun"),N($V131)&lt;=0),"Masa manfaat fiskal kosong",IF(AND($Q131&lt;&gt;"",$Q131&lt;$F131),"Tgl pelepasan &lt; perolehan","OK")))))))))</f>
        <v/>
      </c>
    </row>
    <row r="132" spans="1:60" x14ac:dyDescent="0.25">
      <c r="A132" t="str">
        <f>IF($B132="","",ROW()-6)</f>
        <v/>
      </c>
      <c r="B132" s="9"/>
      <c r="C132" s="9"/>
      <c r="D132" s="9"/>
      <c r="E132" s="9"/>
      <c r="F132" s="17"/>
      <c r="G132" s="18"/>
      <c r="H132" s="18"/>
      <c r="I132" s="9"/>
      <c r="J132" s="9"/>
      <c r="K132" s="19"/>
      <c r="L132" s="19"/>
      <c r="M132" s="19"/>
      <c r="N132" s="9"/>
      <c r="O132" s="9"/>
      <c r="P132" s="9"/>
      <c r="Q132" s="17"/>
      <c r="R132" s="18"/>
      <c r="S132" t="str">
        <f>IF($B132="","",IF($I132&lt;&gt;"",$I132,IFERROR(INDEX(Kat_Metode,MATCH($D132,Kat_Nama,0)),"")))</f>
        <v/>
      </c>
      <c r="T132" t="str">
        <f>IF($B132="","",IF($J132&lt;&gt;"",$J132,IFERROR(INDEX(Kat_Umur,MATCH($D132,Kat_Nama,0)),0)))</f>
        <v/>
      </c>
      <c r="U132" t="str">
        <f>IF($B132="","",IF($N132&lt;&gt;"",$N132,IFERROR(INDEX(Kat_Kelompok,MATCH($D132,Kat_Nama,0)),"")))</f>
        <v/>
      </c>
      <c r="V132" t="str">
        <f>IF($B132="","",IF($U132="Masa Manfaat Sebenarnya",N($O132),IFERROR(INDEX(Kel_Masa,MATCH($U132,Kel_Nama,0)),0)))</f>
        <v/>
      </c>
      <c r="W132" t="str">
        <f>IF($B132="","",IF($P132&lt;&gt;"",$P132,IF(OR($U132="Tidak Disusutkan",$V132=0),"Tidak Disusutkan","Garis Lurus")))</f>
        <v/>
      </c>
      <c r="X132" t="str">
        <f>IF($B132="","",IF($Y132&gt;TahunBuku*12+12,"Belum Diperoleh",IF($Z132&lt;=TahunBuku*12,"Dilepas (thn lalu)",IF($AC132=1,"Dilepas thn ini",IF($AB132=1,"Perolehan baru","Aktif")))))</f>
        <v/>
      </c>
      <c r="Y132" s="20" t="str">
        <f>IF($B132="","",YEAR($F132)*12+MONTH($F132))</f>
        <v/>
      </c>
      <c r="Z132" s="20" t="str">
        <f>IF($B132="","",IF($Q132="",99999,YEAR($Q132)*12+MONTH($Q132)))</f>
        <v/>
      </c>
      <c r="AA132" s="20" t="str">
        <f>IF($B132="","",--AND($Y132&lt;=TahunBuku*12,$Z132&gt;TahunBuku*12))</f>
        <v/>
      </c>
      <c r="AB132" s="20" t="str">
        <f>IF($B132="","",--AND($Y132&gt;TahunBuku*12,$Y132&lt;=TahunBuku*12+12))</f>
        <v/>
      </c>
      <c r="AC132" s="20" t="str">
        <f>IF($B132="","",--AND($Z132&gt;TahunBuku*12,$Z132&lt;=TahunBuku*12+12,$Y132&lt;=$Z132))</f>
        <v/>
      </c>
      <c r="AD132" s="21" t="str">
        <f>IF($B132="","",IFERROR(IF($S132="Garis Lurus",$G132-($G132-$H132)*MIN($T132*12,MAX(0,TahunBuku*12-$Y132+1))/($T132*12),IF($S132="Saldo Menurun",IF(TahunBuku-1&lt;YEAR($F132),$G132,IF(TahunBuku-1&gt;=INT(($Y132+$T132*12-2)/12),$H132,MAX($H132,$G132*(1-2/$T132*(13-MONTH($F132))/12)*(1-2/$T132)^(TahunBuku-1-YEAR($F132))))),IF($S132="Unit Produksi",$G132-($G132-$H132)*MIN(1,N($L132)/$K132),$G132))),$G132))</f>
        <v/>
      </c>
      <c r="AE132" s="21" t="str">
        <f>IF($B132="","",IFERROR(IF($S132="Garis Lurus",$G132-($G132-$H132)*MIN($T132*12,MAX(0,TahunBuku*12+12-$Y132+1))/($T132*12),IF($S132="Saldo Menurun",IF(TahunBuku&lt;YEAR($F132),$G132,IF(TahunBuku&gt;=INT(($Y132+$T132*12-2)/12),$H132,MAX($H132,$G132*(1-2/$T132*(13-MONTH($F132))/12)*(1-2/$T132)^(TahunBuku-YEAR($F132))))),IF($S132="Unit Produksi",$G132-($G132-$H132)*MIN(1,(N($L132)+N($M132))/$K132),$G132))),$G132))</f>
        <v/>
      </c>
      <c r="AF132" s="20" t="str">
        <f>IF($B132="","",IF(OR($S132="Garis Lurus",$S132="Saldo Menurun",$S132="Unit Produksi"),MAX(0,IF($S132="Unit Produksi",TahunBuku*12+12,MIN(TahunBuku*12+12,$Y132+$T132*12-1))-MAX(TahunBuku*12+1,$Y132)+1),0))</f>
        <v/>
      </c>
      <c r="AG132" s="20" t="str">
        <f>IF($B132="","",IF(OR($S132="Garis Lurus",$S132="Saldo Menurun",$S132="Unit Produksi"),MAX(0,MIN($Z132,IF($S132="Unit Produksi",TahunBuku*12+12,MIN(TahunBuku*12+12,$Y132+$T132*12-1)))-MAX(TahunBuku*12+1,$Y132)+1),0))</f>
        <v/>
      </c>
      <c r="AH132" s="21" t="str">
        <f>IF($B132="","",IFERROR(IF($W132="Garis Lurus",$G132*(1-MIN($V132*12,MAX(0,TahunBuku*12-$Y132+1))/($V132*12)),IF($W132="Saldo Menurun",IF(TahunBuku-1&lt;YEAR($F132),$G132,IF(TahunBuku-1&gt;=INT(($Y132+$V132*12-2)/12),0,$G132*(1-2/$V132*(13-MONTH($F132))/12)*(1-2/$V132)^(TahunBuku-1-YEAR($F132)))),$G132)),$G132))</f>
        <v/>
      </c>
      <c r="AI132" s="21" t="str">
        <f>IF($B132="","",IFERROR(IF($W132="Garis Lurus",$G132*(1-MIN($V132*12,MAX(0,TahunBuku*12+12-$Y132+1))/($V132*12)),IF($W132="Saldo Menurun",IF(TahunBuku&lt;YEAR($F132),$G132,IF(TahunBuku&gt;=INT(($Y132+$V132*12-2)/12),0,$G132*(1-2/$V132*(13-MONTH($F132))/12)*(1-2/$V132)^(TahunBuku-YEAR($F132)))),$G132)),$G132))</f>
        <v/>
      </c>
      <c r="AJ132" s="20" t="str">
        <f>IF($B132="","",IF(OR($W132="Garis Lurus",$W132="Saldo Menurun"),MAX(0,MIN(TahunBuku*12+12,$Y132+$V132*12-1)-MAX(TahunBuku*12+1,$Y132)+1),0))</f>
        <v/>
      </c>
      <c r="AK132" s="20" t="str">
        <f>IF($B132="","",IF(OR($W132="Garis Lurus",$W132="Saldo Menurun"),MAX(0,MIN($Z132,TahunBuku*12+12,$Y132+$V132*12-1)-MAX(TahunBuku*12+1,$Y132)+1),0))</f>
        <v/>
      </c>
      <c r="AL132" s="22" t="str">
        <f>IF($B132="","",$G132*$AA132)</f>
        <v/>
      </c>
      <c r="AM132" s="22" t="str">
        <f>IF($B132="","",$G132*$AB132)</f>
        <v/>
      </c>
      <c r="AN132" s="22" t="str">
        <f>IF($B132="","",$G132*$AC132)</f>
        <v/>
      </c>
      <c r="AO132" s="22" t="str">
        <f>IF($B132="","",AL132+AM132-AN132)</f>
        <v/>
      </c>
      <c r="AP132" s="22" t="str">
        <f>IF($B132="","",($G132-$AD132)*$AA132)</f>
        <v/>
      </c>
      <c r="AQ132" s="22" t="str">
        <f>IF($B132="","",IF($AF132=0,0,($AD132-$AE132)*$AG132/$AF132)*MAX($AA132,$AB132))</f>
        <v/>
      </c>
      <c r="AR132" s="22" t="str">
        <f>IF($B132="","",(AP132+AQ132)*$AC132)</f>
        <v/>
      </c>
      <c r="AS132" s="22" t="str">
        <f>IF($B132="","",AP132+AQ132-AR132)</f>
        <v/>
      </c>
      <c r="AT132" s="22" t="str">
        <f>IF($B132="","",AO132-AS132)</f>
        <v/>
      </c>
      <c r="AU132" s="22" t="str">
        <f>IF($B132="","",IF($AC132=1,N($R132)-($G132-AR132),0))</f>
        <v/>
      </c>
      <c r="AV132" s="22" t="str">
        <f>IF($B132="","",($G132-$AH132)*$AA132)</f>
        <v/>
      </c>
      <c r="AW132" s="22" t="str">
        <f>IF($B132="","",IF($AJ132=0,0,($AH132-$AI132)*$AK132/$AJ132)*MAX($AA132,$AB132))</f>
        <v/>
      </c>
      <c r="AX132" s="22" t="str">
        <f>IF($B132="","",(AV132+AW132)*$AC132)</f>
        <v/>
      </c>
      <c r="AY132" s="22" t="str">
        <f>IF($B132="","",AV132+AW132-AX132)</f>
        <v/>
      </c>
      <c r="AZ132" s="22" t="str">
        <f>IF($B132="","",AO132-AY132)</f>
        <v/>
      </c>
      <c r="BA132" s="22" t="str">
        <f>IF($B132="","",IF($AC132=1,N($R132)-($G132-AX132),0))</f>
        <v/>
      </c>
      <c r="BB132" s="22" t="str">
        <f>IF($B132="","",ROUND(AQ132-AW132,0))</f>
        <v/>
      </c>
      <c r="BC132" s="22" t="str">
        <f>IF($B132="","",ROUND(BA132-AU132,0))</f>
        <v/>
      </c>
      <c r="BD132" s="22" t="str">
        <f>IF($B132="","",BB132+BC132)</f>
        <v/>
      </c>
      <c r="BE132" s="22" t="str">
        <f>IF($B132="","",ROUND(AV132-AP132,0))</f>
        <v/>
      </c>
      <c r="BF132" s="22" t="str">
        <f>IF($B132="","",ROUND(AT132-AZ132,0))</f>
        <v/>
      </c>
      <c r="BG132" s="22" t="str">
        <f>IF($B132="","",ROUND(BF132*TarifPPh,0))</f>
        <v/>
      </c>
      <c r="BH132" t="str">
        <f>IF($B132="","",IF($D132="","Kategori kosong",IF($F132="","Tgl perolehan kosong",IF(N($H132)&gt;$G132,"Residu &gt; harga perolehan",IF(AND(LEFT($U132,8)="Bangunan",$W132="Saldo Menurun"),"Bangunan wajib Garis Lurus (Ps.11 UU PPh)",IF(AND($S132="Unit Produksi",N($K132)=0),"Isi kapasitas unit",IF(AND(OR($S132="Garis Lurus",$S132="Saldo Menurun"),N($T132)&lt;=0),"Umur komersial kosong",IF(AND(OR($W132="Garis Lurus",$W132="Saldo Menurun"),N($V132)&lt;=0),"Masa manfaat fiskal kosong",IF(AND($Q132&lt;&gt;"",$Q132&lt;$F132),"Tgl pelepasan &lt; perolehan","OK")))))))))</f>
        <v/>
      </c>
    </row>
    <row r="133" spans="1:60" x14ac:dyDescent="0.25">
      <c r="A133" t="str">
        <f>IF($B133="","",ROW()-6)</f>
        <v/>
      </c>
      <c r="B133" s="9"/>
      <c r="C133" s="9"/>
      <c r="D133" s="9"/>
      <c r="E133" s="9"/>
      <c r="F133" s="17"/>
      <c r="G133" s="18"/>
      <c r="H133" s="18"/>
      <c r="I133" s="9"/>
      <c r="J133" s="9"/>
      <c r="K133" s="19"/>
      <c r="L133" s="19"/>
      <c r="M133" s="19"/>
      <c r="N133" s="9"/>
      <c r="O133" s="9"/>
      <c r="P133" s="9"/>
      <c r="Q133" s="17"/>
      <c r="R133" s="18"/>
      <c r="S133" t="str">
        <f>IF($B133="","",IF($I133&lt;&gt;"",$I133,IFERROR(INDEX(Kat_Metode,MATCH($D133,Kat_Nama,0)),"")))</f>
        <v/>
      </c>
      <c r="T133" t="str">
        <f>IF($B133="","",IF($J133&lt;&gt;"",$J133,IFERROR(INDEX(Kat_Umur,MATCH($D133,Kat_Nama,0)),0)))</f>
        <v/>
      </c>
      <c r="U133" t="str">
        <f>IF($B133="","",IF($N133&lt;&gt;"",$N133,IFERROR(INDEX(Kat_Kelompok,MATCH($D133,Kat_Nama,0)),"")))</f>
        <v/>
      </c>
      <c r="V133" t="str">
        <f>IF($B133="","",IF($U133="Masa Manfaat Sebenarnya",N($O133),IFERROR(INDEX(Kel_Masa,MATCH($U133,Kel_Nama,0)),0)))</f>
        <v/>
      </c>
      <c r="W133" t="str">
        <f>IF($B133="","",IF($P133&lt;&gt;"",$P133,IF(OR($U133="Tidak Disusutkan",$V133=0),"Tidak Disusutkan","Garis Lurus")))</f>
        <v/>
      </c>
      <c r="X133" t="str">
        <f>IF($B133="","",IF($Y133&gt;TahunBuku*12+12,"Belum Diperoleh",IF($Z133&lt;=TahunBuku*12,"Dilepas (thn lalu)",IF($AC133=1,"Dilepas thn ini",IF($AB133=1,"Perolehan baru","Aktif")))))</f>
        <v/>
      </c>
      <c r="Y133" s="20" t="str">
        <f>IF($B133="","",YEAR($F133)*12+MONTH($F133))</f>
        <v/>
      </c>
      <c r="Z133" s="20" t="str">
        <f>IF($B133="","",IF($Q133="",99999,YEAR($Q133)*12+MONTH($Q133)))</f>
        <v/>
      </c>
      <c r="AA133" s="20" t="str">
        <f>IF($B133="","",--AND($Y133&lt;=TahunBuku*12,$Z133&gt;TahunBuku*12))</f>
        <v/>
      </c>
      <c r="AB133" s="20" t="str">
        <f>IF($B133="","",--AND($Y133&gt;TahunBuku*12,$Y133&lt;=TahunBuku*12+12))</f>
        <v/>
      </c>
      <c r="AC133" s="20" t="str">
        <f>IF($B133="","",--AND($Z133&gt;TahunBuku*12,$Z133&lt;=TahunBuku*12+12,$Y133&lt;=$Z133))</f>
        <v/>
      </c>
      <c r="AD133" s="21" t="str">
        <f>IF($B133="","",IFERROR(IF($S133="Garis Lurus",$G133-($G133-$H133)*MIN($T133*12,MAX(0,TahunBuku*12-$Y133+1))/($T133*12),IF($S133="Saldo Menurun",IF(TahunBuku-1&lt;YEAR($F133),$G133,IF(TahunBuku-1&gt;=INT(($Y133+$T133*12-2)/12),$H133,MAX($H133,$G133*(1-2/$T133*(13-MONTH($F133))/12)*(1-2/$T133)^(TahunBuku-1-YEAR($F133))))),IF($S133="Unit Produksi",$G133-($G133-$H133)*MIN(1,N($L133)/$K133),$G133))),$G133))</f>
        <v/>
      </c>
      <c r="AE133" s="21" t="str">
        <f>IF($B133="","",IFERROR(IF($S133="Garis Lurus",$G133-($G133-$H133)*MIN($T133*12,MAX(0,TahunBuku*12+12-$Y133+1))/($T133*12),IF($S133="Saldo Menurun",IF(TahunBuku&lt;YEAR($F133),$G133,IF(TahunBuku&gt;=INT(($Y133+$T133*12-2)/12),$H133,MAX($H133,$G133*(1-2/$T133*(13-MONTH($F133))/12)*(1-2/$T133)^(TahunBuku-YEAR($F133))))),IF($S133="Unit Produksi",$G133-($G133-$H133)*MIN(1,(N($L133)+N($M133))/$K133),$G133))),$G133))</f>
        <v/>
      </c>
      <c r="AF133" s="20" t="str">
        <f>IF($B133="","",IF(OR($S133="Garis Lurus",$S133="Saldo Menurun",$S133="Unit Produksi"),MAX(0,IF($S133="Unit Produksi",TahunBuku*12+12,MIN(TahunBuku*12+12,$Y133+$T133*12-1))-MAX(TahunBuku*12+1,$Y133)+1),0))</f>
        <v/>
      </c>
      <c r="AG133" s="20" t="str">
        <f>IF($B133="","",IF(OR($S133="Garis Lurus",$S133="Saldo Menurun",$S133="Unit Produksi"),MAX(0,MIN($Z133,IF($S133="Unit Produksi",TahunBuku*12+12,MIN(TahunBuku*12+12,$Y133+$T133*12-1)))-MAX(TahunBuku*12+1,$Y133)+1),0))</f>
        <v/>
      </c>
      <c r="AH133" s="21" t="str">
        <f>IF($B133="","",IFERROR(IF($W133="Garis Lurus",$G133*(1-MIN($V133*12,MAX(0,TahunBuku*12-$Y133+1))/($V133*12)),IF($W133="Saldo Menurun",IF(TahunBuku-1&lt;YEAR($F133),$G133,IF(TahunBuku-1&gt;=INT(($Y133+$V133*12-2)/12),0,$G133*(1-2/$V133*(13-MONTH($F133))/12)*(1-2/$V133)^(TahunBuku-1-YEAR($F133)))),$G133)),$G133))</f>
        <v/>
      </c>
      <c r="AI133" s="21" t="str">
        <f>IF($B133="","",IFERROR(IF($W133="Garis Lurus",$G133*(1-MIN($V133*12,MAX(0,TahunBuku*12+12-$Y133+1))/($V133*12)),IF($W133="Saldo Menurun",IF(TahunBuku&lt;YEAR($F133),$G133,IF(TahunBuku&gt;=INT(($Y133+$V133*12-2)/12),0,$G133*(1-2/$V133*(13-MONTH($F133))/12)*(1-2/$V133)^(TahunBuku-YEAR($F133)))),$G133)),$G133))</f>
        <v/>
      </c>
      <c r="AJ133" s="20" t="str">
        <f>IF($B133="","",IF(OR($W133="Garis Lurus",$W133="Saldo Menurun"),MAX(0,MIN(TahunBuku*12+12,$Y133+$V133*12-1)-MAX(TahunBuku*12+1,$Y133)+1),0))</f>
        <v/>
      </c>
      <c r="AK133" s="20" t="str">
        <f>IF($B133="","",IF(OR($W133="Garis Lurus",$W133="Saldo Menurun"),MAX(0,MIN($Z133,TahunBuku*12+12,$Y133+$V133*12-1)-MAX(TahunBuku*12+1,$Y133)+1),0))</f>
        <v/>
      </c>
      <c r="AL133" s="22" t="str">
        <f>IF($B133="","",$G133*$AA133)</f>
        <v/>
      </c>
      <c r="AM133" s="22" t="str">
        <f>IF($B133="","",$G133*$AB133)</f>
        <v/>
      </c>
      <c r="AN133" s="22" t="str">
        <f>IF($B133="","",$G133*$AC133)</f>
        <v/>
      </c>
      <c r="AO133" s="22" t="str">
        <f>IF($B133="","",AL133+AM133-AN133)</f>
        <v/>
      </c>
      <c r="AP133" s="22" t="str">
        <f>IF($B133="","",($G133-$AD133)*$AA133)</f>
        <v/>
      </c>
      <c r="AQ133" s="22" t="str">
        <f>IF($B133="","",IF($AF133=0,0,($AD133-$AE133)*$AG133/$AF133)*MAX($AA133,$AB133))</f>
        <v/>
      </c>
      <c r="AR133" s="22" t="str">
        <f>IF($B133="","",(AP133+AQ133)*$AC133)</f>
        <v/>
      </c>
      <c r="AS133" s="22" t="str">
        <f>IF($B133="","",AP133+AQ133-AR133)</f>
        <v/>
      </c>
      <c r="AT133" s="22" t="str">
        <f>IF($B133="","",AO133-AS133)</f>
        <v/>
      </c>
      <c r="AU133" s="22" t="str">
        <f>IF($B133="","",IF($AC133=1,N($R133)-($G133-AR133),0))</f>
        <v/>
      </c>
      <c r="AV133" s="22" t="str">
        <f>IF($B133="","",($G133-$AH133)*$AA133)</f>
        <v/>
      </c>
      <c r="AW133" s="22" t="str">
        <f>IF($B133="","",IF($AJ133=0,0,($AH133-$AI133)*$AK133/$AJ133)*MAX($AA133,$AB133))</f>
        <v/>
      </c>
      <c r="AX133" s="22" t="str">
        <f>IF($B133="","",(AV133+AW133)*$AC133)</f>
        <v/>
      </c>
      <c r="AY133" s="22" t="str">
        <f>IF($B133="","",AV133+AW133-AX133)</f>
        <v/>
      </c>
      <c r="AZ133" s="22" t="str">
        <f>IF($B133="","",AO133-AY133)</f>
        <v/>
      </c>
      <c r="BA133" s="22" t="str">
        <f>IF($B133="","",IF($AC133=1,N($R133)-($G133-AX133),0))</f>
        <v/>
      </c>
      <c r="BB133" s="22" t="str">
        <f>IF($B133="","",ROUND(AQ133-AW133,0))</f>
        <v/>
      </c>
      <c r="BC133" s="22" t="str">
        <f>IF($B133="","",ROUND(BA133-AU133,0))</f>
        <v/>
      </c>
      <c r="BD133" s="22" t="str">
        <f>IF($B133="","",BB133+BC133)</f>
        <v/>
      </c>
      <c r="BE133" s="22" t="str">
        <f>IF($B133="","",ROUND(AV133-AP133,0))</f>
        <v/>
      </c>
      <c r="BF133" s="22" t="str">
        <f>IF($B133="","",ROUND(AT133-AZ133,0))</f>
        <v/>
      </c>
      <c r="BG133" s="22" t="str">
        <f>IF($B133="","",ROUND(BF133*TarifPPh,0))</f>
        <v/>
      </c>
      <c r="BH133" t="str">
        <f>IF($B133="","",IF($D133="","Kategori kosong",IF($F133="","Tgl perolehan kosong",IF(N($H133)&gt;$G133,"Residu &gt; harga perolehan",IF(AND(LEFT($U133,8)="Bangunan",$W133="Saldo Menurun"),"Bangunan wajib Garis Lurus (Ps.11 UU PPh)",IF(AND($S133="Unit Produksi",N($K133)=0),"Isi kapasitas unit",IF(AND(OR($S133="Garis Lurus",$S133="Saldo Menurun"),N($T133)&lt;=0),"Umur komersial kosong",IF(AND(OR($W133="Garis Lurus",$W133="Saldo Menurun"),N($V133)&lt;=0),"Masa manfaat fiskal kosong",IF(AND($Q133&lt;&gt;"",$Q133&lt;$F133),"Tgl pelepasan &lt; perolehan","OK")))))))))</f>
        <v/>
      </c>
    </row>
    <row r="134" spans="1:60" x14ac:dyDescent="0.25">
      <c r="A134" t="str">
        <f>IF($B134="","",ROW()-6)</f>
        <v/>
      </c>
      <c r="B134" s="9"/>
      <c r="C134" s="9"/>
      <c r="D134" s="9"/>
      <c r="E134" s="9"/>
      <c r="F134" s="17"/>
      <c r="G134" s="18"/>
      <c r="H134" s="18"/>
      <c r="I134" s="9"/>
      <c r="J134" s="9"/>
      <c r="K134" s="19"/>
      <c r="L134" s="19"/>
      <c r="M134" s="19"/>
      <c r="N134" s="9"/>
      <c r="O134" s="9"/>
      <c r="P134" s="9"/>
      <c r="Q134" s="17"/>
      <c r="R134" s="18"/>
      <c r="S134" t="str">
        <f>IF($B134="","",IF($I134&lt;&gt;"",$I134,IFERROR(INDEX(Kat_Metode,MATCH($D134,Kat_Nama,0)),"")))</f>
        <v/>
      </c>
      <c r="T134" t="str">
        <f>IF($B134="","",IF($J134&lt;&gt;"",$J134,IFERROR(INDEX(Kat_Umur,MATCH($D134,Kat_Nama,0)),0)))</f>
        <v/>
      </c>
      <c r="U134" t="str">
        <f>IF($B134="","",IF($N134&lt;&gt;"",$N134,IFERROR(INDEX(Kat_Kelompok,MATCH($D134,Kat_Nama,0)),"")))</f>
        <v/>
      </c>
      <c r="V134" t="str">
        <f>IF($B134="","",IF($U134="Masa Manfaat Sebenarnya",N($O134),IFERROR(INDEX(Kel_Masa,MATCH($U134,Kel_Nama,0)),0)))</f>
        <v/>
      </c>
      <c r="W134" t="str">
        <f>IF($B134="","",IF($P134&lt;&gt;"",$P134,IF(OR($U134="Tidak Disusutkan",$V134=0),"Tidak Disusutkan","Garis Lurus")))</f>
        <v/>
      </c>
      <c r="X134" t="str">
        <f>IF($B134="","",IF($Y134&gt;TahunBuku*12+12,"Belum Diperoleh",IF($Z134&lt;=TahunBuku*12,"Dilepas (thn lalu)",IF($AC134=1,"Dilepas thn ini",IF($AB134=1,"Perolehan baru","Aktif")))))</f>
        <v/>
      </c>
      <c r="Y134" s="20" t="str">
        <f>IF($B134="","",YEAR($F134)*12+MONTH($F134))</f>
        <v/>
      </c>
      <c r="Z134" s="20" t="str">
        <f>IF($B134="","",IF($Q134="",99999,YEAR($Q134)*12+MONTH($Q134)))</f>
        <v/>
      </c>
      <c r="AA134" s="20" t="str">
        <f>IF($B134="","",--AND($Y134&lt;=TahunBuku*12,$Z134&gt;TahunBuku*12))</f>
        <v/>
      </c>
      <c r="AB134" s="20" t="str">
        <f>IF($B134="","",--AND($Y134&gt;TahunBuku*12,$Y134&lt;=TahunBuku*12+12))</f>
        <v/>
      </c>
      <c r="AC134" s="20" t="str">
        <f>IF($B134="","",--AND($Z134&gt;TahunBuku*12,$Z134&lt;=TahunBuku*12+12,$Y134&lt;=$Z134))</f>
        <v/>
      </c>
      <c r="AD134" s="21" t="str">
        <f>IF($B134="","",IFERROR(IF($S134="Garis Lurus",$G134-($G134-$H134)*MIN($T134*12,MAX(0,TahunBuku*12-$Y134+1))/($T134*12),IF($S134="Saldo Menurun",IF(TahunBuku-1&lt;YEAR($F134),$G134,IF(TahunBuku-1&gt;=INT(($Y134+$T134*12-2)/12),$H134,MAX($H134,$G134*(1-2/$T134*(13-MONTH($F134))/12)*(1-2/$T134)^(TahunBuku-1-YEAR($F134))))),IF($S134="Unit Produksi",$G134-($G134-$H134)*MIN(1,N($L134)/$K134),$G134))),$G134))</f>
        <v/>
      </c>
      <c r="AE134" s="21" t="str">
        <f>IF($B134="","",IFERROR(IF($S134="Garis Lurus",$G134-($G134-$H134)*MIN($T134*12,MAX(0,TahunBuku*12+12-$Y134+1))/($T134*12),IF($S134="Saldo Menurun",IF(TahunBuku&lt;YEAR($F134),$G134,IF(TahunBuku&gt;=INT(($Y134+$T134*12-2)/12),$H134,MAX($H134,$G134*(1-2/$T134*(13-MONTH($F134))/12)*(1-2/$T134)^(TahunBuku-YEAR($F134))))),IF($S134="Unit Produksi",$G134-($G134-$H134)*MIN(1,(N($L134)+N($M134))/$K134),$G134))),$G134))</f>
        <v/>
      </c>
      <c r="AF134" s="20" t="str">
        <f>IF($B134="","",IF(OR($S134="Garis Lurus",$S134="Saldo Menurun",$S134="Unit Produksi"),MAX(0,IF($S134="Unit Produksi",TahunBuku*12+12,MIN(TahunBuku*12+12,$Y134+$T134*12-1))-MAX(TahunBuku*12+1,$Y134)+1),0))</f>
        <v/>
      </c>
      <c r="AG134" s="20" t="str">
        <f>IF($B134="","",IF(OR($S134="Garis Lurus",$S134="Saldo Menurun",$S134="Unit Produksi"),MAX(0,MIN($Z134,IF($S134="Unit Produksi",TahunBuku*12+12,MIN(TahunBuku*12+12,$Y134+$T134*12-1)))-MAX(TahunBuku*12+1,$Y134)+1),0))</f>
        <v/>
      </c>
      <c r="AH134" s="21" t="str">
        <f>IF($B134="","",IFERROR(IF($W134="Garis Lurus",$G134*(1-MIN($V134*12,MAX(0,TahunBuku*12-$Y134+1))/($V134*12)),IF($W134="Saldo Menurun",IF(TahunBuku-1&lt;YEAR($F134),$G134,IF(TahunBuku-1&gt;=INT(($Y134+$V134*12-2)/12),0,$G134*(1-2/$V134*(13-MONTH($F134))/12)*(1-2/$V134)^(TahunBuku-1-YEAR($F134)))),$G134)),$G134))</f>
        <v/>
      </c>
      <c r="AI134" s="21" t="str">
        <f>IF($B134="","",IFERROR(IF($W134="Garis Lurus",$G134*(1-MIN($V134*12,MAX(0,TahunBuku*12+12-$Y134+1))/($V134*12)),IF($W134="Saldo Menurun",IF(TahunBuku&lt;YEAR($F134),$G134,IF(TahunBuku&gt;=INT(($Y134+$V134*12-2)/12),0,$G134*(1-2/$V134*(13-MONTH($F134))/12)*(1-2/$V134)^(TahunBuku-YEAR($F134)))),$G134)),$G134))</f>
        <v/>
      </c>
      <c r="AJ134" s="20" t="str">
        <f>IF($B134="","",IF(OR($W134="Garis Lurus",$W134="Saldo Menurun"),MAX(0,MIN(TahunBuku*12+12,$Y134+$V134*12-1)-MAX(TahunBuku*12+1,$Y134)+1),0))</f>
        <v/>
      </c>
      <c r="AK134" s="20" t="str">
        <f>IF($B134="","",IF(OR($W134="Garis Lurus",$W134="Saldo Menurun"),MAX(0,MIN($Z134,TahunBuku*12+12,$Y134+$V134*12-1)-MAX(TahunBuku*12+1,$Y134)+1),0))</f>
        <v/>
      </c>
      <c r="AL134" s="22" t="str">
        <f>IF($B134="","",$G134*$AA134)</f>
        <v/>
      </c>
      <c r="AM134" s="22" t="str">
        <f>IF($B134="","",$G134*$AB134)</f>
        <v/>
      </c>
      <c r="AN134" s="22" t="str">
        <f>IF($B134="","",$G134*$AC134)</f>
        <v/>
      </c>
      <c r="AO134" s="22" t="str">
        <f>IF($B134="","",AL134+AM134-AN134)</f>
        <v/>
      </c>
      <c r="AP134" s="22" t="str">
        <f>IF($B134="","",($G134-$AD134)*$AA134)</f>
        <v/>
      </c>
      <c r="AQ134" s="22" t="str">
        <f>IF($B134="","",IF($AF134=0,0,($AD134-$AE134)*$AG134/$AF134)*MAX($AA134,$AB134))</f>
        <v/>
      </c>
      <c r="AR134" s="22" t="str">
        <f>IF($B134="","",(AP134+AQ134)*$AC134)</f>
        <v/>
      </c>
      <c r="AS134" s="22" t="str">
        <f>IF($B134="","",AP134+AQ134-AR134)</f>
        <v/>
      </c>
      <c r="AT134" s="22" t="str">
        <f>IF($B134="","",AO134-AS134)</f>
        <v/>
      </c>
      <c r="AU134" s="22" t="str">
        <f>IF($B134="","",IF($AC134=1,N($R134)-($G134-AR134),0))</f>
        <v/>
      </c>
      <c r="AV134" s="22" t="str">
        <f>IF($B134="","",($G134-$AH134)*$AA134)</f>
        <v/>
      </c>
      <c r="AW134" s="22" t="str">
        <f>IF($B134="","",IF($AJ134=0,0,($AH134-$AI134)*$AK134/$AJ134)*MAX($AA134,$AB134))</f>
        <v/>
      </c>
      <c r="AX134" s="22" t="str">
        <f>IF($B134="","",(AV134+AW134)*$AC134)</f>
        <v/>
      </c>
      <c r="AY134" s="22" t="str">
        <f>IF($B134="","",AV134+AW134-AX134)</f>
        <v/>
      </c>
      <c r="AZ134" s="22" t="str">
        <f>IF($B134="","",AO134-AY134)</f>
        <v/>
      </c>
      <c r="BA134" s="22" t="str">
        <f>IF($B134="","",IF($AC134=1,N($R134)-($G134-AX134),0))</f>
        <v/>
      </c>
      <c r="BB134" s="22" t="str">
        <f>IF($B134="","",ROUND(AQ134-AW134,0))</f>
        <v/>
      </c>
      <c r="BC134" s="22" t="str">
        <f>IF($B134="","",ROUND(BA134-AU134,0))</f>
        <v/>
      </c>
      <c r="BD134" s="22" t="str">
        <f>IF($B134="","",BB134+BC134)</f>
        <v/>
      </c>
      <c r="BE134" s="22" t="str">
        <f>IF($B134="","",ROUND(AV134-AP134,0))</f>
        <v/>
      </c>
      <c r="BF134" s="22" t="str">
        <f>IF($B134="","",ROUND(AT134-AZ134,0))</f>
        <v/>
      </c>
      <c r="BG134" s="22" t="str">
        <f>IF($B134="","",ROUND(BF134*TarifPPh,0))</f>
        <v/>
      </c>
      <c r="BH134" t="str">
        <f>IF($B134="","",IF($D134="","Kategori kosong",IF($F134="","Tgl perolehan kosong",IF(N($H134)&gt;$G134,"Residu &gt; harga perolehan",IF(AND(LEFT($U134,8)="Bangunan",$W134="Saldo Menurun"),"Bangunan wajib Garis Lurus (Ps.11 UU PPh)",IF(AND($S134="Unit Produksi",N($K134)=0),"Isi kapasitas unit",IF(AND(OR($S134="Garis Lurus",$S134="Saldo Menurun"),N($T134)&lt;=0),"Umur komersial kosong",IF(AND(OR($W134="Garis Lurus",$W134="Saldo Menurun"),N($V134)&lt;=0),"Masa manfaat fiskal kosong",IF(AND($Q134&lt;&gt;"",$Q134&lt;$F134),"Tgl pelepasan &lt; perolehan","OK")))))))))</f>
        <v/>
      </c>
    </row>
    <row r="135" spans="1:60" x14ac:dyDescent="0.25">
      <c r="A135" t="str">
        <f>IF($B135="","",ROW()-6)</f>
        <v/>
      </c>
      <c r="B135" s="9"/>
      <c r="C135" s="9"/>
      <c r="D135" s="9"/>
      <c r="E135" s="9"/>
      <c r="F135" s="17"/>
      <c r="G135" s="18"/>
      <c r="H135" s="18"/>
      <c r="I135" s="9"/>
      <c r="J135" s="9"/>
      <c r="K135" s="19"/>
      <c r="L135" s="19"/>
      <c r="M135" s="19"/>
      <c r="N135" s="9"/>
      <c r="O135" s="9"/>
      <c r="P135" s="9"/>
      <c r="Q135" s="17"/>
      <c r="R135" s="18"/>
      <c r="S135" t="str">
        <f>IF($B135="","",IF($I135&lt;&gt;"",$I135,IFERROR(INDEX(Kat_Metode,MATCH($D135,Kat_Nama,0)),"")))</f>
        <v/>
      </c>
      <c r="T135" t="str">
        <f>IF($B135="","",IF($J135&lt;&gt;"",$J135,IFERROR(INDEX(Kat_Umur,MATCH($D135,Kat_Nama,0)),0)))</f>
        <v/>
      </c>
      <c r="U135" t="str">
        <f>IF($B135="","",IF($N135&lt;&gt;"",$N135,IFERROR(INDEX(Kat_Kelompok,MATCH($D135,Kat_Nama,0)),"")))</f>
        <v/>
      </c>
      <c r="V135" t="str">
        <f>IF($B135="","",IF($U135="Masa Manfaat Sebenarnya",N($O135),IFERROR(INDEX(Kel_Masa,MATCH($U135,Kel_Nama,0)),0)))</f>
        <v/>
      </c>
      <c r="W135" t="str">
        <f>IF($B135="","",IF($P135&lt;&gt;"",$P135,IF(OR($U135="Tidak Disusutkan",$V135=0),"Tidak Disusutkan","Garis Lurus")))</f>
        <v/>
      </c>
      <c r="X135" t="str">
        <f>IF($B135="","",IF($Y135&gt;TahunBuku*12+12,"Belum Diperoleh",IF($Z135&lt;=TahunBuku*12,"Dilepas (thn lalu)",IF($AC135=1,"Dilepas thn ini",IF($AB135=1,"Perolehan baru","Aktif")))))</f>
        <v/>
      </c>
      <c r="Y135" s="20" t="str">
        <f>IF($B135="","",YEAR($F135)*12+MONTH($F135))</f>
        <v/>
      </c>
      <c r="Z135" s="20" t="str">
        <f>IF($B135="","",IF($Q135="",99999,YEAR($Q135)*12+MONTH($Q135)))</f>
        <v/>
      </c>
      <c r="AA135" s="20" t="str">
        <f>IF($B135="","",--AND($Y135&lt;=TahunBuku*12,$Z135&gt;TahunBuku*12))</f>
        <v/>
      </c>
      <c r="AB135" s="20" t="str">
        <f>IF($B135="","",--AND($Y135&gt;TahunBuku*12,$Y135&lt;=TahunBuku*12+12))</f>
        <v/>
      </c>
      <c r="AC135" s="20" t="str">
        <f>IF($B135="","",--AND($Z135&gt;TahunBuku*12,$Z135&lt;=TahunBuku*12+12,$Y135&lt;=$Z135))</f>
        <v/>
      </c>
      <c r="AD135" s="21" t="str">
        <f>IF($B135="","",IFERROR(IF($S135="Garis Lurus",$G135-($G135-$H135)*MIN($T135*12,MAX(0,TahunBuku*12-$Y135+1))/($T135*12),IF($S135="Saldo Menurun",IF(TahunBuku-1&lt;YEAR($F135),$G135,IF(TahunBuku-1&gt;=INT(($Y135+$T135*12-2)/12),$H135,MAX($H135,$G135*(1-2/$T135*(13-MONTH($F135))/12)*(1-2/$T135)^(TahunBuku-1-YEAR($F135))))),IF($S135="Unit Produksi",$G135-($G135-$H135)*MIN(1,N($L135)/$K135),$G135))),$G135))</f>
        <v/>
      </c>
      <c r="AE135" s="21" t="str">
        <f>IF($B135="","",IFERROR(IF($S135="Garis Lurus",$G135-($G135-$H135)*MIN($T135*12,MAX(0,TahunBuku*12+12-$Y135+1))/($T135*12),IF($S135="Saldo Menurun",IF(TahunBuku&lt;YEAR($F135),$G135,IF(TahunBuku&gt;=INT(($Y135+$T135*12-2)/12),$H135,MAX($H135,$G135*(1-2/$T135*(13-MONTH($F135))/12)*(1-2/$T135)^(TahunBuku-YEAR($F135))))),IF($S135="Unit Produksi",$G135-($G135-$H135)*MIN(1,(N($L135)+N($M135))/$K135),$G135))),$G135))</f>
        <v/>
      </c>
      <c r="AF135" s="20" t="str">
        <f>IF($B135="","",IF(OR($S135="Garis Lurus",$S135="Saldo Menurun",$S135="Unit Produksi"),MAX(0,IF($S135="Unit Produksi",TahunBuku*12+12,MIN(TahunBuku*12+12,$Y135+$T135*12-1))-MAX(TahunBuku*12+1,$Y135)+1),0))</f>
        <v/>
      </c>
      <c r="AG135" s="20" t="str">
        <f>IF($B135="","",IF(OR($S135="Garis Lurus",$S135="Saldo Menurun",$S135="Unit Produksi"),MAX(0,MIN($Z135,IF($S135="Unit Produksi",TahunBuku*12+12,MIN(TahunBuku*12+12,$Y135+$T135*12-1)))-MAX(TahunBuku*12+1,$Y135)+1),0))</f>
        <v/>
      </c>
      <c r="AH135" s="21" t="str">
        <f>IF($B135="","",IFERROR(IF($W135="Garis Lurus",$G135*(1-MIN($V135*12,MAX(0,TahunBuku*12-$Y135+1))/($V135*12)),IF($W135="Saldo Menurun",IF(TahunBuku-1&lt;YEAR($F135),$G135,IF(TahunBuku-1&gt;=INT(($Y135+$V135*12-2)/12),0,$G135*(1-2/$V135*(13-MONTH($F135))/12)*(1-2/$V135)^(TahunBuku-1-YEAR($F135)))),$G135)),$G135))</f>
        <v/>
      </c>
      <c r="AI135" s="21" t="str">
        <f>IF($B135="","",IFERROR(IF($W135="Garis Lurus",$G135*(1-MIN($V135*12,MAX(0,TahunBuku*12+12-$Y135+1))/($V135*12)),IF($W135="Saldo Menurun",IF(TahunBuku&lt;YEAR($F135),$G135,IF(TahunBuku&gt;=INT(($Y135+$V135*12-2)/12),0,$G135*(1-2/$V135*(13-MONTH($F135))/12)*(1-2/$V135)^(TahunBuku-YEAR($F135)))),$G135)),$G135))</f>
        <v/>
      </c>
      <c r="AJ135" s="20" t="str">
        <f>IF($B135="","",IF(OR($W135="Garis Lurus",$W135="Saldo Menurun"),MAX(0,MIN(TahunBuku*12+12,$Y135+$V135*12-1)-MAX(TahunBuku*12+1,$Y135)+1),0))</f>
        <v/>
      </c>
      <c r="AK135" s="20" t="str">
        <f>IF($B135="","",IF(OR($W135="Garis Lurus",$W135="Saldo Menurun"),MAX(0,MIN($Z135,TahunBuku*12+12,$Y135+$V135*12-1)-MAX(TahunBuku*12+1,$Y135)+1),0))</f>
        <v/>
      </c>
      <c r="AL135" s="22" t="str">
        <f>IF($B135="","",$G135*$AA135)</f>
        <v/>
      </c>
      <c r="AM135" s="22" t="str">
        <f>IF($B135="","",$G135*$AB135)</f>
        <v/>
      </c>
      <c r="AN135" s="22" t="str">
        <f>IF($B135="","",$G135*$AC135)</f>
        <v/>
      </c>
      <c r="AO135" s="22" t="str">
        <f>IF($B135="","",AL135+AM135-AN135)</f>
        <v/>
      </c>
      <c r="AP135" s="22" t="str">
        <f>IF($B135="","",($G135-$AD135)*$AA135)</f>
        <v/>
      </c>
      <c r="AQ135" s="22" t="str">
        <f>IF($B135="","",IF($AF135=0,0,($AD135-$AE135)*$AG135/$AF135)*MAX($AA135,$AB135))</f>
        <v/>
      </c>
      <c r="AR135" s="22" t="str">
        <f>IF($B135="","",(AP135+AQ135)*$AC135)</f>
        <v/>
      </c>
      <c r="AS135" s="22" t="str">
        <f>IF($B135="","",AP135+AQ135-AR135)</f>
        <v/>
      </c>
      <c r="AT135" s="22" t="str">
        <f>IF($B135="","",AO135-AS135)</f>
        <v/>
      </c>
      <c r="AU135" s="22" t="str">
        <f>IF($B135="","",IF($AC135=1,N($R135)-($G135-AR135),0))</f>
        <v/>
      </c>
      <c r="AV135" s="22" t="str">
        <f>IF($B135="","",($G135-$AH135)*$AA135)</f>
        <v/>
      </c>
      <c r="AW135" s="22" t="str">
        <f>IF($B135="","",IF($AJ135=0,0,($AH135-$AI135)*$AK135/$AJ135)*MAX($AA135,$AB135))</f>
        <v/>
      </c>
      <c r="AX135" s="22" t="str">
        <f>IF($B135="","",(AV135+AW135)*$AC135)</f>
        <v/>
      </c>
      <c r="AY135" s="22" t="str">
        <f>IF($B135="","",AV135+AW135-AX135)</f>
        <v/>
      </c>
      <c r="AZ135" s="22" t="str">
        <f>IF($B135="","",AO135-AY135)</f>
        <v/>
      </c>
      <c r="BA135" s="22" t="str">
        <f>IF($B135="","",IF($AC135=1,N($R135)-($G135-AX135),0))</f>
        <v/>
      </c>
      <c r="BB135" s="22" t="str">
        <f>IF($B135="","",ROUND(AQ135-AW135,0))</f>
        <v/>
      </c>
      <c r="BC135" s="22" t="str">
        <f>IF($B135="","",ROUND(BA135-AU135,0))</f>
        <v/>
      </c>
      <c r="BD135" s="22" t="str">
        <f>IF($B135="","",BB135+BC135)</f>
        <v/>
      </c>
      <c r="BE135" s="22" t="str">
        <f>IF($B135="","",ROUND(AV135-AP135,0))</f>
        <v/>
      </c>
      <c r="BF135" s="22" t="str">
        <f>IF($B135="","",ROUND(AT135-AZ135,0))</f>
        <v/>
      </c>
      <c r="BG135" s="22" t="str">
        <f>IF($B135="","",ROUND(BF135*TarifPPh,0))</f>
        <v/>
      </c>
      <c r="BH135" t="str">
        <f>IF($B135="","",IF($D135="","Kategori kosong",IF($F135="","Tgl perolehan kosong",IF(N($H135)&gt;$G135,"Residu &gt; harga perolehan",IF(AND(LEFT($U135,8)="Bangunan",$W135="Saldo Menurun"),"Bangunan wajib Garis Lurus (Ps.11 UU PPh)",IF(AND($S135="Unit Produksi",N($K135)=0),"Isi kapasitas unit",IF(AND(OR($S135="Garis Lurus",$S135="Saldo Menurun"),N($T135)&lt;=0),"Umur komersial kosong",IF(AND(OR($W135="Garis Lurus",$W135="Saldo Menurun"),N($V135)&lt;=0),"Masa manfaat fiskal kosong",IF(AND($Q135&lt;&gt;"",$Q135&lt;$F135),"Tgl pelepasan &lt; perolehan","OK")))))))))</f>
        <v/>
      </c>
    </row>
    <row r="136" spans="1:60" x14ac:dyDescent="0.25">
      <c r="A136" t="str">
        <f>IF($B136="","",ROW()-6)</f>
        <v/>
      </c>
      <c r="B136" s="9"/>
      <c r="C136" s="9"/>
      <c r="D136" s="9"/>
      <c r="E136" s="9"/>
      <c r="F136" s="17"/>
      <c r="G136" s="18"/>
      <c r="H136" s="18"/>
      <c r="I136" s="9"/>
      <c r="J136" s="9"/>
      <c r="K136" s="19"/>
      <c r="L136" s="19"/>
      <c r="M136" s="19"/>
      <c r="N136" s="9"/>
      <c r="O136" s="9"/>
      <c r="P136" s="9"/>
      <c r="Q136" s="17"/>
      <c r="R136" s="18"/>
      <c r="S136" t="str">
        <f>IF($B136="","",IF($I136&lt;&gt;"",$I136,IFERROR(INDEX(Kat_Metode,MATCH($D136,Kat_Nama,0)),"")))</f>
        <v/>
      </c>
      <c r="T136" t="str">
        <f>IF($B136="","",IF($J136&lt;&gt;"",$J136,IFERROR(INDEX(Kat_Umur,MATCH($D136,Kat_Nama,0)),0)))</f>
        <v/>
      </c>
      <c r="U136" t="str">
        <f>IF($B136="","",IF($N136&lt;&gt;"",$N136,IFERROR(INDEX(Kat_Kelompok,MATCH($D136,Kat_Nama,0)),"")))</f>
        <v/>
      </c>
      <c r="V136" t="str">
        <f>IF($B136="","",IF($U136="Masa Manfaat Sebenarnya",N($O136),IFERROR(INDEX(Kel_Masa,MATCH($U136,Kel_Nama,0)),0)))</f>
        <v/>
      </c>
      <c r="W136" t="str">
        <f>IF($B136="","",IF($P136&lt;&gt;"",$P136,IF(OR($U136="Tidak Disusutkan",$V136=0),"Tidak Disusutkan","Garis Lurus")))</f>
        <v/>
      </c>
      <c r="X136" t="str">
        <f>IF($B136="","",IF($Y136&gt;TahunBuku*12+12,"Belum Diperoleh",IF($Z136&lt;=TahunBuku*12,"Dilepas (thn lalu)",IF($AC136=1,"Dilepas thn ini",IF($AB136=1,"Perolehan baru","Aktif")))))</f>
        <v/>
      </c>
      <c r="Y136" s="20" t="str">
        <f>IF($B136="","",YEAR($F136)*12+MONTH($F136))</f>
        <v/>
      </c>
      <c r="Z136" s="20" t="str">
        <f>IF($B136="","",IF($Q136="",99999,YEAR($Q136)*12+MONTH($Q136)))</f>
        <v/>
      </c>
      <c r="AA136" s="20" t="str">
        <f>IF($B136="","",--AND($Y136&lt;=TahunBuku*12,$Z136&gt;TahunBuku*12))</f>
        <v/>
      </c>
      <c r="AB136" s="20" t="str">
        <f>IF($B136="","",--AND($Y136&gt;TahunBuku*12,$Y136&lt;=TahunBuku*12+12))</f>
        <v/>
      </c>
      <c r="AC136" s="20" t="str">
        <f>IF($B136="","",--AND($Z136&gt;TahunBuku*12,$Z136&lt;=TahunBuku*12+12,$Y136&lt;=$Z136))</f>
        <v/>
      </c>
      <c r="AD136" s="21" t="str">
        <f>IF($B136="","",IFERROR(IF($S136="Garis Lurus",$G136-($G136-$H136)*MIN($T136*12,MAX(0,TahunBuku*12-$Y136+1))/($T136*12),IF($S136="Saldo Menurun",IF(TahunBuku-1&lt;YEAR($F136),$G136,IF(TahunBuku-1&gt;=INT(($Y136+$T136*12-2)/12),$H136,MAX($H136,$G136*(1-2/$T136*(13-MONTH($F136))/12)*(1-2/$T136)^(TahunBuku-1-YEAR($F136))))),IF($S136="Unit Produksi",$G136-($G136-$H136)*MIN(1,N($L136)/$K136),$G136))),$G136))</f>
        <v/>
      </c>
      <c r="AE136" s="21" t="str">
        <f>IF($B136="","",IFERROR(IF($S136="Garis Lurus",$G136-($G136-$H136)*MIN($T136*12,MAX(0,TahunBuku*12+12-$Y136+1))/($T136*12),IF($S136="Saldo Menurun",IF(TahunBuku&lt;YEAR($F136),$G136,IF(TahunBuku&gt;=INT(($Y136+$T136*12-2)/12),$H136,MAX($H136,$G136*(1-2/$T136*(13-MONTH($F136))/12)*(1-2/$T136)^(TahunBuku-YEAR($F136))))),IF($S136="Unit Produksi",$G136-($G136-$H136)*MIN(1,(N($L136)+N($M136))/$K136),$G136))),$G136))</f>
        <v/>
      </c>
      <c r="AF136" s="20" t="str">
        <f>IF($B136="","",IF(OR($S136="Garis Lurus",$S136="Saldo Menurun",$S136="Unit Produksi"),MAX(0,IF($S136="Unit Produksi",TahunBuku*12+12,MIN(TahunBuku*12+12,$Y136+$T136*12-1))-MAX(TahunBuku*12+1,$Y136)+1),0))</f>
        <v/>
      </c>
      <c r="AG136" s="20" t="str">
        <f>IF($B136="","",IF(OR($S136="Garis Lurus",$S136="Saldo Menurun",$S136="Unit Produksi"),MAX(0,MIN($Z136,IF($S136="Unit Produksi",TahunBuku*12+12,MIN(TahunBuku*12+12,$Y136+$T136*12-1)))-MAX(TahunBuku*12+1,$Y136)+1),0))</f>
        <v/>
      </c>
      <c r="AH136" s="21" t="str">
        <f>IF($B136="","",IFERROR(IF($W136="Garis Lurus",$G136*(1-MIN($V136*12,MAX(0,TahunBuku*12-$Y136+1))/($V136*12)),IF($W136="Saldo Menurun",IF(TahunBuku-1&lt;YEAR($F136),$G136,IF(TahunBuku-1&gt;=INT(($Y136+$V136*12-2)/12),0,$G136*(1-2/$V136*(13-MONTH($F136))/12)*(1-2/$V136)^(TahunBuku-1-YEAR($F136)))),$G136)),$G136))</f>
        <v/>
      </c>
      <c r="AI136" s="21" t="str">
        <f>IF($B136="","",IFERROR(IF($W136="Garis Lurus",$G136*(1-MIN($V136*12,MAX(0,TahunBuku*12+12-$Y136+1))/($V136*12)),IF($W136="Saldo Menurun",IF(TahunBuku&lt;YEAR($F136),$G136,IF(TahunBuku&gt;=INT(($Y136+$V136*12-2)/12),0,$G136*(1-2/$V136*(13-MONTH($F136))/12)*(1-2/$V136)^(TahunBuku-YEAR($F136)))),$G136)),$G136))</f>
        <v/>
      </c>
      <c r="AJ136" s="20" t="str">
        <f>IF($B136="","",IF(OR($W136="Garis Lurus",$W136="Saldo Menurun"),MAX(0,MIN(TahunBuku*12+12,$Y136+$V136*12-1)-MAX(TahunBuku*12+1,$Y136)+1),0))</f>
        <v/>
      </c>
      <c r="AK136" s="20" t="str">
        <f>IF($B136="","",IF(OR($W136="Garis Lurus",$W136="Saldo Menurun"),MAX(0,MIN($Z136,TahunBuku*12+12,$Y136+$V136*12-1)-MAX(TahunBuku*12+1,$Y136)+1),0))</f>
        <v/>
      </c>
      <c r="AL136" s="22" t="str">
        <f>IF($B136="","",$G136*$AA136)</f>
        <v/>
      </c>
      <c r="AM136" s="22" t="str">
        <f>IF($B136="","",$G136*$AB136)</f>
        <v/>
      </c>
      <c r="AN136" s="22" t="str">
        <f>IF($B136="","",$G136*$AC136)</f>
        <v/>
      </c>
      <c r="AO136" s="22" t="str">
        <f>IF($B136="","",AL136+AM136-AN136)</f>
        <v/>
      </c>
      <c r="AP136" s="22" t="str">
        <f>IF($B136="","",($G136-$AD136)*$AA136)</f>
        <v/>
      </c>
      <c r="AQ136" s="22" t="str">
        <f>IF($B136="","",IF($AF136=0,0,($AD136-$AE136)*$AG136/$AF136)*MAX($AA136,$AB136))</f>
        <v/>
      </c>
      <c r="AR136" s="22" t="str">
        <f>IF($B136="","",(AP136+AQ136)*$AC136)</f>
        <v/>
      </c>
      <c r="AS136" s="22" t="str">
        <f>IF($B136="","",AP136+AQ136-AR136)</f>
        <v/>
      </c>
      <c r="AT136" s="22" t="str">
        <f>IF($B136="","",AO136-AS136)</f>
        <v/>
      </c>
      <c r="AU136" s="22" t="str">
        <f>IF($B136="","",IF($AC136=1,N($R136)-($G136-AR136),0))</f>
        <v/>
      </c>
      <c r="AV136" s="22" t="str">
        <f>IF($B136="","",($G136-$AH136)*$AA136)</f>
        <v/>
      </c>
      <c r="AW136" s="22" t="str">
        <f>IF($B136="","",IF($AJ136=0,0,($AH136-$AI136)*$AK136/$AJ136)*MAX($AA136,$AB136))</f>
        <v/>
      </c>
      <c r="AX136" s="22" t="str">
        <f>IF($B136="","",(AV136+AW136)*$AC136)</f>
        <v/>
      </c>
      <c r="AY136" s="22" t="str">
        <f>IF($B136="","",AV136+AW136-AX136)</f>
        <v/>
      </c>
      <c r="AZ136" s="22" t="str">
        <f>IF($B136="","",AO136-AY136)</f>
        <v/>
      </c>
      <c r="BA136" s="22" t="str">
        <f>IF($B136="","",IF($AC136=1,N($R136)-($G136-AX136),0))</f>
        <v/>
      </c>
      <c r="BB136" s="22" t="str">
        <f>IF($B136="","",ROUND(AQ136-AW136,0))</f>
        <v/>
      </c>
      <c r="BC136" s="22" t="str">
        <f>IF($B136="","",ROUND(BA136-AU136,0))</f>
        <v/>
      </c>
      <c r="BD136" s="22" t="str">
        <f>IF($B136="","",BB136+BC136)</f>
        <v/>
      </c>
      <c r="BE136" s="22" t="str">
        <f>IF($B136="","",ROUND(AV136-AP136,0))</f>
        <v/>
      </c>
      <c r="BF136" s="22" t="str">
        <f>IF($B136="","",ROUND(AT136-AZ136,0))</f>
        <v/>
      </c>
      <c r="BG136" s="22" t="str">
        <f>IF($B136="","",ROUND(BF136*TarifPPh,0))</f>
        <v/>
      </c>
      <c r="BH136" t="str">
        <f>IF($B136="","",IF($D136="","Kategori kosong",IF($F136="","Tgl perolehan kosong",IF(N($H136)&gt;$G136,"Residu &gt; harga perolehan",IF(AND(LEFT($U136,8)="Bangunan",$W136="Saldo Menurun"),"Bangunan wajib Garis Lurus (Ps.11 UU PPh)",IF(AND($S136="Unit Produksi",N($K136)=0),"Isi kapasitas unit",IF(AND(OR($S136="Garis Lurus",$S136="Saldo Menurun"),N($T136)&lt;=0),"Umur komersial kosong",IF(AND(OR($W136="Garis Lurus",$W136="Saldo Menurun"),N($V136)&lt;=0),"Masa manfaat fiskal kosong",IF(AND($Q136&lt;&gt;"",$Q136&lt;$F136),"Tgl pelepasan &lt; perolehan","OK")))))))))</f>
        <v/>
      </c>
    </row>
    <row r="137" spans="1:60" x14ac:dyDescent="0.25">
      <c r="A137" t="str">
        <f>IF($B137="","",ROW()-6)</f>
        <v/>
      </c>
      <c r="B137" s="9"/>
      <c r="C137" s="9"/>
      <c r="D137" s="9"/>
      <c r="E137" s="9"/>
      <c r="F137" s="17"/>
      <c r="G137" s="18"/>
      <c r="H137" s="18"/>
      <c r="I137" s="9"/>
      <c r="J137" s="9"/>
      <c r="K137" s="19"/>
      <c r="L137" s="19"/>
      <c r="M137" s="19"/>
      <c r="N137" s="9"/>
      <c r="O137" s="9"/>
      <c r="P137" s="9"/>
      <c r="Q137" s="17"/>
      <c r="R137" s="18"/>
      <c r="S137" t="str">
        <f>IF($B137="","",IF($I137&lt;&gt;"",$I137,IFERROR(INDEX(Kat_Metode,MATCH($D137,Kat_Nama,0)),"")))</f>
        <v/>
      </c>
      <c r="T137" t="str">
        <f>IF($B137="","",IF($J137&lt;&gt;"",$J137,IFERROR(INDEX(Kat_Umur,MATCH($D137,Kat_Nama,0)),0)))</f>
        <v/>
      </c>
      <c r="U137" t="str">
        <f>IF($B137="","",IF($N137&lt;&gt;"",$N137,IFERROR(INDEX(Kat_Kelompok,MATCH($D137,Kat_Nama,0)),"")))</f>
        <v/>
      </c>
      <c r="V137" t="str">
        <f>IF($B137="","",IF($U137="Masa Manfaat Sebenarnya",N($O137),IFERROR(INDEX(Kel_Masa,MATCH($U137,Kel_Nama,0)),0)))</f>
        <v/>
      </c>
      <c r="W137" t="str">
        <f>IF($B137="","",IF($P137&lt;&gt;"",$P137,IF(OR($U137="Tidak Disusutkan",$V137=0),"Tidak Disusutkan","Garis Lurus")))</f>
        <v/>
      </c>
      <c r="X137" t="str">
        <f>IF($B137="","",IF($Y137&gt;TahunBuku*12+12,"Belum Diperoleh",IF($Z137&lt;=TahunBuku*12,"Dilepas (thn lalu)",IF($AC137=1,"Dilepas thn ini",IF($AB137=1,"Perolehan baru","Aktif")))))</f>
        <v/>
      </c>
      <c r="Y137" s="20" t="str">
        <f>IF($B137="","",YEAR($F137)*12+MONTH($F137))</f>
        <v/>
      </c>
      <c r="Z137" s="20" t="str">
        <f>IF($B137="","",IF($Q137="",99999,YEAR($Q137)*12+MONTH($Q137)))</f>
        <v/>
      </c>
      <c r="AA137" s="20" t="str">
        <f>IF($B137="","",--AND($Y137&lt;=TahunBuku*12,$Z137&gt;TahunBuku*12))</f>
        <v/>
      </c>
      <c r="AB137" s="20" t="str">
        <f>IF($B137="","",--AND($Y137&gt;TahunBuku*12,$Y137&lt;=TahunBuku*12+12))</f>
        <v/>
      </c>
      <c r="AC137" s="20" t="str">
        <f>IF($B137="","",--AND($Z137&gt;TahunBuku*12,$Z137&lt;=TahunBuku*12+12,$Y137&lt;=$Z137))</f>
        <v/>
      </c>
      <c r="AD137" s="21" t="str">
        <f>IF($B137="","",IFERROR(IF($S137="Garis Lurus",$G137-($G137-$H137)*MIN($T137*12,MAX(0,TahunBuku*12-$Y137+1))/($T137*12),IF($S137="Saldo Menurun",IF(TahunBuku-1&lt;YEAR($F137),$G137,IF(TahunBuku-1&gt;=INT(($Y137+$T137*12-2)/12),$H137,MAX($H137,$G137*(1-2/$T137*(13-MONTH($F137))/12)*(1-2/$T137)^(TahunBuku-1-YEAR($F137))))),IF($S137="Unit Produksi",$G137-($G137-$H137)*MIN(1,N($L137)/$K137),$G137))),$G137))</f>
        <v/>
      </c>
      <c r="AE137" s="21" t="str">
        <f>IF($B137="","",IFERROR(IF($S137="Garis Lurus",$G137-($G137-$H137)*MIN($T137*12,MAX(0,TahunBuku*12+12-$Y137+1))/($T137*12),IF($S137="Saldo Menurun",IF(TahunBuku&lt;YEAR($F137),$G137,IF(TahunBuku&gt;=INT(($Y137+$T137*12-2)/12),$H137,MAX($H137,$G137*(1-2/$T137*(13-MONTH($F137))/12)*(1-2/$T137)^(TahunBuku-YEAR($F137))))),IF($S137="Unit Produksi",$G137-($G137-$H137)*MIN(1,(N($L137)+N($M137))/$K137),$G137))),$G137))</f>
        <v/>
      </c>
      <c r="AF137" s="20" t="str">
        <f>IF($B137="","",IF(OR($S137="Garis Lurus",$S137="Saldo Menurun",$S137="Unit Produksi"),MAX(0,IF($S137="Unit Produksi",TahunBuku*12+12,MIN(TahunBuku*12+12,$Y137+$T137*12-1))-MAX(TahunBuku*12+1,$Y137)+1),0))</f>
        <v/>
      </c>
      <c r="AG137" s="20" t="str">
        <f>IF($B137="","",IF(OR($S137="Garis Lurus",$S137="Saldo Menurun",$S137="Unit Produksi"),MAX(0,MIN($Z137,IF($S137="Unit Produksi",TahunBuku*12+12,MIN(TahunBuku*12+12,$Y137+$T137*12-1)))-MAX(TahunBuku*12+1,$Y137)+1),0))</f>
        <v/>
      </c>
      <c r="AH137" s="21" t="str">
        <f>IF($B137="","",IFERROR(IF($W137="Garis Lurus",$G137*(1-MIN($V137*12,MAX(0,TahunBuku*12-$Y137+1))/($V137*12)),IF($W137="Saldo Menurun",IF(TahunBuku-1&lt;YEAR($F137),$G137,IF(TahunBuku-1&gt;=INT(($Y137+$V137*12-2)/12),0,$G137*(1-2/$V137*(13-MONTH($F137))/12)*(1-2/$V137)^(TahunBuku-1-YEAR($F137)))),$G137)),$G137))</f>
        <v/>
      </c>
      <c r="AI137" s="21" t="str">
        <f>IF($B137="","",IFERROR(IF($W137="Garis Lurus",$G137*(1-MIN($V137*12,MAX(0,TahunBuku*12+12-$Y137+1))/($V137*12)),IF($W137="Saldo Menurun",IF(TahunBuku&lt;YEAR($F137),$G137,IF(TahunBuku&gt;=INT(($Y137+$V137*12-2)/12),0,$G137*(1-2/$V137*(13-MONTH($F137))/12)*(1-2/$V137)^(TahunBuku-YEAR($F137)))),$G137)),$G137))</f>
        <v/>
      </c>
      <c r="AJ137" s="20" t="str">
        <f>IF($B137="","",IF(OR($W137="Garis Lurus",$W137="Saldo Menurun"),MAX(0,MIN(TahunBuku*12+12,$Y137+$V137*12-1)-MAX(TahunBuku*12+1,$Y137)+1),0))</f>
        <v/>
      </c>
      <c r="AK137" s="20" t="str">
        <f>IF($B137="","",IF(OR($W137="Garis Lurus",$W137="Saldo Menurun"),MAX(0,MIN($Z137,TahunBuku*12+12,$Y137+$V137*12-1)-MAX(TahunBuku*12+1,$Y137)+1),0))</f>
        <v/>
      </c>
      <c r="AL137" s="22" t="str">
        <f>IF($B137="","",$G137*$AA137)</f>
        <v/>
      </c>
      <c r="AM137" s="22" t="str">
        <f>IF($B137="","",$G137*$AB137)</f>
        <v/>
      </c>
      <c r="AN137" s="22" t="str">
        <f>IF($B137="","",$G137*$AC137)</f>
        <v/>
      </c>
      <c r="AO137" s="22" t="str">
        <f>IF($B137="","",AL137+AM137-AN137)</f>
        <v/>
      </c>
      <c r="AP137" s="22" t="str">
        <f>IF($B137="","",($G137-$AD137)*$AA137)</f>
        <v/>
      </c>
      <c r="AQ137" s="22" t="str">
        <f>IF($B137="","",IF($AF137=0,0,($AD137-$AE137)*$AG137/$AF137)*MAX($AA137,$AB137))</f>
        <v/>
      </c>
      <c r="AR137" s="22" t="str">
        <f>IF($B137="","",(AP137+AQ137)*$AC137)</f>
        <v/>
      </c>
      <c r="AS137" s="22" t="str">
        <f>IF($B137="","",AP137+AQ137-AR137)</f>
        <v/>
      </c>
      <c r="AT137" s="22" t="str">
        <f>IF($B137="","",AO137-AS137)</f>
        <v/>
      </c>
      <c r="AU137" s="22" t="str">
        <f>IF($B137="","",IF($AC137=1,N($R137)-($G137-AR137),0))</f>
        <v/>
      </c>
      <c r="AV137" s="22" t="str">
        <f>IF($B137="","",($G137-$AH137)*$AA137)</f>
        <v/>
      </c>
      <c r="AW137" s="22" t="str">
        <f>IF($B137="","",IF($AJ137=0,0,($AH137-$AI137)*$AK137/$AJ137)*MAX($AA137,$AB137))</f>
        <v/>
      </c>
      <c r="AX137" s="22" t="str">
        <f>IF($B137="","",(AV137+AW137)*$AC137)</f>
        <v/>
      </c>
      <c r="AY137" s="22" t="str">
        <f>IF($B137="","",AV137+AW137-AX137)</f>
        <v/>
      </c>
      <c r="AZ137" s="22" t="str">
        <f>IF($B137="","",AO137-AY137)</f>
        <v/>
      </c>
      <c r="BA137" s="22" t="str">
        <f>IF($B137="","",IF($AC137=1,N($R137)-($G137-AX137),0))</f>
        <v/>
      </c>
      <c r="BB137" s="22" t="str">
        <f>IF($B137="","",ROUND(AQ137-AW137,0))</f>
        <v/>
      </c>
      <c r="BC137" s="22" t="str">
        <f>IF($B137="","",ROUND(BA137-AU137,0))</f>
        <v/>
      </c>
      <c r="BD137" s="22" t="str">
        <f>IF($B137="","",BB137+BC137)</f>
        <v/>
      </c>
      <c r="BE137" s="22" t="str">
        <f>IF($B137="","",ROUND(AV137-AP137,0))</f>
        <v/>
      </c>
      <c r="BF137" s="22" t="str">
        <f>IF($B137="","",ROUND(AT137-AZ137,0))</f>
        <v/>
      </c>
      <c r="BG137" s="22" t="str">
        <f>IF($B137="","",ROUND(BF137*TarifPPh,0))</f>
        <v/>
      </c>
      <c r="BH137" t="str">
        <f>IF($B137="","",IF($D137="","Kategori kosong",IF($F137="","Tgl perolehan kosong",IF(N($H137)&gt;$G137,"Residu &gt; harga perolehan",IF(AND(LEFT($U137,8)="Bangunan",$W137="Saldo Menurun"),"Bangunan wajib Garis Lurus (Ps.11 UU PPh)",IF(AND($S137="Unit Produksi",N($K137)=0),"Isi kapasitas unit",IF(AND(OR($S137="Garis Lurus",$S137="Saldo Menurun"),N($T137)&lt;=0),"Umur komersial kosong",IF(AND(OR($W137="Garis Lurus",$W137="Saldo Menurun"),N($V137)&lt;=0),"Masa manfaat fiskal kosong",IF(AND($Q137&lt;&gt;"",$Q137&lt;$F137),"Tgl pelepasan &lt; perolehan","OK")))))))))</f>
        <v/>
      </c>
    </row>
    <row r="138" spans="1:60" x14ac:dyDescent="0.25">
      <c r="A138" t="str">
        <f>IF($B138="","",ROW()-6)</f>
        <v/>
      </c>
      <c r="B138" s="9"/>
      <c r="C138" s="9"/>
      <c r="D138" s="9"/>
      <c r="E138" s="9"/>
      <c r="F138" s="17"/>
      <c r="G138" s="18"/>
      <c r="H138" s="18"/>
      <c r="I138" s="9"/>
      <c r="J138" s="9"/>
      <c r="K138" s="19"/>
      <c r="L138" s="19"/>
      <c r="M138" s="19"/>
      <c r="N138" s="9"/>
      <c r="O138" s="9"/>
      <c r="P138" s="9"/>
      <c r="Q138" s="17"/>
      <c r="R138" s="18"/>
      <c r="S138" t="str">
        <f>IF($B138="","",IF($I138&lt;&gt;"",$I138,IFERROR(INDEX(Kat_Metode,MATCH($D138,Kat_Nama,0)),"")))</f>
        <v/>
      </c>
      <c r="T138" t="str">
        <f>IF($B138="","",IF($J138&lt;&gt;"",$J138,IFERROR(INDEX(Kat_Umur,MATCH($D138,Kat_Nama,0)),0)))</f>
        <v/>
      </c>
      <c r="U138" t="str">
        <f>IF($B138="","",IF($N138&lt;&gt;"",$N138,IFERROR(INDEX(Kat_Kelompok,MATCH($D138,Kat_Nama,0)),"")))</f>
        <v/>
      </c>
      <c r="V138" t="str">
        <f>IF($B138="","",IF($U138="Masa Manfaat Sebenarnya",N($O138),IFERROR(INDEX(Kel_Masa,MATCH($U138,Kel_Nama,0)),0)))</f>
        <v/>
      </c>
      <c r="W138" t="str">
        <f>IF($B138="","",IF($P138&lt;&gt;"",$P138,IF(OR($U138="Tidak Disusutkan",$V138=0),"Tidak Disusutkan","Garis Lurus")))</f>
        <v/>
      </c>
      <c r="X138" t="str">
        <f>IF($B138="","",IF($Y138&gt;TahunBuku*12+12,"Belum Diperoleh",IF($Z138&lt;=TahunBuku*12,"Dilepas (thn lalu)",IF($AC138=1,"Dilepas thn ini",IF($AB138=1,"Perolehan baru","Aktif")))))</f>
        <v/>
      </c>
      <c r="Y138" s="20" t="str">
        <f>IF($B138="","",YEAR($F138)*12+MONTH($F138))</f>
        <v/>
      </c>
      <c r="Z138" s="20" t="str">
        <f>IF($B138="","",IF($Q138="",99999,YEAR($Q138)*12+MONTH($Q138)))</f>
        <v/>
      </c>
      <c r="AA138" s="20" t="str">
        <f>IF($B138="","",--AND($Y138&lt;=TahunBuku*12,$Z138&gt;TahunBuku*12))</f>
        <v/>
      </c>
      <c r="AB138" s="20" t="str">
        <f>IF($B138="","",--AND($Y138&gt;TahunBuku*12,$Y138&lt;=TahunBuku*12+12))</f>
        <v/>
      </c>
      <c r="AC138" s="20" t="str">
        <f>IF($B138="","",--AND($Z138&gt;TahunBuku*12,$Z138&lt;=TahunBuku*12+12,$Y138&lt;=$Z138))</f>
        <v/>
      </c>
      <c r="AD138" s="21" t="str">
        <f>IF($B138="","",IFERROR(IF($S138="Garis Lurus",$G138-($G138-$H138)*MIN($T138*12,MAX(0,TahunBuku*12-$Y138+1))/($T138*12),IF($S138="Saldo Menurun",IF(TahunBuku-1&lt;YEAR($F138),$G138,IF(TahunBuku-1&gt;=INT(($Y138+$T138*12-2)/12),$H138,MAX($H138,$G138*(1-2/$T138*(13-MONTH($F138))/12)*(1-2/$T138)^(TahunBuku-1-YEAR($F138))))),IF($S138="Unit Produksi",$G138-($G138-$H138)*MIN(1,N($L138)/$K138),$G138))),$G138))</f>
        <v/>
      </c>
      <c r="AE138" s="21" t="str">
        <f>IF($B138="","",IFERROR(IF($S138="Garis Lurus",$G138-($G138-$H138)*MIN($T138*12,MAX(0,TahunBuku*12+12-$Y138+1))/($T138*12),IF($S138="Saldo Menurun",IF(TahunBuku&lt;YEAR($F138),$G138,IF(TahunBuku&gt;=INT(($Y138+$T138*12-2)/12),$H138,MAX($H138,$G138*(1-2/$T138*(13-MONTH($F138))/12)*(1-2/$T138)^(TahunBuku-YEAR($F138))))),IF($S138="Unit Produksi",$G138-($G138-$H138)*MIN(1,(N($L138)+N($M138))/$K138),$G138))),$G138))</f>
        <v/>
      </c>
      <c r="AF138" s="20" t="str">
        <f>IF($B138="","",IF(OR($S138="Garis Lurus",$S138="Saldo Menurun",$S138="Unit Produksi"),MAX(0,IF($S138="Unit Produksi",TahunBuku*12+12,MIN(TahunBuku*12+12,$Y138+$T138*12-1))-MAX(TahunBuku*12+1,$Y138)+1),0))</f>
        <v/>
      </c>
      <c r="AG138" s="20" t="str">
        <f>IF($B138="","",IF(OR($S138="Garis Lurus",$S138="Saldo Menurun",$S138="Unit Produksi"),MAX(0,MIN($Z138,IF($S138="Unit Produksi",TahunBuku*12+12,MIN(TahunBuku*12+12,$Y138+$T138*12-1)))-MAX(TahunBuku*12+1,$Y138)+1),0))</f>
        <v/>
      </c>
      <c r="AH138" s="21" t="str">
        <f>IF($B138="","",IFERROR(IF($W138="Garis Lurus",$G138*(1-MIN($V138*12,MAX(0,TahunBuku*12-$Y138+1))/($V138*12)),IF($W138="Saldo Menurun",IF(TahunBuku-1&lt;YEAR($F138),$G138,IF(TahunBuku-1&gt;=INT(($Y138+$V138*12-2)/12),0,$G138*(1-2/$V138*(13-MONTH($F138))/12)*(1-2/$V138)^(TahunBuku-1-YEAR($F138)))),$G138)),$G138))</f>
        <v/>
      </c>
      <c r="AI138" s="21" t="str">
        <f>IF($B138="","",IFERROR(IF($W138="Garis Lurus",$G138*(1-MIN($V138*12,MAX(0,TahunBuku*12+12-$Y138+1))/($V138*12)),IF($W138="Saldo Menurun",IF(TahunBuku&lt;YEAR($F138),$G138,IF(TahunBuku&gt;=INT(($Y138+$V138*12-2)/12),0,$G138*(1-2/$V138*(13-MONTH($F138))/12)*(1-2/$V138)^(TahunBuku-YEAR($F138)))),$G138)),$G138))</f>
        <v/>
      </c>
      <c r="AJ138" s="20" t="str">
        <f>IF($B138="","",IF(OR($W138="Garis Lurus",$W138="Saldo Menurun"),MAX(0,MIN(TahunBuku*12+12,$Y138+$V138*12-1)-MAX(TahunBuku*12+1,$Y138)+1),0))</f>
        <v/>
      </c>
      <c r="AK138" s="20" t="str">
        <f>IF($B138="","",IF(OR($W138="Garis Lurus",$W138="Saldo Menurun"),MAX(0,MIN($Z138,TahunBuku*12+12,$Y138+$V138*12-1)-MAX(TahunBuku*12+1,$Y138)+1),0))</f>
        <v/>
      </c>
      <c r="AL138" s="22" t="str">
        <f>IF($B138="","",$G138*$AA138)</f>
        <v/>
      </c>
      <c r="AM138" s="22" t="str">
        <f>IF($B138="","",$G138*$AB138)</f>
        <v/>
      </c>
      <c r="AN138" s="22" t="str">
        <f>IF($B138="","",$G138*$AC138)</f>
        <v/>
      </c>
      <c r="AO138" s="22" t="str">
        <f>IF($B138="","",AL138+AM138-AN138)</f>
        <v/>
      </c>
      <c r="AP138" s="22" t="str">
        <f>IF($B138="","",($G138-$AD138)*$AA138)</f>
        <v/>
      </c>
      <c r="AQ138" s="22" t="str">
        <f>IF($B138="","",IF($AF138=0,0,($AD138-$AE138)*$AG138/$AF138)*MAX($AA138,$AB138))</f>
        <v/>
      </c>
      <c r="AR138" s="22" t="str">
        <f>IF($B138="","",(AP138+AQ138)*$AC138)</f>
        <v/>
      </c>
      <c r="AS138" s="22" t="str">
        <f>IF($B138="","",AP138+AQ138-AR138)</f>
        <v/>
      </c>
      <c r="AT138" s="22" t="str">
        <f>IF($B138="","",AO138-AS138)</f>
        <v/>
      </c>
      <c r="AU138" s="22" t="str">
        <f>IF($B138="","",IF($AC138=1,N($R138)-($G138-AR138),0))</f>
        <v/>
      </c>
      <c r="AV138" s="22" t="str">
        <f>IF($B138="","",($G138-$AH138)*$AA138)</f>
        <v/>
      </c>
      <c r="AW138" s="22" t="str">
        <f>IF($B138="","",IF($AJ138=0,0,($AH138-$AI138)*$AK138/$AJ138)*MAX($AA138,$AB138))</f>
        <v/>
      </c>
      <c r="AX138" s="22" t="str">
        <f>IF($B138="","",(AV138+AW138)*$AC138)</f>
        <v/>
      </c>
      <c r="AY138" s="22" t="str">
        <f>IF($B138="","",AV138+AW138-AX138)</f>
        <v/>
      </c>
      <c r="AZ138" s="22" t="str">
        <f>IF($B138="","",AO138-AY138)</f>
        <v/>
      </c>
      <c r="BA138" s="22" t="str">
        <f>IF($B138="","",IF($AC138=1,N($R138)-($G138-AX138),0))</f>
        <v/>
      </c>
      <c r="BB138" s="22" t="str">
        <f>IF($B138="","",ROUND(AQ138-AW138,0))</f>
        <v/>
      </c>
      <c r="BC138" s="22" t="str">
        <f>IF($B138="","",ROUND(BA138-AU138,0))</f>
        <v/>
      </c>
      <c r="BD138" s="22" t="str">
        <f>IF($B138="","",BB138+BC138)</f>
        <v/>
      </c>
      <c r="BE138" s="22" t="str">
        <f>IF($B138="","",ROUND(AV138-AP138,0))</f>
        <v/>
      </c>
      <c r="BF138" s="22" t="str">
        <f>IF($B138="","",ROUND(AT138-AZ138,0))</f>
        <v/>
      </c>
      <c r="BG138" s="22" t="str">
        <f>IF($B138="","",ROUND(BF138*TarifPPh,0))</f>
        <v/>
      </c>
      <c r="BH138" t="str">
        <f>IF($B138="","",IF($D138="","Kategori kosong",IF($F138="","Tgl perolehan kosong",IF(N($H138)&gt;$G138,"Residu &gt; harga perolehan",IF(AND(LEFT($U138,8)="Bangunan",$W138="Saldo Menurun"),"Bangunan wajib Garis Lurus (Ps.11 UU PPh)",IF(AND($S138="Unit Produksi",N($K138)=0),"Isi kapasitas unit",IF(AND(OR($S138="Garis Lurus",$S138="Saldo Menurun"),N($T138)&lt;=0),"Umur komersial kosong",IF(AND(OR($W138="Garis Lurus",$W138="Saldo Menurun"),N($V138)&lt;=0),"Masa manfaat fiskal kosong",IF(AND($Q138&lt;&gt;"",$Q138&lt;$F138),"Tgl pelepasan &lt; perolehan","OK")))))))))</f>
        <v/>
      </c>
    </row>
    <row r="139" spans="1:60" x14ac:dyDescent="0.25">
      <c r="A139" t="str">
        <f>IF($B139="","",ROW()-6)</f>
        <v/>
      </c>
      <c r="B139" s="9"/>
      <c r="C139" s="9"/>
      <c r="D139" s="9"/>
      <c r="E139" s="9"/>
      <c r="F139" s="17"/>
      <c r="G139" s="18"/>
      <c r="H139" s="18"/>
      <c r="I139" s="9"/>
      <c r="J139" s="9"/>
      <c r="K139" s="19"/>
      <c r="L139" s="19"/>
      <c r="M139" s="19"/>
      <c r="N139" s="9"/>
      <c r="O139" s="9"/>
      <c r="P139" s="9"/>
      <c r="Q139" s="17"/>
      <c r="R139" s="18"/>
      <c r="S139" t="str">
        <f>IF($B139="","",IF($I139&lt;&gt;"",$I139,IFERROR(INDEX(Kat_Metode,MATCH($D139,Kat_Nama,0)),"")))</f>
        <v/>
      </c>
      <c r="T139" t="str">
        <f>IF($B139="","",IF($J139&lt;&gt;"",$J139,IFERROR(INDEX(Kat_Umur,MATCH($D139,Kat_Nama,0)),0)))</f>
        <v/>
      </c>
      <c r="U139" t="str">
        <f>IF($B139="","",IF($N139&lt;&gt;"",$N139,IFERROR(INDEX(Kat_Kelompok,MATCH($D139,Kat_Nama,0)),"")))</f>
        <v/>
      </c>
      <c r="V139" t="str">
        <f>IF($B139="","",IF($U139="Masa Manfaat Sebenarnya",N($O139),IFERROR(INDEX(Kel_Masa,MATCH($U139,Kel_Nama,0)),0)))</f>
        <v/>
      </c>
      <c r="W139" t="str">
        <f>IF($B139="","",IF($P139&lt;&gt;"",$P139,IF(OR($U139="Tidak Disusutkan",$V139=0),"Tidak Disusutkan","Garis Lurus")))</f>
        <v/>
      </c>
      <c r="X139" t="str">
        <f>IF($B139="","",IF($Y139&gt;TahunBuku*12+12,"Belum Diperoleh",IF($Z139&lt;=TahunBuku*12,"Dilepas (thn lalu)",IF($AC139=1,"Dilepas thn ini",IF($AB139=1,"Perolehan baru","Aktif")))))</f>
        <v/>
      </c>
      <c r="Y139" s="20" t="str">
        <f>IF($B139="","",YEAR($F139)*12+MONTH($F139))</f>
        <v/>
      </c>
      <c r="Z139" s="20" t="str">
        <f>IF($B139="","",IF($Q139="",99999,YEAR($Q139)*12+MONTH($Q139)))</f>
        <v/>
      </c>
      <c r="AA139" s="20" t="str">
        <f>IF($B139="","",--AND($Y139&lt;=TahunBuku*12,$Z139&gt;TahunBuku*12))</f>
        <v/>
      </c>
      <c r="AB139" s="20" t="str">
        <f>IF($B139="","",--AND($Y139&gt;TahunBuku*12,$Y139&lt;=TahunBuku*12+12))</f>
        <v/>
      </c>
      <c r="AC139" s="20" t="str">
        <f>IF($B139="","",--AND($Z139&gt;TahunBuku*12,$Z139&lt;=TahunBuku*12+12,$Y139&lt;=$Z139))</f>
        <v/>
      </c>
      <c r="AD139" s="21" t="str">
        <f>IF($B139="","",IFERROR(IF($S139="Garis Lurus",$G139-($G139-$H139)*MIN($T139*12,MAX(0,TahunBuku*12-$Y139+1))/($T139*12),IF($S139="Saldo Menurun",IF(TahunBuku-1&lt;YEAR($F139),$G139,IF(TahunBuku-1&gt;=INT(($Y139+$T139*12-2)/12),$H139,MAX($H139,$G139*(1-2/$T139*(13-MONTH($F139))/12)*(1-2/$T139)^(TahunBuku-1-YEAR($F139))))),IF($S139="Unit Produksi",$G139-($G139-$H139)*MIN(1,N($L139)/$K139),$G139))),$G139))</f>
        <v/>
      </c>
      <c r="AE139" s="21" t="str">
        <f>IF($B139="","",IFERROR(IF($S139="Garis Lurus",$G139-($G139-$H139)*MIN($T139*12,MAX(0,TahunBuku*12+12-$Y139+1))/($T139*12),IF($S139="Saldo Menurun",IF(TahunBuku&lt;YEAR($F139),$G139,IF(TahunBuku&gt;=INT(($Y139+$T139*12-2)/12),$H139,MAX($H139,$G139*(1-2/$T139*(13-MONTH($F139))/12)*(1-2/$T139)^(TahunBuku-YEAR($F139))))),IF($S139="Unit Produksi",$G139-($G139-$H139)*MIN(1,(N($L139)+N($M139))/$K139),$G139))),$G139))</f>
        <v/>
      </c>
      <c r="AF139" s="20" t="str">
        <f>IF($B139="","",IF(OR($S139="Garis Lurus",$S139="Saldo Menurun",$S139="Unit Produksi"),MAX(0,IF($S139="Unit Produksi",TahunBuku*12+12,MIN(TahunBuku*12+12,$Y139+$T139*12-1))-MAX(TahunBuku*12+1,$Y139)+1),0))</f>
        <v/>
      </c>
      <c r="AG139" s="20" t="str">
        <f>IF($B139="","",IF(OR($S139="Garis Lurus",$S139="Saldo Menurun",$S139="Unit Produksi"),MAX(0,MIN($Z139,IF($S139="Unit Produksi",TahunBuku*12+12,MIN(TahunBuku*12+12,$Y139+$T139*12-1)))-MAX(TahunBuku*12+1,$Y139)+1),0))</f>
        <v/>
      </c>
      <c r="AH139" s="21" t="str">
        <f>IF($B139="","",IFERROR(IF($W139="Garis Lurus",$G139*(1-MIN($V139*12,MAX(0,TahunBuku*12-$Y139+1))/($V139*12)),IF($W139="Saldo Menurun",IF(TahunBuku-1&lt;YEAR($F139),$G139,IF(TahunBuku-1&gt;=INT(($Y139+$V139*12-2)/12),0,$G139*(1-2/$V139*(13-MONTH($F139))/12)*(1-2/$V139)^(TahunBuku-1-YEAR($F139)))),$G139)),$G139))</f>
        <v/>
      </c>
      <c r="AI139" s="21" t="str">
        <f>IF($B139="","",IFERROR(IF($W139="Garis Lurus",$G139*(1-MIN($V139*12,MAX(0,TahunBuku*12+12-$Y139+1))/($V139*12)),IF($W139="Saldo Menurun",IF(TahunBuku&lt;YEAR($F139),$G139,IF(TahunBuku&gt;=INT(($Y139+$V139*12-2)/12),0,$G139*(1-2/$V139*(13-MONTH($F139))/12)*(1-2/$V139)^(TahunBuku-YEAR($F139)))),$G139)),$G139))</f>
        <v/>
      </c>
      <c r="AJ139" s="20" t="str">
        <f>IF($B139="","",IF(OR($W139="Garis Lurus",$W139="Saldo Menurun"),MAX(0,MIN(TahunBuku*12+12,$Y139+$V139*12-1)-MAX(TahunBuku*12+1,$Y139)+1),0))</f>
        <v/>
      </c>
      <c r="AK139" s="20" t="str">
        <f>IF($B139="","",IF(OR($W139="Garis Lurus",$W139="Saldo Menurun"),MAX(0,MIN($Z139,TahunBuku*12+12,$Y139+$V139*12-1)-MAX(TahunBuku*12+1,$Y139)+1),0))</f>
        <v/>
      </c>
      <c r="AL139" s="22" t="str">
        <f>IF($B139="","",$G139*$AA139)</f>
        <v/>
      </c>
      <c r="AM139" s="22" t="str">
        <f>IF($B139="","",$G139*$AB139)</f>
        <v/>
      </c>
      <c r="AN139" s="22" t="str">
        <f>IF($B139="","",$G139*$AC139)</f>
        <v/>
      </c>
      <c r="AO139" s="22" t="str">
        <f>IF($B139="","",AL139+AM139-AN139)</f>
        <v/>
      </c>
      <c r="AP139" s="22" t="str">
        <f>IF($B139="","",($G139-$AD139)*$AA139)</f>
        <v/>
      </c>
      <c r="AQ139" s="22" t="str">
        <f>IF($B139="","",IF($AF139=0,0,($AD139-$AE139)*$AG139/$AF139)*MAX($AA139,$AB139))</f>
        <v/>
      </c>
      <c r="AR139" s="22" t="str">
        <f>IF($B139="","",(AP139+AQ139)*$AC139)</f>
        <v/>
      </c>
      <c r="AS139" s="22" t="str">
        <f>IF($B139="","",AP139+AQ139-AR139)</f>
        <v/>
      </c>
      <c r="AT139" s="22" t="str">
        <f>IF($B139="","",AO139-AS139)</f>
        <v/>
      </c>
      <c r="AU139" s="22" t="str">
        <f>IF($B139="","",IF($AC139=1,N($R139)-($G139-AR139),0))</f>
        <v/>
      </c>
      <c r="AV139" s="22" t="str">
        <f>IF($B139="","",($G139-$AH139)*$AA139)</f>
        <v/>
      </c>
      <c r="AW139" s="22" t="str">
        <f>IF($B139="","",IF($AJ139=0,0,($AH139-$AI139)*$AK139/$AJ139)*MAX($AA139,$AB139))</f>
        <v/>
      </c>
      <c r="AX139" s="22" t="str">
        <f>IF($B139="","",(AV139+AW139)*$AC139)</f>
        <v/>
      </c>
      <c r="AY139" s="22" t="str">
        <f>IF($B139="","",AV139+AW139-AX139)</f>
        <v/>
      </c>
      <c r="AZ139" s="22" t="str">
        <f>IF($B139="","",AO139-AY139)</f>
        <v/>
      </c>
      <c r="BA139" s="22" t="str">
        <f>IF($B139="","",IF($AC139=1,N($R139)-($G139-AX139),0))</f>
        <v/>
      </c>
      <c r="BB139" s="22" t="str">
        <f>IF($B139="","",ROUND(AQ139-AW139,0))</f>
        <v/>
      </c>
      <c r="BC139" s="22" t="str">
        <f>IF($B139="","",ROUND(BA139-AU139,0))</f>
        <v/>
      </c>
      <c r="BD139" s="22" t="str">
        <f>IF($B139="","",BB139+BC139)</f>
        <v/>
      </c>
      <c r="BE139" s="22" t="str">
        <f>IF($B139="","",ROUND(AV139-AP139,0))</f>
        <v/>
      </c>
      <c r="BF139" s="22" t="str">
        <f>IF($B139="","",ROUND(AT139-AZ139,0))</f>
        <v/>
      </c>
      <c r="BG139" s="22" t="str">
        <f>IF($B139="","",ROUND(BF139*TarifPPh,0))</f>
        <v/>
      </c>
      <c r="BH139" t="str">
        <f>IF($B139="","",IF($D139="","Kategori kosong",IF($F139="","Tgl perolehan kosong",IF(N($H139)&gt;$G139,"Residu &gt; harga perolehan",IF(AND(LEFT($U139,8)="Bangunan",$W139="Saldo Menurun"),"Bangunan wajib Garis Lurus (Ps.11 UU PPh)",IF(AND($S139="Unit Produksi",N($K139)=0),"Isi kapasitas unit",IF(AND(OR($S139="Garis Lurus",$S139="Saldo Menurun"),N($T139)&lt;=0),"Umur komersial kosong",IF(AND(OR($W139="Garis Lurus",$W139="Saldo Menurun"),N($V139)&lt;=0),"Masa manfaat fiskal kosong",IF(AND($Q139&lt;&gt;"",$Q139&lt;$F139),"Tgl pelepasan &lt; perolehan","OK")))))))))</f>
        <v/>
      </c>
    </row>
    <row r="140" spans="1:60" x14ac:dyDescent="0.25">
      <c r="A140" t="str">
        <f>IF($B140="","",ROW()-6)</f>
        <v/>
      </c>
      <c r="B140" s="9"/>
      <c r="C140" s="9"/>
      <c r="D140" s="9"/>
      <c r="E140" s="9"/>
      <c r="F140" s="17"/>
      <c r="G140" s="18"/>
      <c r="H140" s="18"/>
      <c r="I140" s="9"/>
      <c r="J140" s="9"/>
      <c r="K140" s="19"/>
      <c r="L140" s="19"/>
      <c r="M140" s="19"/>
      <c r="N140" s="9"/>
      <c r="O140" s="9"/>
      <c r="P140" s="9"/>
      <c r="Q140" s="17"/>
      <c r="R140" s="18"/>
      <c r="S140" t="str">
        <f>IF($B140="","",IF($I140&lt;&gt;"",$I140,IFERROR(INDEX(Kat_Metode,MATCH($D140,Kat_Nama,0)),"")))</f>
        <v/>
      </c>
      <c r="T140" t="str">
        <f>IF($B140="","",IF($J140&lt;&gt;"",$J140,IFERROR(INDEX(Kat_Umur,MATCH($D140,Kat_Nama,0)),0)))</f>
        <v/>
      </c>
      <c r="U140" t="str">
        <f>IF($B140="","",IF($N140&lt;&gt;"",$N140,IFERROR(INDEX(Kat_Kelompok,MATCH($D140,Kat_Nama,0)),"")))</f>
        <v/>
      </c>
      <c r="V140" t="str">
        <f>IF($B140="","",IF($U140="Masa Manfaat Sebenarnya",N($O140),IFERROR(INDEX(Kel_Masa,MATCH($U140,Kel_Nama,0)),0)))</f>
        <v/>
      </c>
      <c r="W140" t="str">
        <f>IF($B140="","",IF($P140&lt;&gt;"",$P140,IF(OR($U140="Tidak Disusutkan",$V140=0),"Tidak Disusutkan","Garis Lurus")))</f>
        <v/>
      </c>
      <c r="X140" t="str">
        <f>IF($B140="","",IF($Y140&gt;TahunBuku*12+12,"Belum Diperoleh",IF($Z140&lt;=TahunBuku*12,"Dilepas (thn lalu)",IF($AC140=1,"Dilepas thn ini",IF($AB140=1,"Perolehan baru","Aktif")))))</f>
        <v/>
      </c>
      <c r="Y140" s="20" t="str">
        <f>IF($B140="","",YEAR($F140)*12+MONTH($F140))</f>
        <v/>
      </c>
      <c r="Z140" s="20" t="str">
        <f>IF($B140="","",IF($Q140="",99999,YEAR($Q140)*12+MONTH($Q140)))</f>
        <v/>
      </c>
      <c r="AA140" s="20" t="str">
        <f>IF($B140="","",--AND($Y140&lt;=TahunBuku*12,$Z140&gt;TahunBuku*12))</f>
        <v/>
      </c>
      <c r="AB140" s="20" t="str">
        <f>IF($B140="","",--AND($Y140&gt;TahunBuku*12,$Y140&lt;=TahunBuku*12+12))</f>
        <v/>
      </c>
      <c r="AC140" s="20" t="str">
        <f>IF($B140="","",--AND($Z140&gt;TahunBuku*12,$Z140&lt;=TahunBuku*12+12,$Y140&lt;=$Z140))</f>
        <v/>
      </c>
      <c r="AD140" s="21" t="str">
        <f>IF($B140="","",IFERROR(IF($S140="Garis Lurus",$G140-($G140-$H140)*MIN($T140*12,MAX(0,TahunBuku*12-$Y140+1))/($T140*12),IF($S140="Saldo Menurun",IF(TahunBuku-1&lt;YEAR($F140),$G140,IF(TahunBuku-1&gt;=INT(($Y140+$T140*12-2)/12),$H140,MAX($H140,$G140*(1-2/$T140*(13-MONTH($F140))/12)*(1-2/$T140)^(TahunBuku-1-YEAR($F140))))),IF($S140="Unit Produksi",$G140-($G140-$H140)*MIN(1,N($L140)/$K140),$G140))),$G140))</f>
        <v/>
      </c>
      <c r="AE140" s="21" t="str">
        <f>IF($B140="","",IFERROR(IF($S140="Garis Lurus",$G140-($G140-$H140)*MIN($T140*12,MAX(0,TahunBuku*12+12-$Y140+1))/($T140*12),IF($S140="Saldo Menurun",IF(TahunBuku&lt;YEAR($F140),$G140,IF(TahunBuku&gt;=INT(($Y140+$T140*12-2)/12),$H140,MAX($H140,$G140*(1-2/$T140*(13-MONTH($F140))/12)*(1-2/$T140)^(TahunBuku-YEAR($F140))))),IF($S140="Unit Produksi",$G140-($G140-$H140)*MIN(1,(N($L140)+N($M140))/$K140),$G140))),$G140))</f>
        <v/>
      </c>
      <c r="AF140" s="20" t="str">
        <f>IF($B140="","",IF(OR($S140="Garis Lurus",$S140="Saldo Menurun",$S140="Unit Produksi"),MAX(0,IF($S140="Unit Produksi",TahunBuku*12+12,MIN(TahunBuku*12+12,$Y140+$T140*12-1))-MAX(TahunBuku*12+1,$Y140)+1),0))</f>
        <v/>
      </c>
      <c r="AG140" s="20" t="str">
        <f>IF($B140="","",IF(OR($S140="Garis Lurus",$S140="Saldo Menurun",$S140="Unit Produksi"),MAX(0,MIN($Z140,IF($S140="Unit Produksi",TahunBuku*12+12,MIN(TahunBuku*12+12,$Y140+$T140*12-1)))-MAX(TahunBuku*12+1,$Y140)+1),0))</f>
        <v/>
      </c>
      <c r="AH140" s="21" t="str">
        <f>IF($B140="","",IFERROR(IF($W140="Garis Lurus",$G140*(1-MIN($V140*12,MAX(0,TahunBuku*12-$Y140+1))/($V140*12)),IF($W140="Saldo Menurun",IF(TahunBuku-1&lt;YEAR($F140),$G140,IF(TahunBuku-1&gt;=INT(($Y140+$V140*12-2)/12),0,$G140*(1-2/$V140*(13-MONTH($F140))/12)*(1-2/$V140)^(TahunBuku-1-YEAR($F140)))),$G140)),$G140))</f>
        <v/>
      </c>
      <c r="AI140" s="21" t="str">
        <f>IF($B140="","",IFERROR(IF($W140="Garis Lurus",$G140*(1-MIN($V140*12,MAX(0,TahunBuku*12+12-$Y140+1))/($V140*12)),IF($W140="Saldo Menurun",IF(TahunBuku&lt;YEAR($F140),$G140,IF(TahunBuku&gt;=INT(($Y140+$V140*12-2)/12),0,$G140*(1-2/$V140*(13-MONTH($F140))/12)*(1-2/$V140)^(TahunBuku-YEAR($F140)))),$G140)),$G140))</f>
        <v/>
      </c>
      <c r="AJ140" s="20" t="str">
        <f>IF($B140="","",IF(OR($W140="Garis Lurus",$W140="Saldo Menurun"),MAX(0,MIN(TahunBuku*12+12,$Y140+$V140*12-1)-MAX(TahunBuku*12+1,$Y140)+1),0))</f>
        <v/>
      </c>
      <c r="AK140" s="20" t="str">
        <f>IF($B140="","",IF(OR($W140="Garis Lurus",$W140="Saldo Menurun"),MAX(0,MIN($Z140,TahunBuku*12+12,$Y140+$V140*12-1)-MAX(TahunBuku*12+1,$Y140)+1),0))</f>
        <v/>
      </c>
      <c r="AL140" s="22" t="str">
        <f>IF($B140="","",$G140*$AA140)</f>
        <v/>
      </c>
      <c r="AM140" s="22" t="str">
        <f>IF($B140="","",$G140*$AB140)</f>
        <v/>
      </c>
      <c r="AN140" s="22" t="str">
        <f>IF($B140="","",$G140*$AC140)</f>
        <v/>
      </c>
      <c r="AO140" s="22" t="str">
        <f>IF($B140="","",AL140+AM140-AN140)</f>
        <v/>
      </c>
      <c r="AP140" s="22" t="str">
        <f>IF($B140="","",($G140-$AD140)*$AA140)</f>
        <v/>
      </c>
      <c r="AQ140" s="22" t="str">
        <f>IF($B140="","",IF($AF140=0,0,($AD140-$AE140)*$AG140/$AF140)*MAX($AA140,$AB140))</f>
        <v/>
      </c>
      <c r="AR140" s="22" t="str">
        <f>IF($B140="","",(AP140+AQ140)*$AC140)</f>
        <v/>
      </c>
      <c r="AS140" s="22" t="str">
        <f>IF($B140="","",AP140+AQ140-AR140)</f>
        <v/>
      </c>
      <c r="AT140" s="22" t="str">
        <f>IF($B140="","",AO140-AS140)</f>
        <v/>
      </c>
      <c r="AU140" s="22" t="str">
        <f>IF($B140="","",IF($AC140=1,N($R140)-($G140-AR140),0))</f>
        <v/>
      </c>
      <c r="AV140" s="22" t="str">
        <f>IF($B140="","",($G140-$AH140)*$AA140)</f>
        <v/>
      </c>
      <c r="AW140" s="22" t="str">
        <f>IF($B140="","",IF($AJ140=0,0,($AH140-$AI140)*$AK140/$AJ140)*MAX($AA140,$AB140))</f>
        <v/>
      </c>
      <c r="AX140" s="22" t="str">
        <f>IF($B140="","",(AV140+AW140)*$AC140)</f>
        <v/>
      </c>
      <c r="AY140" s="22" t="str">
        <f>IF($B140="","",AV140+AW140-AX140)</f>
        <v/>
      </c>
      <c r="AZ140" s="22" t="str">
        <f>IF($B140="","",AO140-AY140)</f>
        <v/>
      </c>
      <c r="BA140" s="22" t="str">
        <f>IF($B140="","",IF($AC140=1,N($R140)-($G140-AX140),0))</f>
        <v/>
      </c>
      <c r="BB140" s="22" t="str">
        <f>IF($B140="","",ROUND(AQ140-AW140,0))</f>
        <v/>
      </c>
      <c r="BC140" s="22" t="str">
        <f>IF($B140="","",ROUND(BA140-AU140,0))</f>
        <v/>
      </c>
      <c r="BD140" s="22" t="str">
        <f>IF($B140="","",BB140+BC140)</f>
        <v/>
      </c>
      <c r="BE140" s="22" t="str">
        <f>IF($B140="","",ROUND(AV140-AP140,0))</f>
        <v/>
      </c>
      <c r="BF140" s="22" t="str">
        <f>IF($B140="","",ROUND(AT140-AZ140,0))</f>
        <v/>
      </c>
      <c r="BG140" s="22" t="str">
        <f>IF($B140="","",ROUND(BF140*TarifPPh,0))</f>
        <v/>
      </c>
      <c r="BH140" t="str">
        <f>IF($B140="","",IF($D140="","Kategori kosong",IF($F140="","Tgl perolehan kosong",IF(N($H140)&gt;$G140,"Residu &gt; harga perolehan",IF(AND(LEFT($U140,8)="Bangunan",$W140="Saldo Menurun"),"Bangunan wajib Garis Lurus (Ps.11 UU PPh)",IF(AND($S140="Unit Produksi",N($K140)=0),"Isi kapasitas unit",IF(AND(OR($S140="Garis Lurus",$S140="Saldo Menurun"),N($T140)&lt;=0),"Umur komersial kosong",IF(AND(OR($W140="Garis Lurus",$W140="Saldo Menurun"),N($V140)&lt;=0),"Masa manfaat fiskal kosong",IF(AND($Q140&lt;&gt;"",$Q140&lt;$F140),"Tgl pelepasan &lt; perolehan","OK")))))))))</f>
        <v/>
      </c>
    </row>
    <row r="141" spans="1:60" x14ac:dyDescent="0.25">
      <c r="A141" t="str">
        <f>IF($B141="","",ROW()-6)</f>
        <v/>
      </c>
      <c r="B141" s="9"/>
      <c r="C141" s="9"/>
      <c r="D141" s="9"/>
      <c r="E141" s="9"/>
      <c r="F141" s="17"/>
      <c r="G141" s="18"/>
      <c r="H141" s="18"/>
      <c r="I141" s="9"/>
      <c r="J141" s="9"/>
      <c r="K141" s="19"/>
      <c r="L141" s="19"/>
      <c r="M141" s="19"/>
      <c r="N141" s="9"/>
      <c r="O141" s="9"/>
      <c r="P141" s="9"/>
      <c r="Q141" s="17"/>
      <c r="R141" s="18"/>
      <c r="S141" t="str">
        <f>IF($B141="","",IF($I141&lt;&gt;"",$I141,IFERROR(INDEX(Kat_Metode,MATCH($D141,Kat_Nama,0)),"")))</f>
        <v/>
      </c>
      <c r="T141" t="str">
        <f>IF($B141="","",IF($J141&lt;&gt;"",$J141,IFERROR(INDEX(Kat_Umur,MATCH($D141,Kat_Nama,0)),0)))</f>
        <v/>
      </c>
      <c r="U141" t="str">
        <f>IF($B141="","",IF($N141&lt;&gt;"",$N141,IFERROR(INDEX(Kat_Kelompok,MATCH($D141,Kat_Nama,0)),"")))</f>
        <v/>
      </c>
      <c r="V141" t="str">
        <f>IF($B141="","",IF($U141="Masa Manfaat Sebenarnya",N($O141),IFERROR(INDEX(Kel_Masa,MATCH($U141,Kel_Nama,0)),0)))</f>
        <v/>
      </c>
      <c r="W141" t="str">
        <f>IF($B141="","",IF($P141&lt;&gt;"",$P141,IF(OR($U141="Tidak Disusutkan",$V141=0),"Tidak Disusutkan","Garis Lurus")))</f>
        <v/>
      </c>
      <c r="X141" t="str">
        <f>IF($B141="","",IF($Y141&gt;TahunBuku*12+12,"Belum Diperoleh",IF($Z141&lt;=TahunBuku*12,"Dilepas (thn lalu)",IF($AC141=1,"Dilepas thn ini",IF($AB141=1,"Perolehan baru","Aktif")))))</f>
        <v/>
      </c>
      <c r="Y141" s="20" t="str">
        <f>IF($B141="","",YEAR($F141)*12+MONTH($F141))</f>
        <v/>
      </c>
      <c r="Z141" s="20" t="str">
        <f>IF($B141="","",IF($Q141="",99999,YEAR($Q141)*12+MONTH($Q141)))</f>
        <v/>
      </c>
      <c r="AA141" s="20" t="str">
        <f>IF($B141="","",--AND($Y141&lt;=TahunBuku*12,$Z141&gt;TahunBuku*12))</f>
        <v/>
      </c>
      <c r="AB141" s="20" t="str">
        <f>IF($B141="","",--AND($Y141&gt;TahunBuku*12,$Y141&lt;=TahunBuku*12+12))</f>
        <v/>
      </c>
      <c r="AC141" s="20" t="str">
        <f>IF($B141="","",--AND($Z141&gt;TahunBuku*12,$Z141&lt;=TahunBuku*12+12,$Y141&lt;=$Z141))</f>
        <v/>
      </c>
      <c r="AD141" s="21" t="str">
        <f>IF($B141="","",IFERROR(IF($S141="Garis Lurus",$G141-($G141-$H141)*MIN($T141*12,MAX(0,TahunBuku*12-$Y141+1))/($T141*12),IF($S141="Saldo Menurun",IF(TahunBuku-1&lt;YEAR($F141),$G141,IF(TahunBuku-1&gt;=INT(($Y141+$T141*12-2)/12),$H141,MAX($H141,$G141*(1-2/$T141*(13-MONTH($F141))/12)*(1-2/$T141)^(TahunBuku-1-YEAR($F141))))),IF($S141="Unit Produksi",$G141-($G141-$H141)*MIN(1,N($L141)/$K141),$G141))),$G141))</f>
        <v/>
      </c>
      <c r="AE141" s="21" t="str">
        <f>IF($B141="","",IFERROR(IF($S141="Garis Lurus",$G141-($G141-$H141)*MIN($T141*12,MAX(0,TahunBuku*12+12-$Y141+1))/($T141*12),IF($S141="Saldo Menurun",IF(TahunBuku&lt;YEAR($F141),$G141,IF(TahunBuku&gt;=INT(($Y141+$T141*12-2)/12),$H141,MAX($H141,$G141*(1-2/$T141*(13-MONTH($F141))/12)*(1-2/$T141)^(TahunBuku-YEAR($F141))))),IF($S141="Unit Produksi",$G141-($G141-$H141)*MIN(1,(N($L141)+N($M141))/$K141),$G141))),$G141))</f>
        <v/>
      </c>
      <c r="AF141" s="20" t="str">
        <f>IF($B141="","",IF(OR($S141="Garis Lurus",$S141="Saldo Menurun",$S141="Unit Produksi"),MAX(0,IF($S141="Unit Produksi",TahunBuku*12+12,MIN(TahunBuku*12+12,$Y141+$T141*12-1))-MAX(TahunBuku*12+1,$Y141)+1),0))</f>
        <v/>
      </c>
      <c r="AG141" s="20" t="str">
        <f>IF($B141="","",IF(OR($S141="Garis Lurus",$S141="Saldo Menurun",$S141="Unit Produksi"),MAX(0,MIN($Z141,IF($S141="Unit Produksi",TahunBuku*12+12,MIN(TahunBuku*12+12,$Y141+$T141*12-1)))-MAX(TahunBuku*12+1,$Y141)+1),0))</f>
        <v/>
      </c>
      <c r="AH141" s="21" t="str">
        <f>IF($B141="","",IFERROR(IF($W141="Garis Lurus",$G141*(1-MIN($V141*12,MAX(0,TahunBuku*12-$Y141+1))/($V141*12)),IF($W141="Saldo Menurun",IF(TahunBuku-1&lt;YEAR($F141),$G141,IF(TahunBuku-1&gt;=INT(($Y141+$V141*12-2)/12),0,$G141*(1-2/$V141*(13-MONTH($F141))/12)*(1-2/$V141)^(TahunBuku-1-YEAR($F141)))),$G141)),$G141))</f>
        <v/>
      </c>
      <c r="AI141" s="21" t="str">
        <f>IF($B141="","",IFERROR(IF($W141="Garis Lurus",$G141*(1-MIN($V141*12,MAX(0,TahunBuku*12+12-$Y141+1))/($V141*12)),IF($W141="Saldo Menurun",IF(TahunBuku&lt;YEAR($F141),$G141,IF(TahunBuku&gt;=INT(($Y141+$V141*12-2)/12),0,$G141*(1-2/$V141*(13-MONTH($F141))/12)*(1-2/$V141)^(TahunBuku-YEAR($F141)))),$G141)),$G141))</f>
        <v/>
      </c>
      <c r="AJ141" s="20" t="str">
        <f>IF($B141="","",IF(OR($W141="Garis Lurus",$W141="Saldo Menurun"),MAX(0,MIN(TahunBuku*12+12,$Y141+$V141*12-1)-MAX(TahunBuku*12+1,$Y141)+1),0))</f>
        <v/>
      </c>
      <c r="AK141" s="20" t="str">
        <f>IF($B141="","",IF(OR($W141="Garis Lurus",$W141="Saldo Menurun"),MAX(0,MIN($Z141,TahunBuku*12+12,$Y141+$V141*12-1)-MAX(TahunBuku*12+1,$Y141)+1),0))</f>
        <v/>
      </c>
      <c r="AL141" s="22" t="str">
        <f>IF($B141="","",$G141*$AA141)</f>
        <v/>
      </c>
      <c r="AM141" s="22" t="str">
        <f>IF($B141="","",$G141*$AB141)</f>
        <v/>
      </c>
      <c r="AN141" s="22" t="str">
        <f>IF($B141="","",$G141*$AC141)</f>
        <v/>
      </c>
      <c r="AO141" s="22" t="str">
        <f>IF($B141="","",AL141+AM141-AN141)</f>
        <v/>
      </c>
      <c r="AP141" s="22" t="str">
        <f>IF($B141="","",($G141-$AD141)*$AA141)</f>
        <v/>
      </c>
      <c r="AQ141" s="22" t="str">
        <f>IF($B141="","",IF($AF141=0,0,($AD141-$AE141)*$AG141/$AF141)*MAX($AA141,$AB141))</f>
        <v/>
      </c>
      <c r="AR141" s="22" t="str">
        <f>IF($B141="","",(AP141+AQ141)*$AC141)</f>
        <v/>
      </c>
      <c r="AS141" s="22" t="str">
        <f>IF($B141="","",AP141+AQ141-AR141)</f>
        <v/>
      </c>
      <c r="AT141" s="22" t="str">
        <f>IF($B141="","",AO141-AS141)</f>
        <v/>
      </c>
      <c r="AU141" s="22" t="str">
        <f>IF($B141="","",IF($AC141=1,N($R141)-($G141-AR141),0))</f>
        <v/>
      </c>
      <c r="AV141" s="22" t="str">
        <f>IF($B141="","",($G141-$AH141)*$AA141)</f>
        <v/>
      </c>
      <c r="AW141" s="22" t="str">
        <f>IF($B141="","",IF($AJ141=0,0,($AH141-$AI141)*$AK141/$AJ141)*MAX($AA141,$AB141))</f>
        <v/>
      </c>
      <c r="AX141" s="22" t="str">
        <f>IF($B141="","",(AV141+AW141)*$AC141)</f>
        <v/>
      </c>
      <c r="AY141" s="22" t="str">
        <f>IF($B141="","",AV141+AW141-AX141)</f>
        <v/>
      </c>
      <c r="AZ141" s="22" t="str">
        <f>IF($B141="","",AO141-AY141)</f>
        <v/>
      </c>
      <c r="BA141" s="22" t="str">
        <f>IF($B141="","",IF($AC141=1,N($R141)-($G141-AX141),0))</f>
        <v/>
      </c>
      <c r="BB141" s="22" t="str">
        <f>IF($B141="","",ROUND(AQ141-AW141,0))</f>
        <v/>
      </c>
      <c r="BC141" s="22" t="str">
        <f>IF($B141="","",ROUND(BA141-AU141,0))</f>
        <v/>
      </c>
      <c r="BD141" s="22" t="str">
        <f>IF($B141="","",BB141+BC141)</f>
        <v/>
      </c>
      <c r="BE141" s="22" t="str">
        <f>IF($B141="","",ROUND(AV141-AP141,0))</f>
        <v/>
      </c>
      <c r="BF141" s="22" t="str">
        <f>IF($B141="","",ROUND(AT141-AZ141,0))</f>
        <v/>
      </c>
      <c r="BG141" s="22" t="str">
        <f>IF($B141="","",ROUND(BF141*TarifPPh,0))</f>
        <v/>
      </c>
      <c r="BH141" t="str">
        <f>IF($B141="","",IF($D141="","Kategori kosong",IF($F141="","Tgl perolehan kosong",IF(N($H141)&gt;$G141,"Residu &gt; harga perolehan",IF(AND(LEFT($U141,8)="Bangunan",$W141="Saldo Menurun"),"Bangunan wajib Garis Lurus (Ps.11 UU PPh)",IF(AND($S141="Unit Produksi",N($K141)=0),"Isi kapasitas unit",IF(AND(OR($S141="Garis Lurus",$S141="Saldo Menurun"),N($T141)&lt;=0),"Umur komersial kosong",IF(AND(OR($W141="Garis Lurus",$W141="Saldo Menurun"),N($V141)&lt;=0),"Masa manfaat fiskal kosong",IF(AND($Q141&lt;&gt;"",$Q141&lt;$F141),"Tgl pelepasan &lt; perolehan","OK")))))))))</f>
        <v/>
      </c>
    </row>
    <row r="142" spans="1:60" x14ac:dyDescent="0.25">
      <c r="A142" t="str">
        <f>IF($B142="","",ROW()-6)</f>
        <v/>
      </c>
      <c r="B142" s="9"/>
      <c r="C142" s="9"/>
      <c r="D142" s="9"/>
      <c r="E142" s="9"/>
      <c r="F142" s="17"/>
      <c r="G142" s="18"/>
      <c r="H142" s="18"/>
      <c r="I142" s="9"/>
      <c r="J142" s="9"/>
      <c r="K142" s="19"/>
      <c r="L142" s="19"/>
      <c r="M142" s="19"/>
      <c r="N142" s="9"/>
      <c r="O142" s="9"/>
      <c r="P142" s="9"/>
      <c r="Q142" s="17"/>
      <c r="R142" s="18"/>
      <c r="S142" t="str">
        <f>IF($B142="","",IF($I142&lt;&gt;"",$I142,IFERROR(INDEX(Kat_Metode,MATCH($D142,Kat_Nama,0)),"")))</f>
        <v/>
      </c>
      <c r="T142" t="str">
        <f>IF($B142="","",IF($J142&lt;&gt;"",$J142,IFERROR(INDEX(Kat_Umur,MATCH($D142,Kat_Nama,0)),0)))</f>
        <v/>
      </c>
      <c r="U142" t="str">
        <f>IF($B142="","",IF($N142&lt;&gt;"",$N142,IFERROR(INDEX(Kat_Kelompok,MATCH($D142,Kat_Nama,0)),"")))</f>
        <v/>
      </c>
      <c r="V142" t="str">
        <f>IF($B142="","",IF($U142="Masa Manfaat Sebenarnya",N($O142),IFERROR(INDEX(Kel_Masa,MATCH($U142,Kel_Nama,0)),0)))</f>
        <v/>
      </c>
      <c r="W142" t="str">
        <f>IF($B142="","",IF($P142&lt;&gt;"",$P142,IF(OR($U142="Tidak Disusutkan",$V142=0),"Tidak Disusutkan","Garis Lurus")))</f>
        <v/>
      </c>
      <c r="X142" t="str">
        <f>IF($B142="","",IF($Y142&gt;TahunBuku*12+12,"Belum Diperoleh",IF($Z142&lt;=TahunBuku*12,"Dilepas (thn lalu)",IF($AC142=1,"Dilepas thn ini",IF($AB142=1,"Perolehan baru","Aktif")))))</f>
        <v/>
      </c>
      <c r="Y142" s="20" t="str">
        <f>IF($B142="","",YEAR($F142)*12+MONTH($F142))</f>
        <v/>
      </c>
      <c r="Z142" s="20" t="str">
        <f>IF($B142="","",IF($Q142="",99999,YEAR($Q142)*12+MONTH($Q142)))</f>
        <v/>
      </c>
      <c r="AA142" s="20" t="str">
        <f>IF($B142="","",--AND($Y142&lt;=TahunBuku*12,$Z142&gt;TahunBuku*12))</f>
        <v/>
      </c>
      <c r="AB142" s="20" t="str">
        <f>IF($B142="","",--AND($Y142&gt;TahunBuku*12,$Y142&lt;=TahunBuku*12+12))</f>
        <v/>
      </c>
      <c r="AC142" s="20" t="str">
        <f>IF($B142="","",--AND($Z142&gt;TahunBuku*12,$Z142&lt;=TahunBuku*12+12,$Y142&lt;=$Z142))</f>
        <v/>
      </c>
      <c r="AD142" s="21" t="str">
        <f>IF($B142="","",IFERROR(IF($S142="Garis Lurus",$G142-($G142-$H142)*MIN($T142*12,MAX(0,TahunBuku*12-$Y142+1))/($T142*12),IF($S142="Saldo Menurun",IF(TahunBuku-1&lt;YEAR($F142),$G142,IF(TahunBuku-1&gt;=INT(($Y142+$T142*12-2)/12),$H142,MAX($H142,$G142*(1-2/$T142*(13-MONTH($F142))/12)*(1-2/$T142)^(TahunBuku-1-YEAR($F142))))),IF($S142="Unit Produksi",$G142-($G142-$H142)*MIN(1,N($L142)/$K142),$G142))),$G142))</f>
        <v/>
      </c>
      <c r="AE142" s="21" t="str">
        <f>IF($B142="","",IFERROR(IF($S142="Garis Lurus",$G142-($G142-$H142)*MIN($T142*12,MAX(0,TahunBuku*12+12-$Y142+1))/($T142*12),IF($S142="Saldo Menurun",IF(TahunBuku&lt;YEAR($F142),$G142,IF(TahunBuku&gt;=INT(($Y142+$T142*12-2)/12),$H142,MAX($H142,$G142*(1-2/$T142*(13-MONTH($F142))/12)*(1-2/$T142)^(TahunBuku-YEAR($F142))))),IF($S142="Unit Produksi",$G142-($G142-$H142)*MIN(1,(N($L142)+N($M142))/$K142),$G142))),$G142))</f>
        <v/>
      </c>
      <c r="AF142" s="20" t="str">
        <f>IF($B142="","",IF(OR($S142="Garis Lurus",$S142="Saldo Menurun",$S142="Unit Produksi"),MAX(0,IF($S142="Unit Produksi",TahunBuku*12+12,MIN(TahunBuku*12+12,$Y142+$T142*12-1))-MAX(TahunBuku*12+1,$Y142)+1),0))</f>
        <v/>
      </c>
      <c r="AG142" s="20" t="str">
        <f>IF($B142="","",IF(OR($S142="Garis Lurus",$S142="Saldo Menurun",$S142="Unit Produksi"),MAX(0,MIN($Z142,IF($S142="Unit Produksi",TahunBuku*12+12,MIN(TahunBuku*12+12,$Y142+$T142*12-1)))-MAX(TahunBuku*12+1,$Y142)+1),0))</f>
        <v/>
      </c>
      <c r="AH142" s="21" t="str">
        <f>IF($B142="","",IFERROR(IF($W142="Garis Lurus",$G142*(1-MIN($V142*12,MAX(0,TahunBuku*12-$Y142+1))/($V142*12)),IF($W142="Saldo Menurun",IF(TahunBuku-1&lt;YEAR($F142),$G142,IF(TahunBuku-1&gt;=INT(($Y142+$V142*12-2)/12),0,$G142*(1-2/$V142*(13-MONTH($F142))/12)*(1-2/$V142)^(TahunBuku-1-YEAR($F142)))),$G142)),$G142))</f>
        <v/>
      </c>
      <c r="AI142" s="21" t="str">
        <f>IF($B142="","",IFERROR(IF($W142="Garis Lurus",$G142*(1-MIN($V142*12,MAX(0,TahunBuku*12+12-$Y142+1))/($V142*12)),IF($W142="Saldo Menurun",IF(TahunBuku&lt;YEAR($F142),$G142,IF(TahunBuku&gt;=INT(($Y142+$V142*12-2)/12),0,$G142*(1-2/$V142*(13-MONTH($F142))/12)*(1-2/$V142)^(TahunBuku-YEAR($F142)))),$G142)),$G142))</f>
        <v/>
      </c>
      <c r="AJ142" s="20" t="str">
        <f>IF($B142="","",IF(OR($W142="Garis Lurus",$W142="Saldo Menurun"),MAX(0,MIN(TahunBuku*12+12,$Y142+$V142*12-1)-MAX(TahunBuku*12+1,$Y142)+1),0))</f>
        <v/>
      </c>
      <c r="AK142" s="20" t="str">
        <f>IF($B142="","",IF(OR($W142="Garis Lurus",$W142="Saldo Menurun"),MAX(0,MIN($Z142,TahunBuku*12+12,$Y142+$V142*12-1)-MAX(TahunBuku*12+1,$Y142)+1),0))</f>
        <v/>
      </c>
      <c r="AL142" s="22" t="str">
        <f>IF($B142="","",$G142*$AA142)</f>
        <v/>
      </c>
      <c r="AM142" s="22" t="str">
        <f>IF($B142="","",$G142*$AB142)</f>
        <v/>
      </c>
      <c r="AN142" s="22" t="str">
        <f>IF($B142="","",$G142*$AC142)</f>
        <v/>
      </c>
      <c r="AO142" s="22" t="str">
        <f>IF($B142="","",AL142+AM142-AN142)</f>
        <v/>
      </c>
      <c r="AP142" s="22" t="str">
        <f>IF($B142="","",($G142-$AD142)*$AA142)</f>
        <v/>
      </c>
      <c r="AQ142" s="22" t="str">
        <f>IF($B142="","",IF($AF142=0,0,($AD142-$AE142)*$AG142/$AF142)*MAX($AA142,$AB142))</f>
        <v/>
      </c>
      <c r="AR142" s="22" t="str">
        <f>IF($B142="","",(AP142+AQ142)*$AC142)</f>
        <v/>
      </c>
      <c r="AS142" s="22" t="str">
        <f>IF($B142="","",AP142+AQ142-AR142)</f>
        <v/>
      </c>
      <c r="AT142" s="22" t="str">
        <f>IF($B142="","",AO142-AS142)</f>
        <v/>
      </c>
      <c r="AU142" s="22" t="str">
        <f>IF($B142="","",IF($AC142=1,N($R142)-($G142-AR142),0))</f>
        <v/>
      </c>
      <c r="AV142" s="22" t="str">
        <f>IF($B142="","",($G142-$AH142)*$AA142)</f>
        <v/>
      </c>
      <c r="AW142" s="22" t="str">
        <f>IF($B142="","",IF($AJ142=0,0,($AH142-$AI142)*$AK142/$AJ142)*MAX($AA142,$AB142))</f>
        <v/>
      </c>
      <c r="AX142" s="22" t="str">
        <f>IF($B142="","",(AV142+AW142)*$AC142)</f>
        <v/>
      </c>
      <c r="AY142" s="22" t="str">
        <f>IF($B142="","",AV142+AW142-AX142)</f>
        <v/>
      </c>
      <c r="AZ142" s="22" t="str">
        <f>IF($B142="","",AO142-AY142)</f>
        <v/>
      </c>
      <c r="BA142" s="22" t="str">
        <f>IF($B142="","",IF($AC142=1,N($R142)-($G142-AX142),0))</f>
        <v/>
      </c>
      <c r="BB142" s="22" t="str">
        <f>IF($B142="","",ROUND(AQ142-AW142,0))</f>
        <v/>
      </c>
      <c r="BC142" s="22" t="str">
        <f>IF($B142="","",ROUND(BA142-AU142,0))</f>
        <v/>
      </c>
      <c r="BD142" s="22" t="str">
        <f>IF($B142="","",BB142+BC142)</f>
        <v/>
      </c>
      <c r="BE142" s="22" t="str">
        <f>IF($B142="","",ROUND(AV142-AP142,0))</f>
        <v/>
      </c>
      <c r="BF142" s="22" t="str">
        <f>IF($B142="","",ROUND(AT142-AZ142,0))</f>
        <v/>
      </c>
      <c r="BG142" s="22" t="str">
        <f>IF($B142="","",ROUND(BF142*TarifPPh,0))</f>
        <v/>
      </c>
      <c r="BH142" t="str">
        <f>IF($B142="","",IF($D142="","Kategori kosong",IF($F142="","Tgl perolehan kosong",IF(N($H142)&gt;$G142,"Residu &gt; harga perolehan",IF(AND(LEFT($U142,8)="Bangunan",$W142="Saldo Menurun"),"Bangunan wajib Garis Lurus (Ps.11 UU PPh)",IF(AND($S142="Unit Produksi",N($K142)=0),"Isi kapasitas unit",IF(AND(OR($S142="Garis Lurus",$S142="Saldo Menurun"),N($T142)&lt;=0),"Umur komersial kosong",IF(AND(OR($W142="Garis Lurus",$W142="Saldo Menurun"),N($V142)&lt;=0),"Masa manfaat fiskal kosong",IF(AND($Q142&lt;&gt;"",$Q142&lt;$F142),"Tgl pelepasan &lt; perolehan","OK")))))))))</f>
        <v/>
      </c>
    </row>
    <row r="143" spans="1:60" x14ac:dyDescent="0.25">
      <c r="A143" t="str">
        <f>IF($B143="","",ROW()-6)</f>
        <v/>
      </c>
      <c r="B143" s="9"/>
      <c r="C143" s="9"/>
      <c r="D143" s="9"/>
      <c r="E143" s="9"/>
      <c r="F143" s="17"/>
      <c r="G143" s="18"/>
      <c r="H143" s="18"/>
      <c r="I143" s="9"/>
      <c r="J143" s="9"/>
      <c r="K143" s="19"/>
      <c r="L143" s="19"/>
      <c r="M143" s="19"/>
      <c r="N143" s="9"/>
      <c r="O143" s="9"/>
      <c r="P143" s="9"/>
      <c r="Q143" s="17"/>
      <c r="R143" s="18"/>
      <c r="S143" t="str">
        <f>IF($B143="","",IF($I143&lt;&gt;"",$I143,IFERROR(INDEX(Kat_Metode,MATCH($D143,Kat_Nama,0)),"")))</f>
        <v/>
      </c>
      <c r="T143" t="str">
        <f>IF($B143="","",IF($J143&lt;&gt;"",$J143,IFERROR(INDEX(Kat_Umur,MATCH($D143,Kat_Nama,0)),0)))</f>
        <v/>
      </c>
      <c r="U143" t="str">
        <f>IF($B143="","",IF($N143&lt;&gt;"",$N143,IFERROR(INDEX(Kat_Kelompok,MATCH($D143,Kat_Nama,0)),"")))</f>
        <v/>
      </c>
      <c r="V143" t="str">
        <f>IF($B143="","",IF($U143="Masa Manfaat Sebenarnya",N($O143),IFERROR(INDEX(Kel_Masa,MATCH($U143,Kel_Nama,0)),0)))</f>
        <v/>
      </c>
      <c r="W143" t="str">
        <f>IF($B143="","",IF($P143&lt;&gt;"",$P143,IF(OR($U143="Tidak Disusutkan",$V143=0),"Tidak Disusutkan","Garis Lurus")))</f>
        <v/>
      </c>
      <c r="X143" t="str">
        <f>IF($B143="","",IF($Y143&gt;TahunBuku*12+12,"Belum Diperoleh",IF($Z143&lt;=TahunBuku*12,"Dilepas (thn lalu)",IF($AC143=1,"Dilepas thn ini",IF($AB143=1,"Perolehan baru","Aktif")))))</f>
        <v/>
      </c>
      <c r="Y143" s="20" t="str">
        <f>IF($B143="","",YEAR($F143)*12+MONTH($F143))</f>
        <v/>
      </c>
      <c r="Z143" s="20" t="str">
        <f>IF($B143="","",IF($Q143="",99999,YEAR($Q143)*12+MONTH($Q143)))</f>
        <v/>
      </c>
      <c r="AA143" s="20" t="str">
        <f>IF($B143="","",--AND($Y143&lt;=TahunBuku*12,$Z143&gt;TahunBuku*12))</f>
        <v/>
      </c>
      <c r="AB143" s="20" t="str">
        <f>IF($B143="","",--AND($Y143&gt;TahunBuku*12,$Y143&lt;=TahunBuku*12+12))</f>
        <v/>
      </c>
      <c r="AC143" s="20" t="str">
        <f>IF($B143="","",--AND($Z143&gt;TahunBuku*12,$Z143&lt;=TahunBuku*12+12,$Y143&lt;=$Z143))</f>
        <v/>
      </c>
      <c r="AD143" s="21" t="str">
        <f>IF($B143="","",IFERROR(IF($S143="Garis Lurus",$G143-($G143-$H143)*MIN($T143*12,MAX(0,TahunBuku*12-$Y143+1))/($T143*12),IF($S143="Saldo Menurun",IF(TahunBuku-1&lt;YEAR($F143),$G143,IF(TahunBuku-1&gt;=INT(($Y143+$T143*12-2)/12),$H143,MAX($H143,$G143*(1-2/$T143*(13-MONTH($F143))/12)*(1-2/$T143)^(TahunBuku-1-YEAR($F143))))),IF($S143="Unit Produksi",$G143-($G143-$H143)*MIN(1,N($L143)/$K143),$G143))),$G143))</f>
        <v/>
      </c>
      <c r="AE143" s="21" t="str">
        <f>IF($B143="","",IFERROR(IF($S143="Garis Lurus",$G143-($G143-$H143)*MIN($T143*12,MAX(0,TahunBuku*12+12-$Y143+1))/($T143*12),IF($S143="Saldo Menurun",IF(TahunBuku&lt;YEAR($F143),$G143,IF(TahunBuku&gt;=INT(($Y143+$T143*12-2)/12),$H143,MAX($H143,$G143*(1-2/$T143*(13-MONTH($F143))/12)*(1-2/$T143)^(TahunBuku-YEAR($F143))))),IF($S143="Unit Produksi",$G143-($G143-$H143)*MIN(1,(N($L143)+N($M143))/$K143),$G143))),$G143))</f>
        <v/>
      </c>
      <c r="AF143" s="20" t="str">
        <f>IF($B143="","",IF(OR($S143="Garis Lurus",$S143="Saldo Menurun",$S143="Unit Produksi"),MAX(0,IF($S143="Unit Produksi",TahunBuku*12+12,MIN(TahunBuku*12+12,$Y143+$T143*12-1))-MAX(TahunBuku*12+1,$Y143)+1),0))</f>
        <v/>
      </c>
      <c r="AG143" s="20" t="str">
        <f>IF($B143="","",IF(OR($S143="Garis Lurus",$S143="Saldo Menurun",$S143="Unit Produksi"),MAX(0,MIN($Z143,IF($S143="Unit Produksi",TahunBuku*12+12,MIN(TahunBuku*12+12,$Y143+$T143*12-1)))-MAX(TahunBuku*12+1,$Y143)+1),0))</f>
        <v/>
      </c>
      <c r="AH143" s="21" t="str">
        <f>IF($B143="","",IFERROR(IF($W143="Garis Lurus",$G143*(1-MIN($V143*12,MAX(0,TahunBuku*12-$Y143+1))/($V143*12)),IF($W143="Saldo Menurun",IF(TahunBuku-1&lt;YEAR($F143),$G143,IF(TahunBuku-1&gt;=INT(($Y143+$V143*12-2)/12),0,$G143*(1-2/$V143*(13-MONTH($F143))/12)*(1-2/$V143)^(TahunBuku-1-YEAR($F143)))),$G143)),$G143))</f>
        <v/>
      </c>
      <c r="AI143" s="21" t="str">
        <f>IF($B143="","",IFERROR(IF($W143="Garis Lurus",$G143*(1-MIN($V143*12,MAX(0,TahunBuku*12+12-$Y143+1))/($V143*12)),IF($W143="Saldo Menurun",IF(TahunBuku&lt;YEAR($F143),$G143,IF(TahunBuku&gt;=INT(($Y143+$V143*12-2)/12),0,$G143*(1-2/$V143*(13-MONTH($F143))/12)*(1-2/$V143)^(TahunBuku-YEAR($F143)))),$G143)),$G143))</f>
        <v/>
      </c>
      <c r="AJ143" s="20" t="str">
        <f>IF($B143="","",IF(OR($W143="Garis Lurus",$W143="Saldo Menurun"),MAX(0,MIN(TahunBuku*12+12,$Y143+$V143*12-1)-MAX(TahunBuku*12+1,$Y143)+1),0))</f>
        <v/>
      </c>
      <c r="AK143" s="20" t="str">
        <f>IF($B143="","",IF(OR($W143="Garis Lurus",$W143="Saldo Menurun"),MAX(0,MIN($Z143,TahunBuku*12+12,$Y143+$V143*12-1)-MAX(TahunBuku*12+1,$Y143)+1),0))</f>
        <v/>
      </c>
      <c r="AL143" s="22" t="str">
        <f>IF($B143="","",$G143*$AA143)</f>
        <v/>
      </c>
      <c r="AM143" s="22" t="str">
        <f>IF($B143="","",$G143*$AB143)</f>
        <v/>
      </c>
      <c r="AN143" s="22" t="str">
        <f>IF($B143="","",$G143*$AC143)</f>
        <v/>
      </c>
      <c r="AO143" s="22" t="str">
        <f>IF($B143="","",AL143+AM143-AN143)</f>
        <v/>
      </c>
      <c r="AP143" s="22" t="str">
        <f>IF($B143="","",($G143-$AD143)*$AA143)</f>
        <v/>
      </c>
      <c r="AQ143" s="22" t="str">
        <f>IF($B143="","",IF($AF143=0,0,($AD143-$AE143)*$AG143/$AF143)*MAX($AA143,$AB143))</f>
        <v/>
      </c>
      <c r="AR143" s="22" t="str">
        <f>IF($B143="","",(AP143+AQ143)*$AC143)</f>
        <v/>
      </c>
      <c r="AS143" s="22" t="str">
        <f>IF($B143="","",AP143+AQ143-AR143)</f>
        <v/>
      </c>
      <c r="AT143" s="22" t="str">
        <f>IF($B143="","",AO143-AS143)</f>
        <v/>
      </c>
      <c r="AU143" s="22" t="str">
        <f>IF($B143="","",IF($AC143=1,N($R143)-($G143-AR143),0))</f>
        <v/>
      </c>
      <c r="AV143" s="22" t="str">
        <f>IF($B143="","",($G143-$AH143)*$AA143)</f>
        <v/>
      </c>
      <c r="AW143" s="22" t="str">
        <f>IF($B143="","",IF($AJ143=0,0,($AH143-$AI143)*$AK143/$AJ143)*MAX($AA143,$AB143))</f>
        <v/>
      </c>
      <c r="AX143" s="22" t="str">
        <f>IF($B143="","",(AV143+AW143)*$AC143)</f>
        <v/>
      </c>
      <c r="AY143" s="22" t="str">
        <f>IF($B143="","",AV143+AW143-AX143)</f>
        <v/>
      </c>
      <c r="AZ143" s="22" t="str">
        <f>IF($B143="","",AO143-AY143)</f>
        <v/>
      </c>
      <c r="BA143" s="22" t="str">
        <f>IF($B143="","",IF($AC143=1,N($R143)-($G143-AX143),0))</f>
        <v/>
      </c>
      <c r="BB143" s="22" t="str">
        <f>IF($B143="","",ROUND(AQ143-AW143,0))</f>
        <v/>
      </c>
      <c r="BC143" s="22" t="str">
        <f>IF($B143="","",ROUND(BA143-AU143,0))</f>
        <v/>
      </c>
      <c r="BD143" s="22" t="str">
        <f>IF($B143="","",BB143+BC143)</f>
        <v/>
      </c>
      <c r="BE143" s="22" t="str">
        <f>IF($B143="","",ROUND(AV143-AP143,0))</f>
        <v/>
      </c>
      <c r="BF143" s="22" t="str">
        <f>IF($B143="","",ROUND(AT143-AZ143,0))</f>
        <v/>
      </c>
      <c r="BG143" s="22" t="str">
        <f>IF($B143="","",ROUND(BF143*TarifPPh,0))</f>
        <v/>
      </c>
      <c r="BH143" t="str">
        <f>IF($B143="","",IF($D143="","Kategori kosong",IF($F143="","Tgl perolehan kosong",IF(N($H143)&gt;$G143,"Residu &gt; harga perolehan",IF(AND(LEFT($U143,8)="Bangunan",$W143="Saldo Menurun"),"Bangunan wajib Garis Lurus (Ps.11 UU PPh)",IF(AND($S143="Unit Produksi",N($K143)=0),"Isi kapasitas unit",IF(AND(OR($S143="Garis Lurus",$S143="Saldo Menurun"),N($T143)&lt;=0),"Umur komersial kosong",IF(AND(OR($W143="Garis Lurus",$W143="Saldo Menurun"),N($V143)&lt;=0),"Masa manfaat fiskal kosong",IF(AND($Q143&lt;&gt;"",$Q143&lt;$F143),"Tgl pelepasan &lt; perolehan","OK")))))))))</f>
        <v/>
      </c>
    </row>
    <row r="144" spans="1:60" x14ac:dyDescent="0.25">
      <c r="A144" t="str">
        <f>IF($B144="","",ROW()-6)</f>
        <v/>
      </c>
      <c r="B144" s="9"/>
      <c r="C144" s="9"/>
      <c r="D144" s="9"/>
      <c r="E144" s="9"/>
      <c r="F144" s="17"/>
      <c r="G144" s="18"/>
      <c r="H144" s="18"/>
      <c r="I144" s="9"/>
      <c r="J144" s="9"/>
      <c r="K144" s="19"/>
      <c r="L144" s="19"/>
      <c r="M144" s="19"/>
      <c r="N144" s="9"/>
      <c r="O144" s="9"/>
      <c r="P144" s="9"/>
      <c r="Q144" s="17"/>
      <c r="R144" s="18"/>
      <c r="S144" t="str">
        <f>IF($B144="","",IF($I144&lt;&gt;"",$I144,IFERROR(INDEX(Kat_Metode,MATCH($D144,Kat_Nama,0)),"")))</f>
        <v/>
      </c>
      <c r="T144" t="str">
        <f>IF($B144="","",IF($J144&lt;&gt;"",$J144,IFERROR(INDEX(Kat_Umur,MATCH($D144,Kat_Nama,0)),0)))</f>
        <v/>
      </c>
      <c r="U144" t="str">
        <f>IF($B144="","",IF($N144&lt;&gt;"",$N144,IFERROR(INDEX(Kat_Kelompok,MATCH($D144,Kat_Nama,0)),"")))</f>
        <v/>
      </c>
      <c r="V144" t="str">
        <f>IF($B144="","",IF($U144="Masa Manfaat Sebenarnya",N($O144),IFERROR(INDEX(Kel_Masa,MATCH($U144,Kel_Nama,0)),0)))</f>
        <v/>
      </c>
      <c r="W144" t="str">
        <f>IF($B144="","",IF($P144&lt;&gt;"",$P144,IF(OR($U144="Tidak Disusutkan",$V144=0),"Tidak Disusutkan","Garis Lurus")))</f>
        <v/>
      </c>
      <c r="X144" t="str">
        <f>IF($B144="","",IF($Y144&gt;TahunBuku*12+12,"Belum Diperoleh",IF($Z144&lt;=TahunBuku*12,"Dilepas (thn lalu)",IF($AC144=1,"Dilepas thn ini",IF($AB144=1,"Perolehan baru","Aktif")))))</f>
        <v/>
      </c>
      <c r="Y144" s="20" t="str">
        <f>IF($B144="","",YEAR($F144)*12+MONTH($F144))</f>
        <v/>
      </c>
      <c r="Z144" s="20" t="str">
        <f>IF($B144="","",IF($Q144="",99999,YEAR($Q144)*12+MONTH($Q144)))</f>
        <v/>
      </c>
      <c r="AA144" s="20" t="str">
        <f>IF($B144="","",--AND($Y144&lt;=TahunBuku*12,$Z144&gt;TahunBuku*12))</f>
        <v/>
      </c>
      <c r="AB144" s="20" t="str">
        <f>IF($B144="","",--AND($Y144&gt;TahunBuku*12,$Y144&lt;=TahunBuku*12+12))</f>
        <v/>
      </c>
      <c r="AC144" s="20" t="str">
        <f>IF($B144="","",--AND($Z144&gt;TahunBuku*12,$Z144&lt;=TahunBuku*12+12,$Y144&lt;=$Z144))</f>
        <v/>
      </c>
      <c r="AD144" s="21" t="str">
        <f>IF($B144="","",IFERROR(IF($S144="Garis Lurus",$G144-($G144-$H144)*MIN($T144*12,MAX(0,TahunBuku*12-$Y144+1))/($T144*12),IF($S144="Saldo Menurun",IF(TahunBuku-1&lt;YEAR($F144),$G144,IF(TahunBuku-1&gt;=INT(($Y144+$T144*12-2)/12),$H144,MAX($H144,$G144*(1-2/$T144*(13-MONTH($F144))/12)*(1-2/$T144)^(TahunBuku-1-YEAR($F144))))),IF($S144="Unit Produksi",$G144-($G144-$H144)*MIN(1,N($L144)/$K144),$G144))),$G144))</f>
        <v/>
      </c>
      <c r="AE144" s="21" t="str">
        <f>IF($B144="","",IFERROR(IF($S144="Garis Lurus",$G144-($G144-$H144)*MIN($T144*12,MAX(0,TahunBuku*12+12-$Y144+1))/($T144*12),IF($S144="Saldo Menurun",IF(TahunBuku&lt;YEAR($F144),$G144,IF(TahunBuku&gt;=INT(($Y144+$T144*12-2)/12),$H144,MAX($H144,$G144*(1-2/$T144*(13-MONTH($F144))/12)*(1-2/$T144)^(TahunBuku-YEAR($F144))))),IF($S144="Unit Produksi",$G144-($G144-$H144)*MIN(1,(N($L144)+N($M144))/$K144),$G144))),$G144))</f>
        <v/>
      </c>
      <c r="AF144" s="20" t="str">
        <f>IF($B144="","",IF(OR($S144="Garis Lurus",$S144="Saldo Menurun",$S144="Unit Produksi"),MAX(0,IF($S144="Unit Produksi",TahunBuku*12+12,MIN(TahunBuku*12+12,$Y144+$T144*12-1))-MAX(TahunBuku*12+1,$Y144)+1),0))</f>
        <v/>
      </c>
      <c r="AG144" s="20" t="str">
        <f>IF($B144="","",IF(OR($S144="Garis Lurus",$S144="Saldo Menurun",$S144="Unit Produksi"),MAX(0,MIN($Z144,IF($S144="Unit Produksi",TahunBuku*12+12,MIN(TahunBuku*12+12,$Y144+$T144*12-1)))-MAX(TahunBuku*12+1,$Y144)+1),0))</f>
        <v/>
      </c>
      <c r="AH144" s="21" t="str">
        <f>IF($B144="","",IFERROR(IF($W144="Garis Lurus",$G144*(1-MIN($V144*12,MAX(0,TahunBuku*12-$Y144+1))/($V144*12)),IF($W144="Saldo Menurun",IF(TahunBuku-1&lt;YEAR($F144),$G144,IF(TahunBuku-1&gt;=INT(($Y144+$V144*12-2)/12),0,$G144*(1-2/$V144*(13-MONTH($F144))/12)*(1-2/$V144)^(TahunBuku-1-YEAR($F144)))),$G144)),$G144))</f>
        <v/>
      </c>
      <c r="AI144" s="21" t="str">
        <f>IF($B144="","",IFERROR(IF($W144="Garis Lurus",$G144*(1-MIN($V144*12,MAX(0,TahunBuku*12+12-$Y144+1))/($V144*12)),IF($W144="Saldo Menurun",IF(TahunBuku&lt;YEAR($F144),$G144,IF(TahunBuku&gt;=INT(($Y144+$V144*12-2)/12),0,$G144*(1-2/$V144*(13-MONTH($F144))/12)*(1-2/$V144)^(TahunBuku-YEAR($F144)))),$G144)),$G144))</f>
        <v/>
      </c>
      <c r="AJ144" s="20" t="str">
        <f>IF($B144="","",IF(OR($W144="Garis Lurus",$W144="Saldo Menurun"),MAX(0,MIN(TahunBuku*12+12,$Y144+$V144*12-1)-MAX(TahunBuku*12+1,$Y144)+1),0))</f>
        <v/>
      </c>
      <c r="AK144" s="20" t="str">
        <f>IF($B144="","",IF(OR($W144="Garis Lurus",$W144="Saldo Menurun"),MAX(0,MIN($Z144,TahunBuku*12+12,$Y144+$V144*12-1)-MAX(TahunBuku*12+1,$Y144)+1),0))</f>
        <v/>
      </c>
      <c r="AL144" s="22" t="str">
        <f>IF($B144="","",$G144*$AA144)</f>
        <v/>
      </c>
      <c r="AM144" s="22" t="str">
        <f>IF($B144="","",$G144*$AB144)</f>
        <v/>
      </c>
      <c r="AN144" s="22" t="str">
        <f>IF($B144="","",$G144*$AC144)</f>
        <v/>
      </c>
      <c r="AO144" s="22" t="str">
        <f>IF($B144="","",AL144+AM144-AN144)</f>
        <v/>
      </c>
      <c r="AP144" s="22" t="str">
        <f>IF($B144="","",($G144-$AD144)*$AA144)</f>
        <v/>
      </c>
      <c r="AQ144" s="22" t="str">
        <f>IF($B144="","",IF($AF144=0,0,($AD144-$AE144)*$AG144/$AF144)*MAX($AA144,$AB144))</f>
        <v/>
      </c>
      <c r="AR144" s="22" t="str">
        <f>IF($B144="","",(AP144+AQ144)*$AC144)</f>
        <v/>
      </c>
      <c r="AS144" s="22" t="str">
        <f>IF($B144="","",AP144+AQ144-AR144)</f>
        <v/>
      </c>
      <c r="AT144" s="22" t="str">
        <f>IF($B144="","",AO144-AS144)</f>
        <v/>
      </c>
      <c r="AU144" s="22" t="str">
        <f>IF($B144="","",IF($AC144=1,N($R144)-($G144-AR144),0))</f>
        <v/>
      </c>
      <c r="AV144" s="22" t="str">
        <f>IF($B144="","",($G144-$AH144)*$AA144)</f>
        <v/>
      </c>
      <c r="AW144" s="22" t="str">
        <f>IF($B144="","",IF($AJ144=0,0,($AH144-$AI144)*$AK144/$AJ144)*MAX($AA144,$AB144))</f>
        <v/>
      </c>
      <c r="AX144" s="22" t="str">
        <f>IF($B144="","",(AV144+AW144)*$AC144)</f>
        <v/>
      </c>
      <c r="AY144" s="22" t="str">
        <f>IF($B144="","",AV144+AW144-AX144)</f>
        <v/>
      </c>
      <c r="AZ144" s="22" t="str">
        <f>IF($B144="","",AO144-AY144)</f>
        <v/>
      </c>
      <c r="BA144" s="22" t="str">
        <f>IF($B144="","",IF($AC144=1,N($R144)-($G144-AX144),0))</f>
        <v/>
      </c>
      <c r="BB144" s="22" t="str">
        <f>IF($B144="","",ROUND(AQ144-AW144,0))</f>
        <v/>
      </c>
      <c r="BC144" s="22" t="str">
        <f>IF($B144="","",ROUND(BA144-AU144,0))</f>
        <v/>
      </c>
      <c r="BD144" s="22" t="str">
        <f>IF($B144="","",BB144+BC144)</f>
        <v/>
      </c>
      <c r="BE144" s="22" t="str">
        <f>IF($B144="","",ROUND(AV144-AP144,0))</f>
        <v/>
      </c>
      <c r="BF144" s="22" t="str">
        <f>IF($B144="","",ROUND(AT144-AZ144,0))</f>
        <v/>
      </c>
      <c r="BG144" s="22" t="str">
        <f>IF($B144="","",ROUND(BF144*TarifPPh,0))</f>
        <v/>
      </c>
      <c r="BH144" t="str">
        <f>IF($B144="","",IF($D144="","Kategori kosong",IF($F144="","Tgl perolehan kosong",IF(N($H144)&gt;$G144,"Residu &gt; harga perolehan",IF(AND(LEFT($U144,8)="Bangunan",$W144="Saldo Menurun"),"Bangunan wajib Garis Lurus (Ps.11 UU PPh)",IF(AND($S144="Unit Produksi",N($K144)=0),"Isi kapasitas unit",IF(AND(OR($S144="Garis Lurus",$S144="Saldo Menurun"),N($T144)&lt;=0),"Umur komersial kosong",IF(AND(OR($W144="Garis Lurus",$W144="Saldo Menurun"),N($V144)&lt;=0),"Masa manfaat fiskal kosong",IF(AND($Q144&lt;&gt;"",$Q144&lt;$F144),"Tgl pelepasan &lt; perolehan","OK")))))))))</f>
        <v/>
      </c>
    </row>
    <row r="145" spans="1:60" x14ac:dyDescent="0.25">
      <c r="A145" t="str">
        <f>IF($B145="","",ROW()-6)</f>
        <v/>
      </c>
      <c r="B145" s="9"/>
      <c r="C145" s="9"/>
      <c r="D145" s="9"/>
      <c r="E145" s="9"/>
      <c r="F145" s="17"/>
      <c r="G145" s="18"/>
      <c r="H145" s="18"/>
      <c r="I145" s="9"/>
      <c r="J145" s="9"/>
      <c r="K145" s="19"/>
      <c r="L145" s="19"/>
      <c r="M145" s="19"/>
      <c r="N145" s="9"/>
      <c r="O145" s="9"/>
      <c r="P145" s="9"/>
      <c r="Q145" s="17"/>
      <c r="R145" s="18"/>
      <c r="S145" t="str">
        <f>IF($B145="","",IF($I145&lt;&gt;"",$I145,IFERROR(INDEX(Kat_Metode,MATCH($D145,Kat_Nama,0)),"")))</f>
        <v/>
      </c>
      <c r="T145" t="str">
        <f>IF($B145="","",IF($J145&lt;&gt;"",$J145,IFERROR(INDEX(Kat_Umur,MATCH($D145,Kat_Nama,0)),0)))</f>
        <v/>
      </c>
      <c r="U145" t="str">
        <f>IF($B145="","",IF($N145&lt;&gt;"",$N145,IFERROR(INDEX(Kat_Kelompok,MATCH($D145,Kat_Nama,0)),"")))</f>
        <v/>
      </c>
      <c r="V145" t="str">
        <f>IF($B145="","",IF($U145="Masa Manfaat Sebenarnya",N($O145),IFERROR(INDEX(Kel_Masa,MATCH($U145,Kel_Nama,0)),0)))</f>
        <v/>
      </c>
      <c r="W145" t="str">
        <f>IF($B145="","",IF($P145&lt;&gt;"",$P145,IF(OR($U145="Tidak Disusutkan",$V145=0),"Tidak Disusutkan","Garis Lurus")))</f>
        <v/>
      </c>
      <c r="X145" t="str">
        <f>IF($B145="","",IF($Y145&gt;TahunBuku*12+12,"Belum Diperoleh",IF($Z145&lt;=TahunBuku*12,"Dilepas (thn lalu)",IF($AC145=1,"Dilepas thn ini",IF($AB145=1,"Perolehan baru","Aktif")))))</f>
        <v/>
      </c>
      <c r="Y145" s="20" t="str">
        <f>IF($B145="","",YEAR($F145)*12+MONTH($F145))</f>
        <v/>
      </c>
      <c r="Z145" s="20" t="str">
        <f>IF($B145="","",IF($Q145="",99999,YEAR($Q145)*12+MONTH($Q145)))</f>
        <v/>
      </c>
      <c r="AA145" s="20" t="str">
        <f>IF($B145="","",--AND($Y145&lt;=TahunBuku*12,$Z145&gt;TahunBuku*12))</f>
        <v/>
      </c>
      <c r="AB145" s="20" t="str">
        <f>IF($B145="","",--AND($Y145&gt;TahunBuku*12,$Y145&lt;=TahunBuku*12+12))</f>
        <v/>
      </c>
      <c r="AC145" s="20" t="str">
        <f>IF($B145="","",--AND($Z145&gt;TahunBuku*12,$Z145&lt;=TahunBuku*12+12,$Y145&lt;=$Z145))</f>
        <v/>
      </c>
      <c r="AD145" s="21" t="str">
        <f>IF($B145="","",IFERROR(IF($S145="Garis Lurus",$G145-($G145-$H145)*MIN($T145*12,MAX(0,TahunBuku*12-$Y145+1))/($T145*12),IF($S145="Saldo Menurun",IF(TahunBuku-1&lt;YEAR($F145),$G145,IF(TahunBuku-1&gt;=INT(($Y145+$T145*12-2)/12),$H145,MAX($H145,$G145*(1-2/$T145*(13-MONTH($F145))/12)*(1-2/$T145)^(TahunBuku-1-YEAR($F145))))),IF($S145="Unit Produksi",$G145-($G145-$H145)*MIN(1,N($L145)/$K145),$G145))),$G145))</f>
        <v/>
      </c>
      <c r="AE145" s="21" t="str">
        <f>IF($B145="","",IFERROR(IF($S145="Garis Lurus",$G145-($G145-$H145)*MIN($T145*12,MAX(0,TahunBuku*12+12-$Y145+1))/($T145*12),IF($S145="Saldo Menurun",IF(TahunBuku&lt;YEAR($F145),$G145,IF(TahunBuku&gt;=INT(($Y145+$T145*12-2)/12),$H145,MAX($H145,$G145*(1-2/$T145*(13-MONTH($F145))/12)*(1-2/$T145)^(TahunBuku-YEAR($F145))))),IF($S145="Unit Produksi",$G145-($G145-$H145)*MIN(1,(N($L145)+N($M145))/$K145),$G145))),$G145))</f>
        <v/>
      </c>
      <c r="AF145" s="20" t="str">
        <f>IF($B145="","",IF(OR($S145="Garis Lurus",$S145="Saldo Menurun",$S145="Unit Produksi"),MAX(0,IF($S145="Unit Produksi",TahunBuku*12+12,MIN(TahunBuku*12+12,$Y145+$T145*12-1))-MAX(TahunBuku*12+1,$Y145)+1),0))</f>
        <v/>
      </c>
      <c r="AG145" s="20" t="str">
        <f>IF($B145="","",IF(OR($S145="Garis Lurus",$S145="Saldo Menurun",$S145="Unit Produksi"),MAX(0,MIN($Z145,IF($S145="Unit Produksi",TahunBuku*12+12,MIN(TahunBuku*12+12,$Y145+$T145*12-1)))-MAX(TahunBuku*12+1,$Y145)+1),0))</f>
        <v/>
      </c>
      <c r="AH145" s="21" t="str">
        <f>IF($B145="","",IFERROR(IF($W145="Garis Lurus",$G145*(1-MIN($V145*12,MAX(0,TahunBuku*12-$Y145+1))/($V145*12)),IF($W145="Saldo Menurun",IF(TahunBuku-1&lt;YEAR($F145),$G145,IF(TahunBuku-1&gt;=INT(($Y145+$V145*12-2)/12),0,$G145*(1-2/$V145*(13-MONTH($F145))/12)*(1-2/$V145)^(TahunBuku-1-YEAR($F145)))),$G145)),$G145))</f>
        <v/>
      </c>
      <c r="AI145" s="21" t="str">
        <f>IF($B145="","",IFERROR(IF($W145="Garis Lurus",$G145*(1-MIN($V145*12,MAX(0,TahunBuku*12+12-$Y145+1))/($V145*12)),IF($W145="Saldo Menurun",IF(TahunBuku&lt;YEAR($F145),$G145,IF(TahunBuku&gt;=INT(($Y145+$V145*12-2)/12),0,$G145*(1-2/$V145*(13-MONTH($F145))/12)*(1-2/$V145)^(TahunBuku-YEAR($F145)))),$G145)),$G145))</f>
        <v/>
      </c>
      <c r="AJ145" s="20" t="str">
        <f>IF($B145="","",IF(OR($W145="Garis Lurus",$W145="Saldo Menurun"),MAX(0,MIN(TahunBuku*12+12,$Y145+$V145*12-1)-MAX(TahunBuku*12+1,$Y145)+1),0))</f>
        <v/>
      </c>
      <c r="AK145" s="20" t="str">
        <f>IF($B145="","",IF(OR($W145="Garis Lurus",$W145="Saldo Menurun"),MAX(0,MIN($Z145,TahunBuku*12+12,$Y145+$V145*12-1)-MAX(TahunBuku*12+1,$Y145)+1),0))</f>
        <v/>
      </c>
      <c r="AL145" s="22" t="str">
        <f>IF($B145="","",$G145*$AA145)</f>
        <v/>
      </c>
      <c r="AM145" s="22" t="str">
        <f>IF($B145="","",$G145*$AB145)</f>
        <v/>
      </c>
      <c r="AN145" s="22" t="str">
        <f>IF($B145="","",$G145*$AC145)</f>
        <v/>
      </c>
      <c r="AO145" s="22" t="str">
        <f>IF($B145="","",AL145+AM145-AN145)</f>
        <v/>
      </c>
      <c r="AP145" s="22" t="str">
        <f>IF($B145="","",($G145-$AD145)*$AA145)</f>
        <v/>
      </c>
      <c r="AQ145" s="22" t="str">
        <f>IF($B145="","",IF($AF145=0,0,($AD145-$AE145)*$AG145/$AF145)*MAX($AA145,$AB145))</f>
        <v/>
      </c>
      <c r="AR145" s="22" t="str">
        <f>IF($B145="","",(AP145+AQ145)*$AC145)</f>
        <v/>
      </c>
      <c r="AS145" s="22" t="str">
        <f>IF($B145="","",AP145+AQ145-AR145)</f>
        <v/>
      </c>
      <c r="AT145" s="22" t="str">
        <f>IF($B145="","",AO145-AS145)</f>
        <v/>
      </c>
      <c r="AU145" s="22" t="str">
        <f>IF($B145="","",IF($AC145=1,N($R145)-($G145-AR145),0))</f>
        <v/>
      </c>
      <c r="AV145" s="22" t="str">
        <f>IF($B145="","",($G145-$AH145)*$AA145)</f>
        <v/>
      </c>
      <c r="AW145" s="22" t="str">
        <f>IF($B145="","",IF($AJ145=0,0,($AH145-$AI145)*$AK145/$AJ145)*MAX($AA145,$AB145))</f>
        <v/>
      </c>
      <c r="AX145" s="22" t="str">
        <f>IF($B145="","",(AV145+AW145)*$AC145)</f>
        <v/>
      </c>
      <c r="AY145" s="22" t="str">
        <f>IF($B145="","",AV145+AW145-AX145)</f>
        <v/>
      </c>
      <c r="AZ145" s="22" t="str">
        <f>IF($B145="","",AO145-AY145)</f>
        <v/>
      </c>
      <c r="BA145" s="22" t="str">
        <f>IF($B145="","",IF($AC145=1,N($R145)-($G145-AX145),0))</f>
        <v/>
      </c>
      <c r="BB145" s="22" t="str">
        <f>IF($B145="","",ROUND(AQ145-AW145,0))</f>
        <v/>
      </c>
      <c r="BC145" s="22" t="str">
        <f>IF($B145="","",ROUND(BA145-AU145,0))</f>
        <v/>
      </c>
      <c r="BD145" s="22" t="str">
        <f>IF($B145="","",BB145+BC145)</f>
        <v/>
      </c>
      <c r="BE145" s="22" t="str">
        <f>IF($B145="","",ROUND(AV145-AP145,0))</f>
        <v/>
      </c>
      <c r="BF145" s="22" t="str">
        <f>IF($B145="","",ROUND(AT145-AZ145,0))</f>
        <v/>
      </c>
      <c r="BG145" s="22" t="str">
        <f>IF($B145="","",ROUND(BF145*TarifPPh,0))</f>
        <v/>
      </c>
      <c r="BH145" t="str">
        <f>IF($B145="","",IF($D145="","Kategori kosong",IF($F145="","Tgl perolehan kosong",IF(N($H145)&gt;$G145,"Residu &gt; harga perolehan",IF(AND(LEFT($U145,8)="Bangunan",$W145="Saldo Menurun"),"Bangunan wajib Garis Lurus (Ps.11 UU PPh)",IF(AND($S145="Unit Produksi",N($K145)=0),"Isi kapasitas unit",IF(AND(OR($S145="Garis Lurus",$S145="Saldo Menurun"),N($T145)&lt;=0),"Umur komersial kosong",IF(AND(OR($W145="Garis Lurus",$W145="Saldo Menurun"),N($V145)&lt;=0),"Masa manfaat fiskal kosong",IF(AND($Q145&lt;&gt;"",$Q145&lt;$F145),"Tgl pelepasan &lt; perolehan","OK")))))))))</f>
        <v/>
      </c>
    </row>
    <row r="146" spans="1:60" x14ac:dyDescent="0.25">
      <c r="A146" t="str">
        <f>IF($B146="","",ROW()-6)</f>
        <v/>
      </c>
      <c r="B146" s="9"/>
      <c r="C146" s="9"/>
      <c r="D146" s="9"/>
      <c r="E146" s="9"/>
      <c r="F146" s="17"/>
      <c r="G146" s="18"/>
      <c r="H146" s="18"/>
      <c r="I146" s="9"/>
      <c r="J146" s="9"/>
      <c r="K146" s="19"/>
      <c r="L146" s="19"/>
      <c r="M146" s="19"/>
      <c r="N146" s="9"/>
      <c r="O146" s="9"/>
      <c r="P146" s="9"/>
      <c r="Q146" s="17"/>
      <c r="R146" s="18"/>
      <c r="S146" t="str">
        <f>IF($B146="","",IF($I146&lt;&gt;"",$I146,IFERROR(INDEX(Kat_Metode,MATCH($D146,Kat_Nama,0)),"")))</f>
        <v/>
      </c>
      <c r="T146" t="str">
        <f>IF($B146="","",IF($J146&lt;&gt;"",$J146,IFERROR(INDEX(Kat_Umur,MATCH($D146,Kat_Nama,0)),0)))</f>
        <v/>
      </c>
      <c r="U146" t="str">
        <f>IF($B146="","",IF($N146&lt;&gt;"",$N146,IFERROR(INDEX(Kat_Kelompok,MATCH($D146,Kat_Nama,0)),"")))</f>
        <v/>
      </c>
      <c r="V146" t="str">
        <f>IF($B146="","",IF($U146="Masa Manfaat Sebenarnya",N($O146),IFERROR(INDEX(Kel_Masa,MATCH($U146,Kel_Nama,0)),0)))</f>
        <v/>
      </c>
      <c r="W146" t="str">
        <f>IF($B146="","",IF($P146&lt;&gt;"",$P146,IF(OR($U146="Tidak Disusutkan",$V146=0),"Tidak Disusutkan","Garis Lurus")))</f>
        <v/>
      </c>
      <c r="X146" t="str">
        <f>IF($B146="","",IF($Y146&gt;TahunBuku*12+12,"Belum Diperoleh",IF($Z146&lt;=TahunBuku*12,"Dilepas (thn lalu)",IF($AC146=1,"Dilepas thn ini",IF($AB146=1,"Perolehan baru","Aktif")))))</f>
        <v/>
      </c>
      <c r="Y146" s="20" t="str">
        <f>IF($B146="","",YEAR($F146)*12+MONTH($F146))</f>
        <v/>
      </c>
      <c r="Z146" s="20" t="str">
        <f>IF($B146="","",IF($Q146="",99999,YEAR($Q146)*12+MONTH($Q146)))</f>
        <v/>
      </c>
      <c r="AA146" s="20" t="str">
        <f>IF($B146="","",--AND($Y146&lt;=TahunBuku*12,$Z146&gt;TahunBuku*12))</f>
        <v/>
      </c>
      <c r="AB146" s="20" t="str">
        <f>IF($B146="","",--AND($Y146&gt;TahunBuku*12,$Y146&lt;=TahunBuku*12+12))</f>
        <v/>
      </c>
      <c r="AC146" s="20" t="str">
        <f>IF($B146="","",--AND($Z146&gt;TahunBuku*12,$Z146&lt;=TahunBuku*12+12,$Y146&lt;=$Z146))</f>
        <v/>
      </c>
      <c r="AD146" s="21" t="str">
        <f>IF($B146="","",IFERROR(IF($S146="Garis Lurus",$G146-($G146-$H146)*MIN($T146*12,MAX(0,TahunBuku*12-$Y146+1))/($T146*12),IF($S146="Saldo Menurun",IF(TahunBuku-1&lt;YEAR($F146),$G146,IF(TahunBuku-1&gt;=INT(($Y146+$T146*12-2)/12),$H146,MAX($H146,$G146*(1-2/$T146*(13-MONTH($F146))/12)*(1-2/$T146)^(TahunBuku-1-YEAR($F146))))),IF($S146="Unit Produksi",$G146-($G146-$H146)*MIN(1,N($L146)/$K146),$G146))),$G146))</f>
        <v/>
      </c>
      <c r="AE146" s="21" t="str">
        <f>IF($B146="","",IFERROR(IF($S146="Garis Lurus",$G146-($G146-$H146)*MIN($T146*12,MAX(0,TahunBuku*12+12-$Y146+1))/($T146*12),IF($S146="Saldo Menurun",IF(TahunBuku&lt;YEAR($F146),$G146,IF(TahunBuku&gt;=INT(($Y146+$T146*12-2)/12),$H146,MAX($H146,$G146*(1-2/$T146*(13-MONTH($F146))/12)*(1-2/$T146)^(TahunBuku-YEAR($F146))))),IF($S146="Unit Produksi",$G146-($G146-$H146)*MIN(1,(N($L146)+N($M146))/$K146),$G146))),$G146))</f>
        <v/>
      </c>
      <c r="AF146" s="20" t="str">
        <f>IF($B146="","",IF(OR($S146="Garis Lurus",$S146="Saldo Menurun",$S146="Unit Produksi"),MAX(0,IF($S146="Unit Produksi",TahunBuku*12+12,MIN(TahunBuku*12+12,$Y146+$T146*12-1))-MAX(TahunBuku*12+1,$Y146)+1),0))</f>
        <v/>
      </c>
      <c r="AG146" s="20" t="str">
        <f>IF($B146="","",IF(OR($S146="Garis Lurus",$S146="Saldo Menurun",$S146="Unit Produksi"),MAX(0,MIN($Z146,IF($S146="Unit Produksi",TahunBuku*12+12,MIN(TahunBuku*12+12,$Y146+$T146*12-1)))-MAX(TahunBuku*12+1,$Y146)+1),0))</f>
        <v/>
      </c>
      <c r="AH146" s="21" t="str">
        <f>IF($B146="","",IFERROR(IF($W146="Garis Lurus",$G146*(1-MIN($V146*12,MAX(0,TahunBuku*12-$Y146+1))/($V146*12)),IF($W146="Saldo Menurun",IF(TahunBuku-1&lt;YEAR($F146),$G146,IF(TahunBuku-1&gt;=INT(($Y146+$V146*12-2)/12),0,$G146*(1-2/$V146*(13-MONTH($F146))/12)*(1-2/$V146)^(TahunBuku-1-YEAR($F146)))),$G146)),$G146))</f>
        <v/>
      </c>
      <c r="AI146" s="21" t="str">
        <f>IF($B146="","",IFERROR(IF($W146="Garis Lurus",$G146*(1-MIN($V146*12,MAX(0,TahunBuku*12+12-$Y146+1))/($V146*12)),IF($W146="Saldo Menurun",IF(TahunBuku&lt;YEAR($F146),$G146,IF(TahunBuku&gt;=INT(($Y146+$V146*12-2)/12),0,$G146*(1-2/$V146*(13-MONTH($F146))/12)*(1-2/$V146)^(TahunBuku-YEAR($F146)))),$G146)),$G146))</f>
        <v/>
      </c>
      <c r="AJ146" s="20" t="str">
        <f>IF($B146="","",IF(OR($W146="Garis Lurus",$W146="Saldo Menurun"),MAX(0,MIN(TahunBuku*12+12,$Y146+$V146*12-1)-MAX(TahunBuku*12+1,$Y146)+1),0))</f>
        <v/>
      </c>
      <c r="AK146" s="20" t="str">
        <f>IF($B146="","",IF(OR($W146="Garis Lurus",$W146="Saldo Menurun"),MAX(0,MIN($Z146,TahunBuku*12+12,$Y146+$V146*12-1)-MAX(TahunBuku*12+1,$Y146)+1),0))</f>
        <v/>
      </c>
      <c r="AL146" s="22" t="str">
        <f>IF($B146="","",$G146*$AA146)</f>
        <v/>
      </c>
      <c r="AM146" s="22" t="str">
        <f>IF($B146="","",$G146*$AB146)</f>
        <v/>
      </c>
      <c r="AN146" s="22" t="str">
        <f>IF($B146="","",$G146*$AC146)</f>
        <v/>
      </c>
      <c r="AO146" s="22" t="str">
        <f>IF($B146="","",AL146+AM146-AN146)</f>
        <v/>
      </c>
      <c r="AP146" s="22" t="str">
        <f>IF($B146="","",($G146-$AD146)*$AA146)</f>
        <v/>
      </c>
      <c r="AQ146" s="22" t="str">
        <f>IF($B146="","",IF($AF146=0,0,($AD146-$AE146)*$AG146/$AF146)*MAX($AA146,$AB146))</f>
        <v/>
      </c>
      <c r="AR146" s="22" t="str">
        <f>IF($B146="","",(AP146+AQ146)*$AC146)</f>
        <v/>
      </c>
      <c r="AS146" s="22" t="str">
        <f>IF($B146="","",AP146+AQ146-AR146)</f>
        <v/>
      </c>
      <c r="AT146" s="22" t="str">
        <f>IF($B146="","",AO146-AS146)</f>
        <v/>
      </c>
      <c r="AU146" s="22" t="str">
        <f>IF($B146="","",IF($AC146=1,N($R146)-($G146-AR146),0))</f>
        <v/>
      </c>
      <c r="AV146" s="22" t="str">
        <f>IF($B146="","",($G146-$AH146)*$AA146)</f>
        <v/>
      </c>
      <c r="AW146" s="22" t="str">
        <f>IF($B146="","",IF($AJ146=0,0,($AH146-$AI146)*$AK146/$AJ146)*MAX($AA146,$AB146))</f>
        <v/>
      </c>
      <c r="AX146" s="22" t="str">
        <f>IF($B146="","",(AV146+AW146)*$AC146)</f>
        <v/>
      </c>
      <c r="AY146" s="22" t="str">
        <f>IF($B146="","",AV146+AW146-AX146)</f>
        <v/>
      </c>
      <c r="AZ146" s="22" t="str">
        <f>IF($B146="","",AO146-AY146)</f>
        <v/>
      </c>
      <c r="BA146" s="22" t="str">
        <f>IF($B146="","",IF($AC146=1,N($R146)-($G146-AX146),0))</f>
        <v/>
      </c>
      <c r="BB146" s="22" t="str">
        <f>IF($B146="","",ROUND(AQ146-AW146,0))</f>
        <v/>
      </c>
      <c r="BC146" s="22" t="str">
        <f>IF($B146="","",ROUND(BA146-AU146,0))</f>
        <v/>
      </c>
      <c r="BD146" s="22" t="str">
        <f>IF($B146="","",BB146+BC146)</f>
        <v/>
      </c>
      <c r="BE146" s="22" t="str">
        <f>IF($B146="","",ROUND(AV146-AP146,0))</f>
        <v/>
      </c>
      <c r="BF146" s="22" t="str">
        <f>IF($B146="","",ROUND(AT146-AZ146,0))</f>
        <v/>
      </c>
      <c r="BG146" s="22" t="str">
        <f>IF($B146="","",ROUND(BF146*TarifPPh,0))</f>
        <v/>
      </c>
      <c r="BH146" t="str">
        <f>IF($B146="","",IF($D146="","Kategori kosong",IF($F146="","Tgl perolehan kosong",IF(N($H146)&gt;$G146,"Residu &gt; harga perolehan",IF(AND(LEFT($U146,8)="Bangunan",$W146="Saldo Menurun"),"Bangunan wajib Garis Lurus (Ps.11 UU PPh)",IF(AND($S146="Unit Produksi",N($K146)=0),"Isi kapasitas unit",IF(AND(OR($S146="Garis Lurus",$S146="Saldo Menurun"),N($T146)&lt;=0),"Umur komersial kosong",IF(AND(OR($W146="Garis Lurus",$W146="Saldo Menurun"),N($V146)&lt;=0),"Masa manfaat fiskal kosong",IF(AND($Q146&lt;&gt;"",$Q146&lt;$F146),"Tgl pelepasan &lt; perolehan","OK")))))))))</f>
        <v/>
      </c>
    </row>
    <row r="147" spans="1:60" x14ac:dyDescent="0.25">
      <c r="A147" t="str">
        <f>IF($B147="","",ROW()-6)</f>
        <v/>
      </c>
      <c r="B147" s="9"/>
      <c r="C147" s="9"/>
      <c r="D147" s="9"/>
      <c r="E147" s="9"/>
      <c r="F147" s="17"/>
      <c r="G147" s="18"/>
      <c r="H147" s="18"/>
      <c r="I147" s="9"/>
      <c r="J147" s="9"/>
      <c r="K147" s="19"/>
      <c r="L147" s="19"/>
      <c r="M147" s="19"/>
      <c r="N147" s="9"/>
      <c r="O147" s="9"/>
      <c r="P147" s="9"/>
      <c r="Q147" s="17"/>
      <c r="R147" s="18"/>
      <c r="S147" t="str">
        <f>IF($B147="","",IF($I147&lt;&gt;"",$I147,IFERROR(INDEX(Kat_Metode,MATCH($D147,Kat_Nama,0)),"")))</f>
        <v/>
      </c>
      <c r="T147" t="str">
        <f>IF($B147="","",IF($J147&lt;&gt;"",$J147,IFERROR(INDEX(Kat_Umur,MATCH($D147,Kat_Nama,0)),0)))</f>
        <v/>
      </c>
      <c r="U147" t="str">
        <f>IF($B147="","",IF($N147&lt;&gt;"",$N147,IFERROR(INDEX(Kat_Kelompok,MATCH($D147,Kat_Nama,0)),"")))</f>
        <v/>
      </c>
      <c r="V147" t="str">
        <f>IF($B147="","",IF($U147="Masa Manfaat Sebenarnya",N($O147),IFERROR(INDEX(Kel_Masa,MATCH($U147,Kel_Nama,0)),0)))</f>
        <v/>
      </c>
      <c r="W147" t="str">
        <f>IF($B147="","",IF($P147&lt;&gt;"",$P147,IF(OR($U147="Tidak Disusutkan",$V147=0),"Tidak Disusutkan","Garis Lurus")))</f>
        <v/>
      </c>
      <c r="X147" t="str">
        <f>IF($B147="","",IF($Y147&gt;TahunBuku*12+12,"Belum Diperoleh",IF($Z147&lt;=TahunBuku*12,"Dilepas (thn lalu)",IF($AC147=1,"Dilepas thn ini",IF($AB147=1,"Perolehan baru","Aktif")))))</f>
        <v/>
      </c>
      <c r="Y147" s="20" t="str">
        <f>IF($B147="","",YEAR($F147)*12+MONTH($F147))</f>
        <v/>
      </c>
      <c r="Z147" s="20" t="str">
        <f>IF($B147="","",IF($Q147="",99999,YEAR($Q147)*12+MONTH($Q147)))</f>
        <v/>
      </c>
      <c r="AA147" s="20" t="str">
        <f>IF($B147="","",--AND($Y147&lt;=TahunBuku*12,$Z147&gt;TahunBuku*12))</f>
        <v/>
      </c>
      <c r="AB147" s="20" t="str">
        <f>IF($B147="","",--AND($Y147&gt;TahunBuku*12,$Y147&lt;=TahunBuku*12+12))</f>
        <v/>
      </c>
      <c r="AC147" s="20" t="str">
        <f>IF($B147="","",--AND($Z147&gt;TahunBuku*12,$Z147&lt;=TahunBuku*12+12,$Y147&lt;=$Z147))</f>
        <v/>
      </c>
      <c r="AD147" s="21" t="str">
        <f>IF($B147="","",IFERROR(IF($S147="Garis Lurus",$G147-($G147-$H147)*MIN($T147*12,MAX(0,TahunBuku*12-$Y147+1))/($T147*12),IF($S147="Saldo Menurun",IF(TahunBuku-1&lt;YEAR($F147),$G147,IF(TahunBuku-1&gt;=INT(($Y147+$T147*12-2)/12),$H147,MAX($H147,$G147*(1-2/$T147*(13-MONTH($F147))/12)*(1-2/$T147)^(TahunBuku-1-YEAR($F147))))),IF($S147="Unit Produksi",$G147-($G147-$H147)*MIN(1,N($L147)/$K147),$G147))),$G147))</f>
        <v/>
      </c>
      <c r="AE147" s="21" t="str">
        <f>IF($B147="","",IFERROR(IF($S147="Garis Lurus",$G147-($G147-$H147)*MIN($T147*12,MAX(0,TahunBuku*12+12-$Y147+1))/($T147*12),IF($S147="Saldo Menurun",IF(TahunBuku&lt;YEAR($F147),$G147,IF(TahunBuku&gt;=INT(($Y147+$T147*12-2)/12),$H147,MAX($H147,$G147*(1-2/$T147*(13-MONTH($F147))/12)*(1-2/$T147)^(TahunBuku-YEAR($F147))))),IF($S147="Unit Produksi",$G147-($G147-$H147)*MIN(1,(N($L147)+N($M147))/$K147),$G147))),$G147))</f>
        <v/>
      </c>
      <c r="AF147" s="20" t="str">
        <f>IF($B147="","",IF(OR($S147="Garis Lurus",$S147="Saldo Menurun",$S147="Unit Produksi"),MAX(0,IF($S147="Unit Produksi",TahunBuku*12+12,MIN(TahunBuku*12+12,$Y147+$T147*12-1))-MAX(TahunBuku*12+1,$Y147)+1),0))</f>
        <v/>
      </c>
      <c r="AG147" s="20" t="str">
        <f>IF($B147="","",IF(OR($S147="Garis Lurus",$S147="Saldo Menurun",$S147="Unit Produksi"),MAX(0,MIN($Z147,IF($S147="Unit Produksi",TahunBuku*12+12,MIN(TahunBuku*12+12,$Y147+$T147*12-1)))-MAX(TahunBuku*12+1,$Y147)+1),0))</f>
        <v/>
      </c>
      <c r="AH147" s="21" t="str">
        <f>IF($B147="","",IFERROR(IF($W147="Garis Lurus",$G147*(1-MIN($V147*12,MAX(0,TahunBuku*12-$Y147+1))/($V147*12)),IF($W147="Saldo Menurun",IF(TahunBuku-1&lt;YEAR($F147),$G147,IF(TahunBuku-1&gt;=INT(($Y147+$V147*12-2)/12),0,$G147*(1-2/$V147*(13-MONTH($F147))/12)*(1-2/$V147)^(TahunBuku-1-YEAR($F147)))),$G147)),$G147))</f>
        <v/>
      </c>
      <c r="AI147" s="21" t="str">
        <f>IF($B147="","",IFERROR(IF($W147="Garis Lurus",$G147*(1-MIN($V147*12,MAX(0,TahunBuku*12+12-$Y147+1))/($V147*12)),IF($W147="Saldo Menurun",IF(TahunBuku&lt;YEAR($F147),$G147,IF(TahunBuku&gt;=INT(($Y147+$V147*12-2)/12),0,$G147*(1-2/$V147*(13-MONTH($F147))/12)*(1-2/$V147)^(TahunBuku-YEAR($F147)))),$G147)),$G147))</f>
        <v/>
      </c>
      <c r="AJ147" s="20" t="str">
        <f>IF($B147="","",IF(OR($W147="Garis Lurus",$W147="Saldo Menurun"),MAX(0,MIN(TahunBuku*12+12,$Y147+$V147*12-1)-MAX(TahunBuku*12+1,$Y147)+1),0))</f>
        <v/>
      </c>
      <c r="AK147" s="20" t="str">
        <f>IF($B147="","",IF(OR($W147="Garis Lurus",$W147="Saldo Menurun"),MAX(0,MIN($Z147,TahunBuku*12+12,$Y147+$V147*12-1)-MAX(TahunBuku*12+1,$Y147)+1),0))</f>
        <v/>
      </c>
      <c r="AL147" s="22" t="str">
        <f>IF($B147="","",$G147*$AA147)</f>
        <v/>
      </c>
      <c r="AM147" s="22" t="str">
        <f>IF($B147="","",$G147*$AB147)</f>
        <v/>
      </c>
      <c r="AN147" s="22" t="str">
        <f>IF($B147="","",$G147*$AC147)</f>
        <v/>
      </c>
      <c r="AO147" s="22" t="str">
        <f>IF($B147="","",AL147+AM147-AN147)</f>
        <v/>
      </c>
      <c r="AP147" s="22" t="str">
        <f>IF($B147="","",($G147-$AD147)*$AA147)</f>
        <v/>
      </c>
      <c r="AQ147" s="22" t="str">
        <f>IF($B147="","",IF($AF147=0,0,($AD147-$AE147)*$AG147/$AF147)*MAX($AA147,$AB147))</f>
        <v/>
      </c>
      <c r="AR147" s="22" t="str">
        <f>IF($B147="","",(AP147+AQ147)*$AC147)</f>
        <v/>
      </c>
      <c r="AS147" s="22" t="str">
        <f>IF($B147="","",AP147+AQ147-AR147)</f>
        <v/>
      </c>
      <c r="AT147" s="22" t="str">
        <f>IF($B147="","",AO147-AS147)</f>
        <v/>
      </c>
      <c r="AU147" s="22" t="str">
        <f>IF($B147="","",IF($AC147=1,N($R147)-($G147-AR147),0))</f>
        <v/>
      </c>
      <c r="AV147" s="22" t="str">
        <f>IF($B147="","",($G147-$AH147)*$AA147)</f>
        <v/>
      </c>
      <c r="AW147" s="22" t="str">
        <f>IF($B147="","",IF($AJ147=0,0,($AH147-$AI147)*$AK147/$AJ147)*MAX($AA147,$AB147))</f>
        <v/>
      </c>
      <c r="AX147" s="22" t="str">
        <f>IF($B147="","",(AV147+AW147)*$AC147)</f>
        <v/>
      </c>
      <c r="AY147" s="22" t="str">
        <f>IF($B147="","",AV147+AW147-AX147)</f>
        <v/>
      </c>
      <c r="AZ147" s="22" t="str">
        <f>IF($B147="","",AO147-AY147)</f>
        <v/>
      </c>
      <c r="BA147" s="22" t="str">
        <f>IF($B147="","",IF($AC147=1,N($R147)-($G147-AX147),0))</f>
        <v/>
      </c>
      <c r="BB147" s="22" t="str">
        <f>IF($B147="","",ROUND(AQ147-AW147,0))</f>
        <v/>
      </c>
      <c r="BC147" s="22" t="str">
        <f>IF($B147="","",ROUND(BA147-AU147,0))</f>
        <v/>
      </c>
      <c r="BD147" s="22" t="str">
        <f>IF($B147="","",BB147+BC147)</f>
        <v/>
      </c>
      <c r="BE147" s="22" t="str">
        <f>IF($B147="","",ROUND(AV147-AP147,0))</f>
        <v/>
      </c>
      <c r="BF147" s="22" t="str">
        <f>IF($B147="","",ROUND(AT147-AZ147,0))</f>
        <v/>
      </c>
      <c r="BG147" s="22" t="str">
        <f>IF($B147="","",ROUND(BF147*TarifPPh,0))</f>
        <v/>
      </c>
      <c r="BH147" t="str">
        <f>IF($B147="","",IF($D147="","Kategori kosong",IF($F147="","Tgl perolehan kosong",IF(N($H147)&gt;$G147,"Residu &gt; harga perolehan",IF(AND(LEFT($U147,8)="Bangunan",$W147="Saldo Menurun"),"Bangunan wajib Garis Lurus (Ps.11 UU PPh)",IF(AND($S147="Unit Produksi",N($K147)=0),"Isi kapasitas unit",IF(AND(OR($S147="Garis Lurus",$S147="Saldo Menurun"),N($T147)&lt;=0),"Umur komersial kosong",IF(AND(OR($W147="Garis Lurus",$W147="Saldo Menurun"),N($V147)&lt;=0),"Masa manfaat fiskal kosong",IF(AND($Q147&lt;&gt;"",$Q147&lt;$F147),"Tgl pelepasan &lt; perolehan","OK")))))))))</f>
        <v/>
      </c>
    </row>
    <row r="148" spans="1:60" x14ac:dyDescent="0.25">
      <c r="A148" t="str">
        <f>IF($B148="","",ROW()-6)</f>
        <v/>
      </c>
      <c r="B148" s="9"/>
      <c r="C148" s="9"/>
      <c r="D148" s="9"/>
      <c r="E148" s="9"/>
      <c r="F148" s="17"/>
      <c r="G148" s="18"/>
      <c r="H148" s="18"/>
      <c r="I148" s="9"/>
      <c r="J148" s="9"/>
      <c r="K148" s="19"/>
      <c r="L148" s="19"/>
      <c r="M148" s="19"/>
      <c r="N148" s="9"/>
      <c r="O148" s="9"/>
      <c r="P148" s="9"/>
      <c r="Q148" s="17"/>
      <c r="R148" s="18"/>
      <c r="S148" t="str">
        <f>IF($B148="","",IF($I148&lt;&gt;"",$I148,IFERROR(INDEX(Kat_Metode,MATCH($D148,Kat_Nama,0)),"")))</f>
        <v/>
      </c>
      <c r="T148" t="str">
        <f>IF($B148="","",IF($J148&lt;&gt;"",$J148,IFERROR(INDEX(Kat_Umur,MATCH($D148,Kat_Nama,0)),0)))</f>
        <v/>
      </c>
      <c r="U148" t="str">
        <f>IF($B148="","",IF($N148&lt;&gt;"",$N148,IFERROR(INDEX(Kat_Kelompok,MATCH($D148,Kat_Nama,0)),"")))</f>
        <v/>
      </c>
      <c r="V148" t="str">
        <f>IF($B148="","",IF($U148="Masa Manfaat Sebenarnya",N($O148),IFERROR(INDEX(Kel_Masa,MATCH($U148,Kel_Nama,0)),0)))</f>
        <v/>
      </c>
      <c r="W148" t="str">
        <f>IF($B148="","",IF($P148&lt;&gt;"",$P148,IF(OR($U148="Tidak Disusutkan",$V148=0),"Tidak Disusutkan","Garis Lurus")))</f>
        <v/>
      </c>
      <c r="X148" t="str">
        <f>IF($B148="","",IF($Y148&gt;TahunBuku*12+12,"Belum Diperoleh",IF($Z148&lt;=TahunBuku*12,"Dilepas (thn lalu)",IF($AC148=1,"Dilepas thn ini",IF($AB148=1,"Perolehan baru","Aktif")))))</f>
        <v/>
      </c>
      <c r="Y148" s="20" t="str">
        <f>IF($B148="","",YEAR($F148)*12+MONTH($F148))</f>
        <v/>
      </c>
      <c r="Z148" s="20" t="str">
        <f>IF($B148="","",IF($Q148="",99999,YEAR($Q148)*12+MONTH($Q148)))</f>
        <v/>
      </c>
      <c r="AA148" s="20" t="str">
        <f>IF($B148="","",--AND($Y148&lt;=TahunBuku*12,$Z148&gt;TahunBuku*12))</f>
        <v/>
      </c>
      <c r="AB148" s="20" t="str">
        <f>IF($B148="","",--AND($Y148&gt;TahunBuku*12,$Y148&lt;=TahunBuku*12+12))</f>
        <v/>
      </c>
      <c r="AC148" s="20" t="str">
        <f>IF($B148="","",--AND($Z148&gt;TahunBuku*12,$Z148&lt;=TahunBuku*12+12,$Y148&lt;=$Z148))</f>
        <v/>
      </c>
      <c r="AD148" s="21" t="str">
        <f>IF($B148="","",IFERROR(IF($S148="Garis Lurus",$G148-($G148-$H148)*MIN($T148*12,MAX(0,TahunBuku*12-$Y148+1))/($T148*12),IF($S148="Saldo Menurun",IF(TahunBuku-1&lt;YEAR($F148),$G148,IF(TahunBuku-1&gt;=INT(($Y148+$T148*12-2)/12),$H148,MAX($H148,$G148*(1-2/$T148*(13-MONTH($F148))/12)*(1-2/$T148)^(TahunBuku-1-YEAR($F148))))),IF($S148="Unit Produksi",$G148-($G148-$H148)*MIN(1,N($L148)/$K148),$G148))),$G148))</f>
        <v/>
      </c>
      <c r="AE148" s="21" t="str">
        <f>IF($B148="","",IFERROR(IF($S148="Garis Lurus",$G148-($G148-$H148)*MIN($T148*12,MAX(0,TahunBuku*12+12-$Y148+1))/($T148*12),IF($S148="Saldo Menurun",IF(TahunBuku&lt;YEAR($F148),$G148,IF(TahunBuku&gt;=INT(($Y148+$T148*12-2)/12),$H148,MAX($H148,$G148*(1-2/$T148*(13-MONTH($F148))/12)*(1-2/$T148)^(TahunBuku-YEAR($F148))))),IF($S148="Unit Produksi",$G148-($G148-$H148)*MIN(1,(N($L148)+N($M148))/$K148),$G148))),$G148))</f>
        <v/>
      </c>
      <c r="AF148" s="20" t="str">
        <f>IF($B148="","",IF(OR($S148="Garis Lurus",$S148="Saldo Menurun",$S148="Unit Produksi"),MAX(0,IF($S148="Unit Produksi",TahunBuku*12+12,MIN(TahunBuku*12+12,$Y148+$T148*12-1))-MAX(TahunBuku*12+1,$Y148)+1),0))</f>
        <v/>
      </c>
      <c r="AG148" s="20" t="str">
        <f>IF($B148="","",IF(OR($S148="Garis Lurus",$S148="Saldo Menurun",$S148="Unit Produksi"),MAX(0,MIN($Z148,IF($S148="Unit Produksi",TahunBuku*12+12,MIN(TahunBuku*12+12,$Y148+$T148*12-1)))-MAX(TahunBuku*12+1,$Y148)+1),0))</f>
        <v/>
      </c>
      <c r="AH148" s="21" t="str">
        <f>IF($B148="","",IFERROR(IF($W148="Garis Lurus",$G148*(1-MIN($V148*12,MAX(0,TahunBuku*12-$Y148+1))/($V148*12)),IF($W148="Saldo Menurun",IF(TahunBuku-1&lt;YEAR($F148),$G148,IF(TahunBuku-1&gt;=INT(($Y148+$V148*12-2)/12),0,$G148*(1-2/$V148*(13-MONTH($F148))/12)*(1-2/$V148)^(TahunBuku-1-YEAR($F148)))),$G148)),$G148))</f>
        <v/>
      </c>
      <c r="AI148" s="21" t="str">
        <f>IF($B148="","",IFERROR(IF($W148="Garis Lurus",$G148*(1-MIN($V148*12,MAX(0,TahunBuku*12+12-$Y148+1))/($V148*12)),IF($W148="Saldo Menurun",IF(TahunBuku&lt;YEAR($F148),$G148,IF(TahunBuku&gt;=INT(($Y148+$V148*12-2)/12),0,$G148*(1-2/$V148*(13-MONTH($F148))/12)*(1-2/$V148)^(TahunBuku-YEAR($F148)))),$G148)),$G148))</f>
        <v/>
      </c>
      <c r="AJ148" s="20" t="str">
        <f>IF($B148="","",IF(OR($W148="Garis Lurus",$W148="Saldo Menurun"),MAX(0,MIN(TahunBuku*12+12,$Y148+$V148*12-1)-MAX(TahunBuku*12+1,$Y148)+1),0))</f>
        <v/>
      </c>
      <c r="AK148" s="20" t="str">
        <f>IF($B148="","",IF(OR($W148="Garis Lurus",$W148="Saldo Menurun"),MAX(0,MIN($Z148,TahunBuku*12+12,$Y148+$V148*12-1)-MAX(TahunBuku*12+1,$Y148)+1),0))</f>
        <v/>
      </c>
      <c r="AL148" s="22" t="str">
        <f>IF($B148="","",$G148*$AA148)</f>
        <v/>
      </c>
      <c r="AM148" s="22" t="str">
        <f>IF($B148="","",$G148*$AB148)</f>
        <v/>
      </c>
      <c r="AN148" s="22" t="str">
        <f>IF($B148="","",$G148*$AC148)</f>
        <v/>
      </c>
      <c r="AO148" s="22" t="str">
        <f>IF($B148="","",AL148+AM148-AN148)</f>
        <v/>
      </c>
      <c r="AP148" s="22" t="str">
        <f>IF($B148="","",($G148-$AD148)*$AA148)</f>
        <v/>
      </c>
      <c r="AQ148" s="22" t="str">
        <f>IF($B148="","",IF($AF148=0,0,($AD148-$AE148)*$AG148/$AF148)*MAX($AA148,$AB148))</f>
        <v/>
      </c>
      <c r="AR148" s="22" t="str">
        <f>IF($B148="","",(AP148+AQ148)*$AC148)</f>
        <v/>
      </c>
      <c r="AS148" s="22" t="str">
        <f>IF($B148="","",AP148+AQ148-AR148)</f>
        <v/>
      </c>
      <c r="AT148" s="22" t="str">
        <f>IF($B148="","",AO148-AS148)</f>
        <v/>
      </c>
      <c r="AU148" s="22" t="str">
        <f>IF($B148="","",IF($AC148=1,N($R148)-($G148-AR148),0))</f>
        <v/>
      </c>
      <c r="AV148" s="22" t="str">
        <f>IF($B148="","",($G148-$AH148)*$AA148)</f>
        <v/>
      </c>
      <c r="AW148" s="22" t="str">
        <f>IF($B148="","",IF($AJ148=0,0,($AH148-$AI148)*$AK148/$AJ148)*MAX($AA148,$AB148))</f>
        <v/>
      </c>
      <c r="AX148" s="22" t="str">
        <f>IF($B148="","",(AV148+AW148)*$AC148)</f>
        <v/>
      </c>
      <c r="AY148" s="22" t="str">
        <f>IF($B148="","",AV148+AW148-AX148)</f>
        <v/>
      </c>
      <c r="AZ148" s="22" t="str">
        <f>IF($B148="","",AO148-AY148)</f>
        <v/>
      </c>
      <c r="BA148" s="22" t="str">
        <f>IF($B148="","",IF($AC148=1,N($R148)-($G148-AX148),0))</f>
        <v/>
      </c>
      <c r="BB148" s="22" t="str">
        <f>IF($B148="","",ROUND(AQ148-AW148,0))</f>
        <v/>
      </c>
      <c r="BC148" s="22" t="str">
        <f>IF($B148="","",ROUND(BA148-AU148,0))</f>
        <v/>
      </c>
      <c r="BD148" s="22" t="str">
        <f>IF($B148="","",BB148+BC148)</f>
        <v/>
      </c>
      <c r="BE148" s="22" t="str">
        <f>IF($B148="","",ROUND(AV148-AP148,0))</f>
        <v/>
      </c>
      <c r="BF148" s="22" t="str">
        <f>IF($B148="","",ROUND(AT148-AZ148,0))</f>
        <v/>
      </c>
      <c r="BG148" s="22" t="str">
        <f>IF($B148="","",ROUND(BF148*TarifPPh,0))</f>
        <v/>
      </c>
      <c r="BH148" t="str">
        <f>IF($B148="","",IF($D148="","Kategori kosong",IF($F148="","Tgl perolehan kosong",IF(N($H148)&gt;$G148,"Residu &gt; harga perolehan",IF(AND(LEFT($U148,8)="Bangunan",$W148="Saldo Menurun"),"Bangunan wajib Garis Lurus (Ps.11 UU PPh)",IF(AND($S148="Unit Produksi",N($K148)=0),"Isi kapasitas unit",IF(AND(OR($S148="Garis Lurus",$S148="Saldo Menurun"),N($T148)&lt;=0),"Umur komersial kosong",IF(AND(OR($W148="Garis Lurus",$W148="Saldo Menurun"),N($V148)&lt;=0),"Masa manfaat fiskal kosong",IF(AND($Q148&lt;&gt;"",$Q148&lt;$F148),"Tgl pelepasan &lt; perolehan","OK")))))))))</f>
        <v/>
      </c>
    </row>
    <row r="149" spans="1:60" x14ac:dyDescent="0.25">
      <c r="A149" t="str">
        <f>IF($B149="","",ROW()-6)</f>
        <v/>
      </c>
      <c r="B149" s="9"/>
      <c r="C149" s="9"/>
      <c r="D149" s="9"/>
      <c r="E149" s="9"/>
      <c r="F149" s="17"/>
      <c r="G149" s="18"/>
      <c r="H149" s="18"/>
      <c r="I149" s="9"/>
      <c r="J149" s="9"/>
      <c r="K149" s="19"/>
      <c r="L149" s="19"/>
      <c r="M149" s="19"/>
      <c r="N149" s="9"/>
      <c r="O149" s="9"/>
      <c r="P149" s="9"/>
      <c r="Q149" s="17"/>
      <c r="R149" s="18"/>
      <c r="S149" t="str">
        <f>IF($B149="","",IF($I149&lt;&gt;"",$I149,IFERROR(INDEX(Kat_Metode,MATCH($D149,Kat_Nama,0)),"")))</f>
        <v/>
      </c>
      <c r="T149" t="str">
        <f>IF($B149="","",IF($J149&lt;&gt;"",$J149,IFERROR(INDEX(Kat_Umur,MATCH($D149,Kat_Nama,0)),0)))</f>
        <v/>
      </c>
      <c r="U149" t="str">
        <f>IF($B149="","",IF($N149&lt;&gt;"",$N149,IFERROR(INDEX(Kat_Kelompok,MATCH($D149,Kat_Nama,0)),"")))</f>
        <v/>
      </c>
      <c r="V149" t="str">
        <f>IF($B149="","",IF($U149="Masa Manfaat Sebenarnya",N($O149),IFERROR(INDEX(Kel_Masa,MATCH($U149,Kel_Nama,0)),0)))</f>
        <v/>
      </c>
      <c r="W149" t="str">
        <f>IF($B149="","",IF($P149&lt;&gt;"",$P149,IF(OR($U149="Tidak Disusutkan",$V149=0),"Tidak Disusutkan","Garis Lurus")))</f>
        <v/>
      </c>
      <c r="X149" t="str">
        <f>IF($B149="","",IF($Y149&gt;TahunBuku*12+12,"Belum Diperoleh",IF($Z149&lt;=TahunBuku*12,"Dilepas (thn lalu)",IF($AC149=1,"Dilepas thn ini",IF($AB149=1,"Perolehan baru","Aktif")))))</f>
        <v/>
      </c>
      <c r="Y149" s="20" t="str">
        <f>IF($B149="","",YEAR($F149)*12+MONTH($F149))</f>
        <v/>
      </c>
      <c r="Z149" s="20" t="str">
        <f>IF($B149="","",IF($Q149="",99999,YEAR($Q149)*12+MONTH($Q149)))</f>
        <v/>
      </c>
      <c r="AA149" s="20" t="str">
        <f>IF($B149="","",--AND($Y149&lt;=TahunBuku*12,$Z149&gt;TahunBuku*12))</f>
        <v/>
      </c>
      <c r="AB149" s="20" t="str">
        <f>IF($B149="","",--AND($Y149&gt;TahunBuku*12,$Y149&lt;=TahunBuku*12+12))</f>
        <v/>
      </c>
      <c r="AC149" s="20" t="str">
        <f>IF($B149="","",--AND($Z149&gt;TahunBuku*12,$Z149&lt;=TahunBuku*12+12,$Y149&lt;=$Z149))</f>
        <v/>
      </c>
      <c r="AD149" s="21" t="str">
        <f>IF($B149="","",IFERROR(IF($S149="Garis Lurus",$G149-($G149-$H149)*MIN($T149*12,MAX(0,TahunBuku*12-$Y149+1))/($T149*12),IF($S149="Saldo Menurun",IF(TahunBuku-1&lt;YEAR($F149),$G149,IF(TahunBuku-1&gt;=INT(($Y149+$T149*12-2)/12),$H149,MAX($H149,$G149*(1-2/$T149*(13-MONTH($F149))/12)*(1-2/$T149)^(TahunBuku-1-YEAR($F149))))),IF($S149="Unit Produksi",$G149-($G149-$H149)*MIN(1,N($L149)/$K149),$G149))),$G149))</f>
        <v/>
      </c>
      <c r="AE149" s="21" t="str">
        <f>IF($B149="","",IFERROR(IF($S149="Garis Lurus",$G149-($G149-$H149)*MIN($T149*12,MAX(0,TahunBuku*12+12-$Y149+1))/($T149*12),IF($S149="Saldo Menurun",IF(TahunBuku&lt;YEAR($F149),$G149,IF(TahunBuku&gt;=INT(($Y149+$T149*12-2)/12),$H149,MAX($H149,$G149*(1-2/$T149*(13-MONTH($F149))/12)*(1-2/$T149)^(TahunBuku-YEAR($F149))))),IF($S149="Unit Produksi",$G149-($G149-$H149)*MIN(1,(N($L149)+N($M149))/$K149),$G149))),$G149))</f>
        <v/>
      </c>
      <c r="AF149" s="20" t="str">
        <f>IF($B149="","",IF(OR($S149="Garis Lurus",$S149="Saldo Menurun",$S149="Unit Produksi"),MAX(0,IF($S149="Unit Produksi",TahunBuku*12+12,MIN(TahunBuku*12+12,$Y149+$T149*12-1))-MAX(TahunBuku*12+1,$Y149)+1),0))</f>
        <v/>
      </c>
      <c r="AG149" s="20" t="str">
        <f>IF($B149="","",IF(OR($S149="Garis Lurus",$S149="Saldo Menurun",$S149="Unit Produksi"),MAX(0,MIN($Z149,IF($S149="Unit Produksi",TahunBuku*12+12,MIN(TahunBuku*12+12,$Y149+$T149*12-1)))-MAX(TahunBuku*12+1,$Y149)+1),0))</f>
        <v/>
      </c>
      <c r="AH149" s="21" t="str">
        <f>IF($B149="","",IFERROR(IF($W149="Garis Lurus",$G149*(1-MIN($V149*12,MAX(0,TahunBuku*12-$Y149+1))/($V149*12)),IF($W149="Saldo Menurun",IF(TahunBuku-1&lt;YEAR($F149),$G149,IF(TahunBuku-1&gt;=INT(($Y149+$V149*12-2)/12),0,$G149*(1-2/$V149*(13-MONTH($F149))/12)*(1-2/$V149)^(TahunBuku-1-YEAR($F149)))),$G149)),$G149))</f>
        <v/>
      </c>
      <c r="AI149" s="21" t="str">
        <f>IF($B149="","",IFERROR(IF($W149="Garis Lurus",$G149*(1-MIN($V149*12,MAX(0,TahunBuku*12+12-$Y149+1))/($V149*12)),IF($W149="Saldo Menurun",IF(TahunBuku&lt;YEAR($F149),$G149,IF(TahunBuku&gt;=INT(($Y149+$V149*12-2)/12),0,$G149*(1-2/$V149*(13-MONTH($F149))/12)*(1-2/$V149)^(TahunBuku-YEAR($F149)))),$G149)),$G149))</f>
        <v/>
      </c>
      <c r="AJ149" s="20" t="str">
        <f>IF($B149="","",IF(OR($W149="Garis Lurus",$W149="Saldo Menurun"),MAX(0,MIN(TahunBuku*12+12,$Y149+$V149*12-1)-MAX(TahunBuku*12+1,$Y149)+1),0))</f>
        <v/>
      </c>
      <c r="AK149" s="20" t="str">
        <f>IF($B149="","",IF(OR($W149="Garis Lurus",$W149="Saldo Menurun"),MAX(0,MIN($Z149,TahunBuku*12+12,$Y149+$V149*12-1)-MAX(TahunBuku*12+1,$Y149)+1),0))</f>
        <v/>
      </c>
      <c r="AL149" s="22" t="str">
        <f>IF($B149="","",$G149*$AA149)</f>
        <v/>
      </c>
      <c r="AM149" s="22" t="str">
        <f>IF($B149="","",$G149*$AB149)</f>
        <v/>
      </c>
      <c r="AN149" s="22" t="str">
        <f>IF($B149="","",$G149*$AC149)</f>
        <v/>
      </c>
      <c r="AO149" s="22" t="str">
        <f>IF($B149="","",AL149+AM149-AN149)</f>
        <v/>
      </c>
      <c r="AP149" s="22" t="str">
        <f>IF($B149="","",($G149-$AD149)*$AA149)</f>
        <v/>
      </c>
      <c r="AQ149" s="22" t="str">
        <f>IF($B149="","",IF($AF149=0,0,($AD149-$AE149)*$AG149/$AF149)*MAX($AA149,$AB149))</f>
        <v/>
      </c>
      <c r="AR149" s="22" t="str">
        <f>IF($B149="","",(AP149+AQ149)*$AC149)</f>
        <v/>
      </c>
      <c r="AS149" s="22" t="str">
        <f>IF($B149="","",AP149+AQ149-AR149)</f>
        <v/>
      </c>
      <c r="AT149" s="22" t="str">
        <f>IF($B149="","",AO149-AS149)</f>
        <v/>
      </c>
      <c r="AU149" s="22" t="str">
        <f>IF($B149="","",IF($AC149=1,N($R149)-($G149-AR149),0))</f>
        <v/>
      </c>
      <c r="AV149" s="22" t="str">
        <f>IF($B149="","",($G149-$AH149)*$AA149)</f>
        <v/>
      </c>
      <c r="AW149" s="22" t="str">
        <f>IF($B149="","",IF($AJ149=0,0,($AH149-$AI149)*$AK149/$AJ149)*MAX($AA149,$AB149))</f>
        <v/>
      </c>
      <c r="AX149" s="22" t="str">
        <f>IF($B149="","",(AV149+AW149)*$AC149)</f>
        <v/>
      </c>
      <c r="AY149" s="22" t="str">
        <f>IF($B149="","",AV149+AW149-AX149)</f>
        <v/>
      </c>
      <c r="AZ149" s="22" t="str">
        <f>IF($B149="","",AO149-AY149)</f>
        <v/>
      </c>
      <c r="BA149" s="22" t="str">
        <f>IF($B149="","",IF($AC149=1,N($R149)-($G149-AX149),0))</f>
        <v/>
      </c>
      <c r="BB149" s="22" t="str">
        <f>IF($B149="","",ROUND(AQ149-AW149,0))</f>
        <v/>
      </c>
      <c r="BC149" s="22" t="str">
        <f>IF($B149="","",ROUND(BA149-AU149,0))</f>
        <v/>
      </c>
      <c r="BD149" s="22" t="str">
        <f>IF($B149="","",BB149+BC149)</f>
        <v/>
      </c>
      <c r="BE149" s="22" t="str">
        <f>IF($B149="","",ROUND(AV149-AP149,0))</f>
        <v/>
      </c>
      <c r="BF149" s="22" t="str">
        <f>IF($B149="","",ROUND(AT149-AZ149,0))</f>
        <v/>
      </c>
      <c r="BG149" s="22" t="str">
        <f>IF($B149="","",ROUND(BF149*TarifPPh,0))</f>
        <v/>
      </c>
      <c r="BH149" t="str">
        <f>IF($B149="","",IF($D149="","Kategori kosong",IF($F149="","Tgl perolehan kosong",IF(N($H149)&gt;$G149,"Residu &gt; harga perolehan",IF(AND(LEFT($U149,8)="Bangunan",$W149="Saldo Menurun"),"Bangunan wajib Garis Lurus (Ps.11 UU PPh)",IF(AND($S149="Unit Produksi",N($K149)=0),"Isi kapasitas unit",IF(AND(OR($S149="Garis Lurus",$S149="Saldo Menurun"),N($T149)&lt;=0),"Umur komersial kosong",IF(AND(OR($W149="Garis Lurus",$W149="Saldo Menurun"),N($V149)&lt;=0),"Masa manfaat fiskal kosong",IF(AND($Q149&lt;&gt;"",$Q149&lt;$F149),"Tgl pelepasan &lt; perolehan","OK")))))))))</f>
        <v/>
      </c>
    </row>
    <row r="150" spans="1:60" x14ac:dyDescent="0.25">
      <c r="A150" t="str">
        <f>IF($B150="","",ROW()-6)</f>
        <v/>
      </c>
      <c r="B150" s="9"/>
      <c r="C150" s="9"/>
      <c r="D150" s="9"/>
      <c r="E150" s="9"/>
      <c r="F150" s="17"/>
      <c r="G150" s="18"/>
      <c r="H150" s="18"/>
      <c r="I150" s="9"/>
      <c r="J150" s="9"/>
      <c r="K150" s="19"/>
      <c r="L150" s="19"/>
      <c r="M150" s="19"/>
      <c r="N150" s="9"/>
      <c r="O150" s="9"/>
      <c r="P150" s="9"/>
      <c r="Q150" s="17"/>
      <c r="R150" s="18"/>
      <c r="S150" t="str">
        <f>IF($B150="","",IF($I150&lt;&gt;"",$I150,IFERROR(INDEX(Kat_Metode,MATCH($D150,Kat_Nama,0)),"")))</f>
        <v/>
      </c>
      <c r="T150" t="str">
        <f>IF($B150="","",IF($J150&lt;&gt;"",$J150,IFERROR(INDEX(Kat_Umur,MATCH($D150,Kat_Nama,0)),0)))</f>
        <v/>
      </c>
      <c r="U150" t="str">
        <f>IF($B150="","",IF($N150&lt;&gt;"",$N150,IFERROR(INDEX(Kat_Kelompok,MATCH($D150,Kat_Nama,0)),"")))</f>
        <v/>
      </c>
      <c r="V150" t="str">
        <f>IF($B150="","",IF($U150="Masa Manfaat Sebenarnya",N($O150),IFERROR(INDEX(Kel_Masa,MATCH($U150,Kel_Nama,0)),0)))</f>
        <v/>
      </c>
      <c r="W150" t="str">
        <f>IF($B150="","",IF($P150&lt;&gt;"",$P150,IF(OR($U150="Tidak Disusutkan",$V150=0),"Tidak Disusutkan","Garis Lurus")))</f>
        <v/>
      </c>
      <c r="X150" t="str">
        <f>IF($B150="","",IF($Y150&gt;TahunBuku*12+12,"Belum Diperoleh",IF($Z150&lt;=TahunBuku*12,"Dilepas (thn lalu)",IF($AC150=1,"Dilepas thn ini",IF($AB150=1,"Perolehan baru","Aktif")))))</f>
        <v/>
      </c>
      <c r="Y150" s="20" t="str">
        <f>IF($B150="","",YEAR($F150)*12+MONTH($F150))</f>
        <v/>
      </c>
      <c r="Z150" s="20" t="str">
        <f>IF($B150="","",IF($Q150="",99999,YEAR($Q150)*12+MONTH($Q150)))</f>
        <v/>
      </c>
      <c r="AA150" s="20" t="str">
        <f>IF($B150="","",--AND($Y150&lt;=TahunBuku*12,$Z150&gt;TahunBuku*12))</f>
        <v/>
      </c>
      <c r="AB150" s="20" t="str">
        <f>IF($B150="","",--AND($Y150&gt;TahunBuku*12,$Y150&lt;=TahunBuku*12+12))</f>
        <v/>
      </c>
      <c r="AC150" s="20" t="str">
        <f>IF($B150="","",--AND($Z150&gt;TahunBuku*12,$Z150&lt;=TahunBuku*12+12,$Y150&lt;=$Z150))</f>
        <v/>
      </c>
      <c r="AD150" s="21" t="str">
        <f>IF($B150="","",IFERROR(IF($S150="Garis Lurus",$G150-($G150-$H150)*MIN($T150*12,MAX(0,TahunBuku*12-$Y150+1))/($T150*12),IF($S150="Saldo Menurun",IF(TahunBuku-1&lt;YEAR($F150),$G150,IF(TahunBuku-1&gt;=INT(($Y150+$T150*12-2)/12),$H150,MAX($H150,$G150*(1-2/$T150*(13-MONTH($F150))/12)*(1-2/$T150)^(TahunBuku-1-YEAR($F150))))),IF($S150="Unit Produksi",$G150-($G150-$H150)*MIN(1,N($L150)/$K150),$G150))),$G150))</f>
        <v/>
      </c>
      <c r="AE150" s="21" t="str">
        <f>IF($B150="","",IFERROR(IF($S150="Garis Lurus",$G150-($G150-$H150)*MIN($T150*12,MAX(0,TahunBuku*12+12-$Y150+1))/($T150*12),IF($S150="Saldo Menurun",IF(TahunBuku&lt;YEAR($F150),$G150,IF(TahunBuku&gt;=INT(($Y150+$T150*12-2)/12),$H150,MAX($H150,$G150*(1-2/$T150*(13-MONTH($F150))/12)*(1-2/$T150)^(TahunBuku-YEAR($F150))))),IF($S150="Unit Produksi",$G150-($G150-$H150)*MIN(1,(N($L150)+N($M150))/$K150),$G150))),$G150))</f>
        <v/>
      </c>
      <c r="AF150" s="20" t="str">
        <f>IF($B150="","",IF(OR($S150="Garis Lurus",$S150="Saldo Menurun",$S150="Unit Produksi"),MAX(0,IF($S150="Unit Produksi",TahunBuku*12+12,MIN(TahunBuku*12+12,$Y150+$T150*12-1))-MAX(TahunBuku*12+1,$Y150)+1),0))</f>
        <v/>
      </c>
      <c r="AG150" s="20" t="str">
        <f>IF($B150="","",IF(OR($S150="Garis Lurus",$S150="Saldo Menurun",$S150="Unit Produksi"),MAX(0,MIN($Z150,IF($S150="Unit Produksi",TahunBuku*12+12,MIN(TahunBuku*12+12,$Y150+$T150*12-1)))-MAX(TahunBuku*12+1,$Y150)+1),0))</f>
        <v/>
      </c>
      <c r="AH150" s="21" t="str">
        <f>IF($B150="","",IFERROR(IF($W150="Garis Lurus",$G150*(1-MIN($V150*12,MAX(0,TahunBuku*12-$Y150+1))/($V150*12)),IF($W150="Saldo Menurun",IF(TahunBuku-1&lt;YEAR($F150),$G150,IF(TahunBuku-1&gt;=INT(($Y150+$V150*12-2)/12),0,$G150*(1-2/$V150*(13-MONTH($F150))/12)*(1-2/$V150)^(TahunBuku-1-YEAR($F150)))),$G150)),$G150))</f>
        <v/>
      </c>
      <c r="AI150" s="21" t="str">
        <f>IF($B150="","",IFERROR(IF($W150="Garis Lurus",$G150*(1-MIN($V150*12,MAX(0,TahunBuku*12+12-$Y150+1))/($V150*12)),IF($W150="Saldo Menurun",IF(TahunBuku&lt;YEAR($F150),$G150,IF(TahunBuku&gt;=INT(($Y150+$V150*12-2)/12),0,$G150*(1-2/$V150*(13-MONTH($F150))/12)*(1-2/$V150)^(TahunBuku-YEAR($F150)))),$G150)),$G150))</f>
        <v/>
      </c>
      <c r="AJ150" s="20" t="str">
        <f>IF($B150="","",IF(OR($W150="Garis Lurus",$W150="Saldo Menurun"),MAX(0,MIN(TahunBuku*12+12,$Y150+$V150*12-1)-MAX(TahunBuku*12+1,$Y150)+1),0))</f>
        <v/>
      </c>
      <c r="AK150" s="20" t="str">
        <f>IF($B150="","",IF(OR($W150="Garis Lurus",$W150="Saldo Menurun"),MAX(0,MIN($Z150,TahunBuku*12+12,$Y150+$V150*12-1)-MAX(TahunBuku*12+1,$Y150)+1),0))</f>
        <v/>
      </c>
      <c r="AL150" s="22" t="str">
        <f>IF($B150="","",$G150*$AA150)</f>
        <v/>
      </c>
      <c r="AM150" s="22" t="str">
        <f>IF($B150="","",$G150*$AB150)</f>
        <v/>
      </c>
      <c r="AN150" s="22" t="str">
        <f>IF($B150="","",$G150*$AC150)</f>
        <v/>
      </c>
      <c r="AO150" s="22" t="str">
        <f>IF($B150="","",AL150+AM150-AN150)</f>
        <v/>
      </c>
      <c r="AP150" s="22" t="str">
        <f>IF($B150="","",($G150-$AD150)*$AA150)</f>
        <v/>
      </c>
      <c r="AQ150" s="22" t="str">
        <f>IF($B150="","",IF($AF150=0,0,($AD150-$AE150)*$AG150/$AF150)*MAX($AA150,$AB150))</f>
        <v/>
      </c>
      <c r="AR150" s="22" t="str">
        <f>IF($B150="","",(AP150+AQ150)*$AC150)</f>
        <v/>
      </c>
      <c r="AS150" s="22" t="str">
        <f>IF($B150="","",AP150+AQ150-AR150)</f>
        <v/>
      </c>
      <c r="AT150" s="22" t="str">
        <f>IF($B150="","",AO150-AS150)</f>
        <v/>
      </c>
      <c r="AU150" s="22" t="str">
        <f>IF($B150="","",IF($AC150=1,N($R150)-($G150-AR150),0))</f>
        <v/>
      </c>
      <c r="AV150" s="22" t="str">
        <f>IF($B150="","",($G150-$AH150)*$AA150)</f>
        <v/>
      </c>
      <c r="AW150" s="22" t="str">
        <f>IF($B150="","",IF($AJ150=0,0,($AH150-$AI150)*$AK150/$AJ150)*MAX($AA150,$AB150))</f>
        <v/>
      </c>
      <c r="AX150" s="22" t="str">
        <f>IF($B150="","",(AV150+AW150)*$AC150)</f>
        <v/>
      </c>
      <c r="AY150" s="22" t="str">
        <f>IF($B150="","",AV150+AW150-AX150)</f>
        <v/>
      </c>
      <c r="AZ150" s="22" t="str">
        <f>IF($B150="","",AO150-AY150)</f>
        <v/>
      </c>
      <c r="BA150" s="22" t="str">
        <f>IF($B150="","",IF($AC150=1,N($R150)-($G150-AX150),0))</f>
        <v/>
      </c>
      <c r="BB150" s="22" t="str">
        <f>IF($B150="","",ROUND(AQ150-AW150,0))</f>
        <v/>
      </c>
      <c r="BC150" s="22" t="str">
        <f>IF($B150="","",ROUND(BA150-AU150,0))</f>
        <v/>
      </c>
      <c r="BD150" s="22" t="str">
        <f>IF($B150="","",BB150+BC150)</f>
        <v/>
      </c>
      <c r="BE150" s="22" t="str">
        <f>IF($B150="","",ROUND(AV150-AP150,0))</f>
        <v/>
      </c>
      <c r="BF150" s="22" t="str">
        <f>IF($B150="","",ROUND(AT150-AZ150,0))</f>
        <v/>
      </c>
      <c r="BG150" s="22" t="str">
        <f>IF($B150="","",ROUND(BF150*TarifPPh,0))</f>
        <v/>
      </c>
      <c r="BH150" t="str">
        <f>IF($B150="","",IF($D150="","Kategori kosong",IF($F150="","Tgl perolehan kosong",IF(N($H150)&gt;$G150,"Residu &gt; harga perolehan",IF(AND(LEFT($U150,8)="Bangunan",$W150="Saldo Menurun"),"Bangunan wajib Garis Lurus (Ps.11 UU PPh)",IF(AND($S150="Unit Produksi",N($K150)=0),"Isi kapasitas unit",IF(AND(OR($S150="Garis Lurus",$S150="Saldo Menurun"),N($T150)&lt;=0),"Umur komersial kosong",IF(AND(OR($W150="Garis Lurus",$W150="Saldo Menurun"),N($V150)&lt;=0),"Masa manfaat fiskal kosong",IF(AND($Q150&lt;&gt;"",$Q150&lt;$F150),"Tgl pelepasan &lt; perolehan","OK")))))))))</f>
        <v/>
      </c>
    </row>
    <row r="151" spans="1:60" x14ac:dyDescent="0.25">
      <c r="A151" t="str">
        <f>IF($B151="","",ROW()-6)</f>
        <v/>
      </c>
      <c r="B151" s="9"/>
      <c r="C151" s="9"/>
      <c r="D151" s="9"/>
      <c r="E151" s="9"/>
      <c r="F151" s="17"/>
      <c r="G151" s="18"/>
      <c r="H151" s="18"/>
      <c r="I151" s="9"/>
      <c r="J151" s="9"/>
      <c r="K151" s="19"/>
      <c r="L151" s="19"/>
      <c r="M151" s="19"/>
      <c r="N151" s="9"/>
      <c r="O151" s="9"/>
      <c r="P151" s="9"/>
      <c r="Q151" s="17"/>
      <c r="R151" s="18"/>
      <c r="S151" t="str">
        <f>IF($B151="","",IF($I151&lt;&gt;"",$I151,IFERROR(INDEX(Kat_Metode,MATCH($D151,Kat_Nama,0)),"")))</f>
        <v/>
      </c>
      <c r="T151" t="str">
        <f>IF($B151="","",IF($J151&lt;&gt;"",$J151,IFERROR(INDEX(Kat_Umur,MATCH($D151,Kat_Nama,0)),0)))</f>
        <v/>
      </c>
      <c r="U151" t="str">
        <f>IF($B151="","",IF($N151&lt;&gt;"",$N151,IFERROR(INDEX(Kat_Kelompok,MATCH($D151,Kat_Nama,0)),"")))</f>
        <v/>
      </c>
      <c r="V151" t="str">
        <f>IF($B151="","",IF($U151="Masa Manfaat Sebenarnya",N($O151),IFERROR(INDEX(Kel_Masa,MATCH($U151,Kel_Nama,0)),0)))</f>
        <v/>
      </c>
      <c r="W151" t="str">
        <f>IF($B151="","",IF($P151&lt;&gt;"",$P151,IF(OR($U151="Tidak Disusutkan",$V151=0),"Tidak Disusutkan","Garis Lurus")))</f>
        <v/>
      </c>
      <c r="X151" t="str">
        <f>IF($B151="","",IF($Y151&gt;TahunBuku*12+12,"Belum Diperoleh",IF($Z151&lt;=TahunBuku*12,"Dilepas (thn lalu)",IF($AC151=1,"Dilepas thn ini",IF($AB151=1,"Perolehan baru","Aktif")))))</f>
        <v/>
      </c>
      <c r="Y151" s="20" t="str">
        <f>IF($B151="","",YEAR($F151)*12+MONTH($F151))</f>
        <v/>
      </c>
      <c r="Z151" s="20" t="str">
        <f>IF($B151="","",IF($Q151="",99999,YEAR($Q151)*12+MONTH($Q151)))</f>
        <v/>
      </c>
      <c r="AA151" s="20" t="str">
        <f>IF($B151="","",--AND($Y151&lt;=TahunBuku*12,$Z151&gt;TahunBuku*12))</f>
        <v/>
      </c>
      <c r="AB151" s="20" t="str">
        <f>IF($B151="","",--AND($Y151&gt;TahunBuku*12,$Y151&lt;=TahunBuku*12+12))</f>
        <v/>
      </c>
      <c r="AC151" s="20" t="str">
        <f>IF($B151="","",--AND($Z151&gt;TahunBuku*12,$Z151&lt;=TahunBuku*12+12,$Y151&lt;=$Z151))</f>
        <v/>
      </c>
      <c r="AD151" s="21" t="str">
        <f>IF($B151="","",IFERROR(IF($S151="Garis Lurus",$G151-($G151-$H151)*MIN($T151*12,MAX(0,TahunBuku*12-$Y151+1))/($T151*12),IF($S151="Saldo Menurun",IF(TahunBuku-1&lt;YEAR($F151),$G151,IF(TahunBuku-1&gt;=INT(($Y151+$T151*12-2)/12),$H151,MAX($H151,$G151*(1-2/$T151*(13-MONTH($F151))/12)*(1-2/$T151)^(TahunBuku-1-YEAR($F151))))),IF($S151="Unit Produksi",$G151-($G151-$H151)*MIN(1,N($L151)/$K151),$G151))),$G151))</f>
        <v/>
      </c>
      <c r="AE151" s="21" t="str">
        <f>IF($B151="","",IFERROR(IF($S151="Garis Lurus",$G151-($G151-$H151)*MIN($T151*12,MAX(0,TahunBuku*12+12-$Y151+1))/($T151*12),IF($S151="Saldo Menurun",IF(TahunBuku&lt;YEAR($F151),$G151,IF(TahunBuku&gt;=INT(($Y151+$T151*12-2)/12),$H151,MAX($H151,$G151*(1-2/$T151*(13-MONTH($F151))/12)*(1-2/$T151)^(TahunBuku-YEAR($F151))))),IF($S151="Unit Produksi",$G151-($G151-$H151)*MIN(1,(N($L151)+N($M151))/$K151),$G151))),$G151))</f>
        <v/>
      </c>
      <c r="AF151" s="20" t="str">
        <f>IF($B151="","",IF(OR($S151="Garis Lurus",$S151="Saldo Menurun",$S151="Unit Produksi"),MAX(0,IF($S151="Unit Produksi",TahunBuku*12+12,MIN(TahunBuku*12+12,$Y151+$T151*12-1))-MAX(TahunBuku*12+1,$Y151)+1),0))</f>
        <v/>
      </c>
      <c r="AG151" s="20" t="str">
        <f>IF($B151="","",IF(OR($S151="Garis Lurus",$S151="Saldo Menurun",$S151="Unit Produksi"),MAX(0,MIN($Z151,IF($S151="Unit Produksi",TahunBuku*12+12,MIN(TahunBuku*12+12,$Y151+$T151*12-1)))-MAX(TahunBuku*12+1,$Y151)+1),0))</f>
        <v/>
      </c>
      <c r="AH151" s="21" t="str">
        <f>IF($B151="","",IFERROR(IF($W151="Garis Lurus",$G151*(1-MIN($V151*12,MAX(0,TahunBuku*12-$Y151+1))/($V151*12)),IF($W151="Saldo Menurun",IF(TahunBuku-1&lt;YEAR($F151),$G151,IF(TahunBuku-1&gt;=INT(($Y151+$V151*12-2)/12),0,$G151*(1-2/$V151*(13-MONTH($F151))/12)*(1-2/$V151)^(TahunBuku-1-YEAR($F151)))),$G151)),$G151))</f>
        <v/>
      </c>
      <c r="AI151" s="21" t="str">
        <f>IF($B151="","",IFERROR(IF($W151="Garis Lurus",$G151*(1-MIN($V151*12,MAX(0,TahunBuku*12+12-$Y151+1))/($V151*12)),IF($W151="Saldo Menurun",IF(TahunBuku&lt;YEAR($F151),$G151,IF(TahunBuku&gt;=INT(($Y151+$V151*12-2)/12),0,$G151*(1-2/$V151*(13-MONTH($F151))/12)*(1-2/$V151)^(TahunBuku-YEAR($F151)))),$G151)),$G151))</f>
        <v/>
      </c>
      <c r="AJ151" s="20" t="str">
        <f>IF($B151="","",IF(OR($W151="Garis Lurus",$W151="Saldo Menurun"),MAX(0,MIN(TahunBuku*12+12,$Y151+$V151*12-1)-MAX(TahunBuku*12+1,$Y151)+1),0))</f>
        <v/>
      </c>
      <c r="AK151" s="20" t="str">
        <f>IF($B151="","",IF(OR($W151="Garis Lurus",$W151="Saldo Menurun"),MAX(0,MIN($Z151,TahunBuku*12+12,$Y151+$V151*12-1)-MAX(TahunBuku*12+1,$Y151)+1),0))</f>
        <v/>
      </c>
      <c r="AL151" s="22" t="str">
        <f>IF($B151="","",$G151*$AA151)</f>
        <v/>
      </c>
      <c r="AM151" s="22" t="str">
        <f>IF($B151="","",$G151*$AB151)</f>
        <v/>
      </c>
      <c r="AN151" s="22" t="str">
        <f>IF($B151="","",$G151*$AC151)</f>
        <v/>
      </c>
      <c r="AO151" s="22" t="str">
        <f>IF($B151="","",AL151+AM151-AN151)</f>
        <v/>
      </c>
      <c r="AP151" s="22" t="str">
        <f>IF($B151="","",($G151-$AD151)*$AA151)</f>
        <v/>
      </c>
      <c r="AQ151" s="22" t="str">
        <f>IF($B151="","",IF($AF151=0,0,($AD151-$AE151)*$AG151/$AF151)*MAX($AA151,$AB151))</f>
        <v/>
      </c>
      <c r="AR151" s="22" t="str">
        <f>IF($B151="","",(AP151+AQ151)*$AC151)</f>
        <v/>
      </c>
      <c r="AS151" s="22" t="str">
        <f>IF($B151="","",AP151+AQ151-AR151)</f>
        <v/>
      </c>
      <c r="AT151" s="22" t="str">
        <f>IF($B151="","",AO151-AS151)</f>
        <v/>
      </c>
      <c r="AU151" s="22" t="str">
        <f>IF($B151="","",IF($AC151=1,N($R151)-($G151-AR151),0))</f>
        <v/>
      </c>
      <c r="AV151" s="22" t="str">
        <f>IF($B151="","",($G151-$AH151)*$AA151)</f>
        <v/>
      </c>
      <c r="AW151" s="22" t="str">
        <f>IF($B151="","",IF($AJ151=0,0,($AH151-$AI151)*$AK151/$AJ151)*MAX($AA151,$AB151))</f>
        <v/>
      </c>
      <c r="AX151" s="22" t="str">
        <f>IF($B151="","",(AV151+AW151)*$AC151)</f>
        <v/>
      </c>
      <c r="AY151" s="22" t="str">
        <f>IF($B151="","",AV151+AW151-AX151)</f>
        <v/>
      </c>
      <c r="AZ151" s="22" t="str">
        <f>IF($B151="","",AO151-AY151)</f>
        <v/>
      </c>
      <c r="BA151" s="22" t="str">
        <f>IF($B151="","",IF($AC151=1,N($R151)-($G151-AX151),0))</f>
        <v/>
      </c>
      <c r="BB151" s="22" t="str">
        <f>IF($B151="","",ROUND(AQ151-AW151,0))</f>
        <v/>
      </c>
      <c r="BC151" s="22" t="str">
        <f>IF($B151="","",ROUND(BA151-AU151,0))</f>
        <v/>
      </c>
      <c r="BD151" s="22" t="str">
        <f>IF($B151="","",BB151+BC151)</f>
        <v/>
      </c>
      <c r="BE151" s="22" t="str">
        <f>IF($B151="","",ROUND(AV151-AP151,0))</f>
        <v/>
      </c>
      <c r="BF151" s="22" t="str">
        <f>IF($B151="","",ROUND(AT151-AZ151,0))</f>
        <v/>
      </c>
      <c r="BG151" s="22" t="str">
        <f>IF($B151="","",ROUND(BF151*TarifPPh,0))</f>
        <v/>
      </c>
      <c r="BH151" t="str">
        <f>IF($B151="","",IF($D151="","Kategori kosong",IF($F151="","Tgl perolehan kosong",IF(N($H151)&gt;$G151,"Residu &gt; harga perolehan",IF(AND(LEFT($U151,8)="Bangunan",$W151="Saldo Menurun"),"Bangunan wajib Garis Lurus (Ps.11 UU PPh)",IF(AND($S151="Unit Produksi",N($K151)=0),"Isi kapasitas unit",IF(AND(OR($S151="Garis Lurus",$S151="Saldo Menurun"),N($T151)&lt;=0),"Umur komersial kosong",IF(AND(OR($W151="Garis Lurus",$W151="Saldo Menurun"),N($V151)&lt;=0),"Masa manfaat fiskal kosong",IF(AND($Q151&lt;&gt;"",$Q151&lt;$F151),"Tgl pelepasan &lt; perolehan","OK")))))))))</f>
        <v/>
      </c>
    </row>
    <row r="152" spans="1:60" x14ac:dyDescent="0.25">
      <c r="A152" t="str">
        <f>IF($B152="","",ROW()-6)</f>
        <v/>
      </c>
      <c r="B152" s="9"/>
      <c r="C152" s="9"/>
      <c r="D152" s="9"/>
      <c r="E152" s="9"/>
      <c r="F152" s="17"/>
      <c r="G152" s="18"/>
      <c r="H152" s="18"/>
      <c r="I152" s="9"/>
      <c r="J152" s="9"/>
      <c r="K152" s="19"/>
      <c r="L152" s="19"/>
      <c r="M152" s="19"/>
      <c r="N152" s="9"/>
      <c r="O152" s="9"/>
      <c r="P152" s="9"/>
      <c r="Q152" s="17"/>
      <c r="R152" s="18"/>
      <c r="S152" t="str">
        <f>IF($B152="","",IF($I152&lt;&gt;"",$I152,IFERROR(INDEX(Kat_Metode,MATCH($D152,Kat_Nama,0)),"")))</f>
        <v/>
      </c>
      <c r="T152" t="str">
        <f>IF($B152="","",IF($J152&lt;&gt;"",$J152,IFERROR(INDEX(Kat_Umur,MATCH($D152,Kat_Nama,0)),0)))</f>
        <v/>
      </c>
      <c r="U152" t="str">
        <f>IF($B152="","",IF($N152&lt;&gt;"",$N152,IFERROR(INDEX(Kat_Kelompok,MATCH($D152,Kat_Nama,0)),"")))</f>
        <v/>
      </c>
      <c r="V152" t="str">
        <f>IF($B152="","",IF($U152="Masa Manfaat Sebenarnya",N($O152),IFERROR(INDEX(Kel_Masa,MATCH($U152,Kel_Nama,0)),0)))</f>
        <v/>
      </c>
      <c r="W152" t="str">
        <f>IF($B152="","",IF($P152&lt;&gt;"",$P152,IF(OR($U152="Tidak Disusutkan",$V152=0),"Tidak Disusutkan","Garis Lurus")))</f>
        <v/>
      </c>
      <c r="X152" t="str">
        <f>IF($B152="","",IF($Y152&gt;TahunBuku*12+12,"Belum Diperoleh",IF($Z152&lt;=TahunBuku*12,"Dilepas (thn lalu)",IF($AC152=1,"Dilepas thn ini",IF($AB152=1,"Perolehan baru","Aktif")))))</f>
        <v/>
      </c>
      <c r="Y152" s="20" t="str">
        <f>IF($B152="","",YEAR($F152)*12+MONTH($F152))</f>
        <v/>
      </c>
      <c r="Z152" s="20" t="str">
        <f>IF($B152="","",IF($Q152="",99999,YEAR($Q152)*12+MONTH($Q152)))</f>
        <v/>
      </c>
      <c r="AA152" s="20" t="str">
        <f>IF($B152="","",--AND($Y152&lt;=TahunBuku*12,$Z152&gt;TahunBuku*12))</f>
        <v/>
      </c>
      <c r="AB152" s="20" t="str">
        <f>IF($B152="","",--AND($Y152&gt;TahunBuku*12,$Y152&lt;=TahunBuku*12+12))</f>
        <v/>
      </c>
      <c r="AC152" s="20" t="str">
        <f>IF($B152="","",--AND($Z152&gt;TahunBuku*12,$Z152&lt;=TahunBuku*12+12,$Y152&lt;=$Z152))</f>
        <v/>
      </c>
      <c r="AD152" s="21" t="str">
        <f>IF($B152="","",IFERROR(IF($S152="Garis Lurus",$G152-($G152-$H152)*MIN($T152*12,MAX(0,TahunBuku*12-$Y152+1))/($T152*12),IF($S152="Saldo Menurun",IF(TahunBuku-1&lt;YEAR($F152),$G152,IF(TahunBuku-1&gt;=INT(($Y152+$T152*12-2)/12),$H152,MAX($H152,$G152*(1-2/$T152*(13-MONTH($F152))/12)*(1-2/$T152)^(TahunBuku-1-YEAR($F152))))),IF($S152="Unit Produksi",$G152-($G152-$H152)*MIN(1,N($L152)/$K152),$G152))),$G152))</f>
        <v/>
      </c>
      <c r="AE152" s="21" t="str">
        <f>IF($B152="","",IFERROR(IF($S152="Garis Lurus",$G152-($G152-$H152)*MIN($T152*12,MAX(0,TahunBuku*12+12-$Y152+1))/($T152*12),IF($S152="Saldo Menurun",IF(TahunBuku&lt;YEAR($F152),$G152,IF(TahunBuku&gt;=INT(($Y152+$T152*12-2)/12),$H152,MAX($H152,$G152*(1-2/$T152*(13-MONTH($F152))/12)*(1-2/$T152)^(TahunBuku-YEAR($F152))))),IF($S152="Unit Produksi",$G152-($G152-$H152)*MIN(1,(N($L152)+N($M152))/$K152),$G152))),$G152))</f>
        <v/>
      </c>
      <c r="AF152" s="20" t="str">
        <f>IF($B152="","",IF(OR($S152="Garis Lurus",$S152="Saldo Menurun",$S152="Unit Produksi"),MAX(0,IF($S152="Unit Produksi",TahunBuku*12+12,MIN(TahunBuku*12+12,$Y152+$T152*12-1))-MAX(TahunBuku*12+1,$Y152)+1),0))</f>
        <v/>
      </c>
      <c r="AG152" s="20" t="str">
        <f>IF($B152="","",IF(OR($S152="Garis Lurus",$S152="Saldo Menurun",$S152="Unit Produksi"),MAX(0,MIN($Z152,IF($S152="Unit Produksi",TahunBuku*12+12,MIN(TahunBuku*12+12,$Y152+$T152*12-1)))-MAX(TahunBuku*12+1,$Y152)+1),0))</f>
        <v/>
      </c>
      <c r="AH152" s="21" t="str">
        <f>IF($B152="","",IFERROR(IF($W152="Garis Lurus",$G152*(1-MIN($V152*12,MAX(0,TahunBuku*12-$Y152+1))/($V152*12)),IF($W152="Saldo Menurun",IF(TahunBuku-1&lt;YEAR($F152),$G152,IF(TahunBuku-1&gt;=INT(($Y152+$V152*12-2)/12),0,$G152*(1-2/$V152*(13-MONTH($F152))/12)*(1-2/$V152)^(TahunBuku-1-YEAR($F152)))),$G152)),$G152))</f>
        <v/>
      </c>
      <c r="AI152" s="21" t="str">
        <f>IF($B152="","",IFERROR(IF($W152="Garis Lurus",$G152*(1-MIN($V152*12,MAX(0,TahunBuku*12+12-$Y152+1))/($V152*12)),IF($W152="Saldo Menurun",IF(TahunBuku&lt;YEAR($F152),$G152,IF(TahunBuku&gt;=INT(($Y152+$V152*12-2)/12),0,$G152*(1-2/$V152*(13-MONTH($F152))/12)*(1-2/$V152)^(TahunBuku-YEAR($F152)))),$G152)),$G152))</f>
        <v/>
      </c>
      <c r="AJ152" s="20" t="str">
        <f>IF($B152="","",IF(OR($W152="Garis Lurus",$W152="Saldo Menurun"),MAX(0,MIN(TahunBuku*12+12,$Y152+$V152*12-1)-MAX(TahunBuku*12+1,$Y152)+1),0))</f>
        <v/>
      </c>
      <c r="AK152" s="20" t="str">
        <f>IF($B152="","",IF(OR($W152="Garis Lurus",$W152="Saldo Menurun"),MAX(0,MIN($Z152,TahunBuku*12+12,$Y152+$V152*12-1)-MAX(TahunBuku*12+1,$Y152)+1),0))</f>
        <v/>
      </c>
      <c r="AL152" s="22" t="str">
        <f>IF($B152="","",$G152*$AA152)</f>
        <v/>
      </c>
      <c r="AM152" s="22" t="str">
        <f>IF($B152="","",$G152*$AB152)</f>
        <v/>
      </c>
      <c r="AN152" s="22" t="str">
        <f>IF($B152="","",$G152*$AC152)</f>
        <v/>
      </c>
      <c r="AO152" s="22" t="str">
        <f>IF($B152="","",AL152+AM152-AN152)</f>
        <v/>
      </c>
      <c r="AP152" s="22" t="str">
        <f>IF($B152="","",($G152-$AD152)*$AA152)</f>
        <v/>
      </c>
      <c r="AQ152" s="22" t="str">
        <f>IF($B152="","",IF($AF152=0,0,($AD152-$AE152)*$AG152/$AF152)*MAX($AA152,$AB152))</f>
        <v/>
      </c>
      <c r="AR152" s="22" t="str">
        <f>IF($B152="","",(AP152+AQ152)*$AC152)</f>
        <v/>
      </c>
      <c r="AS152" s="22" t="str">
        <f>IF($B152="","",AP152+AQ152-AR152)</f>
        <v/>
      </c>
      <c r="AT152" s="22" t="str">
        <f>IF($B152="","",AO152-AS152)</f>
        <v/>
      </c>
      <c r="AU152" s="22" t="str">
        <f>IF($B152="","",IF($AC152=1,N($R152)-($G152-AR152),0))</f>
        <v/>
      </c>
      <c r="AV152" s="22" t="str">
        <f>IF($B152="","",($G152-$AH152)*$AA152)</f>
        <v/>
      </c>
      <c r="AW152" s="22" t="str">
        <f>IF($B152="","",IF($AJ152=0,0,($AH152-$AI152)*$AK152/$AJ152)*MAX($AA152,$AB152))</f>
        <v/>
      </c>
      <c r="AX152" s="22" t="str">
        <f>IF($B152="","",(AV152+AW152)*$AC152)</f>
        <v/>
      </c>
      <c r="AY152" s="22" t="str">
        <f>IF($B152="","",AV152+AW152-AX152)</f>
        <v/>
      </c>
      <c r="AZ152" s="22" t="str">
        <f>IF($B152="","",AO152-AY152)</f>
        <v/>
      </c>
      <c r="BA152" s="22" t="str">
        <f>IF($B152="","",IF($AC152=1,N($R152)-($G152-AX152),0))</f>
        <v/>
      </c>
      <c r="BB152" s="22" t="str">
        <f>IF($B152="","",ROUND(AQ152-AW152,0))</f>
        <v/>
      </c>
      <c r="BC152" s="22" t="str">
        <f>IF($B152="","",ROUND(BA152-AU152,0))</f>
        <v/>
      </c>
      <c r="BD152" s="22" t="str">
        <f>IF($B152="","",BB152+BC152)</f>
        <v/>
      </c>
      <c r="BE152" s="22" t="str">
        <f>IF($B152="","",ROUND(AV152-AP152,0))</f>
        <v/>
      </c>
      <c r="BF152" s="22" t="str">
        <f>IF($B152="","",ROUND(AT152-AZ152,0))</f>
        <v/>
      </c>
      <c r="BG152" s="22" t="str">
        <f>IF($B152="","",ROUND(BF152*TarifPPh,0))</f>
        <v/>
      </c>
      <c r="BH152" t="str">
        <f>IF($B152="","",IF($D152="","Kategori kosong",IF($F152="","Tgl perolehan kosong",IF(N($H152)&gt;$G152,"Residu &gt; harga perolehan",IF(AND(LEFT($U152,8)="Bangunan",$W152="Saldo Menurun"),"Bangunan wajib Garis Lurus (Ps.11 UU PPh)",IF(AND($S152="Unit Produksi",N($K152)=0),"Isi kapasitas unit",IF(AND(OR($S152="Garis Lurus",$S152="Saldo Menurun"),N($T152)&lt;=0),"Umur komersial kosong",IF(AND(OR($W152="Garis Lurus",$W152="Saldo Menurun"),N($V152)&lt;=0),"Masa manfaat fiskal kosong",IF(AND($Q152&lt;&gt;"",$Q152&lt;$F152),"Tgl pelepasan &lt; perolehan","OK")))))))))</f>
        <v/>
      </c>
    </row>
    <row r="153" spans="1:60" x14ac:dyDescent="0.25">
      <c r="A153" t="str">
        <f>IF($B153="","",ROW()-6)</f>
        <v/>
      </c>
      <c r="B153" s="9"/>
      <c r="C153" s="9"/>
      <c r="D153" s="9"/>
      <c r="E153" s="9"/>
      <c r="F153" s="17"/>
      <c r="G153" s="18"/>
      <c r="H153" s="18"/>
      <c r="I153" s="9"/>
      <c r="J153" s="9"/>
      <c r="K153" s="19"/>
      <c r="L153" s="19"/>
      <c r="M153" s="19"/>
      <c r="N153" s="9"/>
      <c r="O153" s="9"/>
      <c r="P153" s="9"/>
      <c r="Q153" s="17"/>
      <c r="R153" s="18"/>
      <c r="S153" t="str">
        <f>IF($B153="","",IF($I153&lt;&gt;"",$I153,IFERROR(INDEX(Kat_Metode,MATCH($D153,Kat_Nama,0)),"")))</f>
        <v/>
      </c>
      <c r="T153" t="str">
        <f>IF($B153="","",IF($J153&lt;&gt;"",$J153,IFERROR(INDEX(Kat_Umur,MATCH($D153,Kat_Nama,0)),0)))</f>
        <v/>
      </c>
      <c r="U153" t="str">
        <f>IF($B153="","",IF($N153&lt;&gt;"",$N153,IFERROR(INDEX(Kat_Kelompok,MATCH($D153,Kat_Nama,0)),"")))</f>
        <v/>
      </c>
      <c r="V153" t="str">
        <f>IF($B153="","",IF($U153="Masa Manfaat Sebenarnya",N($O153),IFERROR(INDEX(Kel_Masa,MATCH($U153,Kel_Nama,0)),0)))</f>
        <v/>
      </c>
      <c r="W153" t="str">
        <f>IF($B153="","",IF($P153&lt;&gt;"",$P153,IF(OR($U153="Tidak Disusutkan",$V153=0),"Tidak Disusutkan","Garis Lurus")))</f>
        <v/>
      </c>
      <c r="X153" t="str">
        <f>IF($B153="","",IF($Y153&gt;TahunBuku*12+12,"Belum Diperoleh",IF($Z153&lt;=TahunBuku*12,"Dilepas (thn lalu)",IF($AC153=1,"Dilepas thn ini",IF($AB153=1,"Perolehan baru","Aktif")))))</f>
        <v/>
      </c>
      <c r="Y153" s="20" t="str">
        <f>IF($B153="","",YEAR($F153)*12+MONTH($F153))</f>
        <v/>
      </c>
      <c r="Z153" s="20" t="str">
        <f>IF($B153="","",IF($Q153="",99999,YEAR($Q153)*12+MONTH($Q153)))</f>
        <v/>
      </c>
      <c r="AA153" s="20" t="str">
        <f>IF($B153="","",--AND($Y153&lt;=TahunBuku*12,$Z153&gt;TahunBuku*12))</f>
        <v/>
      </c>
      <c r="AB153" s="20" t="str">
        <f>IF($B153="","",--AND($Y153&gt;TahunBuku*12,$Y153&lt;=TahunBuku*12+12))</f>
        <v/>
      </c>
      <c r="AC153" s="20" t="str">
        <f>IF($B153="","",--AND($Z153&gt;TahunBuku*12,$Z153&lt;=TahunBuku*12+12,$Y153&lt;=$Z153))</f>
        <v/>
      </c>
      <c r="AD153" s="21" t="str">
        <f>IF($B153="","",IFERROR(IF($S153="Garis Lurus",$G153-($G153-$H153)*MIN($T153*12,MAX(0,TahunBuku*12-$Y153+1))/($T153*12),IF($S153="Saldo Menurun",IF(TahunBuku-1&lt;YEAR($F153),$G153,IF(TahunBuku-1&gt;=INT(($Y153+$T153*12-2)/12),$H153,MAX($H153,$G153*(1-2/$T153*(13-MONTH($F153))/12)*(1-2/$T153)^(TahunBuku-1-YEAR($F153))))),IF($S153="Unit Produksi",$G153-($G153-$H153)*MIN(1,N($L153)/$K153),$G153))),$G153))</f>
        <v/>
      </c>
      <c r="AE153" s="21" t="str">
        <f>IF($B153="","",IFERROR(IF($S153="Garis Lurus",$G153-($G153-$H153)*MIN($T153*12,MAX(0,TahunBuku*12+12-$Y153+1))/($T153*12),IF($S153="Saldo Menurun",IF(TahunBuku&lt;YEAR($F153),$G153,IF(TahunBuku&gt;=INT(($Y153+$T153*12-2)/12),$H153,MAX($H153,$G153*(1-2/$T153*(13-MONTH($F153))/12)*(1-2/$T153)^(TahunBuku-YEAR($F153))))),IF($S153="Unit Produksi",$G153-($G153-$H153)*MIN(1,(N($L153)+N($M153))/$K153),$G153))),$G153))</f>
        <v/>
      </c>
      <c r="AF153" s="20" t="str">
        <f>IF($B153="","",IF(OR($S153="Garis Lurus",$S153="Saldo Menurun",$S153="Unit Produksi"),MAX(0,IF($S153="Unit Produksi",TahunBuku*12+12,MIN(TahunBuku*12+12,$Y153+$T153*12-1))-MAX(TahunBuku*12+1,$Y153)+1),0))</f>
        <v/>
      </c>
      <c r="AG153" s="20" t="str">
        <f>IF($B153="","",IF(OR($S153="Garis Lurus",$S153="Saldo Menurun",$S153="Unit Produksi"),MAX(0,MIN($Z153,IF($S153="Unit Produksi",TahunBuku*12+12,MIN(TahunBuku*12+12,$Y153+$T153*12-1)))-MAX(TahunBuku*12+1,$Y153)+1),0))</f>
        <v/>
      </c>
      <c r="AH153" s="21" t="str">
        <f>IF($B153="","",IFERROR(IF($W153="Garis Lurus",$G153*(1-MIN($V153*12,MAX(0,TahunBuku*12-$Y153+1))/($V153*12)),IF($W153="Saldo Menurun",IF(TahunBuku-1&lt;YEAR($F153),$G153,IF(TahunBuku-1&gt;=INT(($Y153+$V153*12-2)/12),0,$G153*(1-2/$V153*(13-MONTH($F153))/12)*(1-2/$V153)^(TahunBuku-1-YEAR($F153)))),$G153)),$G153))</f>
        <v/>
      </c>
      <c r="AI153" s="21" t="str">
        <f>IF($B153="","",IFERROR(IF($W153="Garis Lurus",$G153*(1-MIN($V153*12,MAX(0,TahunBuku*12+12-$Y153+1))/($V153*12)),IF($W153="Saldo Menurun",IF(TahunBuku&lt;YEAR($F153),$G153,IF(TahunBuku&gt;=INT(($Y153+$V153*12-2)/12),0,$G153*(1-2/$V153*(13-MONTH($F153))/12)*(1-2/$V153)^(TahunBuku-YEAR($F153)))),$G153)),$G153))</f>
        <v/>
      </c>
      <c r="AJ153" s="20" t="str">
        <f>IF($B153="","",IF(OR($W153="Garis Lurus",$W153="Saldo Menurun"),MAX(0,MIN(TahunBuku*12+12,$Y153+$V153*12-1)-MAX(TahunBuku*12+1,$Y153)+1),0))</f>
        <v/>
      </c>
      <c r="AK153" s="20" t="str">
        <f>IF($B153="","",IF(OR($W153="Garis Lurus",$W153="Saldo Menurun"),MAX(0,MIN($Z153,TahunBuku*12+12,$Y153+$V153*12-1)-MAX(TahunBuku*12+1,$Y153)+1),0))</f>
        <v/>
      </c>
      <c r="AL153" s="22" t="str">
        <f>IF($B153="","",$G153*$AA153)</f>
        <v/>
      </c>
      <c r="AM153" s="22" t="str">
        <f>IF($B153="","",$G153*$AB153)</f>
        <v/>
      </c>
      <c r="AN153" s="22" t="str">
        <f>IF($B153="","",$G153*$AC153)</f>
        <v/>
      </c>
      <c r="AO153" s="22" t="str">
        <f>IF($B153="","",AL153+AM153-AN153)</f>
        <v/>
      </c>
      <c r="AP153" s="22" t="str">
        <f>IF($B153="","",($G153-$AD153)*$AA153)</f>
        <v/>
      </c>
      <c r="AQ153" s="22" t="str">
        <f>IF($B153="","",IF($AF153=0,0,($AD153-$AE153)*$AG153/$AF153)*MAX($AA153,$AB153))</f>
        <v/>
      </c>
      <c r="AR153" s="22" t="str">
        <f>IF($B153="","",(AP153+AQ153)*$AC153)</f>
        <v/>
      </c>
      <c r="AS153" s="22" t="str">
        <f>IF($B153="","",AP153+AQ153-AR153)</f>
        <v/>
      </c>
      <c r="AT153" s="22" t="str">
        <f>IF($B153="","",AO153-AS153)</f>
        <v/>
      </c>
      <c r="AU153" s="22" t="str">
        <f>IF($B153="","",IF($AC153=1,N($R153)-($G153-AR153),0))</f>
        <v/>
      </c>
      <c r="AV153" s="22" t="str">
        <f>IF($B153="","",($G153-$AH153)*$AA153)</f>
        <v/>
      </c>
      <c r="AW153" s="22" t="str">
        <f>IF($B153="","",IF($AJ153=0,0,($AH153-$AI153)*$AK153/$AJ153)*MAX($AA153,$AB153))</f>
        <v/>
      </c>
      <c r="AX153" s="22" t="str">
        <f>IF($B153="","",(AV153+AW153)*$AC153)</f>
        <v/>
      </c>
      <c r="AY153" s="22" t="str">
        <f>IF($B153="","",AV153+AW153-AX153)</f>
        <v/>
      </c>
      <c r="AZ153" s="22" t="str">
        <f>IF($B153="","",AO153-AY153)</f>
        <v/>
      </c>
      <c r="BA153" s="22" t="str">
        <f>IF($B153="","",IF($AC153=1,N($R153)-($G153-AX153),0))</f>
        <v/>
      </c>
      <c r="BB153" s="22" t="str">
        <f>IF($B153="","",ROUND(AQ153-AW153,0))</f>
        <v/>
      </c>
      <c r="BC153" s="22" t="str">
        <f>IF($B153="","",ROUND(BA153-AU153,0))</f>
        <v/>
      </c>
      <c r="BD153" s="22" t="str">
        <f>IF($B153="","",BB153+BC153)</f>
        <v/>
      </c>
      <c r="BE153" s="22" t="str">
        <f>IF($B153="","",ROUND(AV153-AP153,0))</f>
        <v/>
      </c>
      <c r="BF153" s="22" t="str">
        <f>IF($B153="","",ROUND(AT153-AZ153,0))</f>
        <v/>
      </c>
      <c r="BG153" s="22" t="str">
        <f>IF($B153="","",ROUND(BF153*TarifPPh,0))</f>
        <v/>
      </c>
      <c r="BH153" t="str">
        <f>IF($B153="","",IF($D153="","Kategori kosong",IF($F153="","Tgl perolehan kosong",IF(N($H153)&gt;$G153,"Residu &gt; harga perolehan",IF(AND(LEFT($U153,8)="Bangunan",$W153="Saldo Menurun"),"Bangunan wajib Garis Lurus (Ps.11 UU PPh)",IF(AND($S153="Unit Produksi",N($K153)=0),"Isi kapasitas unit",IF(AND(OR($S153="Garis Lurus",$S153="Saldo Menurun"),N($T153)&lt;=0),"Umur komersial kosong",IF(AND(OR($W153="Garis Lurus",$W153="Saldo Menurun"),N($V153)&lt;=0),"Masa manfaat fiskal kosong",IF(AND($Q153&lt;&gt;"",$Q153&lt;$F153),"Tgl pelepasan &lt; perolehan","OK")))))))))</f>
        <v/>
      </c>
    </row>
    <row r="154" spans="1:60" x14ac:dyDescent="0.25">
      <c r="A154" t="str">
        <f>IF($B154="","",ROW()-6)</f>
        <v/>
      </c>
      <c r="B154" s="9"/>
      <c r="C154" s="9"/>
      <c r="D154" s="9"/>
      <c r="E154" s="9"/>
      <c r="F154" s="17"/>
      <c r="G154" s="18"/>
      <c r="H154" s="18"/>
      <c r="I154" s="9"/>
      <c r="J154" s="9"/>
      <c r="K154" s="19"/>
      <c r="L154" s="19"/>
      <c r="M154" s="19"/>
      <c r="N154" s="9"/>
      <c r="O154" s="9"/>
      <c r="P154" s="9"/>
      <c r="Q154" s="17"/>
      <c r="R154" s="18"/>
      <c r="S154" t="str">
        <f>IF($B154="","",IF($I154&lt;&gt;"",$I154,IFERROR(INDEX(Kat_Metode,MATCH($D154,Kat_Nama,0)),"")))</f>
        <v/>
      </c>
      <c r="T154" t="str">
        <f>IF($B154="","",IF($J154&lt;&gt;"",$J154,IFERROR(INDEX(Kat_Umur,MATCH($D154,Kat_Nama,0)),0)))</f>
        <v/>
      </c>
      <c r="U154" t="str">
        <f>IF($B154="","",IF($N154&lt;&gt;"",$N154,IFERROR(INDEX(Kat_Kelompok,MATCH($D154,Kat_Nama,0)),"")))</f>
        <v/>
      </c>
      <c r="V154" t="str">
        <f>IF($B154="","",IF($U154="Masa Manfaat Sebenarnya",N($O154),IFERROR(INDEX(Kel_Masa,MATCH($U154,Kel_Nama,0)),0)))</f>
        <v/>
      </c>
      <c r="W154" t="str">
        <f>IF($B154="","",IF($P154&lt;&gt;"",$P154,IF(OR($U154="Tidak Disusutkan",$V154=0),"Tidak Disusutkan","Garis Lurus")))</f>
        <v/>
      </c>
      <c r="X154" t="str">
        <f>IF($B154="","",IF($Y154&gt;TahunBuku*12+12,"Belum Diperoleh",IF($Z154&lt;=TahunBuku*12,"Dilepas (thn lalu)",IF($AC154=1,"Dilepas thn ini",IF($AB154=1,"Perolehan baru","Aktif")))))</f>
        <v/>
      </c>
      <c r="Y154" s="20" t="str">
        <f>IF($B154="","",YEAR($F154)*12+MONTH($F154))</f>
        <v/>
      </c>
      <c r="Z154" s="20" t="str">
        <f>IF($B154="","",IF($Q154="",99999,YEAR($Q154)*12+MONTH($Q154)))</f>
        <v/>
      </c>
      <c r="AA154" s="20" t="str">
        <f>IF($B154="","",--AND($Y154&lt;=TahunBuku*12,$Z154&gt;TahunBuku*12))</f>
        <v/>
      </c>
      <c r="AB154" s="20" t="str">
        <f>IF($B154="","",--AND($Y154&gt;TahunBuku*12,$Y154&lt;=TahunBuku*12+12))</f>
        <v/>
      </c>
      <c r="AC154" s="20" t="str">
        <f>IF($B154="","",--AND($Z154&gt;TahunBuku*12,$Z154&lt;=TahunBuku*12+12,$Y154&lt;=$Z154))</f>
        <v/>
      </c>
      <c r="AD154" s="21" t="str">
        <f>IF($B154="","",IFERROR(IF($S154="Garis Lurus",$G154-($G154-$H154)*MIN($T154*12,MAX(0,TahunBuku*12-$Y154+1))/($T154*12),IF($S154="Saldo Menurun",IF(TahunBuku-1&lt;YEAR($F154),$G154,IF(TahunBuku-1&gt;=INT(($Y154+$T154*12-2)/12),$H154,MAX($H154,$G154*(1-2/$T154*(13-MONTH($F154))/12)*(1-2/$T154)^(TahunBuku-1-YEAR($F154))))),IF($S154="Unit Produksi",$G154-($G154-$H154)*MIN(1,N($L154)/$K154),$G154))),$G154))</f>
        <v/>
      </c>
      <c r="AE154" s="21" t="str">
        <f>IF($B154="","",IFERROR(IF($S154="Garis Lurus",$G154-($G154-$H154)*MIN($T154*12,MAX(0,TahunBuku*12+12-$Y154+1))/($T154*12),IF($S154="Saldo Menurun",IF(TahunBuku&lt;YEAR($F154),$G154,IF(TahunBuku&gt;=INT(($Y154+$T154*12-2)/12),$H154,MAX($H154,$G154*(1-2/$T154*(13-MONTH($F154))/12)*(1-2/$T154)^(TahunBuku-YEAR($F154))))),IF($S154="Unit Produksi",$G154-($G154-$H154)*MIN(1,(N($L154)+N($M154))/$K154),$G154))),$G154))</f>
        <v/>
      </c>
      <c r="AF154" s="20" t="str">
        <f>IF($B154="","",IF(OR($S154="Garis Lurus",$S154="Saldo Menurun",$S154="Unit Produksi"),MAX(0,IF($S154="Unit Produksi",TahunBuku*12+12,MIN(TahunBuku*12+12,$Y154+$T154*12-1))-MAX(TahunBuku*12+1,$Y154)+1),0))</f>
        <v/>
      </c>
      <c r="AG154" s="20" t="str">
        <f>IF($B154="","",IF(OR($S154="Garis Lurus",$S154="Saldo Menurun",$S154="Unit Produksi"),MAX(0,MIN($Z154,IF($S154="Unit Produksi",TahunBuku*12+12,MIN(TahunBuku*12+12,$Y154+$T154*12-1)))-MAX(TahunBuku*12+1,$Y154)+1),0))</f>
        <v/>
      </c>
      <c r="AH154" s="21" t="str">
        <f>IF($B154="","",IFERROR(IF($W154="Garis Lurus",$G154*(1-MIN($V154*12,MAX(0,TahunBuku*12-$Y154+1))/($V154*12)),IF($W154="Saldo Menurun",IF(TahunBuku-1&lt;YEAR($F154),$G154,IF(TahunBuku-1&gt;=INT(($Y154+$V154*12-2)/12),0,$G154*(1-2/$V154*(13-MONTH($F154))/12)*(1-2/$V154)^(TahunBuku-1-YEAR($F154)))),$G154)),$G154))</f>
        <v/>
      </c>
      <c r="AI154" s="21" t="str">
        <f>IF($B154="","",IFERROR(IF($W154="Garis Lurus",$G154*(1-MIN($V154*12,MAX(0,TahunBuku*12+12-$Y154+1))/($V154*12)),IF($W154="Saldo Menurun",IF(TahunBuku&lt;YEAR($F154),$G154,IF(TahunBuku&gt;=INT(($Y154+$V154*12-2)/12),0,$G154*(1-2/$V154*(13-MONTH($F154))/12)*(1-2/$V154)^(TahunBuku-YEAR($F154)))),$G154)),$G154))</f>
        <v/>
      </c>
      <c r="AJ154" s="20" t="str">
        <f>IF($B154="","",IF(OR($W154="Garis Lurus",$W154="Saldo Menurun"),MAX(0,MIN(TahunBuku*12+12,$Y154+$V154*12-1)-MAX(TahunBuku*12+1,$Y154)+1),0))</f>
        <v/>
      </c>
      <c r="AK154" s="20" t="str">
        <f>IF($B154="","",IF(OR($W154="Garis Lurus",$W154="Saldo Menurun"),MAX(0,MIN($Z154,TahunBuku*12+12,$Y154+$V154*12-1)-MAX(TahunBuku*12+1,$Y154)+1),0))</f>
        <v/>
      </c>
      <c r="AL154" s="22" t="str">
        <f>IF($B154="","",$G154*$AA154)</f>
        <v/>
      </c>
      <c r="AM154" s="22" t="str">
        <f>IF($B154="","",$G154*$AB154)</f>
        <v/>
      </c>
      <c r="AN154" s="22" t="str">
        <f>IF($B154="","",$G154*$AC154)</f>
        <v/>
      </c>
      <c r="AO154" s="22" t="str">
        <f>IF($B154="","",AL154+AM154-AN154)</f>
        <v/>
      </c>
      <c r="AP154" s="22" t="str">
        <f>IF($B154="","",($G154-$AD154)*$AA154)</f>
        <v/>
      </c>
      <c r="AQ154" s="22" t="str">
        <f>IF($B154="","",IF($AF154=0,0,($AD154-$AE154)*$AG154/$AF154)*MAX($AA154,$AB154))</f>
        <v/>
      </c>
      <c r="AR154" s="22" t="str">
        <f>IF($B154="","",(AP154+AQ154)*$AC154)</f>
        <v/>
      </c>
      <c r="AS154" s="22" t="str">
        <f>IF($B154="","",AP154+AQ154-AR154)</f>
        <v/>
      </c>
      <c r="AT154" s="22" t="str">
        <f>IF($B154="","",AO154-AS154)</f>
        <v/>
      </c>
      <c r="AU154" s="22" t="str">
        <f>IF($B154="","",IF($AC154=1,N($R154)-($G154-AR154),0))</f>
        <v/>
      </c>
      <c r="AV154" s="22" t="str">
        <f>IF($B154="","",($G154-$AH154)*$AA154)</f>
        <v/>
      </c>
      <c r="AW154" s="22" t="str">
        <f>IF($B154="","",IF($AJ154=0,0,($AH154-$AI154)*$AK154/$AJ154)*MAX($AA154,$AB154))</f>
        <v/>
      </c>
      <c r="AX154" s="22" t="str">
        <f>IF($B154="","",(AV154+AW154)*$AC154)</f>
        <v/>
      </c>
      <c r="AY154" s="22" t="str">
        <f>IF($B154="","",AV154+AW154-AX154)</f>
        <v/>
      </c>
      <c r="AZ154" s="22" t="str">
        <f>IF($B154="","",AO154-AY154)</f>
        <v/>
      </c>
      <c r="BA154" s="22" t="str">
        <f>IF($B154="","",IF($AC154=1,N($R154)-($G154-AX154),0))</f>
        <v/>
      </c>
      <c r="BB154" s="22" t="str">
        <f>IF($B154="","",ROUND(AQ154-AW154,0))</f>
        <v/>
      </c>
      <c r="BC154" s="22" t="str">
        <f>IF($B154="","",ROUND(BA154-AU154,0))</f>
        <v/>
      </c>
      <c r="BD154" s="22" t="str">
        <f>IF($B154="","",BB154+BC154)</f>
        <v/>
      </c>
      <c r="BE154" s="22" t="str">
        <f>IF($B154="","",ROUND(AV154-AP154,0))</f>
        <v/>
      </c>
      <c r="BF154" s="22" t="str">
        <f>IF($B154="","",ROUND(AT154-AZ154,0))</f>
        <v/>
      </c>
      <c r="BG154" s="22" t="str">
        <f>IF($B154="","",ROUND(BF154*TarifPPh,0))</f>
        <v/>
      </c>
      <c r="BH154" t="str">
        <f>IF($B154="","",IF($D154="","Kategori kosong",IF($F154="","Tgl perolehan kosong",IF(N($H154)&gt;$G154,"Residu &gt; harga perolehan",IF(AND(LEFT($U154,8)="Bangunan",$W154="Saldo Menurun"),"Bangunan wajib Garis Lurus (Ps.11 UU PPh)",IF(AND($S154="Unit Produksi",N($K154)=0),"Isi kapasitas unit",IF(AND(OR($S154="Garis Lurus",$S154="Saldo Menurun"),N($T154)&lt;=0),"Umur komersial kosong",IF(AND(OR($W154="Garis Lurus",$W154="Saldo Menurun"),N($V154)&lt;=0),"Masa manfaat fiskal kosong",IF(AND($Q154&lt;&gt;"",$Q154&lt;$F154),"Tgl pelepasan &lt; perolehan","OK")))))))))</f>
        <v/>
      </c>
    </row>
    <row r="155" spans="1:60" x14ac:dyDescent="0.25">
      <c r="A155" t="str">
        <f>IF($B155="","",ROW()-6)</f>
        <v/>
      </c>
      <c r="B155" s="9"/>
      <c r="C155" s="9"/>
      <c r="D155" s="9"/>
      <c r="E155" s="9"/>
      <c r="F155" s="17"/>
      <c r="G155" s="18"/>
      <c r="H155" s="18"/>
      <c r="I155" s="9"/>
      <c r="J155" s="9"/>
      <c r="K155" s="19"/>
      <c r="L155" s="19"/>
      <c r="M155" s="19"/>
      <c r="N155" s="9"/>
      <c r="O155" s="9"/>
      <c r="P155" s="9"/>
      <c r="Q155" s="17"/>
      <c r="R155" s="18"/>
      <c r="S155" t="str">
        <f>IF($B155="","",IF($I155&lt;&gt;"",$I155,IFERROR(INDEX(Kat_Metode,MATCH($D155,Kat_Nama,0)),"")))</f>
        <v/>
      </c>
      <c r="T155" t="str">
        <f>IF($B155="","",IF($J155&lt;&gt;"",$J155,IFERROR(INDEX(Kat_Umur,MATCH($D155,Kat_Nama,0)),0)))</f>
        <v/>
      </c>
      <c r="U155" t="str">
        <f>IF($B155="","",IF($N155&lt;&gt;"",$N155,IFERROR(INDEX(Kat_Kelompok,MATCH($D155,Kat_Nama,0)),"")))</f>
        <v/>
      </c>
      <c r="V155" t="str">
        <f>IF($B155="","",IF($U155="Masa Manfaat Sebenarnya",N($O155),IFERROR(INDEX(Kel_Masa,MATCH($U155,Kel_Nama,0)),0)))</f>
        <v/>
      </c>
      <c r="W155" t="str">
        <f>IF($B155="","",IF($P155&lt;&gt;"",$P155,IF(OR($U155="Tidak Disusutkan",$V155=0),"Tidak Disusutkan","Garis Lurus")))</f>
        <v/>
      </c>
      <c r="X155" t="str">
        <f>IF($B155="","",IF($Y155&gt;TahunBuku*12+12,"Belum Diperoleh",IF($Z155&lt;=TahunBuku*12,"Dilepas (thn lalu)",IF($AC155=1,"Dilepas thn ini",IF($AB155=1,"Perolehan baru","Aktif")))))</f>
        <v/>
      </c>
      <c r="Y155" s="20" t="str">
        <f>IF($B155="","",YEAR($F155)*12+MONTH($F155))</f>
        <v/>
      </c>
      <c r="Z155" s="20" t="str">
        <f>IF($B155="","",IF($Q155="",99999,YEAR($Q155)*12+MONTH($Q155)))</f>
        <v/>
      </c>
      <c r="AA155" s="20" t="str">
        <f>IF($B155="","",--AND($Y155&lt;=TahunBuku*12,$Z155&gt;TahunBuku*12))</f>
        <v/>
      </c>
      <c r="AB155" s="20" t="str">
        <f>IF($B155="","",--AND($Y155&gt;TahunBuku*12,$Y155&lt;=TahunBuku*12+12))</f>
        <v/>
      </c>
      <c r="AC155" s="20" t="str">
        <f>IF($B155="","",--AND($Z155&gt;TahunBuku*12,$Z155&lt;=TahunBuku*12+12,$Y155&lt;=$Z155))</f>
        <v/>
      </c>
      <c r="AD155" s="21" t="str">
        <f>IF($B155="","",IFERROR(IF($S155="Garis Lurus",$G155-($G155-$H155)*MIN($T155*12,MAX(0,TahunBuku*12-$Y155+1))/($T155*12),IF($S155="Saldo Menurun",IF(TahunBuku-1&lt;YEAR($F155),$G155,IF(TahunBuku-1&gt;=INT(($Y155+$T155*12-2)/12),$H155,MAX($H155,$G155*(1-2/$T155*(13-MONTH($F155))/12)*(1-2/$T155)^(TahunBuku-1-YEAR($F155))))),IF($S155="Unit Produksi",$G155-($G155-$H155)*MIN(1,N($L155)/$K155),$G155))),$G155))</f>
        <v/>
      </c>
      <c r="AE155" s="21" t="str">
        <f>IF($B155="","",IFERROR(IF($S155="Garis Lurus",$G155-($G155-$H155)*MIN($T155*12,MAX(0,TahunBuku*12+12-$Y155+1))/($T155*12),IF($S155="Saldo Menurun",IF(TahunBuku&lt;YEAR($F155),$G155,IF(TahunBuku&gt;=INT(($Y155+$T155*12-2)/12),$H155,MAX($H155,$G155*(1-2/$T155*(13-MONTH($F155))/12)*(1-2/$T155)^(TahunBuku-YEAR($F155))))),IF($S155="Unit Produksi",$G155-($G155-$H155)*MIN(1,(N($L155)+N($M155))/$K155),$G155))),$G155))</f>
        <v/>
      </c>
      <c r="AF155" s="20" t="str">
        <f>IF($B155="","",IF(OR($S155="Garis Lurus",$S155="Saldo Menurun",$S155="Unit Produksi"),MAX(0,IF($S155="Unit Produksi",TahunBuku*12+12,MIN(TahunBuku*12+12,$Y155+$T155*12-1))-MAX(TahunBuku*12+1,$Y155)+1),0))</f>
        <v/>
      </c>
      <c r="AG155" s="20" t="str">
        <f>IF($B155="","",IF(OR($S155="Garis Lurus",$S155="Saldo Menurun",$S155="Unit Produksi"),MAX(0,MIN($Z155,IF($S155="Unit Produksi",TahunBuku*12+12,MIN(TahunBuku*12+12,$Y155+$T155*12-1)))-MAX(TahunBuku*12+1,$Y155)+1),0))</f>
        <v/>
      </c>
      <c r="AH155" s="21" t="str">
        <f>IF($B155="","",IFERROR(IF($W155="Garis Lurus",$G155*(1-MIN($V155*12,MAX(0,TahunBuku*12-$Y155+1))/($V155*12)),IF($W155="Saldo Menurun",IF(TahunBuku-1&lt;YEAR($F155),$G155,IF(TahunBuku-1&gt;=INT(($Y155+$V155*12-2)/12),0,$G155*(1-2/$V155*(13-MONTH($F155))/12)*(1-2/$V155)^(TahunBuku-1-YEAR($F155)))),$G155)),$G155))</f>
        <v/>
      </c>
      <c r="AI155" s="21" t="str">
        <f>IF($B155="","",IFERROR(IF($W155="Garis Lurus",$G155*(1-MIN($V155*12,MAX(0,TahunBuku*12+12-$Y155+1))/($V155*12)),IF($W155="Saldo Menurun",IF(TahunBuku&lt;YEAR($F155),$G155,IF(TahunBuku&gt;=INT(($Y155+$V155*12-2)/12),0,$G155*(1-2/$V155*(13-MONTH($F155))/12)*(1-2/$V155)^(TahunBuku-YEAR($F155)))),$G155)),$G155))</f>
        <v/>
      </c>
      <c r="AJ155" s="20" t="str">
        <f>IF($B155="","",IF(OR($W155="Garis Lurus",$W155="Saldo Menurun"),MAX(0,MIN(TahunBuku*12+12,$Y155+$V155*12-1)-MAX(TahunBuku*12+1,$Y155)+1),0))</f>
        <v/>
      </c>
      <c r="AK155" s="20" t="str">
        <f>IF($B155="","",IF(OR($W155="Garis Lurus",$W155="Saldo Menurun"),MAX(0,MIN($Z155,TahunBuku*12+12,$Y155+$V155*12-1)-MAX(TahunBuku*12+1,$Y155)+1),0))</f>
        <v/>
      </c>
      <c r="AL155" s="22" t="str">
        <f>IF($B155="","",$G155*$AA155)</f>
        <v/>
      </c>
      <c r="AM155" s="22" t="str">
        <f>IF($B155="","",$G155*$AB155)</f>
        <v/>
      </c>
      <c r="AN155" s="22" t="str">
        <f>IF($B155="","",$G155*$AC155)</f>
        <v/>
      </c>
      <c r="AO155" s="22" t="str">
        <f>IF($B155="","",AL155+AM155-AN155)</f>
        <v/>
      </c>
      <c r="AP155" s="22" t="str">
        <f>IF($B155="","",($G155-$AD155)*$AA155)</f>
        <v/>
      </c>
      <c r="AQ155" s="22" t="str">
        <f>IF($B155="","",IF($AF155=0,0,($AD155-$AE155)*$AG155/$AF155)*MAX($AA155,$AB155))</f>
        <v/>
      </c>
      <c r="AR155" s="22" t="str">
        <f>IF($B155="","",(AP155+AQ155)*$AC155)</f>
        <v/>
      </c>
      <c r="AS155" s="22" t="str">
        <f>IF($B155="","",AP155+AQ155-AR155)</f>
        <v/>
      </c>
      <c r="AT155" s="22" t="str">
        <f>IF($B155="","",AO155-AS155)</f>
        <v/>
      </c>
      <c r="AU155" s="22" t="str">
        <f>IF($B155="","",IF($AC155=1,N($R155)-($G155-AR155),0))</f>
        <v/>
      </c>
      <c r="AV155" s="22" t="str">
        <f>IF($B155="","",($G155-$AH155)*$AA155)</f>
        <v/>
      </c>
      <c r="AW155" s="22" t="str">
        <f>IF($B155="","",IF($AJ155=0,0,($AH155-$AI155)*$AK155/$AJ155)*MAX($AA155,$AB155))</f>
        <v/>
      </c>
      <c r="AX155" s="22" t="str">
        <f>IF($B155="","",(AV155+AW155)*$AC155)</f>
        <v/>
      </c>
      <c r="AY155" s="22" t="str">
        <f>IF($B155="","",AV155+AW155-AX155)</f>
        <v/>
      </c>
      <c r="AZ155" s="22" t="str">
        <f>IF($B155="","",AO155-AY155)</f>
        <v/>
      </c>
      <c r="BA155" s="22" t="str">
        <f>IF($B155="","",IF($AC155=1,N($R155)-($G155-AX155),0))</f>
        <v/>
      </c>
      <c r="BB155" s="22" t="str">
        <f>IF($B155="","",ROUND(AQ155-AW155,0))</f>
        <v/>
      </c>
      <c r="BC155" s="22" t="str">
        <f>IF($B155="","",ROUND(BA155-AU155,0))</f>
        <v/>
      </c>
      <c r="BD155" s="22" t="str">
        <f>IF($B155="","",BB155+BC155)</f>
        <v/>
      </c>
      <c r="BE155" s="22" t="str">
        <f>IF($B155="","",ROUND(AV155-AP155,0))</f>
        <v/>
      </c>
      <c r="BF155" s="22" t="str">
        <f>IF($B155="","",ROUND(AT155-AZ155,0))</f>
        <v/>
      </c>
      <c r="BG155" s="22" t="str">
        <f>IF($B155="","",ROUND(BF155*TarifPPh,0))</f>
        <v/>
      </c>
      <c r="BH155" t="str">
        <f>IF($B155="","",IF($D155="","Kategori kosong",IF($F155="","Tgl perolehan kosong",IF(N($H155)&gt;$G155,"Residu &gt; harga perolehan",IF(AND(LEFT($U155,8)="Bangunan",$W155="Saldo Menurun"),"Bangunan wajib Garis Lurus (Ps.11 UU PPh)",IF(AND($S155="Unit Produksi",N($K155)=0),"Isi kapasitas unit",IF(AND(OR($S155="Garis Lurus",$S155="Saldo Menurun"),N($T155)&lt;=0),"Umur komersial kosong",IF(AND(OR($W155="Garis Lurus",$W155="Saldo Menurun"),N($V155)&lt;=0),"Masa manfaat fiskal kosong",IF(AND($Q155&lt;&gt;"",$Q155&lt;$F155),"Tgl pelepasan &lt; perolehan","OK")))))))))</f>
        <v/>
      </c>
    </row>
    <row r="156" spans="1:60" x14ac:dyDescent="0.25">
      <c r="A156" t="str">
        <f>IF($B156="","",ROW()-6)</f>
        <v/>
      </c>
      <c r="B156" s="9"/>
      <c r="C156" s="9"/>
      <c r="D156" s="9"/>
      <c r="E156" s="9"/>
      <c r="F156" s="17"/>
      <c r="G156" s="18"/>
      <c r="H156" s="18"/>
      <c r="I156" s="9"/>
      <c r="J156" s="9"/>
      <c r="K156" s="19"/>
      <c r="L156" s="19"/>
      <c r="M156" s="19"/>
      <c r="N156" s="9"/>
      <c r="O156" s="9"/>
      <c r="P156" s="9"/>
      <c r="Q156" s="17"/>
      <c r="R156" s="18"/>
      <c r="S156" t="str">
        <f>IF($B156="","",IF($I156&lt;&gt;"",$I156,IFERROR(INDEX(Kat_Metode,MATCH($D156,Kat_Nama,0)),"")))</f>
        <v/>
      </c>
      <c r="T156" t="str">
        <f>IF($B156="","",IF($J156&lt;&gt;"",$J156,IFERROR(INDEX(Kat_Umur,MATCH($D156,Kat_Nama,0)),0)))</f>
        <v/>
      </c>
      <c r="U156" t="str">
        <f>IF($B156="","",IF($N156&lt;&gt;"",$N156,IFERROR(INDEX(Kat_Kelompok,MATCH($D156,Kat_Nama,0)),"")))</f>
        <v/>
      </c>
      <c r="V156" t="str">
        <f>IF($B156="","",IF($U156="Masa Manfaat Sebenarnya",N($O156),IFERROR(INDEX(Kel_Masa,MATCH($U156,Kel_Nama,0)),0)))</f>
        <v/>
      </c>
      <c r="W156" t="str">
        <f>IF($B156="","",IF($P156&lt;&gt;"",$P156,IF(OR($U156="Tidak Disusutkan",$V156=0),"Tidak Disusutkan","Garis Lurus")))</f>
        <v/>
      </c>
      <c r="X156" t="str">
        <f>IF($B156="","",IF($Y156&gt;TahunBuku*12+12,"Belum Diperoleh",IF($Z156&lt;=TahunBuku*12,"Dilepas (thn lalu)",IF($AC156=1,"Dilepas thn ini",IF($AB156=1,"Perolehan baru","Aktif")))))</f>
        <v/>
      </c>
      <c r="Y156" s="20" t="str">
        <f>IF($B156="","",YEAR($F156)*12+MONTH($F156))</f>
        <v/>
      </c>
      <c r="Z156" s="20" t="str">
        <f>IF($B156="","",IF($Q156="",99999,YEAR($Q156)*12+MONTH($Q156)))</f>
        <v/>
      </c>
      <c r="AA156" s="20" t="str">
        <f>IF($B156="","",--AND($Y156&lt;=TahunBuku*12,$Z156&gt;TahunBuku*12))</f>
        <v/>
      </c>
      <c r="AB156" s="20" t="str">
        <f>IF($B156="","",--AND($Y156&gt;TahunBuku*12,$Y156&lt;=TahunBuku*12+12))</f>
        <v/>
      </c>
      <c r="AC156" s="20" t="str">
        <f>IF($B156="","",--AND($Z156&gt;TahunBuku*12,$Z156&lt;=TahunBuku*12+12,$Y156&lt;=$Z156))</f>
        <v/>
      </c>
      <c r="AD156" s="21" t="str">
        <f>IF($B156="","",IFERROR(IF($S156="Garis Lurus",$G156-($G156-$H156)*MIN($T156*12,MAX(0,TahunBuku*12-$Y156+1))/($T156*12),IF($S156="Saldo Menurun",IF(TahunBuku-1&lt;YEAR($F156),$G156,IF(TahunBuku-1&gt;=INT(($Y156+$T156*12-2)/12),$H156,MAX($H156,$G156*(1-2/$T156*(13-MONTH($F156))/12)*(1-2/$T156)^(TahunBuku-1-YEAR($F156))))),IF($S156="Unit Produksi",$G156-($G156-$H156)*MIN(1,N($L156)/$K156),$G156))),$G156))</f>
        <v/>
      </c>
      <c r="AE156" s="21" t="str">
        <f>IF($B156="","",IFERROR(IF($S156="Garis Lurus",$G156-($G156-$H156)*MIN($T156*12,MAX(0,TahunBuku*12+12-$Y156+1))/($T156*12),IF($S156="Saldo Menurun",IF(TahunBuku&lt;YEAR($F156),$G156,IF(TahunBuku&gt;=INT(($Y156+$T156*12-2)/12),$H156,MAX($H156,$G156*(1-2/$T156*(13-MONTH($F156))/12)*(1-2/$T156)^(TahunBuku-YEAR($F156))))),IF($S156="Unit Produksi",$G156-($G156-$H156)*MIN(1,(N($L156)+N($M156))/$K156),$G156))),$G156))</f>
        <v/>
      </c>
      <c r="AF156" s="20" t="str">
        <f>IF($B156="","",IF(OR($S156="Garis Lurus",$S156="Saldo Menurun",$S156="Unit Produksi"),MAX(0,IF($S156="Unit Produksi",TahunBuku*12+12,MIN(TahunBuku*12+12,$Y156+$T156*12-1))-MAX(TahunBuku*12+1,$Y156)+1),0))</f>
        <v/>
      </c>
      <c r="AG156" s="20" t="str">
        <f>IF($B156="","",IF(OR($S156="Garis Lurus",$S156="Saldo Menurun",$S156="Unit Produksi"),MAX(0,MIN($Z156,IF($S156="Unit Produksi",TahunBuku*12+12,MIN(TahunBuku*12+12,$Y156+$T156*12-1)))-MAX(TahunBuku*12+1,$Y156)+1),0))</f>
        <v/>
      </c>
      <c r="AH156" s="21" t="str">
        <f>IF($B156="","",IFERROR(IF($W156="Garis Lurus",$G156*(1-MIN($V156*12,MAX(0,TahunBuku*12-$Y156+1))/($V156*12)),IF($W156="Saldo Menurun",IF(TahunBuku-1&lt;YEAR($F156),$G156,IF(TahunBuku-1&gt;=INT(($Y156+$V156*12-2)/12),0,$G156*(1-2/$V156*(13-MONTH($F156))/12)*(1-2/$V156)^(TahunBuku-1-YEAR($F156)))),$G156)),$G156))</f>
        <v/>
      </c>
      <c r="AI156" s="21" t="str">
        <f>IF($B156="","",IFERROR(IF($W156="Garis Lurus",$G156*(1-MIN($V156*12,MAX(0,TahunBuku*12+12-$Y156+1))/($V156*12)),IF($W156="Saldo Menurun",IF(TahunBuku&lt;YEAR($F156),$G156,IF(TahunBuku&gt;=INT(($Y156+$V156*12-2)/12),0,$G156*(1-2/$V156*(13-MONTH($F156))/12)*(1-2/$V156)^(TahunBuku-YEAR($F156)))),$G156)),$G156))</f>
        <v/>
      </c>
      <c r="AJ156" s="20" t="str">
        <f>IF($B156="","",IF(OR($W156="Garis Lurus",$W156="Saldo Menurun"),MAX(0,MIN(TahunBuku*12+12,$Y156+$V156*12-1)-MAX(TahunBuku*12+1,$Y156)+1),0))</f>
        <v/>
      </c>
      <c r="AK156" s="20" t="str">
        <f>IF($B156="","",IF(OR($W156="Garis Lurus",$W156="Saldo Menurun"),MAX(0,MIN($Z156,TahunBuku*12+12,$Y156+$V156*12-1)-MAX(TahunBuku*12+1,$Y156)+1),0))</f>
        <v/>
      </c>
      <c r="AL156" s="22" t="str">
        <f>IF($B156="","",$G156*$AA156)</f>
        <v/>
      </c>
      <c r="AM156" s="22" t="str">
        <f>IF($B156="","",$G156*$AB156)</f>
        <v/>
      </c>
      <c r="AN156" s="22" t="str">
        <f>IF($B156="","",$G156*$AC156)</f>
        <v/>
      </c>
      <c r="AO156" s="22" t="str">
        <f>IF($B156="","",AL156+AM156-AN156)</f>
        <v/>
      </c>
      <c r="AP156" s="22" t="str">
        <f>IF($B156="","",($G156-$AD156)*$AA156)</f>
        <v/>
      </c>
      <c r="AQ156" s="22" t="str">
        <f>IF($B156="","",IF($AF156=0,0,($AD156-$AE156)*$AG156/$AF156)*MAX($AA156,$AB156))</f>
        <v/>
      </c>
      <c r="AR156" s="22" t="str">
        <f>IF($B156="","",(AP156+AQ156)*$AC156)</f>
        <v/>
      </c>
      <c r="AS156" s="22" t="str">
        <f>IF($B156="","",AP156+AQ156-AR156)</f>
        <v/>
      </c>
      <c r="AT156" s="22" t="str">
        <f>IF($B156="","",AO156-AS156)</f>
        <v/>
      </c>
      <c r="AU156" s="22" t="str">
        <f>IF($B156="","",IF($AC156=1,N($R156)-($G156-AR156),0))</f>
        <v/>
      </c>
      <c r="AV156" s="22" t="str">
        <f>IF($B156="","",($G156-$AH156)*$AA156)</f>
        <v/>
      </c>
      <c r="AW156" s="22" t="str">
        <f>IF($B156="","",IF($AJ156=0,0,($AH156-$AI156)*$AK156/$AJ156)*MAX($AA156,$AB156))</f>
        <v/>
      </c>
      <c r="AX156" s="22" t="str">
        <f>IF($B156="","",(AV156+AW156)*$AC156)</f>
        <v/>
      </c>
      <c r="AY156" s="22" t="str">
        <f>IF($B156="","",AV156+AW156-AX156)</f>
        <v/>
      </c>
      <c r="AZ156" s="22" t="str">
        <f>IF($B156="","",AO156-AY156)</f>
        <v/>
      </c>
      <c r="BA156" s="22" t="str">
        <f>IF($B156="","",IF($AC156=1,N($R156)-($G156-AX156),0))</f>
        <v/>
      </c>
      <c r="BB156" s="22" t="str">
        <f>IF($B156="","",ROUND(AQ156-AW156,0))</f>
        <v/>
      </c>
      <c r="BC156" s="22" t="str">
        <f>IF($B156="","",ROUND(BA156-AU156,0))</f>
        <v/>
      </c>
      <c r="BD156" s="22" t="str">
        <f>IF($B156="","",BB156+BC156)</f>
        <v/>
      </c>
      <c r="BE156" s="22" t="str">
        <f>IF($B156="","",ROUND(AV156-AP156,0))</f>
        <v/>
      </c>
      <c r="BF156" s="22" t="str">
        <f>IF($B156="","",ROUND(AT156-AZ156,0))</f>
        <v/>
      </c>
      <c r="BG156" s="22" t="str">
        <f>IF($B156="","",ROUND(BF156*TarifPPh,0))</f>
        <v/>
      </c>
      <c r="BH156" t="str">
        <f>IF($B156="","",IF($D156="","Kategori kosong",IF($F156="","Tgl perolehan kosong",IF(N($H156)&gt;$G156,"Residu &gt; harga perolehan",IF(AND(LEFT($U156,8)="Bangunan",$W156="Saldo Menurun"),"Bangunan wajib Garis Lurus (Ps.11 UU PPh)",IF(AND($S156="Unit Produksi",N($K156)=0),"Isi kapasitas unit",IF(AND(OR($S156="Garis Lurus",$S156="Saldo Menurun"),N($T156)&lt;=0),"Umur komersial kosong",IF(AND(OR($W156="Garis Lurus",$W156="Saldo Menurun"),N($V156)&lt;=0),"Masa manfaat fiskal kosong",IF(AND($Q156&lt;&gt;"",$Q156&lt;$F156),"Tgl pelepasan &lt; perolehan","OK")))))))))</f>
        <v/>
      </c>
    </row>
    <row r="157" spans="1:60" x14ac:dyDescent="0.25">
      <c r="A157" t="str">
        <f>IF($B157="","",ROW()-6)</f>
        <v/>
      </c>
      <c r="B157" s="9"/>
      <c r="C157" s="9"/>
      <c r="D157" s="9"/>
      <c r="E157" s="9"/>
      <c r="F157" s="17"/>
      <c r="G157" s="18"/>
      <c r="H157" s="18"/>
      <c r="I157" s="9"/>
      <c r="J157" s="9"/>
      <c r="K157" s="19"/>
      <c r="L157" s="19"/>
      <c r="M157" s="19"/>
      <c r="N157" s="9"/>
      <c r="O157" s="9"/>
      <c r="P157" s="9"/>
      <c r="Q157" s="17"/>
      <c r="R157" s="18"/>
      <c r="S157" t="str">
        <f>IF($B157="","",IF($I157&lt;&gt;"",$I157,IFERROR(INDEX(Kat_Metode,MATCH($D157,Kat_Nama,0)),"")))</f>
        <v/>
      </c>
      <c r="T157" t="str">
        <f>IF($B157="","",IF($J157&lt;&gt;"",$J157,IFERROR(INDEX(Kat_Umur,MATCH($D157,Kat_Nama,0)),0)))</f>
        <v/>
      </c>
      <c r="U157" t="str">
        <f>IF($B157="","",IF($N157&lt;&gt;"",$N157,IFERROR(INDEX(Kat_Kelompok,MATCH($D157,Kat_Nama,0)),"")))</f>
        <v/>
      </c>
      <c r="V157" t="str">
        <f>IF($B157="","",IF($U157="Masa Manfaat Sebenarnya",N($O157),IFERROR(INDEX(Kel_Masa,MATCH($U157,Kel_Nama,0)),0)))</f>
        <v/>
      </c>
      <c r="W157" t="str">
        <f>IF($B157="","",IF($P157&lt;&gt;"",$P157,IF(OR($U157="Tidak Disusutkan",$V157=0),"Tidak Disusutkan","Garis Lurus")))</f>
        <v/>
      </c>
      <c r="X157" t="str">
        <f>IF($B157="","",IF($Y157&gt;TahunBuku*12+12,"Belum Diperoleh",IF($Z157&lt;=TahunBuku*12,"Dilepas (thn lalu)",IF($AC157=1,"Dilepas thn ini",IF($AB157=1,"Perolehan baru","Aktif")))))</f>
        <v/>
      </c>
      <c r="Y157" s="20" t="str">
        <f>IF($B157="","",YEAR($F157)*12+MONTH($F157))</f>
        <v/>
      </c>
      <c r="Z157" s="20" t="str">
        <f>IF($B157="","",IF($Q157="",99999,YEAR($Q157)*12+MONTH($Q157)))</f>
        <v/>
      </c>
      <c r="AA157" s="20" t="str">
        <f>IF($B157="","",--AND($Y157&lt;=TahunBuku*12,$Z157&gt;TahunBuku*12))</f>
        <v/>
      </c>
      <c r="AB157" s="20" t="str">
        <f>IF($B157="","",--AND($Y157&gt;TahunBuku*12,$Y157&lt;=TahunBuku*12+12))</f>
        <v/>
      </c>
      <c r="AC157" s="20" t="str">
        <f>IF($B157="","",--AND($Z157&gt;TahunBuku*12,$Z157&lt;=TahunBuku*12+12,$Y157&lt;=$Z157))</f>
        <v/>
      </c>
      <c r="AD157" s="21" t="str">
        <f>IF($B157="","",IFERROR(IF($S157="Garis Lurus",$G157-($G157-$H157)*MIN($T157*12,MAX(0,TahunBuku*12-$Y157+1))/($T157*12),IF($S157="Saldo Menurun",IF(TahunBuku-1&lt;YEAR($F157),$G157,IF(TahunBuku-1&gt;=INT(($Y157+$T157*12-2)/12),$H157,MAX($H157,$G157*(1-2/$T157*(13-MONTH($F157))/12)*(1-2/$T157)^(TahunBuku-1-YEAR($F157))))),IF($S157="Unit Produksi",$G157-($G157-$H157)*MIN(1,N($L157)/$K157),$G157))),$G157))</f>
        <v/>
      </c>
      <c r="AE157" s="21" t="str">
        <f>IF($B157="","",IFERROR(IF($S157="Garis Lurus",$G157-($G157-$H157)*MIN($T157*12,MAX(0,TahunBuku*12+12-$Y157+1))/($T157*12),IF($S157="Saldo Menurun",IF(TahunBuku&lt;YEAR($F157),$G157,IF(TahunBuku&gt;=INT(($Y157+$T157*12-2)/12),$H157,MAX($H157,$G157*(1-2/$T157*(13-MONTH($F157))/12)*(1-2/$T157)^(TahunBuku-YEAR($F157))))),IF($S157="Unit Produksi",$G157-($G157-$H157)*MIN(1,(N($L157)+N($M157))/$K157),$G157))),$G157))</f>
        <v/>
      </c>
      <c r="AF157" s="20" t="str">
        <f>IF($B157="","",IF(OR($S157="Garis Lurus",$S157="Saldo Menurun",$S157="Unit Produksi"),MAX(0,IF($S157="Unit Produksi",TahunBuku*12+12,MIN(TahunBuku*12+12,$Y157+$T157*12-1))-MAX(TahunBuku*12+1,$Y157)+1),0))</f>
        <v/>
      </c>
      <c r="AG157" s="20" t="str">
        <f>IF($B157="","",IF(OR($S157="Garis Lurus",$S157="Saldo Menurun",$S157="Unit Produksi"),MAX(0,MIN($Z157,IF($S157="Unit Produksi",TahunBuku*12+12,MIN(TahunBuku*12+12,$Y157+$T157*12-1)))-MAX(TahunBuku*12+1,$Y157)+1),0))</f>
        <v/>
      </c>
      <c r="AH157" s="21" t="str">
        <f>IF($B157="","",IFERROR(IF($W157="Garis Lurus",$G157*(1-MIN($V157*12,MAX(0,TahunBuku*12-$Y157+1))/($V157*12)),IF($W157="Saldo Menurun",IF(TahunBuku-1&lt;YEAR($F157),$G157,IF(TahunBuku-1&gt;=INT(($Y157+$V157*12-2)/12),0,$G157*(1-2/$V157*(13-MONTH($F157))/12)*(1-2/$V157)^(TahunBuku-1-YEAR($F157)))),$G157)),$G157))</f>
        <v/>
      </c>
      <c r="AI157" s="21" t="str">
        <f>IF($B157="","",IFERROR(IF($W157="Garis Lurus",$G157*(1-MIN($V157*12,MAX(0,TahunBuku*12+12-$Y157+1))/($V157*12)),IF($W157="Saldo Menurun",IF(TahunBuku&lt;YEAR($F157),$G157,IF(TahunBuku&gt;=INT(($Y157+$V157*12-2)/12),0,$G157*(1-2/$V157*(13-MONTH($F157))/12)*(1-2/$V157)^(TahunBuku-YEAR($F157)))),$G157)),$G157))</f>
        <v/>
      </c>
      <c r="AJ157" s="20" t="str">
        <f>IF($B157="","",IF(OR($W157="Garis Lurus",$W157="Saldo Menurun"),MAX(0,MIN(TahunBuku*12+12,$Y157+$V157*12-1)-MAX(TahunBuku*12+1,$Y157)+1),0))</f>
        <v/>
      </c>
      <c r="AK157" s="20" t="str">
        <f>IF($B157="","",IF(OR($W157="Garis Lurus",$W157="Saldo Menurun"),MAX(0,MIN($Z157,TahunBuku*12+12,$Y157+$V157*12-1)-MAX(TahunBuku*12+1,$Y157)+1),0))</f>
        <v/>
      </c>
      <c r="AL157" s="22" t="str">
        <f>IF($B157="","",$G157*$AA157)</f>
        <v/>
      </c>
      <c r="AM157" s="22" t="str">
        <f>IF($B157="","",$G157*$AB157)</f>
        <v/>
      </c>
      <c r="AN157" s="22" t="str">
        <f>IF($B157="","",$G157*$AC157)</f>
        <v/>
      </c>
      <c r="AO157" s="22" t="str">
        <f>IF($B157="","",AL157+AM157-AN157)</f>
        <v/>
      </c>
      <c r="AP157" s="22" t="str">
        <f>IF($B157="","",($G157-$AD157)*$AA157)</f>
        <v/>
      </c>
      <c r="AQ157" s="22" t="str">
        <f>IF($B157="","",IF($AF157=0,0,($AD157-$AE157)*$AG157/$AF157)*MAX($AA157,$AB157))</f>
        <v/>
      </c>
      <c r="AR157" s="22" t="str">
        <f>IF($B157="","",(AP157+AQ157)*$AC157)</f>
        <v/>
      </c>
      <c r="AS157" s="22" t="str">
        <f>IF($B157="","",AP157+AQ157-AR157)</f>
        <v/>
      </c>
      <c r="AT157" s="22" t="str">
        <f>IF($B157="","",AO157-AS157)</f>
        <v/>
      </c>
      <c r="AU157" s="22" t="str">
        <f>IF($B157="","",IF($AC157=1,N($R157)-($G157-AR157),0))</f>
        <v/>
      </c>
      <c r="AV157" s="22" t="str">
        <f>IF($B157="","",($G157-$AH157)*$AA157)</f>
        <v/>
      </c>
      <c r="AW157" s="22" t="str">
        <f>IF($B157="","",IF($AJ157=0,0,($AH157-$AI157)*$AK157/$AJ157)*MAX($AA157,$AB157))</f>
        <v/>
      </c>
      <c r="AX157" s="22" t="str">
        <f>IF($B157="","",(AV157+AW157)*$AC157)</f>
        <v/>
      </c>
      <c r="AY157" s="22" t="str">
        <f>IF($B157="","",AV157+AW157-AX157)</f>
        <v/>
      </c>
      <c r="AZ157" s="22" t="str">
        <f>IF($B157="","",AO157-AY157)</f>
        <v/>
      </c>
      <c r="BA157" s="22" t="str">
        <f>IF($B157="","",IF($AC157=1,N($R157)-($G157-AX157),0))</f>
        <v/>
      </c>
      <c r="BB157" s="22" t="str">
        <f>IF($B157="","",ROUND(AQ157-AW157,0))</f>
        <v/>
      </c>
      <c r="BC157" s="22" t="str">
        <f>IF($B157="","",ROUND(BA157-AU157,0))</f>
        <v/>
      </c>
      <c r="BD157" s="22" t="str">
        <f>IF($B157="","",BB157+BC157)</f>
        <v/>
      </c>
      <c r="BE157" s="22" t="str">
        <f>IF($B157="","",ROUND(AV157-AP157,0))</f>
        <v/>
      </c>
      <c r="BF157" s="22" t="str">
        <f>IF($B157="","",ROUND(AT157-AZ157,0))</f>
        <v/>
      </c>
      <c r="BG157" s="22" t="str">
        <f>IF($B157="","",ROUND(BF157*TarifPPh,0))</f>
        <v/>
      </c>
      <c r="BH157" t="str">
        <f>IF($B157="","",IF($D157="","Kategori kosong",IF($F157="","Tgl perolehan kosong",IF(N($H157)&gt;$G157,"Residu &gt; harga perolehan",IF(AND(LEFT($U157,8)="Bangunan",$W157="Saldo Menurun"),"Bangunan wajib Garis Lurus (Ps.11 UU PPh)",IF(AND($S157="Unit Produksi",N($K157)=0),"Isi kapasitas unit",IF(AND(OR($S157="Garis Lurus",$S157="Saldo Menurun"),N($T157)&lt;=0),"Umur komersial kosong",IF(AND(OR($W157="Garis Lurus",$W157="Saldo Menurun"),N($V157)&lt;=0),"Masa manfaat fiskal kosong",IF(AND($Q157&lt;&gt;"",$Q157&lt;$F157),"Tgl pelepasan &lt; perolehan","OK")))))))))</f>
        <v/>
      </c>
    </row>
    <row r="158" spans="1:60" x14ac:dyDescent="0.25">
      <c r="A158" t="str">
        <f>IF($B158="","",ROW()-6)</f>
        <v/>
      </c>
      <c r="B158" s="9"/>
      <c r="C158" s="9"/>
      <c r="D158" s="9"/>
      <c r="E158" s="9"/>
      <c r="F158" s="17"/>
      <c r="G158" s="18"/>
      <c r="H158" s="18"/>
      <c r="I158" s="9"/>
      <c r="J158" s="9"/>
      <c r="K158" s="19"/>
      <c r="L158" s="19"/>
      <c r="M158" s="19"/>
      <c r="N158" s="9"/>
      <c r="O158" s="9"/>
      <c r="P158" s="9"/>
      <c r="Q158" s="17"/>
      <c r="R158" s="18"/>
      <c r="S158" t="str">
        <f>IF($B158="","",IF($I158&lt;&gt;"",$I158,IFERROR(INDEX(Kat_Metode,MATCH($D158,Kat_Nama,0)),"")))</f>
        <v/>
      </c>
      <c r="T158" t="str">
        <f>IF($B158="","",IF($J158&lt;&gt;"",$J158,IFERROR(INDEX(Kat_Umur,MATCH($D158,Kat_Nama,0)),0)))</f>
        <v/>
      </c>
      <c r="U158" t="str">
        <f>IF($B158="","",IF($N158&lt;&gt;"",$N158,IFERROR(INDEX(Kat_Kelompok,MATCH($D158,Kat_Nama,0)),"")))</f>
        <v/>
      </c>
      <c r="V158" t="str">
        <f>IF($B158="","",IF($U158="Masa Manfaat Sebenarnya",N($O158),IFERROR(INDEX(Kel_Masa,MATCH($U158,Kel_Nama,0)),0)))</f>
        <v/>
      </c>
      <c r="W158" t="str">
        <f>IF($B158="","",IF($P158&lt;&gt;"",$P158,IF(OR($U158="Tidak Disusutkan",$V158=0),"Tidak Disusutkan","Garis Lurus")))</f>
        <v/>
      </c>
      <c r="X158" t="str">
        <f>IF($B158="","",IF($Y158&gt;TahunBuku*12+12,"Belum Diperoleh",IF($Z158&lt;=TahunBuku*12,"Dilepas (thn lalu)",IF($AC158=1,"Dilepas thn ini",IF($AB158=1,"Perolehan baru","Aktif")))))</f>
        <v/>
      </c>
      <c r="Y158" s="20" t="str">
        <f>IF($B158="","",YEAR($F158)*12+MONTH($F158))</f>
        <v/>
      </c>
      <c r="Z158" s="20" t="str">
        <f>IF($B158="","",IF($Q158="",99999,YEAR($Q158)*12+MONTH($Q158)))</f>
        <v/>
      </c>
      <c r="AA158" s="20" t="str">
        <f>IF($B158="","",--AND($Y158&lt;=TahunBuku*12,$Z158&gt;TahunBuku*12))</f>
        <v/>
      </c>
      <c r="AB158" s="20" t="str">
        <f>IF($B158="","",--AND($Y158&gt;TahunBuku*12,$Y158&lt;=TahunBuku*12+12))</f>
        <v/>
      </c>
      <c r="AC158" s="20" t="str">
        <f>IF($B158="","",--AND($Z158&gt;TahunBuku*12,$Z158&lt;=TahunBuku*12+12,$Y158&lt;=$Z158))</f>
        <v/>
      </c>
      <c r="AD158" s="21" t="str">
        <f>IF($B158="","",IFERROR(IF($S158="Garis Lurus",$G158-($G158-$H158)*MIN($T158*12,MAX(0,TahunBuku*12-$Y158+1))/($T158*12),IF($S158="Saldo Menurun",IF(TahunBuku-1&lt;YEAR($F158),$G158,IF(TahunBuku-1&gt;=INT(($Y158+$T158*12-2)/12),$H158,MAX($H158,$G158*(1-2/$T158*(13-MONTH($F158))/12)*(1-2/$T158)^(TahunBuku-1-YEAR($F158))))),IF($S158="Unit Produksi",$G158-($G158-$H158)*MIN(1,N($L158)/$K158),$G158))),$G158))</f>
        <v/>
      </c>
      <c r="AE158" s="21" t="str">
        <f>IF($B158="","",IFERROR(IF($S158="Garis Lurus",$G158-($G158-$H158)*MIN($T158*12,MAX(0,TahunBuku*12+12-$Y158+1))/($T158*12),IF($S158="Saldo Menurun",IF(TahunBuku&lt;YEAR($F158),$G158,IF(TahunBuku&gt;=INT(($Y158+$T158*12-2)/12),$H158,MAX($H158,$G158*(1-2/$T158*(13-MONTH($F158))/12)*(1-2/$T158)^(TahunBuku-YEAR($F158))))),IF($S158="Unit Produksi",$G158-($G158-$H158)*MIN(1,(N($L158)+N($M158))/$K158),$G158))),$G158))</f>
        <v/>
      </c>
      <c r="AF158" s="20" t="str">
        <f>IF($B158="","",IF(OR($S158="Garis Lurus",$S158="Saldo Menurun",$S158="Unit Produksi"),MAX(0,IF($S158="Unit Produksi",TahunBuku*12+12,MIN(TahunBuku*12+12,$Y158+$T158*12-1))-MAX(TahunBuku*12+1,$Y158)+1),0))</f>
        <v/>
      </c>
      <c r="AG158" s="20" t="str">
        <f>IF($B158="","",IF(OR($S158="Garis Lurus",$S158="Saldo Menurun",$S158="Unit Produksi"),MAX(0,MIN($Z158,IF($S158="Unit Produksi",TahunBuku*12+12,MIN(TahunBuku*12+12,$Y158+$T158*12-1)))-MAX(TahunBuku*12+1,$Y158)+1),0))</f>
        <v/>
      </c>
      <c r="AH158" s="21" t="str">
        <f>IF($B158="","",IFERROR(IF($W158="Garis Lurus",$G158*(1-MIN($V158*12,MAX(0,TahunBuku*12-$Y158+1))/($V158*12)),IF($W158="Saldo Menurun",IF(TahunBuku-1&lt;YEAR($F158),$G158,IF(TahunBuku-1&gt;=INT(($Y158+$V158*12-2)/12),0,$G158*(1-2/$V158*(13-MONTH($F158))/12)*(1-2/$V158)^(TahunBuku-1-YEAR($F158)))),$G158)),$G158))</f>
        <v/>
      </c>
      <c r="AI158" s="21" t="str">
        <f>IF($B158="","",IFERROR(IF($W158="Garis Lurus",$G158*(1-MIN($V158*12,MAX(0,TahunBuku*12+12-$Y158+1))/($V158*12)),IF($W158="Saldo Menurun",IF(TahunBuku&lt;YEAR($F158),$G158,IF(TahunBuku&gt;=INT(($Y158+$V158*12-2)/12),0,$G158*(1-2/$V158*(13-MONTH($F158))/12)*(1-2/$V158)^(TahunBuku-YEAR($F158)))),$G158)),$G158))</f>
        <v/>
      </c>
      <c r="AJ158" s="20" t="str">
        <f>IF($B158="","",IF(OR($W158="Garis Lurus",$W158="Saldo Menurun"),MAX(0,MIN(TahunBuku*12+12,$Y158+$V158*12-1)-MAX(TahunBuku*12+1,$Y158)+1),0))</f>
        <v/>
      </c>
      <c r="AK158" s="20" t="str">
        <f>IF($B158="","",IF(OR($W158="Garis Lurus",$W158="Saldo Menurun"),MAX(0,MIN($Z158,TahunBuku*12+12,$Y158+$V158*12-1)-MAX(TahunBuku*12+1,$Y158)+1),0))</f>
        <v/>
      </c>
      <c r="AL158" s="22" t="str">
        <f>IF($B158="","",$G158*$AA158)</f>
        <v/>
      </c>
      <c r="AM158" s="22" t="str">
        <f>IF($B158="","",$G158*$AB158)</f>
        <v/>
      </c>
      <c r="AN158" s="22" t="str">
        <f>IF($B158="","",$G158*$AC158)</f>
        <v/>
      </c>
      <c r="AO158" s="22" t="str">
        <f>IF($B158="","",AL158+AM158-AN158)</f>
        <v/>
      </c>
      <c r="AP158" s="22" t="str">
        <f>IF($B158="","",($G158-$AD158)*$AA158)</f>
        <v/>
      </c>
      <c r="AQ158" s="22" t="str">
        <f>IF($B158="","",IF($AF158=0,0,($AD158-$AE158)*$AG158/$AF158)*MAX($AA158,$AB158))</f>
        <v/>
      </c>
      <c r="AR158" s="22" t="str">
        <f>IF($B158="","",(AP158+AQ158)*$AC158)</f>
        <v/>
      </c>
      <c r="AS158" s="22" t="str">
        <f>IF($B158="","",AP158+AQ158-AR158)</f>
        <v/>
      </c>
      <c r="AT158" s="22" t="str">
        <f>IF($B158="","",AO158-AS158)</f>
        <v/>
      </c>
      <c r="AU158" s="22" t="str">
        <f>IF($B158="","",IF($AC158=1,N($R158)-($G158-AR158),0))</f>
        <v/>
      </c>
      <c r="AV158" s="22" t="str">
        <f>IF($B158="","",($G158-$AH158)*$AA158)</f>
        <v/>
      </c>
      <c r="AW158" s="22" t="str">
        <f>IF($B158="","",IF($AJ158=0,0,($AH158-$AI158)*$AK158/$AJ158)*MAX($AA158,$AB158))</f>
        <v/>
      </c>
      <c r="AX158" s="22" t="str">
        <f>IF($B158="","",(AV158+AW158)*$AC158)</f>
        <v/>
      </c>
      <c r="AY158" s="22" t="str">
        <f>IF($B158="","",AV158+AW158-AX158)</f>
        <v/>
      </c>
      <c r="AZ158" s="22" t="str">
        <f>IF($B158="","",AO158-AY158)</f>
        <v/>
      </c>
      <c r="BA158" s="22" t="str">
        <f>IF($B158="","",IF($AC158=1,N($R158)-($G158-AX158),0))</f>
        <v/>
      </c>
      <c r="BB158" s="22" t="str">
        <f>IF($B158="","",ROUND(AQ158-AW158,0))</f>
        <v/>
      </c>
      <c r="BC158" s="22" t="str">
        <f>IF($B158="","",ROUND(BA158-AU158,0))</f>
        <v/>
      </c>
      <c r="BD158" s="22" t="str">
        <f>IF($B158="","",BB158+BC158)</f>
        <v/>
      </c>
      <c r="BE158" s="22" t="str">
        <f>IF($B158="","",ROUND(AV158-AP158,0))</f>
        <v/>
      </c>
      <c r="BF158" s="22" t="str">
        <f>IF($B158="","",ROUND(AT158-AZ158,0))</f>
        <v/>
      </c>
      <c r="BG158" s="22" t="str">
        <f>IF($B158="","",ROUND(BF158*TarifPPh,0))</f>
        <v/>
      </c>
      <c r="BH158" t="str">
        <f>IF($B158="","",IF($D158="","Kategori kosong",IF($F158="","Tgl perolehan kosong",IF(N($H158)&gt;$G158,"Residu &gt; harga perolehan",IF(AND(LEFT($U158,8)="Bangunan",$W158="Saldo Menurun"),"Bangunan wajib Garis Lurus (Ps.11 UU PPh)",IF(AND($S158="Unit Produksi",N($K158)=0),"Isi kapasitas unit",IF(AND(OR($S158="Garis Lurus",$S158="Saldo Menurun"),N($T158)&lt;=0),"Umur komersial kosong",IF(AND(OR($W158="Garis Lurus",$W158="Saldo Menurun"),N($V158)&lt;=0),"Masa manfaat fiskal kosong",IF(AND($Q158&lt;&gt;"",$Q158&lt;$F158),"Tgl pelepasan &lt; perolehan","OK")))))))))</f>
        <v/>
      </c>
    </row>
    <row r="159" spans="1:60" x14ac:dyDescent="0.25">
      <c r="A159" t="str">
        <f>IF($B159="","",ROW()-6)</f>
        <v/>
      </c>
      <c r="B159" s="9"/>
      <c r="C159" s="9"/>
      <c r="D159" s="9"/>
      <c r="E159" s="9"/>
      <c r="F159" s="17"/>
      <c r="G159" s="18"/>
      <c r="H159" s="18"/>
      <c r="I159" s="9"/>
      <c r="J159" s="9"/>
      <c r="K159" s="19"/>
      <c r="L159" s="19"/>
      <c r="M159" s="19"/>
      <c r="N159" s="9"/>
      <c r="O159" s="9"/>
      <c r="P159" s="9"/>
      <c r="Q159" s="17"/>
      <c r="R159" s="18"/>
      <c r="S159" t="str">
        <f>IF($B159="","",IF($I159&lt;&gt;"",$I159,IFERROR(INDEX(Kat_Metode,MATCH($D159,Kat_Nama,0)),"")))</f>
        <v/>
      </c>
      <c r="T159" t="str">
        <f>IF($B159="","",IF($J159&lt;&gt;"",$J159,IFERROR(INDEX(Kat_Umur,MATCH($D159,Kat_Nama,0)),0)))</f>
        <v/>
      </c>
      <c r="U159" t="str">
        <f>IF($B159="","",IF($N159&lt;&gt;"",$N159,IFERROR(INDEX(Kat_Kelompok,MATCH($D159,Kat_Nama,0)),"")))</f>
        <v/>
      </c>
      <c r="V159" t="str">
        <f>IF($B159="","",IF($U159="Masa Manfaat Sebenarnya",N($O159),IFERROR(INDEX(Kel_Masa,MATCH($U159,Kel_Nama,0)),0)))</f>
        <v/>
      </c>
      <c r="W159" t="str">
        <f>IF($B159="","",IF($P159&lt;&gt;"",$P159,IF(OR($U159="Tidak Disusutkan",$V159=0),"Tidak Disusutkan","Garis Lurus")))</f>
        <v/>
      </c>
      <c r="X159" t="str">
        <f>IF($B159="","",IF($Y159&gt;TahunBuku*12+12,"Belum Diperoleh",IF($Z159&lt;=TahunBuku*12,"Dilepas (thn lalu)",IF($AC159=1,"Dilepas thn ini",IF($AB159=1,"Perolehan baru","Aktif")))))</f>
        <v/>
      </c>
      <c r="Y159" s="20" t="str">
        <f>IF($B159="","",YEAR($F159)*12+MONTH($F159))</f>
        <v/>
      </c>
      <c r="Z159" s="20" t="str">
        <f>IF($B159="","",IF($Q159="",99999,YEAR($Q159)*12+MONTH($Q159)))</f>
        <v/>
      </c>
      <c r="AA159" s="20" t="str">
        <f>IF($B159="","",--AND($Y159&lt;=TahunBuku*12,$Z159&gt;TahunBuku*12))</f>
        <v/>
      </c>
      <c r="AB159" s="20" t="str">
        <f>IF($B159="","",--AND($Y159&gt;TahunBuku*12,$Y159&lt;=TahunBuku*12+12))</f>
        <v/>
      </c>
      <c r="AC159" s="20" t="str">
        <f>IF($B159="","",--AND($Z159&gt;TahunBuku*12,$Z159&lt;=TahunBuku*12+12,$Y159&lt;=$Z159))</f>
        <v/>
      </c>
      <c r="AD159" s="21" t="str">
        <f>IF($B159="","",IFERROR(IF($S159="Garis Lurus",$G159-($G159-$H159)*MIN($T159*12,MAX(0,TahunBuku*12-$Y159+1))/($T159*12),IF($S159="Saldo Menurun",IF(TahunBuku-1&lt;YEAR($F159),$G159,IF(TahunBuku-1&gt;=INT(($Y159+$T159*12-2)/12),$H159,MAX($H159,$G159*(1-2/$T159*(13-MONTH($F159))/12)*(1-2/$T159)^(TahunBuku-1-YEAR($F159))))),IF($S159="Unit Produksi",$G159-($G159-$H159)*MIN(1,N($L159)/$K159),$G159))),$G159))</f>
        <v/>
      </c>
      <c r="AE159" s="21" t="str">
        <f>IF($B159="","",IFERROR(IF($S159="Garis Lurus",$G159-($G159-$H159)*MIN($T159*12,MAX(0,TahunBuku*12+12-$Y159+1))/($T159*12),IF($S159="Saldo Menurun",IF(TahunBuku&lt;YEAR($F159),$G159,IF(TahunBuku&gt;=INT(($Y159+$T159*12-2)/12),$H159,MAX($H159,$G159*(1-2/$T159*(13-MONTH($F159))/12)*(1-2/$T159)^(TahunBuku-YEAR($F159))))),IF($S159="Unit Produksi",$G159-($G159-$H159)*MIN(1,(N($L159)+N($M159))/$K159),$G159))),$G159))</f>
        <v/>
      </c>
      <c r="AF159" s="20" t="str">
        <f>IF($B159="","",IF(OR($S159="Garis Lurus",$S159="Saldo Menurun",$S159="Unit Produksi"),MAX(0,IF($S159="Unit Produksi",TahunBuku*12+12,MIN(TahunBuku*12+12,$Y159+$T159*12-1))-MAX(TahunBuku*12+1,$Y159)+1),0))</f>
        <v/>
      </c>
      <c r="AG159" s="20" t="str">
        <f>IF($B159="","",IF(OR($S159="Garis Lurus",$S159="Saldo Menurun",$S159="Unit Produksi"),MAX(0,MIN($Z159,IF($S159="Unit Produksi",TahunBuku*12+12,MIN(TahunBuku*12+12,$Y159+$T159*12-1)))-MAX(TahunBuku*12+1,$Y159)+1),0))</f>
        <v/>
      </c>
      <c r="AH159" s="21" t="str">
        <f>IF($B159="","",IFERROR(IF($W159="Garis Lurus",$G159*(1-MIN($V159*12,MAX(0,TahunBuku*12-$Y159+1))/($V159*12)),IF($W159="Saldo Menurun",IF(TahunBuku-1&lt;YEAR($F159),$G159,IF(TahunBuku-1&gt;=INT(($Y159+$V159*12-2)/12),0,$G159*(1-2/$V159*(13-MONTH($F159))/12)*(1-2/$V159)^(TahunBuku-1-YEAR($F159)))),$G159)),$G159))</f>
        <v/>
      </c>
      <c r="AI159" s="21" t="str">
        <f>IF($B159="","",IFERROR(IF($W159="Garis Lurus",$G159*(1-MIN($V159*12,MAX(0,TahunBuku*12+12-$Y159+1))/($V159*12)),IF($W159="Saldo Menurun",IF(TahunBuku&lt;YEAR($F159),$G159,IF(TahunBuku&gt;=INT(($Y159+$V159*12-2)/12),0,$G159*(1-2/$V159*(13-MONTH($F159))/12)*(1-2/$V159)^(TahunBuku-YEAR($F159)))),$G159)),$G159))</f>
        <v/>
      </c>
      <c r="AJ159" s="20" t="str">
        <f>IF($B159="","",IF(OR($W159="Garis Lurus",$W159="Saldo Menurun"),MAX(0,MIN(TahunBuku*12+12,$Y159+$V159*12-1)-MAX(TahunBuku*12+1,$Y159)+1),0))</f>
        <v/>
      </c>
      <c r="AK159" s="20" t="str">
        <f>IF($B159="","",IF(OR($W159="Garis Lurus",$W159="Saldo Menurun"),MAX(0,MIN($Z159,TahunBuku*12+12,$Y159+$V159*12-1)-MAX(TahunBuku*12+1,$Y159)+1),0))</f>
        <v/>
      </c>
      <c r="AL159" s="22" t="str">
        <f>IF($B159="","",$G159*$AA159)</f>
        <v/>
      </c>
      <c r="AM159" s="22" t="str">
        <f>IF($B159="","",$G159*$AB159)</f>
        <v/>
      </c>
      <c r="AN159" s="22" t="str">
        <f>IF($B159="","",$G159*$AC159)</f>
        <v/>
      </c>
      <c r="AO159" s="22" t="str">
        <f>IF($B159="","",AL159+AM159-AN159)</f>
        <v/>
      </c>
      <c r="AP159" s="22" t="str">
        <f>IF($B159="","",($G159-$AD159)*$AA159)</f>
        <v/>
      </c>
      <c r="AQ159" s="22" t="str">
        <f>IF($B159="","",IF($AF159=0,0,($AD159-$AE159)*$AG159/$AF159)*MAX($AA159,$AB159))</f>
        <v/>
      </c>
      <c r="AR159" s="22" t="str">
        <f>IF($B159="","",(AP159+AQ159)*$AC159)</f>
        <v/>
      </c>
      <c r="AS159" s="22" t="str">
        <f>IF($B159="","",AP159+AQ159-AR159)</f>
        <v/>
      </c>
      <c r="AT159" s="22" t="str">
        <f>IF($B159="","",AO159-AS159)</f>
        <v/>
      </c>
      <c r="AU159" s="22" t="str">
        <f>IF($B159="","",IF($AC159=1,N($R159)-($G159-AR159),0))</f>
        <v/>
      </c>
      <c r="AV159" s="22" t="str">
        <f>IF($B159="","",($G159-$AH159)*$AA159)</f>
        <v/>
      </c>
      <c r="AW159" s="22" t="str">
        <f>IF($B159="","",IF($AJ159=0,0,($AH159-$AI159)*$AK159/$AJ159)*MAX($AA159,$AB159))</f>
        <v/>
      </c>
      <c r="AX159" s="22" t="str">
        <f>IF($B159="","",(AV159+AW159)*$AC159)</f>
        <v/>
      </c>
      <c r="AY159" s="22" t="str">
        <f>IF($B159="","",AV159+AW159-AX159)</f>
        <v/>
      </c>
      <c r="AZ159" s="22" t="str">
        <f>IF($B159="","",AO159-AY159)</f>
        <v/>
      </c>
      <c r="BA159" s="22" t="str">
        <f>IF($B159="","",IF($AC159=1,N($R159)-($G159-AX159),0))</f>
        <v/>
      </c>
      <c r="BB159" s="22" t="str">
        <f>IF($B159="","",ROUND(AQ159-AW159,0))</f>
        <v/>
      </c>
      <c r="BC159" s="22" t="str">
        <f>IF($B159="","",ROUND(BA159-AU159,0))</f>
        <v/>
      </c>
      <c r="BD159" s="22" t="str">
        <f>IF($B159="","",BB159+BC159)</f>
        <v/>
      </c>
      <c r="BE159" s="22" t="str">
        <f>IF($B159="","",ROUND(AV159-AP159,0))</f>
        <v/>
      </c>
      <c r="BF159" s="22" t="str">
        <f>IF($B159="","",ROUND(AT159-AZ159,0))</f>
        <v/>
      </c>
      <c r="BG159" s="22" t="str">
        <f>IF($B159="","",ROUND(BF159*TarifPPh,0))</f>
        <v/>
      </c>
      <c r="BH159" t="str">
        <f>IF($B159="","",IF($D159="","Kategori kosong",IF($F159="","Tgl perolehan kosong",IF(N($H159)&gt;$G159,"Residu &gt; harga perolehan",IF(AND(LEFT($U159,8)="Bangunan",$W159="Saldo Menurun"),"Bangunan wajib Garis Lurus (Ps.11 UU PPh)",IF(AND($S159="Unit Produksi",N($K159)=0),"Isi kapasitas unit",IF(AND(OR($S159="Garis Lurus",$S159="Saldo Menurun"),N($T159)&lt;=0),"Umur komersial kosong",IF(AND(OR($W159="Garis Lurus",$W159="Saldo Menurun"),N($V159)&lt;=0),"Masa manfaat fiskal kosong",IF(AND($Q159&lt;&gt;"",$Q159&lt;$F159),"Tgl pelepasan &lt; perolehan","OK")))))))))</f>
        <v/>
      </c>
    </row>
    <row r="160" spans="1:60" x14ac:dyDescent="0.25">
      <c r="A160" t="str">
        <f>IF($B160="","",ROW()-6)</f>
        <v/>
      </c>
      <c r="B160" s="9"/>
      <c r="C160" s="9"/>
      <c r="D160" s="9"/>
      <c r="E160" s="9"/>
      <c r="F160" s="17"/>
      <c r="G160" s="18"/>
      <c r="H160" s="18"/>
      <c r="I160" s="9"/>
      <c r="J160" s="9"/>
      <c r="K160" s="19"/>
      <c r="L160" s="19"/>
      <c r="M160" s="19"/>
      <c r="N160" s="9"/>
      <c r="O160" s="9"/>
      <c r="P160" s="9"/>
      <c r="Q160" s="17"/>
      <c r="R160" s="18"/>
      <c r="S160" t="str">
        <f>IF($B160="","",IF($I160&lt;&gt;"",$I160,IFERROR(INDEX(Kat_Metode,MATCH($D160,Kat_Nama,0)),"")))</f>
        <v/>
      </c>
      <c r="T160" t="str">
        <f>IF($B160="","",IF($J160&lt;&gt;"",$J160,IFERROR(INDEX(Kat_Umur,MATCH($D160,Kat_Nama,0)),0)))</f>
        <v/>
      </c>
      <c r="U160" t="str">
        <f>IF($B160="","",IF($N160&lt;&gt;"",$N160,IFERROR(INDEX(Kat_Kelompok,MATCH($D160,Kat_Nama,0)),"")))</f>
        <v/>
      </c>
      <c r="V160" t="str">
        <f>IF($B160="","",IF($U160="Masa Manfaat Sebenarnya",N($O160),IFERROR(INDEX(Kel_Masa,MATCH($U160,Kel_Nama,0)),0)))</f>
        <v/>
      </c>
      <c r="W160" t="str">
        <f>IF($B160="","",IF($P160&lt;&gt;"",$P160,IF(OR($U160="Tidak Disusutkan",$V160=0),"Tidak Disusutkan","Garis Lurus")))</f>
        <v/>
      </c>
      <c r="X160" t="str">
        <f>IF($B160="","",IF($Y160&gt;TahunBuku*12+12,"Belum Diperoleh",IF($Z160&lt;=TahunBuku*12,"Dilepas (thn lalu)",IF($AC160=1,"Dilepas thn ini",IF($AB160=1,"Perolehan baru","Aktif")))))</f>
        <v/>
      </c>
      <c r="Y160" s="20" t="str">
        <f>IF($B160="","",YEAR($F160)*12+MONTH($F160))</f>
        <v/>
      </c>
      <c r="Z160" s="20" t="str">
        <f>IF($B160="","",IF($Q160="",99999,YEAR($Q160)*12+MONTH($Q160)))</f>
        <v/>
      </c>
      <c r="AA160" s="20" t="str">
        <f>IF($B160="","",--AND($Y160&lt;=TahunBuku*12,$Z160&gt;TahunBuku*12))</f>
        <v/>
      </c>
      <c r="AB160" s="20" t="str">
        <f>IF($B160="","",--AND($Y160&gt;TahunBuku*12,$Y160&lt;=TahunBuku*12+12))</f>
        <v/>
      </c>
      <c r="AC160" s="20" t="str">
        <f>IF($B160="","",--AND($Z160&gt;TahunBuku*12,$Z160&lt;=TahunBuku*12+12,$Y160&lt;=$Z160))</f>
        <v/>
      </c>
      <c r="AD160" s="21" t="str">
        <f>IF($B160="","",IFERROR(IF($S160="Garis Lurus",$G160-($G160-$H160)*MIN($T160*12,MAX(0,TahunBuku*12-$Y160+1))/($T160*12),IF($S160="Saldo Menurun",IF(TahunBuku-1&lt;YEAR($F160),$G160,IF(TahunBuku-1&gt;=INT(($Y160+$T160*12-2)/12),$H160,MAX($H160,$G160*(1-2/$T160*(13-MONTH($F160))/12)*(1-2/$T160)^(TahunBuku-1-YEAR($F160))))),IF($S160="Unit Produksi",$G160-($G160-$H160)*MIN(1,N($L160)/$K160),$G160))),$G160))</f>
        <v/>
      </c>
      <c r="AE160" s="21" t="str">
        <f>IF($B160="","",IFERROR(IF($S160="Garis Lurus",$G160-($G160-$H160)*MIN($T160*12,MAX(0,TahunBuku*12+12-$Y160+1))/($T160*12),IF($S160="Saldo Menurun",IF(TahunBuku&lt;YEAR($F160),$G160,IF(TahunBuku&gt;=INT(($Y160+$T160*12-2)/12),$H160,MAX($H160,$G160*(1-2/$T160*(13-MONTH($F160))/12)*(1-2/$T160)^(TahunBuku-YEAR($F160))))),IF($S160="Unit Produksi",$G160-($G160-$H160)*MIN(1,(N($L160)+N($M160))/$K160),$G160))),$G160))</f>
        <v/>
      </c>
      <c r="AF160" s="20" t="str">
        <f>IF($B160="","",IF(OR($S160="Garis Lurus",$S160="Saldo Menurun",$S160="Unit Produksi"),MAX(0,IF($S160="Unit Produksi",TahunBuku*12+12,MIN(TahunBuku*12+12,$Y160+$T160*12-1))-MAX(TahunBuku*12+1,$Y160)+1),0))</f>
        <v/>
      </c>
      <c r="AG160" s="20" t="str">
        <f>IF($B160="","",IF(OR($S160="Garis Lurus",$S160="Saldo Menurun",$S160="Unit Produksi"),MAX(0,MIN($Z160,IF($S160="Unit Produksi",TahunBuku*12+12,MIN(TahunBuku*12+12,$Y160+$T160*12-1)))-MAX(TahunBuku*12+1,$Y160)+1),0))</f>
        <v/>
      </c>
      <c r="AH160" s="21" t="str">
        <f>IF($B160="","",IFERROR(IF($W160="Garis Lurus",$G160*(1-MIN($V160*12,MAX(0,TahunBuku*12-$Y160+1))/($V160*12)),IF($W160="Saldo Menurun",IF(TahunBuku-1&lt;YEAR($F160),$G160,IF(TahunBuku-1&gt;=INT(($Y160+$V160*12-2)/12),0,$G160*(1-2/$V160*(13-MONTH($F160))/12)*(1-2/$V160)^(TahunBuku-1-YEAR($F160)))),$G160)),$G160))</f>
        <v/>
      </c>
      <c r="AI160" s="21" t="str">
        <f>IF($B160="","",IFERROR(IF($W160="Garis Lurus",$G160*(1-MIN($V160*12,MAX(0,TahunBuku*12+12-$Y160+1))/($V160*12)),IF($W160="Saldo Menurun",IF(TahunBuku&lt;YEAR($F160),$G160,IF(TahunBuku&gt;=INT(($Y160+$V160*12-2)/12),0,$G160*(1-2/$V160*(13-MONTH($F160))/12)*(1-2/$V160)^(TahunBuku-YEAR($F160)))),$G160)),$G160))</f>
        <v/>
      </c>
      <c r="AJ160" s="20" t="str">
        <f>IF($B160="","",IF(OR($W160="Garis Lurus",$W160="Saldo Menurun"),MAX(0,MIN(TahunBuku*12+12,$Y160+$V160*12-1)-MAX(TahunBuku*12+1,$Y160)+1),0))</f>
        <v/>
      </c>
      <c r="AK160" s="20" t="str">
        <f>IF($B160="","",IF(OR($W160="Garis Lurus",$W160="Saldo Menurun"),MAX(0,MIN($Z160,TahunBuku*12+12,$Y160+$V160*12-1)-MAX(TahunBuku*12+1,$Y160)+1),0))</f>
        <v/>
      </c>
      <c r="AL160" s="22" t="str">
        <f>IF($B160="","",$G160*$AA160)</f>
        <v/>
      </c>
      <c r="AM160" s="22" t="str">
        <f>IF($B160="","",$G160*$AB160)</f>
        <v/>
      </c>
      <c r="AN160" s="22" t="str">
        <f>IF($B160="","",$G160*$AC160)</f>
        <v/>
      </c>
      <c r="AO160" s="22" t="str">
        <f>IF($B160="","",AL160+AM160-AN160)</f>
        <v/>
      </c>
      <c r="AP160" s="22" t="str">
        <f>IF($B160="","",($G160-$AD160)*$AA160)</f>
        <v/>
      </c>
      <c r="AQ160" s="22" t="str">
        <f>IF($B160="","",IF($AF160=0,0,($AD160-$AE160)*$AG160/$AF160)*MAX($AA160,$AB160))</f>
        <v/>
      </c>
      <c r="AR160" s="22" t="str">
        <f>IF($B160="","",(AP160+AQ160)*$AC160)</f>
        <v/>
      </c>
      <c r="AS160" s="22" t="str">
        <f>IF($B160="","",AP160+AQ160-AR160)</f>
        <v/>
      </c>
      <c r="AT160" s="22" t="str">
        <f>IF($B160="","",AO160-AS160)</f>
        <v/>
      </c>
      <c r="AU160" s="22" t="str">
        <f>IF($B160="","",IF($AC160=1,N($R160)-($G160-AR160),0))</f>
        <v/>
      </c>
      <c r="AV160" s="22" t="str">
        <f>IF($B160="","",($G160-$AH160)*$AA160)</f>
        <v/>
      </c>
      <c r="AW160" s="22" t="str">
        <f>IF($B160="","",IF($AJ160=0,0,($AH160-$AI160)*$AK160/$AJ160)*MAX($AA160,$AB160))</f>
        <v/>
      </c>
      <c r="AX160" s="22" t="str">
        <f>IF($B160="","",(AV160+AW160)*$AC160)</f>
        <v/>
      </c>
      <c r="AY160" s="22" t="str">
        <f>IF($B160="","",AV160+AW160-AX160)</f>
        <v/>
      </c>
      <c r="AZ160" s="22" t="str">
        <f>IF($B160="","",AO160-AY160)</f>
        <v/>
      </c>
      <c r="BA160" s="22" t="str">
        <f>IF($B160="","",IF($AC160=1,N($R160)-($G160-AX160),0))</f>
        <v/>
      </c>
      <c r="BB160" s="22" t="str">
        <f>IF($B160="","",ROUND(AQ160-AW160,0))</f>
        <v/>
      </c>
      <c r="BC160" s="22" t="str">
        <f>IF($B160="","",ROUND(BA160-AU160,0))</f>
        <v/>
      </c>
      <c r="BD160" s="22" t="str">
        <f>IF($B160="","",BB160+BC160)</f>
        <v/>
      </c>
      <c r="BE160" s="22" t="str">
        <f>IF($B160="","",ROUND(AV160-AP160,0))</f>
        <v/>
      </c>
      <c r="BF160" s="22" t="str">
        <f>IF($B160="","",ROUND(AT160-AZ160,0))</f>
        <v/>
      </c>
      <c r="BG160" s="22" t="str">
        <f>IF($B160="","",ROUND(BF160*TarifPPh,0))</f>
        <v/>
      </c>
      <c r="BH160" t="str">
        <f>IF($B160="","",IF($D160="","Kategori kosong",IF($F160="","Tgl perolehan kosong",IF(N($H160)&gt;$G160,"Residu &gt; harga perolehan",IF(AND(LEFT($U160,8)="Bangunan",$W160="Saldo Menurun"),"Bangunan wajib Garis Lurus (Ps.11 UU PPh)",IF(AND($S160="Unit Produksi",N($K160)=0),"Isi kapasitas unit",IF(AND(OR($S160="Garis Lurus",$S160="Saldo Menurun"),N($T160)&lt;=0),"Umur komersial kosong",IF(AND(OR($W160="Garis Lurus",$W160="Saldo Menurun"),N($V160)&lt;=0),"Masa manfaat fiskal kosong",IF(AND($Q160&lt;&gt;"",$Q160&lt;$F160),"Tgl pelepasan &lt; perolehan","OK")))))))))</f>
        <v/>
      </c>
    </row>
    <row r="161" spans="1:60" x14ac:dyDescent="0.25">
      <c r="A161" t="str">
        <f>IF($B161="","",ROW()-6)</f>
        <v/>
      </c>
      <c r="B161" s="9"/>
      <c r="C161" s="9"/>
      <c r="D161" s="9"/>
      <c r="E161" s="9"/>
      <c r="F161" s="17"/>
      <c r="G161" s="18"/>
      <c r="H161" s="18"/>
      <c r="I161" s="9"/>
      <c r="J161" s="9"/>
      <c r="K161" s="19"/>
      <c r="L161" s="19"/>
      <c r="M161" s="19"/>
      <c r="N161" s="9"/>
      <c r="O161" s="9"/>
      <c r="P161" s="9"/>
      <c r="Q161" s="17"/>
      <c r="R161" s="18"/>
      <c r="S161" t="str">
        <f>IF($B161="","",IF($I161&lt;&gt;"",$I161,IFERROR(INDEX(Kat_Metode,MATCH($D161,Kat_Nama,0)),"")))</f>
        <v/>
      </c>
      <c r="T161" t="str">
        <f>IF($B161="","",IF($J161&lt;&gt;"",$J161,IFERROR(INDEX(Kat_Umur,MATCH($D161,Kat_Nama,0)),0)))</f>
        <v/>
      </c>
      <c r="U161" t="str">
        <f>IF($B161="","",IF($N161&lt;&gt;"",$N161,IFERROR(INDEX(Kat_Kelompok,MATCH($D161,Kat_Nama,0)),"")))</f>
        <v/>
      </c>
      <c r="V161" t="str">
        <f>IF($B161="","",IF($U161="Masa Manfaat Sebenarnya",N($O161),IFERROR(INDEX(Kel_Masa,MATCH($U161,Kel_Nama,0)),0)))</f>
        <v/>
      </c>
      <c r="W161" t="str">
        <f>IF($B161="","",IF($P161&lt;&gt;"",$P161,IF(OR($U161="Tidak Disusutkan",$V161=0),"Tidak Disusutkan","Garis Lurus")))</f>
        <v/>
      </c>
      <c r="X161" t="str">
        <f>IF($B161="","",IF($Y161&gt;TahunBuku*12+12,"Belum Diperoleh",IF($Z161&lt;=TahunBuku*12,"Dilepas (thn lalu)",IF($AC161=1,"Dilepas thn ini",IF($AB161=1,"Perolehan baru","Aktif")))))</f>
        <v/>
      </c>
      <c r="Y161" s="20" t="str">
        <f>IF($B161="","",YEAR($F161)*12+MONTH($F161))</f>
        <v/>
      </c>
      <c r="Z161" s="20" t="str">
        <f>IF($B161="","",IF($Q161="",99999,YEAR($Q161)*12+MONTH($Q161)))</f>
        <v/>
      </c>
      <c r="AA161" s="20" t="str">
        <f>IF($B161="","",--AND($Y161&lt;=TahunBuku*12,$Z161&gt;TahunBuku*12))</f>
        <v/>
      </c>
      <c r="AB161" s="20" t="str">
        <f>IF($B161="","",--AND($Y161&gt;TahunBuku*12,$Y161&lt;=TahunBuku*12+12))</f>
        <v/>
      </c>
      <c r="AC161" s="20" t="str">
        <f>IF($B161="","",--AND($Z161&gt;TahunBuku*12,$Z161&lt;=TahunBuku*12+12,$Y161&lt;=$Z161))</f>
        <v/>
      </c>
      <c r="AD161" s="21" t="str">
        <f>IF($B161="","",IFERROR(IF($S161="Garis Lurus",$G161-($G161-$H161)*MIN($T161*12,MAX(0,TahunBuku*12-$Y161+1))/($T161*12),IF($S161="Saldo Menurun",IF(TahunBuku-1&lt;YEAR($F161),$G161,IF(TahunBuku-1&gt;=INT(($Y161+$T161*12-2)/12),$H161,MAX($H161,$G161*(1-2/$T161*(13-MONTH($F161))/12)*(1-2/$T161)^(TahunBuku-1-YEAR($F161))))),IF($S161="Unit Produksi",$G161-($G161-$H161)*MIN(1,N($L161)/$K161),$G161))),$G161))</f>
        <v/>
      </c>
      <c r="AE161" s="21" t="str">
        <f>IF($B161="","",IFERROR(IF($S161="Garis Lurus",$G161-($G161-$H161)*MIN($T161*12,MAX(0,TahunBuku*12+12-$Y161+1))/($T161*12),IF($S161="Saldo Menurun",IF(TahunBuku&lt;YEAR($F161),$G161,IF(TahunBuku&gt;=INT(($Y161+$T161*12-2)/12),$H161,MAX($H161,$G161*(1-2/$T161*(13-MONTH($F161))/12)*(1-2/$T161)^(TahunBuku-YEAR($F161))))),IF($S161="Unit Produksi",$G161-($G161-$H161)*MIN(1,(N($L161)+N($M161))/$K161),$G161))),$G161))</f>
        <v/>
      </c>
      <c r="AF161" s="20" t="str">
        <f>IF($B161="","",IF(OR($S161="Garis Lurus",$S161="Saldo Menurun",$S161="Unit Produksi"),MAX(0,IF($S161="Unit Produksi",TahunBuku*12+12,MIN(TahunBuku*12+12,$Y161+$T161*12-1))-MAX(TahunBuku*12+1,$Y161)+1),0))</f>
        <v/>
      </c>
      <c r="AG161" s="20" t="str">
        <f>IF($B161="","",IF(OR($S161="Garis Lurus",$S161="Saldo Menurun",$S161="Unit Produksi"),MAX(0,MIN($Z161,IF($S161="Unit Produksi",TahunBuku*12+12,MIN(TahunBuku*12+12,$Y161+$T161*12-1)))-MAX(TahunBuku*12+1,$Y161)+1),0))</f>
        <v/>
      </c>
      <c r="AH161" s="21" t="str">
        <f>IF($B161="","",IFERROR(IF($W161="Garis Lurus",$G161*(1-MIN($V161*12,MAX(0,TahunBuku*12-$Y161+1))/($V161*12)),IF($W161="Saldo Menurun",IF(TahunBuku-1&lt;YEAR($F161),$G161,IF(TahunBuku-1&gt;=INT(($Y161+$V161*12-2)/12),0,$G161*(1-2/$V161*(13-MONTH($F161))/12)*(1-2/$V161)^(TahunBuku-1-YEAR($F161)))),$G161)),$G161))</f>
        <v/>
      </c>
      <c r="AI161" s="21" t="str">
        <f>IF($B161="","",IFERROR(IF($W161="Garis Lurus",$G161*(1-MIN($V161*12,MAX(0,TahunBuku*12+12-$Y161+1))/($V161*12)),IF($W161="Saldo Menurun",IF(TahunBuku&lt;YEAR($F161),$G161,IF(TahunBuku&gt;=INT(($Y161+$V161*12-2)/12),0,$G161*(1-2/$V161*(13-MONTH($F161))/12)*(1-2/$V161)^(TahunBuku-YEAR($F161)))),$G161)),$G161))</f>
        <v/>
      </c>
      <c r="AJ161" s="20" t="str">
        <f>IF($B161="","",IF(OR($W161="Garis Lurus",$W161="Saldo Menurun"),MAX(0,MIN(TahunBuku*12+12,$Y161+$V161*12-1)-MAX(TahunBuku*12+1,$Y161)+1),0))</f>
        <v/>
      </c>
      <c r="AK161" s="20" t="str">
        <f>IF($B161="","",IF(OR($W161="Garis Lurus",$W161="Saldo Menurun"),MAX(0,MIN($Z161,TahunBuku*12+12,$Y161+$V161*12-1)-MAX(TahunBuku*12+1,$Y161)+1),0))</f>
        <v/>
      </c>
      <c r="AL161" s="22" t="str">
        <f>IF($B161="","",$G161*$AA161)</f>
        <v/>
      </c>
      <c r="AM161" s="22" t="str">
        <f>IF($B161="","",$G161*$AB161)</f>
        <v/>
      </c>
      <c r="AN161" s="22" t="str">
        <f>IF($B161="","",$G161*$AC161)</f>
        <v/>
      </c>
      <c r="AO161" s="22" t="str">
        <f>IF($B161="","",AL161+AM161-AN161)</f>
        <v/>
      </c>
      <c r="AP161" s="22" t="str">
        <f>IF($B161="","",($G161-$AD161)*$AA161)</f>
        <v/>
      </c>
      <c r="AQ161" s="22" t="str">
        <f>IF($B161="","",IF($AF161=0,0,($AD161-$AE161)*$AG161/$AF161)*MAX($AA161,$AB161))</f>
        <v/>
      </c>
      <c r="AR161" s="22" t="str">
        <f>IF($B161="","",(AP161+AQ161)*$AC161)</f>
        <v/>
      </c>
      <c r="AS161" s="22" t="str">
        <f>IF($B161="","",AP161+AQ161-AR161)</f>
        <v/>
      </c>
      <c r="AT161" s="22" t="str">
        <f>IF($B161="","",AO161-AS161)</f>
        <v/>
      </c>
      <c r="AU161" s="22" t="str">
        <f>IF($B161="","",IF($AC161=1,N($R161)-($G161-AR161),0))</f>
        <v/>
      </c>
      <c r="AV161" s="22" t="str">
        <f>IF($B161="","",($G161-$AH161)*$AA161)</f>
        <v/>
      </c>
      <c r="AW161" s="22" t="str">
        <f>IF($B161="","",IF($AJ161=0,0,($AH161-$AI161)*$AK161/$AJ161)*MAX($AA161,$AB161))</f>
        <v/>
      </c>
      <c r="AX161" s="22" t="str">
        <f>IF($B161="","",(AV161+AW161)*$AC161)</f>
        <v/>
      </c>
      <c r="AY161" s="22" t="str">
        <f>IF($B161="","",AV161+AW161-AX161)</f>
        <v/>
      </c>
      <c r="AZ161" s="22" t="str">
        <f>IF($B161="","",AO161-AY161)</f>
        <v/>
      </c>
      <c r="BA161" s="22" t="str">
        <f>IF($B161="","",IF($AC161=1,N($R161)-($G161-AX161),0))</f>
        <v/>
      </c>
      <c r="BB161" s="22" t="str">
        <f>IF($B161="","",ROUND(AQ161-AW161,0))</f>
        <v/>
      </c>
      <c r="BC161" s="22" t="str">
        <f>IF($B161="","",ROUND(BA161-AU161,0))</f>
        <v/>
      </c>
      <c r="BD161" s="22" t="str">
        <f>IF($B161="","",BB161+BC161)</f>
        <v/>
      </c>
      <c r="BE161" s="22" t="str">
        <f>IF($B161="","",ROUND(AV161-AP161,0))</f>
        <v/>
      </c>
      <c r="BF161" s="22" t="str">
        <f>IF($B161="","",ROUND(AT161-AZ161,0))</f>
        <v/>
      </c>
      <c r="BG161" s="22" t="str">
        <f>IF($B161="","",ROUND(BF161*TarifPPh,0))</f>
        <v/>
      </c>
      <c r="BH161" t="str">
        <f>IF($B161="","",IF($D161="","Kategori kosong",IF($F161="","Tgl perolehan kosong",IF(N($H161)&gt;$G161,"Residu &gt; harga perolehan",IF(AND(LEFT($U161,8)="Bangunan",$W161="Saldo Menurun"),"Bangunan wajib Garis Lurus (Ps.11 UU PPh)",IF(AND($S161="Unit Produksi",N($K161)=0),"Isi kapasitas unit",IF(AND(OR($S161="Garis Lurus",$S161="Saldo Menurun"),N($T161)&lt;=0),"Umur komersial kosong",IF(AND(OR($W161="Garis Lurus",$W161="Saldo Menurun"),N($V161)&lt;=0),"Masa manfaat fiskal kosong",IF(AND($Q161&lt;&gt;"",$Q161&lt;$F161),"Tgl pelepasan &lt; perolehan","OK")))))))))</f>
        <v/>
      </c>
    </row>
    <row r="162" spans="1:60" x14ac:dyDescent="0.25">
      <c r="A162" t="str">
        <f>IF($B162="","",ROW()-6)</f>
        <v/>
      </c>
      <c r="B162" s="9"/>
      <c r="C162" s="9"/>
      <c r="D162" s="9"/>
      <c r="E162" s="9"/>
      <c r="F162" s="17"/>
      <c r="G162" s="18"/>
      <c r="H162" s="18"/>
      <c r="I162" s="9"/>
      <c r="J162" s="9"/>
      <c r="K162" s="19"/>
      <c r="L162" s="19"/>
      <c r="M162" s="19"/>
      <c r="N162" s="9"/>
      <c r="O162" s="9"/>
      <c r="P162" s="9"/>
      <c r="Q162" s="17"/>
      <c r="R162" s="18"/>
      <c r="S162" t="str">
        <f>IF($B162="","",IF($I162&lt;&gt;"",$I162,IFERROR(INDEX(Kat_Metode,MATCH($D162,Kat_Nama,0)),"")))</f>
        <v/>
      </c>
      <c r="T162" t="str">
        <f>IF($B162="","",IF($J162&lt;&gt;"",$J162,IFERROR(INDEX(Kat_Umur,MATCH($D162,Kat_Nama,0)),0)))</f>
        <v/>
      </c>
      <c r="U162" t="str">
        <f>IF($B162="","",IF($N162&lt;&gt;"",$N162,IFERROR(INDEX(Kat_Kelompok,MATCH($D162,Kat_Nama,0)),"")))</f>
        <v/>
      </c>
      <c r="V162" t="str">
        <f>IF($B162="","",IF($U162="Masa Manfaat Sebenarnya",N($O162),IFERROR(INDEX(Kel_Masa,MATCH($U162,Kel_Nama,0)),0)))</f>
        <v/>
      </c>
      <c r="W162" t="str">
        <f>IF($B162="","",IF($P162&lt;&gt;"",$P162,IF(OR($U162="Tidak Disusutkan",$V162=0),"Tidak Disusutkan","Garis Lurus")))</f>
        <v/>
      </c>
      <c r="X162" t="str">
        <f>IF($B162="","",IF($Y162&gt;TahunBuku*12+12,"Belum Diperoleh",IF($Z162&lt;=TahunBuku*12,"Dilepas (thn lalu)",IF($AC162=1,"Dilepas thn ini",IF($AB162=1,"Perolehan baru","Aktif")))))</f>
        <v/>
      </c>
      <c r="Y162" s="20" t="str">
        <f>IF($B162="","",YEAR($F162)*12+MONTH($F162))</f>
        <v/>
      </c>
      <c r="Z162" s="20" t="str">
        <f>IF($B162="","",IF($Q162="",99999,YEAR($Q162)*12+MONTH($Q162)))</f>
        <v/>
      </c>
      <c r="AA162" s="20" t="str">
        <f>IF($B162="","",--AND($Y162&lt;=TahunBuku*12,$Z162&gt;TahunBuku*12))</f>
        <v/>
      </c>
      <c r="AB162" s="20" t="str">
        <f>IF($B162="","",--AND($Y162&gt;TahunBuku*12,$Y162&lt;=TahunBuku*12+12))</f>
        <v/>
      </c>
      <c r="AC162" s="20" t="str">
        <f>IF($B162="","",--AND($Z162&gt;TahunBuku*12,$Z162&lt;=TahunBuku*12+12,$Y162&lt;=$Z162))</f>
        <v/>
      </c>
      <c r="AD162" s="21" t="str">
        <f>IF($B162="","",IFERROR(IF($S162="Garis Lurus",$G162-($G162-$H162)*MIN($T162*12,MAX(0,TahunBuku*12-$Y162+1))/($T162*12),IF($S162="Saldo Menurun",IF(TahunBuku-1&lt;YEAR($F162),$G162,IF(TahunBuku-1&gt;=INT(($Y162+$T162*12-2)/12),$H162,MAX($H162,$G162*(1-2/$T162*(13-MONTH($F162))/12)*(1-2/$T162)^(TahunBuku-1-YEAR($F162))))),IF($S162="Unit Produksi",$G162-($G162-$H162)*MIN(1,N($L162)/$K162),$G162))),$G162))</f>
        <v/>
      </c>
      <c r="AE162" s="21" t="str">
        <f>IF($B162="","",IFERROR(IF($S162="Garis Lurus",$G162-($G162-$H162)*MIN($T162*12,MAX(0,TahunBuku*12+12-$Y162+1))/($T162*12),IF($S162="Saldo Menurun",IF(TahunBuku&lt;YEAR($F162),$G162,IF(TahunBuku&gt;=INT(($Y162+$T162*12-2)/12),$H162,MAX($H162,$G162*(1-2/$T162*(13-MONTH($F162))/12)*(1-2/$T162)^(TahunBuku-YEAR($F162))))),IF($S162="Unit Produksi",$G162-($G162-$H162)*MIN(1,(N($L162)+N($M162))/$K162),$G162))),$G162))</f>
        <v/>
      </c>
      <c r="AF162" s="20" t="str">
        <f>IF($B162="","",IF(OR($S162="Garis Lurus",$S162="Saldo Menurun",$S162="Unit Produksi"),MAX(0,IF($S162="Unit Produksi",TahunBuku*12+12,MIN(TahunBuku*12+12,$Y162+$T162*12-1))-MAX(TahunBuku*12+1,$Y162)+1),0))</f>
        <v/>
      </c>
      <c r="AG162" s="20" t="str">
        <f>IF($B162="","",IF(OR($S162="Garis Lurus",$S162="Saldo Menurun",$S162="Unit Produksi"),MAX(0,MIN($Z162,IF($S162="Unit Produksi",TahunBuku*12+12,MIN(TahunBuku*12+12,$Y162+$T162*12-1)))-MAX(TahunBuku*12+1,$Y162)+1),0))</f>
        <v/>
      </c>
      <c r="AH162" s="21" t="str">
        <f>IF($B162="","",IFERROR(IF($W162="Garis Lurus",$G162*(1-MIN($V162*12,MAX(0,TahunBuku*12-$Y162+1))/($V162*12)),IF($W162="Saldo Menurun",IF(TahunBuku-1&lt;YEAR($F162),$G162,IF(TahunBuku-1&gt;=INT(($Y162+$V162*12-2)/12),0,$G162*(1-2/$V162*(13-MONTH($F162))/12)*(1-2/$V162)^(TahunBuku-1-YEAR($F162)))),$G162)),$G162))</f>
        <v/>
      </c>
      <c r="AI162" s="21" t="str">
        <f>IF($B162="","",IFERROR(IF($W162="Garis Lurus",$G162*(1-MIN($V162*12,MAX(0,TahunBuku*12+12-$Y162+1))/($V162*12)),IF($W162="Saldo Menurun",IF(TahunBuku&lt;YEAR($F162),$G162,IF(TahunBuku&gt;=INT(($Y162+$V162*12-2)/12),0,$G162*(1-2/$V162*(13-MONTH($F162))/12)*(1-2/$V162)^(TahunBuku-YEAR($F162)))),$G162)),$G162))</f>
        <v/>
      </c>
      <c r="AJ162" s="20" t="str">
        <f>IF($B162="","",IF(OR($W162="Garis Lurus",$W162="Saldo Menurun"),MAX(0,MIN(TahunBuku*12+12,$Y162+$V162*12-1)-MAX(TahunBuku*12+1,$Y162)+1),0))</f>
        <v/>
      </c>
      <c r="AK162" s="20" t="str">
        <f>IF($B162="","",IF(OR($W162="Garis Lurus",$W162="Saldo Menurun"),MAX(0,MIN($Z162,TahunBuku*12+12,$Y162+$V162*12-1)-MAX(TahunBuku*12+1,$Y162)+1),0))</f>
        <v/>
      </c>
      <c r="AL162" s="22" t="str">
        <f>IF($B162="","",$G162*$AA162)</f>
        <v/>
      </c>
      <c r="AM162" s="22" t="str">
        <f>IF($B162="","",$G162*$AB162)</f>
        <v/>
      </c>
      <c r="AN162" s="22" t="str">
        <f>IF($B162="","",$G162*$AC162)</f>
        <v/>
      </c>
      <c r="AO162" s="22" t="str">
        <f>IF($B162="","",AL162+AM162-AN162)</f>
        <v/>
      </c>
      <c r="AP162" s="22" t="str">
        <f>IF($B162="","",($G162-$AD162)*$AA162)</f>
        <v/>
      </c>
      <c r="AQ162" s="22" t="str">
        <f>IF($B162="","",IF($AF162=0,0,($AD162-$AE162)*$AG162/$AF162)*MAX($AA162,$AB162))</f>
        <v/>
      </c>
      <c r="AR162" s="22" t="str">
        <f>IF($B162="","",(AP162+AQ162)*$AC162)</f>
        <v/>
      </c>
      <c r="AS162" s="22" t="str">
        <f>IF($B162="","",AP162+AQ162-AR162)</f>
        <v/>
      </c>
      <c r="AT162" s="22" t="str">
        <f>IF($B162="","",AO162-AS162)</f>
        <v/>
      </c>
      <c r="AU162" s="22" t="str">
        <f>IF($B162="","",IF($AC162=1,N($R162)-($G162-AR162),0))</f>
        <v/>
      </c>
      <c r="AV162" s="22" t="str">
        <f>IF($B162="","",($G162-$AH162)*$AA162)</f>
        <v/>
      </c>
      <c r="AW162" s="22" t="str">
        <f>IF($B162="","",IF($AJ162=0,0,($AH162-$AI162)*$AK162/$AJ162)*MAX($AA162,$AB162))</f>
        <v/>
      </c>
      <c r="AX162" s="22" t="str">
        <f>IF($B162="","",(AV162+AW162)*$AC162)</f>
        <v/>
      </c>
      <c r="AY162" s="22" t="str">
        <f>IF($B162="","",AV162+AW162-AX162)</f>
        <v/>
      </c>
      <c r="AZ162" s="22" t="str">
        <f>IF($B162="","",AO162-AY162)</f>
        <v/>
      </c>
      <c r="BA162" s="22" t="str">
        <f>IF($B162="","",IF($AC162=1,N($R162)-($G162-AX162),0))</f>
        <v/>
      </c>
      <c r="BB162" s="22" t="str">
        <f>IF($B162="","",ROUND(AQ162-AW162,0))</f>
        <v/>
      </c>
      <c r="BC162" s="22" t="str">
        <f>IF($B162="","",ROUND(BA162-AU162,0))</f>
        <v/>
      </c>
      <c r="BD162" s="22" t="str">
        <f>IF($B162="","",BB162+BC162)</f>
        <v/>
      </c>
      <c r="BE162" s="22" t="str">
        <f>IF($B162="","",ROUND(AV162-AP162,0))</f>
        <v/>
      </c>
      <c r="BF162" s="22" t="str">
        <f>IF($B162="","",ROUND(AT162-AZ162,0))</f>
        <v/>
      </c>
      <c r="BG162" s="22" t="str">
        <f>IF($B162="","",ROUND(BF162*TarifPPh,0))</f>
        <v/>
      </c>
      <c r="BH162" t="str">
        <f>IF($B162="","",IF($D162="","Kategori kosong",IF($F162="","Tgl perolehan kosong",IF(N($H162)&gt;$G162,"Residu &gt; harga perolehan",IF(AND(LEFT($U162,8)="Bangunan",$W162="Saldo Menurun"),"Bangunan wajib Garis Lurus (Ps.11 UU PPh)",IF(AND($S162="Unit Produksi",N($K162)=0),"Isi kapasitas unit",IF(AND(OR($S162="Garis Lurus",$S162="Saldo Menurun"),N($T162)&lt;=0),"Umur komersial kosong",IF(AND(OR($W162="Garis Lurus",$W162="Saldo Menurun"),N($V162)&lt;=0),"Masa manfaat fiskal kosong",IF(AND($Q162&lt;&gt;"",$Q162&lt;$F162),"Tgl pelepasan &lt; perolehan","OK")))))))))</f>
        <v/>
      </c>
    </row>
    <row r="163" spans="1:60" x14ac:dyDescent="0.25">
      <c r="A163" t="str">
        <f>IF($B163="","",ROW()-6)</f>
        <v/>
      </c>
      <c r="B163" s="9"/>
      <c r="C163" s="9"/>
      <c r="D163" s="9"/>
      <c r="E163" s="9"/>
      <c r="F163" s="17"/>
      <c r="G163" s="18"/>
      <c r="H163" s="18"/>
      <c r="I163" s="9"/>
      <c r="J163" s="9"/>
      <c r="K163" s="19"/>
      <c r="L163" s="19"/>
      <c r="M163" s="19"/>
      <c r="N163" s="9"/>
      <c r="O163" s="9"/>
      <c r="P163" s="9"/>
      <c r="Q163" s="17"/>
      <c r="R163" s="18"/>
      <c r="S163" t="str">
        <f>IF($B163="","",IF($I163&lt;&gt;"",$I163,IFERROR(INDEX(Kat_Metode,MATCH($D163,Kat_Nama,0)),"")))</f>
        <v/>
      </c>
      <c r="T163" t="str">
        <f>IF($B163="","",IF($J163&lt;&gt;"",$J163,IFERROR(INDEX(Kat_Umur,MATCH($D163,Kat_Nama,0)),0)))</f>
        <v/>
      </c>
      <c r="U163" t="str">
        <f>IF($B163="","",IF($N163&lt;&gt;"",$N163,IFERROR(INDEX(Kat_Kelompok,MATCH($D163,Kat_Nama,0)),"")))</f>
        <v/>
      </c>
      <c r="V163" t="str">
        <f>IF($B163="","",IF($U163="Masa Manfaat Sebenarnya",N($O163),IFERROR(INDEX(Kel_Masa,MATCH($U163,Kel_Nama,0)),0)))</f>
        <v/>
      </c>
      <c r="W163" t="str">
        <f>IF($B163="","",IF($P163&lt;&gt;"",$P163,IF(OR($U163="Tidak Disusutkan",$V163=0),"Tidak Disusutkan","Garis Lurus")))</f>
        <v/>
      </c>
      <c r="X163" t="str">
        <f>IF($B163="","",IF($Y163&gt;TahunBuku*12+12,"Belum Diperoleh",IF($Z163&lt;=TahunBuku*12,"Dilepas (thn lalu)",IF($AC163=1,"Dilepas thn ini",IF($AB163=1,"Perolehan baru","Aktif")))))</f>
        <v/>
      </c>
      <c r="Y163" s="20" t="str">
        <f>IF($B163="","",YEAR($F163)*12+MONTH($F163))</f>
        <v/>
      </c>
      <c r="Z163" s="20" t="str">
        <f>IF($B163="","",IF($Q163="",99999,YEAR($Q163)*12+MONTH($Q163)))</f>
        <v/>
      </c>
      <c r="AA163" s="20" t="str">
        <f>IF($B163="","",--AND($Y163&lt;=TahunBuku*12,$Z163&gt;TahunBuku*12))</f>
        <v/>
      </c>
      <c r="AB163" s="20" t="str">
        <f>IF($B163="","",--AND($Y163&gt;TahunBuku*12,$Y163&lt;=TahunBuku*12+12))</f>
        <v/>
      </c>
      <c r="AC163" s="20" t="str">
        <f>IF($B163="","",--AND($Z163&gt;TahunBuku*12,$Z163&lt;=TahunBuku*12+12,$Y163&lt;=$Z163))</f>
        <v/>
      </c>
      <c r="AD163" s="21" t="str">
        <f>IF($B163="","",IFERROR(IF($S163="Garis Lurus",$G163-($G163-$H163)*MIN($T163*12,MAX(0,TahunBuku*12-$Y163+1))/($T163*12),IF($S163="Saldo Menurun",IF(TahunBuku-1&lt;YEAR($F163),$G163,IF(TahunBuku-1&gt;=INT(($Y163+$T163*12-2)/12),$H163,MAX($H163,$G163*(1-2/$T163*(13-MONTH($F163))/12)*(1-2/$T163)^(TahunBuku-1-YEAR($F163))))),IF($S163="Unit Produksi",$G163-($G163-$H163)*MIN(1,N($L163)/$K163),$G163))),$G163))</f>
        <v/>
      </c>
      <c r="AE163" s="21" t="str">
        <f>IF($B163="","",IFERROR(IF($S163="Garis Lurus",$G163-($G163-$H163)*MIN($T163*12,MAX(0,TahunBuku*12+12-$Y163+1))/($T163*12),IF($S163="Saldo Menurun",IF(TahunBuku&lt;YEAR($F163),$G163,IF(TahunBuku&gt;=INT(($Y163+$T163*12-2)/12),$H163,MAX($H163,$G163*(1-2/$T163*(13-MONTH($F163))/12)*(1-2/$T163)^(TahunBuku-YEAR($F163))))),IF($S163="Unit Produksi",$G163-($G163-$H163)*MIN(1,(N($L163)+N($M163))/$K163),$G163))),$G163))</f>
        <v/>
      </c>
      <c r="AF163" s="20" t="str">
        <f>IF($B163="","",IF(OR($S163="Garis Lurus",$S163="Saldo Menurun",$S163="Unit Produksi"),MAX(0,IF($S163="Unit Produksi",TahunBuku*12+12,MIN(TahunBuku*12+12,$Y163+$T163*12-1))-MAX(TahunBuku*12+1,$Y163)+1),0))</f>
        <v/>
      </c>
      <c r="AG163" s="20" t="str">
        <f>IF($B163="","",IF(OR($S163="Garis Lurus",$S163="Saldo Menurun",$S163="Unit Produksi"),MAX(0,MIN($Z163,IF($S163="Unit Produksi",TahunBuku*12+12,MIN(TahunBuku*12+12,$Y163+$T163*12-1)))-MAX(TahunBuku*12+1,$Y163)+1),0))</f>
        <v/>
      </c>
      <c r="AH163" s="21" t="str">
        <f>IF($B163="","",IFERROR(IF($W163="Garis Lurus",$G163*(1-MIN($V163*12,MAX(0,TahunBuku*12-$Y163+1))/($V163*12)),IF($W163="Saldo Menurun",IF(TahunBuku-1&lt;YEAR($F163),$G163,IF(TahunBuku-1&gt;=INT(($Y163+$V163*12-2)/12),0,$G163*(1-2/$V163*(13-MONTH($F163))/12)*(1-2/$V163)^(TahunBuku-1-YEAR($F163)))),$G163)),$G163))</f>
        <v/>
      </c>
      <c r="AI163" s="21" t="str">
        <f>IF($B163="","",IFERROR(IF($W163="Garis Lurus",$G163*(1-MIN($V163*12,MAX(0,TahunBuku*12+12-$Y163+1))/($V163*12)),IF($W163="Saldo Menurun",IF(TahunBuku&lt;YEAR($F163),$G163,IF(TahunBuku&gt;=INT(($Y163+$V163*12-2)/12),0,$G163*(1-2/$V163*(13-MONTH($F163))/12)*(1-2/$V163)^(TahunBuku-YEAR($F163)))),$G163)),$G163))</f>
        <v/>
      </c>
      <c r="AJ163" s="20" t="str">
        <f>IF($B163="","",IF(OR($W163="Garis Lurus",$W163="Saldo Menurun"),MAX(0,MIN(TahunBuku*12+12,$Y163+$V163*12-1)-MAX(TahunBuku*12+1,$Y163)+1),0))</f>
        <v/>
      </c>
      <c r="AK163" s="20" t="str">
        <f>IF($B163="","",IF(OR($W163="Garis Lurus",$W163="Saldo Menurun"),MAX(0,MIN($Z163,TahunBuku*12+12,$Y163+$V163*12-1)-MAX(TahunBuku*12+1,$Y163)+1),0))</f>
        <v/>
      </c>
      <c r="AL163" s="22" t="str">
        <f>IF($B163="","",$G163*$AA163)</f>
        <v/>
      </c>
      <c r="AM163" s="22" t="str">
        <f>IF($B163="","",$G163*$AB163)</f>
        <v/>
      </c>
      <c r="AN163" s="22" t="str">
        <f>IF($B163="","",$G163*$AC163)</f>
        <v/>
      </c>
      <c r="AO163" s="22" t="str">
        <f>IF($B163="","",AL163+AM163-AN163)</f>
        <v/>
      </c>
      <c r="AP163" s="22" t="str">
        <f>IF($B163="","",($G163-$AD163)*$AA163)</f>
        <v/>
      </c>
      <c r="AQ163" s="22" t="str">
        <f>IF($B163="","",IF($AF163=0,0,($AD163-$AE163)*$AG163/$AF163)*MAX($AA163,$AB163))</f>
        <v/>
      </c>
      <c r="AR163" s="22" t="str">
        <f>IF($B163="","",(AP163+AQ163)*$AC163)</f>
        <v/>
      </c>
      <c r="AS163" s="22" t="str">
        <f>IF($B163="","",AP163+AQ163-AR163)</f>
        <v/>
      </c>
      <c r="AT163" s="22" t="str">
        <f>IF($B163="","",AO163-AS163)</f>
        <v/>
      </c>
      <c r="AU163" s="22" t="str">
        <f>IF($B163="","",IF($AC163=1,N($R163)-($G163-AR163),0))</f>
        <v/>
      </c>
      <c r="AV163" s="22" t="str">
        <f>IF($B163="","",($G163-$AH163)*$AA163)</f>
        <v/>
      </c>
      <c r="AW163" s="22" t="str">
        <f>IF($B163="","",IF($AJ163=0,0,($AH163-$AI163)*$AK163/$AJ163)*MAX($AA163,$AB163))</f>
        <v/>
      </c>
      <c r="AX163" s="22" t="str">
        <f>IF($B163="","",(AV163+AW163)*$AC163)</f>
        <v/>
      </c>
      <c r="AY163" s="22" t="str">
        <f>IF($B163="","",AV163+AW163-AX163)</f>
        <v/>
      </c>
      <c r="AZ163" s="22" t="str">
        <f>IF($B163="","",AO163-AY163)</f>
        <v/>
      </c>
      <c r="BA163" s="22" t="str">
        <f>IF($B163="","",IF($AC163=1,N($R163)-($G163-AX163),0))</f>
        <v/>
      </c>
      <c r="BB163" s="22" t="str">
        <f>IF($B163="","",ROUND(AQ163-AW163,0))</f>
        <v/>
      </c>
      <c r="BC163" s="22" t="str">
        <f>IF($B163="","",ROUND(BA163-AU163,0))</f>
        <v/>
      </c>
      <c r="BD163" s="22" t="str">
        <f>IF($B163="","",BB163+BC163)</f>
        <v/>
      </c>
      <c r="BE163" s="22" t="str">
        <f>IF($B163="","",ROUND(AV163-AP163,0))</f>
        <v/>
      </c>
      <c r="BF163" s="22" t="str">
        <f>IF($B163="","",ROUND(AT163-AZ163,0))</f>
        <v/>
      </c>
      <c r="BG163" s="22" t="str">
        <f>IF($B163="","",ROUND(BF163*TarifPPh,0))</f>
        <v/>
      </c>
      <c r="BH163" t="str">
        <f>IF($B163="","",IF($D163="","Kategori kosong",IF($F163="","Tgl perolehan kosong",IF(N($H163)&gt;$G163,"Residu &gt; harga perolehan",IF(AND(LEFT($U163,8)="Bangunan",$W163="Saldo Menurun"),"Bangunan wajib Garis Lurus (Ps.11 UU PPh)",IF(AND($S163="Unit Produksi",N($K163)=0),"Isi kapasitas unit",IF(AND(OR($S163="Garis Lurus",$S163="Saldo Menurun"),N($T163)&lt;=0),"Umur komersial kosong",IF(AND(OR($W163="Garis Lurus",$W163="Saldo Menurun"),N($V163)&lt;=0),"Masa manfaat fiskal kosong",IF(AND($Q163&lt;&gt;"",$Q163&lt;$F163),"Tgl pelepasan &lt; perolehan","OK")))))))))</f>
        <v/>
      </c>
    </row>
    <row r="164" spans="1:60" x14ac:dyDescent="0.25">
      <c r="A164" t="str">
        <f>IF($B164="","",ROW()-6)</f>
        <v/>
      </c>
      <c r="B164" s="9"/>
      <c r="C164" s="9"/>
      <c r="D164" s="9"/>
      <c r="E164" s="9"/>
      <c r="F164" s="17"/>
      <c r="G164" s="18"/>
      <c r="H164" s="18"/>
      <c r="I164" s="9"/>
      <c r="J164" s="9"/>
      <c r="K164" s="19"/>
      <c r="L164" s="19"/>
      <c r="M164" s="19"/>
      <c r="N164" s="9"/>
      <c r="O164" s="9"/>
      <c r="P164" s="9"/>
      <c r="Q164" s="17"/>
      <c r="R164" s="18"/>
      <c r="S164" t="str">
        <f>IF($B164="","",IF($I164&lt;&gt;"",$I164,IFERROR(INDEX(Kat_Metode,MATCH($D164,Kat_Nama,0)),"")))</f>
        <v/>
      </c>
      <c r="T164" t="str">
        <f>IF($B164="","",IF($J164&lt;&gt;"",$J164,IFERROR(INDEX(Kat_Umur,MATCH($D164,Kat_Nama,0)),0)))</f>
        <v/>
      </c>
      <c r="U164" t="str">
        <f>IF($B164="","",IF($N164&lt;&gt;"",$N164,IFERROR(INDEX(Kat_Kelompok,MATCH($D164,Kat_Nama,0)),"")))</f>
        <v/>
      </c>
      <c r="V164" t="str">
        <f>IF($B164="","",IF($U164="Masa Manfaat Sebenarnya",N($O164),IFERROR(INDEX(Kel_Masa,MATCH($U164,Kel_Nama,0)),0)))</f>
        <v/>
      </c>
      <c r="W164" t="str">
        <f>IF($B164="","",IF($P164&lt;&gt;"",$P164,IF(OR($U164="Tidak Disusutkan",$V164=0),"Tidak Disusutkan","Garis Lurus")))</f>
        <v/>
      </c>
      <c r="X164" t="str">
        <f>IF($B164="","",IF($Y164&gt;TahunBuku*12+12,"Belum Diperoleh",IF($Z164&lt;=TahunBuku*12,"Dilepas (thn lalu)",IF($AC164=1,"Dilepas thn ini",IF($AB164=1,"Perolehan baru","Aktif")))))</f>
        <v/>
      </c>
      <c r="Y164" s="20" t="str">
        <f>IF($B164="","",YEAR($F164)*12+MONTH($F164))</f>
        <v/>
      </c>
      <c r="Z164" s="20" t="str">
        <f>IF($B164="","",IF($Q164="",99999,YEAR($Q164)*12+MONTH($Q164)))</f>
        <v/>
      </c>
      <c r="AA164" s="20" t="str">
        <f>IF($B164="","",--AND($Y164&lt;=TahunBuku*12,$Z164&gt;TahunBuku*12))</f>
        <v/>
      </c>
      <c r="AB164" s="20" t="str">
        <f>IF($B164="","",--AND($Y164&gt;TahunBuku*12,$Y164&lt;=TahunBuku*12+12))</f>
        <v/>
      </c>
      <c r="AC164" s="20" t="str">
        <f>IF($B164="","",--AND($Z164&gt;TahunBuku*12,$Z164&lt;=TahunBuku*12+12,$Y164&lt;=$Z164))</f>
        <v/>
      </c>
      <c r="AD164" s="21" t="str">
        <f>IF($B164="","",IFERROR(IF($S164="Garis Lurus",$G164-($G164-$H164)*MIN($T164*12,MAX(0,TahunBuku*12-$Y164+1))/($T164*12),IF($S164="Saldo Menurun",IF(TahunBuku-1&lt;YEAR($F164),$G164,IF(TahunBuku-1&gt;=INT(($Y164+$T164*12-2)/12),$H164,MAX($H164,$G164*(1-2/$T164*(13-MONTH($F164))/12)*(1-2/$T164)^(TahunBuku-1-YEAR($F164))))),IF($S164="Unit Produksi",$G164-($G164-$H164)*MIN(1,N($L164)/$K164),$G164))),$G164))</f>
        <v/>
      </c>
      <c r="AE164" s="21" t="str">
        <f>IF($B164="","",IFERROR(IF($S164="Garis Lurus",$G164-($G164-$H164)*MIN($T164*12,MAX(0,TahunBuku*12+12-$Y164+1))/($T164*12),IF($S164="Saldo Menurun",IF(TahunBuku&lt;YEAR($F164),$G164,IF(TahunBuku&gt;=INT(($Y164+$T164*12-2)/12),$H164,MAX($H164,$G164*(1-2/$T164*(13-MONTH($F164))/12)*(1-2/$T164)^(TahunBuku-YEAR($F164))))),IF($S164="Unit Produksi",$G164-($G164-$H164)*MIN(1,(N($L164)+N($M164))/$K164),$G164))),$G164))</f>
        <v/>
      </c>
      <c r="AF164" s="20" t="str">
        <f>IF($B164="","",IF(OR($S164="Garis Lurus",$S164="Saldo Menurun",$S164="Unit Produksi"),MAX(0,IF($S164="Unit Produksi",TahunBuku*12+12,MIN(TahunBuku*12+12,$Y164+$T164*12-1))-MAX(TahunBuku*12+1,$Y164)+1),0))</f>
        <v/>
      </c>
      <c r="AG164" s="20" t="str">
        <f>IF($B164="","",IF(OR($S164="Garis Lurus",$S164="Saldo Menurun",$S164="Unit Produksi"),MAX(0,MIN($Z164,IF($S164="Unit Produksi",TahunBuku*12+12,MIN(TahunBuku*12+12,$Y164+$T164*12-1)))-MAX(TahunBuku*12+1,$Y164)+1),0))</f>
        <v/>
      </c>
      <c r="AH164" s="21" t="str">
        <f>IF($B164="","",IFERROR(IF($W164="Garis Lurus",$G164*(1-MIN($V164*12,MAX(0,TahunBuku*12-$Y164+1))/($V164*12)),IF($W164="Saldo Menurun",IF(TahunBuku-1&lt;YEAR($F164),$G164,IF(TahunBuku-1&gt;=INT(($Y164+$V164*12-2)/12),0,$G164*(1-2/$V164*(13-MONTH($F164))/12)*(1-2/$V164)^(TahunBuku-1-YEAR($F164)))),$G164)),$G164))</f>
        <v/>
      </c>
      <c r="AI164" s="21" t="str">
        <f>IF($B164="","",IFERROR(IF($W164="Garis Lurus",$G164*(1-MIN($V164*12,MAX(0,TahunBuku*12+12-$Y164+1))/($V164*12)),IF($W164="Saldo Menurun",IF(TahunBuku&lt;YEAR($F164),$G164,IF(TahunBuku&gt;=INT(($Y164+$V164*12-2)/12),0,$G164*(1-2/$V164*(13-MONTH($F164))/12)*(1-2/$V164)^(TahunBuku-YEAR($F164)))),$G164)),$G164))</f>
        <v/>
      </c>
      <c r="AJ164" s="20" t="str">
        <f>IF($B164="","",IF(OR($W164="Garis Lurus",$W164="Saldo Menurun"),MAX(0,MIN(TahunBuku*12+12,$Y164+$V164*12-1)-MAX(TahunBuku*12+1,$Y164)+1),0))</f>
        <v/>
      </c>
      <c r="AK164" s="20" t="str">
        <f>IF($B164="","",IF(OR($W164="Garis Lurus",$W164="Saldo Menurun"),MAX(0,MIN($Z164,TahunBuku*12+12,$Y164+$V164*12-1)-MAX(TahunBuku*12+1,$Y164)+1),0))</f>
        <v/>
      </c>
      <c r="AL164" s="22" t="str">
        <f>IF($B164="","",$G164*$AA164)</f>
        <v/>
      </c>
      <c r="AM164" s="22" t="str">
        <f>IF($B164="","",$G164*$AB164)</f>
        <v/>
      </c>
      <c r="AN164" s="22" t="str">
        <f>IF($B164="","",$G164*$AC164)</f>
        <v/>
      </c>
      <c r="AO164" s="22" t="str">
        <f>IF($B164="","",AL164+AM164-AN164)</f>
        <v/>
      </c>
      <c r="AP164" s="22" t="str">
        <f>IF($B164="","",($G164-$AD164)*$AA164)</f>
        <v/>
      </c>
      <c r="AQ164" s="22" t="str">
        <f>IF($B164="","",IF($AF164=0,0,($AD164-$AE164)*$AG164/$AF164)*MAX($AA164,$AB164))</f>
        <v/>
      </c>
      <c r="AR164" s="22" t="str">
        <f>IF($B164="","",(AP164+AQ164)*$AC164)</f>
        <v/>
      </c>
      <c r="AS164" s="22" t="str">
        <f>IF($B164="","",AP164+AQ164-AR164)</f>
        <v/>
      </c>
      <c r="AT164" s="22" t="str">
        <f>IF($B164="","",AO164-AS164)</f>
        <v/>
      </c>
      <c r="AU164" s="22" t="str">
        <f>IF($B164="","",IF($AC164=1,N($R164)-($G164-AR164),0))</f>
        <v/>
      </c>
      <c r="AV164" s="22" t="str">
        <f>IF($B164="","",($G164-$AH164)*$AA164)</f>
        <v/>
      </c>
      <c r="AW164" s="22" t="str">
        <f>IF($B164="","",IF($AJ164=0,0,($AH164-$AI164)*$AK164/$AJ164)*MAX($AA164,$AB164))</f>
        <v/>
      </c>
      <c r="AX164" s="22" t="str">
        <f>IF($B164="","",(AV164+AW164)*$AC164)</f>
        <v/>
      </c>
      <c r="AY164" s="22" t="str">
        <f>IF($B164="","",AV164+AW164-AX164)</f>
        <v/>
      </c>
      <c r="AZ164" s="22" t="str">
        <f>IF($B164="","",AO164-AY164)</f>
        <v/>
      </c>
      <c r="BA164" s="22" t="str">
        <f>IF($B164="","",IF($AC164=1,N($R164)-($G164-AX164),0))</f>
        <v/>
      </c>
      <c r="BB164" s="22" t="str">
        <f>IF($B164="","",ROUND(AQ164-AW164,0))</f>
        <v/>
      </c>
      <c r="BC164" s="22" t="str">
        <f>IF($B164="","",ROUND(BA164-AU164,0))</f>
        <v/>
      </c>
      <c r="BD164" s="22" t="str">
        <f>IF($B164="","",BB164+BC164)</f>
        <v/>
      </c>
      <c r="BE164" s="22" t="str">
        <f>IF($B164="","",ROUND(AV164-AP164,0))</f>
        <v/>
      </c>
      <c r="BF164" s="22" t="str">
        <f>IF($B164="","",ROUND(AT164-AZ164,0))</f>
        <v/>
      </c>
      <c r="BG164" s="22" t="str">
        <f>IF($B164="","",ROUND(BF164*TarifPPh,0))</f>
        <v/>
      </c>
      <c r="BH164" t="str">
        <f>IF($B164="","",IF($D164="","Kategori kosong",IF($F164="","Tgl perolehan kosong",IF(N($H164)&gt;$G164,"Residu &gt; harga perolehan",IF(AND(LEFT($U164,8)="Bangunan",$W164="Saldo Menurun"),"Bangunan wajib Garis Lurus (Ps.11 UU PPh)",IF(AND($S164="Unit Produksi",N($K164)=0),"Isi kapasitas unit",IF(AND(OR($S164="Garis Lurus",$S164="Saldo Menurun"),N($T164)&lt;=0),"Umur komersial kosong",IF(AND(OR($W164="Garis Lurus",$W164="Saldo Menurun"),N($V164)&lt;=0),"Masa manfaat fiskal kosong",IF(AND($Q164&lt;&gt;"",$Q164&lt;$F164),"Tgl pelepasan &lt; perolehan","OK")))))))))</f>
        <v/>
      </c>
    </row>
    <row r="165" spans="1:60" x14ac:dyDescent="0.25">
      <c r="A165" t="str">
        <f>IF($B165="","",ROW()-6)</f>
        <v/>
      </c>
      <c r="B165" s="9"/>
      <c r="C165" s="9"/>
      <c r="D165" s="9"/>
      <c r="E165" s="9"/>
      <c r="F165" s="17"/>
      <c r="G165" s="18"/>
      <c r="H165" s="18"/>
      <c r="I165" s="9"/>
      <c r="J165" s="9"/>
      <c r="K165" s="19"/>
      <c r="L165" s="19"/>
      <c r="M165" s="19"/>
      <c r="N165" s="9"/>
      <c r="O165" s="9"/>
      <c r="P165" s="9"/>
      <c r="Q165" s="17"/>
      <c r="R165" s="18"/>
      <c r="S165" t="str">
        <f>IF($B165="","",IF($I165&lt;&gt;"",$I165,IFERROR(INDEX(Kat_Metode,MATCH($D165,Kat_Nama,0)),"")))</f>
        <v/>
      </c>
      <c r="T165" t="str">
        <f>IF($B165="","",IF($J165&lt;&gt;"",$J165,IFERROR(INDEX(Kat_Umur,MATCH($D165,Kat_Nama,0)),0)))</f>
        <v/>
      </c>
      <c r="U165" t="str">
        <f>IF($B165="","",IF($N165&lt;&gt;"",$N165,IFERROR(INDEX(Kat_Kelompok,MATCH($D165,Kat_Nama,0)),"")))</f>
        <v/>
      </c>
      <c r="V165" t="str">
        <f>IF($B165="","",IF($U165="Masa Manfaat Sebenarnya",N($O165),IFERROR(INDEX(Kel_Masa,MATCH($U165,Kel_Nama,0)),0)))</f>
        <v/>
      </c>
      <c r="W165" t="str">
        <f>IF($B165="","",IF($P165&lt;&gt;"",$P165,IF(OR($U165="Tidak Disusutkan",$V165=0),"Tidak Disusutkan","Garis Lurus")))</f>
        <v/>
      </c>
      <c r="X165" t="str">
        <f>IF($B165="","",IF($Y165&gt;TahunBuku*12+12,"Belum Diperoleh",IF($Z165&lt;=TahunBuku*12,"Dilepas (thn lalu)",IF($AC165=1,"Dilepas thn ini",IF($AB165=1,"Perolehan baru","Aktif")))))</f>
        <v/>
      </c>
      <c r="Y165" s="20" t="str">
        <f>IF($B165="","",YEAR($F165)*12+MONTH($F165))</f>
        <v/>
      </c>
      <c r="Z165" s="20" t="str">
        <f>IF($B165="","",IF($Q165="",99999,YEAR($Q165)*12+MONTH($Q165)))</f>
        <v/>
      </c>
      <c r="AA165" s="20" t="str">
        <f>IF($B165="","",--AND($Y165&lt;=TahunBuku*12,$Z165&gt;TahunBuku*12))</f>
        <v/>
      </c>
      <c r="AB165" s="20" t="str">
        <f>IF($B165="","",--AND($Y165&gt;TahunBuku*12,$Y165&lt;=TahunBuku*12+12))</f>
        <v/>
      </c>
      <c r="AC165" s="20" t="str">
        <f>IF($B165="","",--AND($Z165&gt;TahunBuku*12,$Z165&lt;=TahunBuku*12+12,$Y165&lt;=$Z165))</f>
        <v/>
      </c>
      <c r="AD165" s="21" t="str">
        <f>IF($B165="","",IFERROR(IF($S165="Garis Lurus",$G165-($G165-$H165)*MIN($T165*12,MAX(0,TahunBuku*12-$Y165+1))/($T165*12),IF($S165="Saldo Menurun",IF(TahunBuku-1&lt;YEAR($F165),$G165,IF(TahunBuku-1&gt;=INT(($Y165+$T165*12-2)/12),$H165,MAX($H165,$G165*(1-2/$T165*(13-MONTH($F165))/12)*(1-2/$T165)^(TahunBuku-1-YEAR($F165))))),IF($S165="Unit Produksi",$G165-($G165-$H165)*MIN(1,N($L165)/$K165),$G165))),$G165))</f>
        <v/>
      </c>
      <c r="AE165" s="21" t="str">
        <f>IF($B165="","",IFERROR(IF($S165="Garis Lurus",$G165-($G165-$H165)*MIN($T165*12,MAX(0,TahunBuku*12+12-$Y165+1))/($T165*12),IF($S165="Saldo Menurun",IF(TahunBuku&lt;YEAR($F165),$G165,IF(TahunBuku&gt;=INT(($Y165+$T165*12-2)/12),$H165,MAX($H165,$G165*(1-2/$T165*(13-MONTH($F165))/12)*(1-2/$T165)^(TahunBuku-YEAR($F165))))),IF($S165="Unit Produksi",$G165-($G165-$H165)*MIN(1,(N($L165)+N($M165))/$K165),$G165))),$G165))</f>
        <v/>
      </c>
      <c r="AF165" s="20" t="str">
        <f>IF($B165="","",IF(OR($S165="Garis Lurus",$S165="Saldo Menurun",$S165="Unit Produksi"),MAX(0,IF($S165="Unit Produksi",TahunBuku*12+12,MIN(TahunBuku*12+12,$Y165+$T165*12-1))-MAX(TahunBuku*12+1,$Y165)+1),0))</f>
        <v/>
      </c>
      <c r="AG165" s="20" t="str">
        <f>IF($B165="","",IF(OR($S165="Garis Lurus",$S165="Saldo Menurun",$S165="Unit Produksi"),MAX(0,MIN($Z165,IF($S165="Unit Produksi",TahunBuku*12+12,MIN(TahunBuku*12+12,$Y165+$T165*12-1)))-MAX(TahunBuku*12+1,$Y165)+1),0))</f>
        <v/>
      </c>
      <c r="AH165" s="21" t="str">
        <f>IF($B165="","",IFERROR(IF($W165="Garis Lurus",$G165*(1-MIN($V165*12,MAX(0,TahunBuku*12-$Y165+1))/($V165*12)),IF($W165="Saldo Menurun",IF(TahunBuku-1&lt;YEAR($F165),$G165,IF(TahunBuku-1&gt;=INT(($Y165+$V165*12-2)/12),0,$G165*(1-2/$V165*(13-MONTH($F165))/12)*(1-2/$V165)^(TahunBuku-1-YEAR($F165)))),$G165)),$G165))</f>
        <v/>
      </c>
      <c r="AI165" s="21" t="str">
        <f>IF($B165="","",IFERROR(IF($W165="Garis Lurus",$G165*(1-MIN($V165*12,MAX(0,TahunBuku*12+12-$Y165+1))/($V165*12)),IF($W165="Saldo Menurun",IF(TahunBuku&lt;YEAR($F165),$G165,IF(TahunBuku&gt;=INT(($Y165+$V165*12-2)/12),0,$G165*(1-2/$V165*(13-MONTH($F165))/12)*(1-2/$V165)^(TahunBuku-YEAR($F165)))),$G165)),$G165))</f>
        <v/>
      </c>
      <c r="AJ165" s="20" t="str">
        <f>IF($B165="","",IF(OR($W165="Garis Lurus",$W165="Saldo Menurun"),MAX(0,MIN(TahunBuku*12+12,$Y165+$V165*12-1)-MAX(TahunBuku*12+1,$Y165)+1),0))</f>
        <v/>
      </c>
      <c r="AK165" s="20" t="str">
        <f>IF($B165="","",IF(OR($W165="Garis Lurus",$W165="Saldo Menurun"),MAX(0,MIN($Z165,TahunBuku*12+12,$Y165+$V165*12-1)-MAX(TahunBuku*12+1,$Y165)+1),0))</f>
        <v/>
      </c>
      <c r="AL165" s="22" t="str">
        <f>IF($B165="","",$G165*$AA165)</f>
        <v/>
      </c>
      <c r="AM165" s="22" t="str">
        <f>IF($B165="","",$G165*$AB165)</f>
        <v/>
      </c>
      <c r="AN165" s="22" t="str">
        <f>IF($B165="","",$G165*$AC165)</f>
        <v/>
      </c>
      <c r="AO165" s="22" t="str">
        <f>IF($B165="","",AL165+AM165-AN165)</f>
        <v/>
      </c>
      <c r="AP165" s="22" t="str">
        <f>IF($B165="","",($G165-$AD165)*$AA165)</f>
        <v/>
      </c>
      <c r="AQ165" s="22" t="str">
        <f>IF($B165="","",IF($AF165=0,0,($AD165-$AE165)*$AG165/$AF165)*MAX($AA165,$AB165))</f>
        <v/>
      </c>
      <c r="AR165" s="22" t="str">
        <f>IF($B165="","",(AP165+AQ165)*$AC165)</f>
        <v/>
      </c>
      <c r="AS165" s="22" t="str">
        <f>IF($B165="","",AP165+AQ165-AR165)</f>
        <v/>
      </c>
      <c r="AT165" s="22" t="str">
        <f>IF($B165="","",AO165-AS165)</f>
        <v/>
      </c>
      <c r="AU165" s="22" t="str">
        <f>IF($B165="","",IF($AC165=1,N($R165)-($G165-AR165),0))</f>
        <v/>
      </c>
      <c r="AV165" s="22" t="str">
        <f>IF($B165="","",($G165-$AH165)*$AA165)</f>
        <v/>
      </c>
      <c r="AW165" s="22" t="str">
        <f>IF($B165="","",IF($AJ165=0,0,($AH165-$AI165)*$AK165/$AJ165)*MAX($AA165,$AB165))</f>
        <v/>
      </c>
      <c r="AX165" s="22" t="str">
        <f>IF($B165="","",(AV165+AW165)*$AC165)</f>
        <v/>
      </c>
      <c r="AY165" s="22" t="str">
        <f>IF($B165="","",AV165+AW165-AX165)</f>
        <v/>
      </c>
      <c r="AZ165" s="22" t="str">
        <f>IF($B165="","",AO165-AY165)</f>
        <v/>
      </c>
      <c r="BA165" s="22" t="str">
        <f>IF($B165="","",IF($AC165=1,N($R165)-($G165-AX165),0))</f>
        <v/>
      </c>
      <c r="BB165" s="22" t="str">
        <f>IF($B165="","",ROUND(AQ165-AW165,0))</f>
        <v/>
      </c>
      <c r="BC165" s="22" t="str">
        <f>IF($B165="","",ROUND(BA165-AU165,0))</f>
        <v/>
      </c>
      <c r="BD165" s="22" t="str">
        <f>IF($B165="","",BB165+BC165)</f>
        <v/>
      </c>
      <c r="BE165" s="22" t="str">
        <f>IF($B165="","",ROUND(AV165-AP165,0))</f>
        <v/>
      </c>
      <c r="BF165" s="22" t="str">
        <f>IF($B165="","",ROUND(AT165-AZ165,0))</f>
        <v/>
      </c>
      <c r="BG165" s="22" t="str">
        <f>IF($B165="","",ROUND(BF165*TarifPPh,0))</f>
        <v/>
      </c>
      <c r="BH165" t="str">
        <f>IF($B165="","",IF($D165="","Kategori kosong",IF($F165="","Tgl perolehan kosong",IF(N($H165)&gt;$G165,"Residu &gt; harga perolehan",IF(AND(LEFT($U165,8)="Bangunan",$W165="Saldo Menurun"),"Bangunan wajib Garis Lurus (Ps.11 UU PPh)",IF(AND($S165="Unit Produksi",N($K165)=0),"Isi kapasitas unit",IF(AND(OR($S165="Garis Lurus",$S165="Saldo Menurun"),N($T165)&lt;=0),"Umur komersial kosong",IF(AND(OR($W165="Garis Lurus",$W165="Saldo Menurun"),N($V165)&lt;=0),"Masa manfaat fiskal kosong",IF(AND($Q165&lt;&gt;"",$Q165&lt;$F165),"Tgl pelepasan &lt; perolehan","OK")))))))))</f>
        <v/>
      </c>
    </row>
    <row r="166" spans="1:60" x14ac:dyDescent="0.25">
      <c r="A166" t="str">
        <f>IF($B166="","",ROW()-6)</f>
        <v/>
      </c>
      <c r="B166" s="9"/>
      <c r="C166" s="9"/>
      <c r="D166" s="9"/>
      <c r="E166" s="9"/>
      <c r="F166" s="17"/>
      <c r="G166" s="18"/>
      <c r="H166" s="18"/>
      <c r="I166" s="9"/>
      <c r="J166" s="9"/>
      <c r="K166" s="19"/>
      <c r="L166" s="19"/>
      <c r="M166" s="19"/>
      <c r="N166" s="9"/>
      <c r="O166" s="9"/>
      <c r="P166" s="9"/>
      <c r="Q166" s="17"/>
      <c r="R166" s="18"/>
      <c r="S166" t="str">
        <f>IF($B166="","",IF($I166&lt;&gt;"",$I166,IFERROR(INDEX(Kat_Metode,MATCH($D166,Kat_Nama,0)),"")))</f>
        <v/>
      </c>
      <c r="T166" t="str">
        <f>IF($B166="","",IF($J166&lt;&gt;"",$J166,IFERROR(INDEX(Kat_Umur,MATCH($D166,Kat_Nama,0)),0)))</f>
        <v/>
      </c>
      <c r="U166" t="str">
        <f>IF($B166="","",IF($N166&lt;&gt;"",$N166,IFERROR(INDEX(Kat_Kelompok,MATCH($D166,Kat_Nama,0)),"")))</f>
        <v/>
      </c>
      <c r="V166" t="str">
        <f>IF($B166="","",IF($U166="Masa Manfaat Sebenarnya",N($O166),IFERROR(INDEX(Kel_Masa,MATCH($U166,Kel_Nama,0)),0)))</f>
        <v/>
      </c>
      <c r="W166" t="str">
        <f>IF($B166="","",IF($P166&lt;&gt;"",$P166,IF(OR($U166="Tidak Disusutkan",$V166=0),"Tidak Disusutkan","Garis Lurus")))</f>
        <v/>
      </c>
      <c r="X166" t="str">
        <f>IF($B166="","",IF($Y166&gt;TahunBuku*12+12,"Belum Diperoleh",IF($Z166&lt;=TahunBuku*12,"Dilepas (thn lalu)",IF($AC166=1,"Dilepas thn ini",IF($AB166=1,"Perolehan baru","Aktif")))))</f>
        <v/>
      </c>
      <c r="Y166" s="20" t="str">
        <f>IF($B166="","",YEAR($F166)*12+MONTH($F166))</f>
        <v/>
      </c>
      <c r="Z166" s="20" t="str">
        <f>IF($B166="","",IF($Q166="",99999,YEAR($Q166)*12+MONTH($Q166)))</f>
        <v/>
      </c>
      <c r="AA166" s="20" t="str">
        <f>IF($B166="","",--AND($Y166&lt;=TahunBuku*12,$Z166&gt;TahunBuku*12))</f>
        <v/>
      </c>
      <c r="AB166" s="20" t="str">
        <f>IF($B166="","",--AND($Y166&gt;TahunBuku*12,$Y166&lt;=TahunBuku*12+12))</f>
        <v/>
      </c>
      <c r="AC166" s="20" t="str">
        <f>IF($B166="","",--AND($Z166&gt;TahunBuku*12,$Z166&lt;=TahunBuku*12+12,$Y166&lt;=$Z166))</f>
        <v/>
      </c>
      <c r="AD166" s="21" t="str">
        <f>IF($B166="","",IFERROR(IF($S166="Garis Lurus",$G166-($G166-$H166)*MIN($T166*12,MAX(0,TahunBuku*12-$Y166+1))/($T166*12),IF($S166="Saldo Menurun",IF(TahunBuku-1&lt;YEAR($F166),$G166,IF(TahunBuku-1&gt;=INT(($Y166+$T166*12-2)/12),$H166,MAX($H166,$G166*(1-2/$T166*(13-MONTH($F166))/12)*(1-2/$T166)^(TahunBuku-1-YEAR($F166))))),IF($S166="Unit Produksi",$G166-($G166-$H166)*MIN(1,N($L166)/$K166),$G166))),$G166))</f>
        <v/>
      </c>
      <c r="AE166" s="21" t="str">
        <f>IF($B166="","",IFERROR(IF($S166="Garis Lurus",$G166-($G166-$H166)*MIN($T166*12,MAX(0,TahunBuku*12+12-$Y166+1))/($T166*12),IF($S166="Saldo Menurun",IF(TahunBuku&lt;YEAR($F166),$G166,IF(TahunBuku&gt;=INT(($Y166+$T166*12-2)/12),$H166,MAX($H166,$G166*(1-2/$T166*(13-MONTH($F166))/12)*(1-2/$T166)^(TahunBuku-YEAR($F166))))),IF($S166="Unit Produksi",$G166-($G166-$H166)*MIN(1,(N($L166)+N($M166))/$K166),$G166))),$G166))</f>
        <v/>
      </c>
      <c r="AF166" s="20" t="str">
        <f>IF($B166="","",IF(OR($S166="Garis Lurus",$S166="Saldo Menurun",$S166="Unit Produksi"),MAX(0,IF($S166="Unit Produksi",TahunBuku*12+12,MIN(TahunBuku*12+12,$Y166+$T166*12-1))-MAX(TahunBuku*12+1,$Y166)+1),0))</f>
        <v/>
      </c>
      <c r="AG166" s="20" t="str">
        <f>IF($B166="","",IF(OR($S166="Garis Lurus",$S166="Saldo Menurun",$S166="Unit Produksi"),MAX(0,MIN($Z166,IF($S166="Unit Produksi",TahunBuku*12+12,MIN(TahunBuku*12+12,$Y166+$T166*12-1)))-MAX(TahunBuku*12+1,$Y166)+1),0))</f>
        <v/>
      </c>
      <c r="AH166" s="21" t="str">
        <f>IF($B166="","",IFERROR(IF($W166="Garis Lurus",$G166*(1-MIN($V166*12,MAX(0,TahunBuku*12-$Y166+1))/($V166*12)),IF($W166="Saldo Menurun",IF(TahunBuku-1&lt;YEAR($F166),$G166,IF(TahunBuku-1&gt;=INT(($Y166+$V166*12-2)/12),0,$G166*(1-2/$V166*(13-MONTH($F166))/12)*(1-2/$V166)^(TahunBuku-1-YEAR($F166)))),$G166)),$G166))</f>
        <v/>
      </c>
      <c r="AI166" s="21" t="str">
        <f>IF($B166="","",IFERROR(IF($W166="Garis Lurus",$G166*(1-MIN($V166*12,MAX(0,TahunBuku*12+12-$Y166+1))/($V166*12)),IF($W166="Saldo Menurun",IF(TahunBuku&lt;YEAR($F166),$G166,IF(TahunBuku&gt;=INT(($Y166+$V166*12-2)/12),0,$G166*(1-2/$V166*(13-MONTH($F166))/12)*(1-2/$V166)^(TahunBuku-YEAR($F166)))),$G166)),$G166))</f>
        <v/>
      </c>
      <c r="AJ166" s="20" t="str">
        <f>IF($B166="","",IF(OR($W166="Garis Lurus",$W166="Saldo Menurun"),MAX(0,MIN(TahunBuku*12+12,$Y166+$V166*12-1)-MAX(TahunBuku*12+1,$Y166)+1),0))</f>
        <v/>
      </c>
      <c r="AK166" s="20" t="str">
        <f>IF($B166="","",IF(OR($W166="Garis Lurus",$W166="Saldo Menurun"),MAX(0,MIN($Z166,TahunBuku*12+12,$Y166+$V166*12-1)-MAX(TahunBuku*12+1,$Y166)+1),0))</f>
        <v/>
      </c>
      <c r="AL166" s="22" t="str">
        <f>IF($B166="","",$G166*$AA166)</f>
        <v/>
      </c>
      <c r="AM166" s="22" t="str">
        <f>IF($B166="","",$G166*$AB166)</f>
        <v/>
      </c>
      <c r="AN166" s="22" t="str">
        <f>IF($B166="","",$G166*$AC166)</f>
        <v/>
      </c>
      <c r="AO166" s="22" t="str">
        <f>IF($B166="","",AL166+AM166-AN166)</f>
        <v/>
      </c>
      <c r="AP166" s="22" t="str">
        <f>IF($B166="","",($G166-$AD166)*$AA166)</f>
        <v/>
      </c>
      <c r="AQ166" s="22" t="str">
        <f>IF($B166="","",IF($AF166=0,0,($AD166-$AE166)*$AG166/$AF166)*MAX($AA166,$AB166))</f>
        <v/>
      </c>
      <c r="AR166" s="22" t="str">
        <f>IF($B166="","",(AP166+AQ166)*$AC166)</f>
        <v/>
      </c>
      <c r="AS166" s="22" t="str">
        <f>IF($B166="","",AP166+AQ166-AR166)</f>
        <v/>
      </c>
      <c r="AT166" s="22" t="str">
        <f>IF($B166="","",AO166-AS166)</f>
        <v/>
      </c>
      <c r="AU166" s="22" t="str">
        <f>IF($B166="","",IF($AC166=1,N($R166)-($G166-AR166),0))</f>
        <v/>
      </c>
      <c r="AV166" s="22" t="str">
        <f>IF($B166="","",($G166-$AH166)*$AA166)</f>
        <v/>
      </c>
      <c r="AW166" s="22" t="str">
        <f>IF($B166="","",IF($AJ166=0,0,($AH166-$AI166)*$AK166/$AJ166)*MAX($AA166,$AB166))</f>
        <v/>
      </c>
      <c r="AX166" s="22" t="str">
        <f>IF($B166="","",(AV166+AW166)*$AC166)</f>
        <v/>
      </c>
      <c r="AY166" s="22" t="str">
        <f>IF($B166="","",AV166+AW166-AX166)</f>
        <v/>
      </c>
      <c r="AZ166" s="22" t="str">
        <f>IF($B166="","",AO166-AY166)</f>
        <v/>
      </c>
      <c r="BA166" s="22" t="str">
        <f>IF($B166="","",IF($AC166=1,N($R166)-($G166-AX166),0))</f>
        <v/>
      </c>
      <c r="BB166" s="22" t="str">
        <f>IF($B166="","",ROUND(AQ166-AW166,0))</f>
        <v/>
      </c>
      <c r="BC166" s="22" t="str">
        <f>IF($B166="","",ROUND(BA166-AU166,0))</f>
        <v/>
      </c>
      <c r="BD166" s="22" t="str">
        <f>IF($B166="","",BB166+BC166)</f>
        <v/>
      </c>
      <c r="BE166" s="22" t="str">
        <f>IF($B166="","",ROUND(AV166-AP166,0))</f>
        <v/>
      </c>
      <c r="BF166" s="22" t="str">
        <f>IF($B166="","",ROUND(AT166-AZ166,0))</f>
        <v/>
      </c>
      <c r="BG166" s="22" t="str">
        <f>IF($B166="","",ROUND(BF166*TarifPPh,0))</f>
        <v/>
      </c>
      <c r="BH166" t="str">
        <f>IF($B166="","",IF($D166="","Kategori kosong",IF($F166="","Tgl perolehan kosong",IF(N($H166)&gt;$G166,"Residu &gt; harga perolehan",IF(AND(LEFT($U166,8)="Bangunan",$W166="Saldo Menurun"),"Bangunan wajib Garis Lurus (Ps.11 UU PPh)",IF(AND($S166="Unit Produksi",N($K166)=0),"Isi kapasitas unit",IF(AND(OR($S166="Garis Lurus",$S166="Saldo Menurun"),N($T166)&lt;=0),"Umur komersial kosong",IF(AND(OR($W166="Garis Lurus",$W166="Saldo Menurun"),N($V166)&lt;=0),"Masa manfaat fiskal kosong",IF(AND($Q166&lt;&gt;"",$Q166&lt;$F166),"Tgl pelepasan &lt; perolehan","OK")))))))))</f>
        <v/>
      </c>
    </row>
    <row r="167" spans="1:60" x14ac:dyDescent="0.25">
      <c r="A167" t="str">
        <f>IF($B167="","",ROW()-6)</f>
        <v/>
      </c>
      <c r="B167" s="9"/>
      <c r="C167" s="9"/>
      <c r="D167" s="9"/>
      <c r="E167" s="9"/>
      <c r="F167" s="17"/>
      <c r="G167" s="18"/>
      <c r="H167" s="18"/>
      <c r="I167" s="9"/>
      <c r="J167" s="9"/>
      <c r="K167" s="19"/>
      <c r="L167" s="19"/>
      <c r="M167" s="19"/>
      <c r="N167" s="9"/>
      <c r="O167" s="9"/>
      <c r="P167" s="9"/>
      <c r="Q167" s="17"/>
      <c r="R167" s="18"/>
      <c r="S167" t="str">
        <f>IF($B167="","",IF($I167&lt;&gt;"",$I167,IFERROR(INDEX(Kat_Metode,MATCH($D167,Kat_Nama,0)),"")))</f>
        <v/>
      </c>
      <c r="T167" t="str">
        <f>IF($B167="","",IF($J167&lt;&gt;"",$J167,IFERROR(INDEX(Kat_Umur,MATCH($D167,Kat_Nama,0)),0)))</f>
        <v/>
      </c>
      <c r="U167" t="str">
        <f>IF($B167="","",IF($N167&lt;&gt;"",$N167,IFERROR(INDEX(Kat_Kelompok,MATCH($D167,Kat_Nama,0)),"")))</f>
        <v/>
      </c>
      <c r="V167" t="str">
        <f>IF($B167="","",IF($U167="Masa Manfaat Sebenarnya",N($O167),IFERROR(INDEX(Kel_Masa,MATCH($U167,Kel_Nama,0)),0)))</f>
        <v/>
      </c>
      <c r="W167" t="str">
        <f>IF($B167="","",IF($P167&lt;&gt;"",$P167,IF(OR($U167="Tidak Disusutkan",$V167=0),"Tidak Disusutkan","Garis Lurus")))</f>
        <v/>
      </c>
      <c r="X167" t="str">
        <f>IF($B167="","",IF($Y167&gt;TahunBuku*12+12,"Belum Diperoleh",IF($Z167&lt;=TahunBuku*12,"Dilepas (thn lalu)",IF($AC167=1,"Dilepas thn ini",IF($AB167=1,"Perolehan baru","Aktif")))))</f>
        <v/>
      </c>
      <c r="Y167" s="20" t="str">
        <f>IF($B167="","",YEAR($F167)*12+MONTH($F167))</f>
        <v/>
      </c>
      <c r="Z167" s="20" t="str">
        <f>IF($B167="","",IF($Q167="",99999,YEAR($Q167)*12+MONTH($Q167)))</f>
        <v/>
      </c>
      <c r="AA167" s="20" t="str">
        <f>IF($B167="","",--AND($Y167&lt;=TahunBuku*12,$Z167&gt;TahunBuku*12))</f>
        <v/>
      </c>
      <c r="AB167" s="20" t="str">
        <f>IF($B167="","",--AND($Y167&gt;TahunBuku*12,$Y167&lt;=TahunBuku*12+12))</f>
        <v/>
      </c>
      <c r="AC167" s="20" t="str">
        <f>IF($B167="","",--AND($Z167&gt;TahunBuku*12,$Z167&lt;=TahunBuku*12+12,$Y167&lt;=$Z167))</f>
        <v/>
      </c>
      <c r="AD167" s="21" t="str">
        <f>IF($B167="","",IFERROR(IF($S167="Garis Lurus",$G167-($G167-$H167)*MIN($T167*12,MAX(0,TahunBuku*12-$Y167+1))/($T167*12),IF($S167="Saldo Menurun",IF(TahunBuku-1&lt;YEAR($F167),$G167,IF(TahunBuku-1&gt;=INT(($Y167+$T167*12-2)/12),$H167,MAX($H167,$G167*(1-2/$T167*(13-MONTH($F167))/12)*(1-2/$T167)^(TahunBuku-1-YEAR($F167))))),IF($S167="Unit Produksi",$G167-($G167-$H167)*MIN(1,N($L167)/$K167),$G167))),$G167))</f>
        <v/>
      </c>
      <c r="AE167" s="21" t="str">
        <f>IF($B167="","",IFERROR(IF($S167="Garis Lurus",$G167-($G167-$H167)*MIN($T167*12,MAX(0,TahunBuku*12+12-$Y167+1))/($T167*12),IF($S167="Saldo Menurun",IF(TahunBuku&lt;YEAR($F167),$G167,IF(TahunBuku&gt;=INT(($Y167+$T167*12-2)/12),$H167,MAX($H167,$G167*(1-2/$T167*(13-MONTH($F167))/12)*(1-2/$T167)^(TahunBuku-YEAR($F167))))),IF($S167="Unit Produksi",$G167-($G167-$H167)*MIN(1,(N($L167)+N($M167))/$K167),$G167))),$G167))</f>
        <v/>
      </c>
      <c r="AF167" s="20" t="str">
        <f>IF($B167="","",IF(OR($S167="Garis Lurus",$S167="Saldo Menurun",$S167="Unit Produksi"),MAX(0,IF($S167="Unit Produksi",TahunBuku*12+12,MIN(TahunBuku*12+12,$Y167+$T167*12-1))-MAX(TahunBuku*12+1,$Y167)+1),0))</f>
        <v/>
      </c>
      <c r="AG167" s="20" t="str">
        <f>IF($B167="","",IF(OR($S167="Garis Lurus",$S167="Saldo Menurun",$S167="Unit Produksi"),MAX(0,MIN($Z167,IF($S167="Unit Produksi",TahunBuku*12+12,MIN(TahunBuku*12+12,$Y167+$T167*12-1)))-MAX(TahunBuku*12+1,$Y167)+1),0))</f>
        <v/>
      </c>
      <c r="AH167" s="21" t="str">
        <f>IF($B167="","",IFERROR(IF($W167="Garis Lurus",$G167*(1-MIN($V167*12,MAX(0,TahunBuku*12-$Y167+1))/($V167*12)),IF($W167="Saldo Menurun",IF(TahunBuku-1&lt;YEAR($F167),$G167,IF(TahunBuku-1&gt;=INT(($Y167+$V167*12-2)/12),0,$G167*(1-2/$V167*(13-MONTH($F167))/12)*(1-2/$V167)^(TahunBuku-1-YEAR($F167)))),$G167)),$G167))</f>
        <v/>
      </c>
      <c r="AI167" s="21" t="str">
        <f>IF($B167="","",IFERROR(IF($W167="Garis Lurus",$G167*(1-MIN($V167*12,MAX(0,TahunBuku*12+12-$Y167+1))/($V167*12)),IF($W167="Saldo Menurun",IF(TahunBuku&lt;YEAR($F167),$G167,IF(TahunBuku&gt;=INT(($Y167+$V167*12-2)/12),0,$G167*(1-2/$V167*(13-MONTH($F167))/12)*(1-2/$V167)^(TahunBuku-YEAR($F167)))),$G167)),$G167))</f>
        <v/>
      </c>
      <c r="AJ167" s="20" t="str">
        <f>IF($B167="","",IF(OR($W167="Garis Lurus",$W167="Saldo Menurun"),MAX(0,MIN(TahunBuku*12+12,$Y167+$V167*12-1)-MAX(TahunBuku*12+1,$Y167)+1),0))</f>
        <v/>
      </c>
      <c r="AK167" s="20" t="str">
        <f>IF($B167="","",IF(OR($W167="Garis Lurus",$W167="Saldo Menurun"),MAX(0,MIN($Z167,TahunBuku*12+12,$Y167+$V167*12-1)-MAX(TahunBuku*12+1,$Y167)+1),0))</f>
        <v/>
      </c>
      <c r="AL167" s="22" t="str">
        <f>IF($B167="","",$G167*$AA167)</f>
        <v/>
      </c>
      <c r="AM167" s="22" t="str">
        <f>IF($B167="","",$G167*$AB167)</f>
        <v/>
      </c>
      <c r="AN167" s="22" t="str">
        <f>IF($B167="","",$G167*$AC167)</f>
        <v/>
      </c>
      <c r="AO167" s="22" t="str">
        <f>IF($B167="","",AL167+AM167-AN167)</f>
        <v/>
      </c>
      <c r="AP167" s="22" t="str">
        <f>IF($B167="","",($G167-$AD167)*$AA167)</f>
        <v/>
      </c>
      <c r="AQ167" s="22" t="str">
        <f>IF($B167="","",IF($AF167=0,0,($AD167-$AE167)*$AG167/$AF167)*MAX($AA167,$AB167))</f>
        <v/>
      </c>
      <c r="AR167" s="22" t="str">
        <f>IF($B167="","",(AP167+AQ167)*$AC167)</f>
        <v/>
      </c>
      <c r="AS167" s="22" t="str">
        <f>IF($B167="","",AP167+AQ167-AR167)</f>
        <v/>
      </c>
      <c r="AT167" s="22" t="str">
        <f>IF($B167="","",AO167-AS167)</f>
        <v/>
      </c>
      <c r="AU167" s="22" t="str">
        <f>IF($B167="","",IF($AC167=1,N($R167)-($G167-AR167),0))</f>
        <v/>
      </c>
      <c r="AV167" s="22" t="str">
        <f>IF($B167="","",($G167-$AH167)*$AA167)</f>
        <v/>
      </c>
      <c r="AW167" s="22" t="str">
        <f>IF($B167="","",IF($AJ167=0,0,($AH167-$AI167)*$AK167/$AJ167)*MAX($AA167,$AB167))</f>
        <v/>
      </c>
      <c r="AX167" s="22" t="str">
        <f>IF($B167="","",(AV167+AW167)*$AC167)</f>
        <v/>
      </c>
      <c r="AY167" s="22" t="str">
        <f>IF($B167="","",AV167+AW167-AX167)</f>
        <v/>
      </c>
      <c r="AZ167" s="22" t="str">
        <f>IF($B167="","",AO167-AY167)</f>
        <v/>
      </c>
      <c r="BA167" s="22" t="str">
        <f>IF($B167="","",IF($AC167=1,N($R167)-($G167-AX167),0))</f>
        <v/>
      </c>
      <c r="BB167" s="22" t="str">
        <f>IF($B167="","",ROUND(AQ167-AW167,0))</f>
        <v/>
      </c>
      <c r="BC167" s="22" t="str">
        <f>IF($B167="","",ROUND(BA167-AU167,0))</f>
        <v/>
      </c>
      <c r="BD167" s="22" t="str">
        <f>IF($B167="","",BB167+BC167)</f>
        <v/>
      </c>
      <c r="BE167" s="22" t="str">
        <f>IF($B167="","",ROUND(AV167-AP167,0))</f>
        <v/>
      </c>
      <c r="BF167" s="22" t="str">
        <f>IF($B167="","",ROUND(AT167-AZ167,0))</f>
        <v/>
      </c>
      <c r="BG167" s="22" t="str">
        <f>IF($B167="","",ROUND(BF167*TarifPPh,0))</f>
        <v/>
      </c>
      <c r="BH167" t="str">
        <f>IF($B167="","",IF($D167="","Kategori kosong",IF($F167="","Tgl perolehan kosong",IF(N($H167)&gt;$G167,"Residu &gt; harga perolehan",IF(AND(LEFT($U167,8)="Bangunan",$W167="Saldo Menurun"),"Bangunan wajib Garis Lurus (Ps.11 UU PPh)",IF(AND($S167="Unit Produksi",N($K167)=0),"Isi kapasitas unit",IF(AND(OR($S167="Garis Lurus",$S167="Saldo Menurun"),N($T167)&lt;=0),"Umur komersial kosong",IF(AND(OR($W167="Garis Lurus",$W167="Saldo Menurun"),N($V167)&lt;=0),"Masa manfaat fiskal kosong",IF(AND($Q167&lt;&gt;"",$Q167&lt;$F167),"Tgl pelepasan &lt; perolehan","OK")))))))))</f>
        <v/>
      </c>
    </row>
    <row r="168" spans="1:60" x14ac:dyDescent="0.25">
      <c r="A168" t="str">
        <f>IF($B168="","",ROW()-6)</f>
        <v/>
      </c>
      <c r="B168" s="9"/>
      <c r="C168" s="9"/>
      <c r="D168" s="9"/>
      <c r="E168" s="9"/>
      <c r="F168" s="17"/>
      <c r="G168" s="18"/>
      <c r="H168" s="18"/>
      <c r="I168" s="9"/>
      <c r="J168" s="9"/>
      <c r="K168" s="19"/>
      <c r="L168" s="19"/>
      <c r="M168" s="19"/>
      <c r="N168" s="9"/>
      <c r="O168" s="9"/>
      <c r="P168" s="9"/>
      <c r="Q168" s="17"/>
      <c r="R168" s="18"/>
      <c r="S168" t="str">
        <f>IF($B168="","",IF($I168&lt;&gt;"",$I168,IFERROR(INDEX(Kat_Metode,MATCH($D168,Kat_Nama,0)),"")))</f>
        <v/>
      </c>
      <c r="T168" t="str">
        <f>IF($B168="","",IF($J168&lt;&gt;"",$J168,IFERROR(INDEX(Kat_Umur,MATCH($D168,Kat_Nama,0)),0)))</f>
        <v/>
      </c>
      <c r="U168" t="str">
        <f>IF($B168="","",IF($N168&lt;&gt;"",$N168,IFERROR(INDEX(Kat_Kelompok,MATCH($D168,Kat_Nama,0)),"")))</f>
        <v/>
      </c>
      <c r="V168" t="str">
        <f>IF($B168="","",IF($U168="Masa Manfaat Sebenarnya",N($O168),IFERROR(INDEX(Kel_Masa,MATCH($U168,Kel_Nama,0)),0)))</f>
        <v/>
      </c>
      <c r="W168" t="str">
        <f>IF($B168="","",IF($P168&lt;&gt;"",$P168,IF(OR($U168="Tidak Disusutkan",$V168=0),"Tidak Disusutkan","Garis Lurus")))</f>
        <v/>
      </c>
      <c r="X168" t="str">
        <f>IF($B168="","",IF($Y168&gt;TahunBuku*12+12,"Belum Diperoleh",IF($Z168&lt;=TahunBuku*12,"Dilepas (thn lalu)",IF($AC168=1,"Dilepas thn ini",IF($AB168=1,"Perolehan baru","Aktif")))))</f>
        <v/>
      </c>
      <c r="Y168" s="20" t="str">
        <f>IF($B168="","",YEAR($F168)*12+MONTH($F168))</f>
        <v/>
      </c>
      <c r="Z168" s="20" t="str">
        <f>IF($B168="","",IF($Q168="",99999,YEAR($Q168)*12+MONTH($Q168)))</f>
        <v/>
      </c>
      <c r="AA168" s="20" t="str">
        <f>IF($B168="","",--AND($Y168&lt;=TahunBuku*12,$Z168&gt;TahunBuku*12))</f>
        <v/>
      </c>
      <c r="AB168" s="20" t="str">
        <f>IF($B168="","",--AND($Y168&gt;TahunBuku*12,$Y168&lt;=TahunBuku*12+12))</f>
        <v/>
      </c>
      <c r="AC168" s="20" t="str">
        <f>IF($B168="","",--AND($Z168&gt;TahunBuku*12,$Z168&lt;=TahunBuku*12+12,$Y168&lt;=$Z168))</f>
        <v/>
      </c>
      <c r="AD168" s="21" t="str">
        <f>IF($B168="","",IFERROR(IF($S168="Garis Lurus",$G168-($G168-$H168)*MIN($T168*12,MAX(0,TahunBuku*12-$Y168+1))/($T168*12),IF($S168="Saldo Menurun",IF(TahunBuku-1&lt;YEAR($F168),$G168,IF(TahunBuku-1&gt;=INT(($Y168+$T168*12-2)/12),$H168,MAX($H168,$G168*(1-2/$T168*(13-MONTH($F168))/12)*(1-2/$T168)^(TahunBuku-1-YEAR($F168))))),IF($S168="Unit Produksi",$G168-($G168-$H168)*MIN(1,N($L168)/$K168),$G168))),$G168))</f>
        <v/>
      </c>
      <c r="AE168" s="21" t="str">
        <f>IF($B168="","",IFERROR(IF($S168="Garis Lurus",$G168-($G168-$H168)*MIN($T168*12,MAX(0,TahunBuku*12+12-$Y168+1))/($T168*12),IF($S168="Saldo Menurun",IF(TahunBuku&lt;YEAR($F168),$G168,IF(TahunBuku&gt;=INT(($Y168+$T168*12-2)/12),$H168,MAX($H168,$G168*(1-2/$T168*(13-MONTH($F168))/12)*(1-2/$T168)^(TahunBuku-YEAR($F168))))),IF($S168="Unit Produksi",$G168-($G168-$H168)*MIN(1,(N($L168)+N($M168))/$K168),$G168))),$G168))</f>
        <v/>
      </c>
      <c r="AF168" s="20" t="str">
        <f>IF($B168="","",IF(OR($S168="Garis Lurus",$S168="Saldo Menurun",$S168="Unit Produksi"),MAX(0,IF($S168="Unit Produksi",TahunBuku*12+12,MIN(TahunBuku*12+12,$Y168+$T168*12-1))-MAX(TahunBuku*12+1,$Y168)+1),0))</f>
        <v/>
      </c>
      <c r="AG168" s="20" t="str">
        <f>IF($B168="","",IF(OR($S168="Garis Lurus",$S168="Saldo Menurun",$S168="Unit Produksi"),MAX(0,MIN($Z168,IF($S168="Unit Produksi",TahunBuku*12+12,MIN(TahunBuku*12+12,$Y168+$T168*12-1)))-MAX(TahunBuku*12+1,$Y168)+1),0))</f>
        <v/>
      </c>
      <c r="AH168" s="21" t="str">
        <f>IF($B168="","",IFERROR(IF($W168="Garis Lurus",$G168*(1-MIN($V168*12,MAX(0,TahunBuku*12-$Y168+1))/($V168*12)),IF($W168="Saldo Menurun",IF(TahunBuku-1&lt;YEAR($F168),$G168,IF(TahunBuku-1&gt;=INT(($Y168+$V168*12-2)/12),0,$G168*(1-2/$V168*(13-MONTH($F168))/12)*(1-2/$V168)^(TahunBuku-1-YEAR($F168)))),$G168)),$G168))</f>
        <v/>
      </c>
      <c r="AI168" s="21" t="str">
        <f>IF($B168="","",IFERROR(IF($W168="Garis Lurus",$G168*(1-MIN($V168*12,MAX(0,TahunBuku*12+12-$Y168+1))/($V168*12)),IF($W168="Saldo Menurun",IF(TahunBuku&lt;YEAR($F168),$G168,IF(TahunBuku&gt;=INT(($Y168+$V168*12-2)/12),0,$G168*(1-2/$V168*(13-MONTH($F168))/12)*(1-2/$V168)^(TahunBuku-YEAR($F168)))),$G168)),$G168))</f>
        <v/>
      </c>
      <c r="AJ168" s="20" t="str">
        <f>IF($B168="","",IF(OR($W168="Garis Lurus",$W168="Saldo Menurun"),MAX(0,MIN(TahunBuku*12+12,$Y168+$V168*12-1)-MAX(TahunBuku*12+1,$Y168)+1),0))</f>
        <v/>
      </c>
      <c r="AK168" s="20" t="str">
        <f>IF($B168="","",IF(OR($W168="Garis Lurus",$W168="Saldo Menurun"),MAX(0,MIN($Z168,TahunBuku*12+12,$Y168+$V168*12-1)-MAX(TahunBuku*12+1,$Y168)+1),0))</f>
        <v/>
      </c>
      <c r="AL168" s="22" t="str">
        <f>IF($B168="","",$G168*$AA168)</f>
        <v/>
      </c>
      <c r="AM168" s="22" t="str">
        <f>IF($B168="","",$G168*$AB168)</f>
        <v/>
      </c>
      <c r="AN168" s="22" t="str">
        <f>IF($B168="","",$G168*$AC168)</f>
        <v/>
      </c>
      <c r="AO168" s="22" t="str">
        <f>IF($B168="","",AL168+AM168-AN168)</f>
        <v/>
      </c>
      <c r="AP168" s="22" t="str">
        <f>IF($B168="","",($G168-$AD168)*$AA168)</f>
        <v/>
      </c>
      <c r="AQ168" s="22" t="str">
        <f>IF($B168="","",IF($AF168=0,0,($AD168-$AE168)*$AG168/$AF168)*MAX($AA168,$AB168))</f>
        <v/>
      </c>
      <c r="AR168" s="22" t="str">
        <f>IF($B168="","",(AP168+AQ168)*$AC168)</f>
        <v/>
      </c>
      <c r="AS168" s="22" t="str">
        <f>IF($B168="","",AP168+AQ168-AR168)</f>
        <v/>
      </c>
      <c r="AT168" s="22" t="str">
        <f>IF($B168="","",AO168-AS168)</f>
        <v/>
      </c>
      <c r="AU168" s="22" t="str">
        <f>IF($B168="","",IF($AC168=1,N($R168)-($G168-AR168),0))</f>
        <v/>
      </c>
      <c r="AV168" s="22" t="str">
        <f>IF($B168="","",($G168-$AH168)*$AA168)</f>
        <v/>
      </c>
      <c r="AW168" s="22" t="str">
        <f>IF($B168="","",IF($AJ168=0,0,($AH168-$AI168)*$AK168/$AJ168)*MAX($AA168,$AB168))</f>
        <v/>
      </c>
      <c r="AX168" s="22" t="str">
        <f>IF($B168="","",(AV168+AW168)*$AC168)</f>
        <v/>
      </c>
      <c r="AY168" s="22" t="str">
        <f>IF($B168="","",AV168+AW168-AX168)</f>
        <v/>
      </c>
      <c r="AZ168" s="22" t="str">
        <f>IF($B168="","",AO168-AY168)</f>
        <v/>
      </c>
      <c r="BA168" s="22" t="str">
        <f>IF($B168="","",IF($AC168=1,N($R168)-($G168-AX168),0))</f>
        <v/>
      </c>
      <c r="BB168" s="22" t="str">
        <f>IF($B168="","",ROUND(AQ168-AW168,0))</f>
        <v/>
      </c>
      <c r="BC168" s="22" t="str">
        <f>IF($B168="","",ROUND(BA168-AU168,0))</f>
        <v/>
      </c>
      <c r="BD168" s="22" t="str">
        <f>IF($B168="","",BB168+BC168)</f>
        <v/>
      </c>
      <c r="BE168" s="22" t="str">
        <f>IF($B168="","",ROUND(AV168-AP168,0))</f>
        <v/>
      </c>
      <c r="BF168" s="22" t="str">
        <f>IF($B168="","",ROUND(AT168-AZ168,0))</f>
        <v/>
      </c>
      <c r="BG168" s="22" t="str">
        <f>IF($B168="","",ROUND(BF168*TarifPPh,0))</f>
        <v/>
      </c>
      <c r="BH168" t="str">
        <f>IF($B168="","",IF($D168="","Kategori kosong",IF($F168="","Tgl perolehan kosong",IF(N($H168)&gt;$G168,"Residu &gt; harga perolehan",IF(AND(LEFT($U168,8)="Bangunan",$W168="Saldo Menurun"),"Bangunan wajib Garis Lurus (Ps.11 UU PPh)",IF(AND($S168="Unit Produksi",N($K168)=0),"Isi kapasitas unit",IF(AND(OR($S168="Garis Lurus",$S168="Saldo Menurun"),N($T168)&lt;=0),"Umur komersial kosong",IF(AND(OR($W168="Garis Lurus",$W168="Saldo Menurun"),N($V168)&lt;=0),"Masa manfaat fiskal kosong",IF(AND($Q168&lt;&gt;"",$Q168&lt;$F168),"Tgl pelepasan &lt; perolehan","OK")))))))))</f>
        <v/>
      </c>
    </row>
    <row r="169" spans="1:60" x14ac:dyDescent="0.25">
      <c r="A169" t="str">
        <f>IF($B169="","",ROW()-6)</f>
        <v/>
      </c>
      <c r="B169" s="9"/>
      <c r="C169" s="9"/>
      <c r="D169" s="9"/>
      <c r="E169" s="9"/>
      <c r="F169" s="17"/>
      <c r="G169" s="18"/>
      <c r="H169" s="18"/>
      <c r="I169" s="9"/>
      <c r="J169" s="9"/>
      <c r="K169" s="19"/>
      <c r="L169" s="19"/>
      <c r="M169" s="19"/>
      <c r="N169" s="9"/>
      <c r="O169" s="9"/>
      <c r="P169" s="9"/>
      <c r="Q169" s="17"/>
      <c r="R169" s="18"/>
      <c r="S169" t="str">
        <f>IF($B169="","",IF($I169&lt;&gt;"",$I169,IFERROR(INDEX(Kat_Metode,MATCH($D169,Kat_Nama,0)),"")))</f>
        <v/>
      </c>
      <c r="T169" t="str">
        <f>IF($B169="","",IF($J169&lt;&gt;"",$J169,IFERROR(INDEX(Kat_Umur,MATCH($D169,Kat_Nama,0)),0)))</f>
        <v/>
      </c>
      <c r="U169" t="str">
        <f>IF($B169="","",IF($N169&lt;&gt;"",$N169,IFERROR(INDEX(Kat_Kelompok,MATCH($D169,Kat_Nama,0)),"")))</f>
        <v/>
      </c>
      <c r="V169" t="str">
        <f>IF($B169="","",IF($U169="Masa Manfaat Sebenarnya",N($O169),IFERROR(INDEX(Kel_Masa,MATCH($U169,Kel_Nama,0)),0)))</f>
        <v/>
      </c>
      <c r="W169" t="str">
        <f>IF($B169="","",IF($P169&lt;&gt;"",$P169,IF(OR($U169="Tidak Disusutkan",$V169=0),"Tidak Disusutkan","Garis Lurus")))</f>
        <v/>
      </c>
      <c r="X169" t="str">
        <f>IF($B169="","",IF($Y169&gt;TahunBuku*12+12,"Belum Diperoleh",IF($Z169&lt;=TahunBuku*12,"Dilepas (thn lalu)",IF($AC169=1,"Dilepas thn ini",IF($AB169=1,"Perolehan baru","Aktif")))))</f>
        <v/>
      </c>
      <c r="Y169" s="20" t="str">
        <f>IF($B169="","",YEAR($F169)*12+MONTH($F169))</f>
        <v/>
      </c>
      <c r="Z169" s="20" t="str">
        <f>IF($B169="","",IF($Q169="",99999,YEAR($Q169)*12+MONTH($Q169)))</f>
        <v/>
      </c>
      <c r="AA169" s="20" t="str">
        <f>IF($B169="","",--AND($Y169&lt;=TahunBuku*12,$Z169&gt;TahunBuku*12))</f>
        <v/>
      </c>
      <c r="AB169" s="20" t="str">
        <f>IF($B169="","",--AND($Y169&gt;TahunBuku*12,$Y169&lt;=TahunBuku*12+12))</f>
        <v/>
      </c>
      <c r="AC169" s="20" t="str">
        <f>IF($B169="","",--AND($Z169&gt;TahunBuku*12,$Z169&lt;=TahunBuku*12+12,$Y169&lt;=$Z169))</f>
        <v/>
      </c>
      <c r="AD169" s="21" t="str">
        <f>IF($B169="","",IFERROR(IF($S169="Garis Lurus",$G169-($G169-$H169)*MIN($T169*12,MAX(0,TahunBuku*12-$Y169+1))/($T169*12),IF($S169="Saldo Menurun",IF(TahunBuku-1&lt;YEAR($F169),$G169,IF(TahunBuku-1&gt;=INT(($Y169+$T169*12-2)/12),$H169,MAX($H169,$G169*(1-2/$T169*(13-MONTH($F169))/12)*(1-2/$T169)^(TahunBuku-1-YEAR($F169))))),IF($S169="Unit Produksi",$G169-($G169-$H169)*MIN(1,N($L169)/$K169),$G169))),$G169))</f>
        <v/>
      </c>
      <c r="AE169" s="21" t="str">
        <f>IF($B169="","",IFERROR(IF($S169="Garis Lurus",$G169-($G169-$H169)*MIN($T169*12,MAX(0,TahunBuku*12+12-$Y169+1))/($T169*12),IF($S169="Saldo Menurun",IF(TahunBuku&lt;YEAR($F169),$G169,IF(TahunBuku&gt;=INT(($Y169+$T169*12-2)/12),$H169,MAX($H169,$G169*(1-2/$T169*(13-MONTH($F169))/12)*(1-2/$T169)^(TahunBuku-YEAR($F169))))),IF($S169="Unit Produksi",$G169-($G169-$H169)*MIN(1,(N($L169)+N($M169))/$K169),$G169))),$G169))</f>
        <v/>
      </c>
      <c r="AF169" s="20" t="str">
        <f>IF($B169="","",IF(OR($S169="Garis Lurus",$S169="Saldo Menurun",$S169="Unit Produksi"),MAX(0,IF($S169="Unit Produksi",TahunBuku*12+12,MIN(TahunBuku*12+12,$Y169+$T169*12-1))-MAX(TahunBuku*12+1,$Y169)+1),0))</f>
        <v/>
      </c>
      <c r="AG169" s="20" t="str">
        <f>IF($B169="","",IF(OR($S169="Garis Lurus",$S169="Saldo Menurun",$S169="Unit Produksi"),MAX(0,MIN($Z169,IF($S169="Unit Produksi",TahunBuku*12+12,MIN(TahunBuku*12+12,$Y169+$T169*12-1)))-MAX(TahunBuku*12+1,$Y169)+1),0))</f>
        <v/>
      </c>
      <c r="AH169" s="21" t="str">
        <f>IF($B169="","",IFERROR(IF($W169="Garis Lurus",$G169*(1-MIN($V169*12,MAX(0,TahunBuku*12-$Y169+1))/($V169*12)),IF($W169="Saldo Menurun",IF(TahunBuku-1&lt;YEAR($F169),$G169,IF(TahunBuku-1&gt;=INT(($Y169+$V169*12-2)/12),0,$G169*(1-2/$V169*(13-MONTH($F169))/12)*(1-2/$V169)^(TahunBuku-1-YEAR($F169)))),$G169)),$G169))</f>
        <v/>
      </c>
      <c r="AI169" s="21" t="str">
        <f>IF($B169="","",IFERROR(IF($W169="Garis Lurus",$G169*(1-MIN($V169*12,MAX(0,TahunBuku*12+12-$Y169+1))/($V169*12)),IF($W169="Saldo Menurun",IF(TahunBuku&lt;YEAR($F169),$G169,IF(TahunBuku&gt;=INT(($Y169+$V169*12-2)/12),0,$G169*(1-2/$V169*(13-MONTH($F169))/12)*(1-2/$V169)^(TahunBuku-YEAR($F169)))),$G169)),$G169))</f>
        <v/>
      </c>
      <c r="AJ169" s="20" t="str">
        <f>IF($B169="","",IF(OR($W169="Garis Lurus",$W169="Saldo Menurun"),MAX(0,MIN(TahunBuku*12+12,$Y169+$V169*12-1)-MAX(TahunBuku*12+1,$Y169)+1),0))</f>
        <v/>
      </c>
      <c r="AK169" s="20" t="str">
        <f>IF($B169="","",IF(OR($W169="Garis Lurus",$W169="Saldo Menurun"),MAX(0,MIN($Z169,TahunBuku*12+12,$Y169+$V169*12-1)-MAX(TahunBuku*12+1,$Y169)+1),0))</f>
        <v/>
      </c>
      <c r="AL169" s="22" t="str">
        <f>IF($B169="","",$G169*$AA169)</f>
        <v/>
      </c>
      <c r="AM169" s="22" t="str">
        <f>IF($B169="","",$G169*$AB169)</f>
        <v/>
      </c>
      <c r="AN169" s="22" t="str">
        <f>IF($B169="","",$G169*$AC169)</f>
        <v/>
      </c>
      <c r="AO169" s="22" t="str">
        <f>IF($B169="","",AL169+AM169-AN169)</f>
        <v/>
      </c>
      <c r="AP169" s="22" t="str">
        <f>IF($B169="","",($G169-$AD169)*$AA169)</f>
        <v/>
      </c>
      <c r="AQ169" s="22" t="str">
        <f>IF($B169="","",IF($AF169=0,0,($AD169-$AE169)*$AG169/$AF169)*MAX($AA169,$AB169))</f>
        <v/>
      </c>
      <c r="AR169" s="22" t="str">
        <f>IF($B169="","",(AP169+AQ169)*$AC169)</f>
        <v/>
      </c>
      <c r="AS169" s="22" t="str">
        <f>IF($B169="","",AP169+AQ169-AR169)</f>
        <v/>
      </c>
      <c r="AT169" s="22" t="str">
        <f>IF($B169="","",AO169-AS169)</f>
        <v/>
      </c>
      <c r="AU169" s="22" t="str">
        <f>IF($B169="","",IF($AC169=1,N($R169)-($G169-AR169),0))</f>
        <v/>
      </c>
      <c r="AV169" s="22" t="str">
        <f>IF($B169="","",($G169-$AH169)*$AA169)</f>
        <v/>
      </c>
      <c r="AW169" s="22" t="str">
        <f>IF($B169="","",IF($AJ169=0,0,($AH169-$AI169)*$AK169/$AJ169)*MAX($AA169,$AB169))</f>
        <v/>
      </c>
      <c r="AX169" s="22" t="str">
        <f>IF($B169="","",(AV169+AW169)*$AC169)</f>
        <v/>
      </c>
      <c r="AY169" s="22" t="str">
        <f>IF($B169="","",AV169+AW169-AX169)</f>
        <v/>
      </c>
      <c r="AZ169" s="22" t="str">
        <f>IF($B169="","",AO169-AY169)</f>
        <v/>
      </c>
      <c r="BA169" s="22" t="str">
        <f>IF($B169="","",IF($AC169=1,N($R169)-($G169-AX169),0))</f>
        <v/>
      </c>
      <c r="BB169" s="22" t="str">
        <f>IF($B169="","",ROUND(AQ169-AW169,0))</f>
        <v/>
      </c>
      <c r="BC169" s="22" t="str">
        <f>IF($B169="","",ROUND(BA169-AU169,0))</f>
        <v/>
      </c>
      <c r="BD169" s="22" t="str">
        <f>IF($B169="","",BB169+BC169)</f>
        <v/>
      </c>
      <c r="BE169" s="22" t="str">
        <f>IF($B169="","",ROUND(AV169-AP169,0))</f>
        <v/>
      </c>
      <c r="BF169" s="22" t="str">
        <f>IF($B169="","",ROUND(AT169-AZ169,0))</f>
        <v/>
      </c>
      <c r="BG169" s="22" t="str">
        <f>IF($B169="","",ROUND(BF169*TarifPPh,0))</f>
        <v/>
      </c>
      <c r="BH169" t="str">
        <f>IF($B169="","",IF($D169="","Kategori kosong",IF($F169="","Tgl perolehan kosong",IF(N($H169)&gt;$G169,"Residu &gt; harga perolehan",IF(AND(LEFT($U169,8)="Bangunan",$W169="Saldo Menurun"),"Bangunan wajib Garis Lurus (Ps.11 UU PPh)",IF(AND($S169="Unit Produksi",N($K169)=0),"Isi kapasitas unit",IF(AND(OR($S169="Garis Lurus",$S169="Saldo Menurun"),N($T169)&lt;=0),"Umur komersial kosong",IF(AND(OR($W169="Garis Lurus",$W169="Saldo Menurun"),N($V169)&lt;=0),"Masa manfaat fiskal kosong",IF(AND($Q169&lt;&gt;"",$Q169&lt;$F169),"Tgl pelepasan &lt; perolehan","OK")))))))))</f>
        <v/>
      </c>
    </row>
    <row r="170" spans="1:60" x14ac:dyDescent="0.25">
      <c r="A170" t="str">
        <f>IF($B170="","",ROW()-6)</f>
        <v/>
      </c>
      <c r="B170" s="9"/>
      <c r="C170" s="9"/>
      <c r="D170" s="9"/>
      <c r="E170" s="9"/>
      <c r="F170" s="17"/>
      <c r="G170" s="18"/>
      <c r="H170" s="18"/>
      <c r="I170" s="9"/>
      <c r="J170" s="9"/>
      <c r="K170" s="19"/>
      <c r="L170" s="19"/>
      <c r="M170" s="19"/>
      <c r="N170" s="9"/>
      <c r="O170" s="9"/>
      <c r="P170" s="9"/>
      <c r="Q170" s="17"/>
      <c r="R170" s="18"/>
      <c r="S170" t="str">
        <f>IF($B170="","",IF($I170&lt;&gt;"",$I170,IFERROR(INDEX(Kat_Metode,MATCH($D170,Kat_Nama,0)),"")))</f>
        <v/>
      </c>
      <c r="T170" t="str">
        <f>IF($B170="","",IF($J170&lt;&gt;"",$J170,IFERROR(INDEX(Kat_Umur,MATCH($D170,Kat_Nama,0)),0)))</f>
        <v/>
      </c>
      <c r="U170" t="str">
        <f>IF($B170="","",IF($N170&lt;&gt;"",$N170,IFERROR(INDEX(Kat_Kelompok,MATCH($D170,Kat_Nama,0)),"")))</f>
        <v/>
      </c>
      <c r="V170" t="str">
        <f>IF($B170="","",IF($U170="Masa Manfaat Sebenarnya",N($O170),IFERROR(INDEX(Kel_Masa,MATCH($U170,Kel_Nama,0)),0)))</f>
        <v/>
      </c>
      <c r="W170" t="str">
        <f>IF($B170="","",IF($P170&lt;&gt;"",$P170,IF(OR($U170="Tidak Disusutkan",$V170=0),"Tidak Disusutkan","Garis Lurus")))</f>
        <v/>
      </c>
      <c r="X170" t="str">
        <f>IF($B170="","",IF($Y170&gt;TahunBuku*12+12,"Belum Diperoleh",IF($Z170&lt;=TahunBuku*12,"Dilepas (thn lalu)",IF($AC170=1,"Dilepas thn ini",IF($AB170=1,"Perolehan baru","Aktif")))))</f>
        <v/>
      </c>
      <c r="Y170" s="20" t="str">
        <f>IF($B170="","",YEAR($F170)*12+MONTH($F170))</f>
        <v/>
      </c>
      <c r="Z170" s="20" t="str">
        <f>IF($B170="","",IF($Q170="",99999,YEAR($Q170)*12+MONTH($Q170)))</f>
        <v/>
      </c>
      <c r="AA170" s="20" t="str">
        <f>IF($B170="","",--AND($Y170&lt;=TahunBuku*12,$Z170&gt;TahunBuku*12))</f>
        <v/>
      </c>
      <c r="AB170" s="20" t="str">
        <f>IF($B170="","",--AND($Y170&gt;TahunBuku*12,$Y170&lt;=TahunBuku*12+12))</f>
        <v/>
      </c>
      <c r="AC170" s="20" t="str">
        <f>IF($B170="","",--AND($Z170&gt;TahunBuku*12,$Z170&lt;=TahunBuku*12+12,$Y170&lt;=$Z170))</f>
        <v/>
      </c>
      <c r="AD170" s="21" t="str">
        <f>IF($B170="","",IFERROR(IF($S170="Garis Lurus",$G170-($G170-$H170)*MIN($T170*12,MAX(0,TahunBuku*12-$Y170+1))/($T170*12),IF($S170="Saldo Menurun",IF(TahunBuku-1&lt;YEAR($F170),$G170,IF(TahunBuku-1&gt;=INT(($Y170+$T170*12-2)/12),$H170,MAX($H170,$G170*(1-2/$T170*(13-MONTH($F170))/12)*(1-2/$T170)^(TahunBuku-1-YEAR($F170))))),IF($S170="Unit Produksi",$G170-($G170-$H170)*MIN(1,N($L170)/$K170),$G170))),$G170))</f>
        <v/>
      </c>
      <c r="AE170" s="21" t="str">
        <f>IF($B170="","",IFERROR(IF($S170="Garis Lurus",$G170-($G170-$H170)*MIN($T170*12,MAX(0,TahunBuku*12+12-$Y170+1))/($T170*12),IF($S170="Saldo Menurun",IF(TahunBuku&lt;YEAR($F170),$G170,IF(TahunBuku&gt;=INT(($Y170+$T170*12-2)/12),$H170,MAX($H170,$G170*(1-2/$T170*(13-MONTH($F170))/12)*(1-2/$T170)^(TahunBuku-YEAR($F170))))),IF($S170="Unit Produksi",$G170-($G170-$H170)*MIN(1,(N($L170)+N($M170))/$K170),$G170))),$G170))</f>
        <v/>
      </c>
      <c r="AF170" s="20" t="str">
        <f>IF($B170="","",IF(OR($S170="Garis Lurus",$S170="Saldo Menurun",$S170="Unit Produksi"),MAX(0,IF($S170="Unit Produksi",TahunBuku*12+12,MIN(TahunBuku*12+12,$Y170+$T170*12-1))-MAX(TahunBuku*12+1,$Y170)+1),0))</f>
        <v/>
      </c>
      <c r="AG170" s="20" t="str">
        <f>IF($B170="","",IF(OR($S170="Garis Lurus",$S170="Saldo Menurun",$S170="Unit Produksi"),MAX(0,MIN($Z170,IF($S170="Unit Produksi",TahunBuku*12+12,MIN(TahunBuku*12+12,$Y170+$T170*12-1)))-MAX(TahunBuku*12+1,$Y170)+1),0))</f>
        <v/>
      </c>
      <c r="AH170" s="21" t="str">
        <f>IF($B170="","",IFERROR(IF($W170="Garis Lurus",$G170*(1-MIN($V170*12,MAX(0,TahunBuku*12-$Y170+1))/($V170*12)),IF($W170="Saldo Menurun",IF(TahunBuku-1&lt;YEAR($F170),$G170,IF(TahunBuku-1&gt;=INT(($Y170+$V170*12-2)/12),0,$G170*(1-2/$V170*(13-MONTH($F170))/12)*(1-2/$V170)^(TahunBuku-1-YEAR($F170)))),$G170)),$G170))</f>
        <v/>
      </c>
      <c r="AI170" s="21" t="str">
        <f>IF($B170="","",IFERROR(IF($W170="Garis Lurus",$G170*(1-MIN($V170*12,MAX(0,TahunBuku*12+12-$Y170+1))/($V170*12)),IF($W170="Saldo Menurun",IF(TahunBuku&lt;YEAR($F170),$G170,IF(TahunBuku&gt;=INT(($Y170+$V170*12-2)/12),0,$G170*(1-2/$V170*(13-MONTH($F170))/12)*(1-2/$V170)^(TahunBuku-YEAR($F170)))),$G170)),$G170))</f>
        <v/>
      </c>
      <c r="AJ170" s="20" t="str">
        <f>IF($B170="","",IF(OR($W170="Garis Lurus",$W170="Saldo Menurun"),MAX(0,MIN(TahunBuku*12+12,$Y170+$V170*12-1)-MAX(TahunBuku*12+1,$Y170)+1),0))</f>
        <v/>
      </c>
      <c r="AK170" s="20" t="str">
        <f>IF($B170="","",IF(OR($W170="Garis Lurus",$W170="Saldo Menurun"),MAX(0,MIN($Z170,TahunBuku*12+12,$Y170+$V170*12-1)-MAX(TahunBuku*12+1,$Y170)+1),0))</f>
        <v/>
      </c>
      <c r="AL170" s="22" t="str">
        <f>IF($B170="","",$G170*$AA170)</f>
        <v/>
      </c>
      <c r="AM170" s="22" t="str">
        <f>IF($B170="","",$G170*$AB170)</f>
        <v/>
      </c>
      <c r="AN170" s="22" t="str">
        <f>IF($B170="","",$G170*$AC170)</f>
        <v/>
      </c>
      <c r="AO170" s="22" t="str">
        <f>IF($B170="","",AL170+AM170-AN170)</f>
        <v/>
      </c>
      <c r="AP170" s="22" t="str">
        <f>IF($B170="","",($G170-$AD170)*$AA170)</f>
        <v/>
      </c>
      <c r="AQ170" s="22" t="str">
        <f>IF($B170="","",IF($AF170=0,0,($AD170-$AE170)*$AG170/$AF170)*MAX($AA170,$AB170))</f>
        <v/>
      </c>
      <c r="AR170" s="22" t="str">
        <f>IF($B170="","",(AP170+AQ170)*$AC170)</f>
        <v/>
      </c>
      <c r="AS170" s="22" t="str">
        <f>IF($B170="","",AP170+AQ170-AR170)</f>
        <v/>
      </c>
      <c r="AT170" s="22" t="str">
        <f>IF($B170="","",AO170-AS170)</f>
        <v/>
      </c>
      <c r="AU170" s="22" t="str">
        <f>IF($B170="","",IF($AC170=1,N($R170)-($G170-AR170),0))</f>
        <v/>
      </c>
      <c r="AV170" s="22" t="str">
        <f>IF($B170="","",($G170-$AH170)*$AA170)</f>
        <v/>
      </c>
      <c r="AW170" s="22" t="str">
        <f>IF($B170="","",IF($AJ170=0,0,($AH170-$AI170)*$AK170/$AJ170)*MAX($AA170,$AB170))</f>
        <v/>
      </c>
      <c r="AX170" s="22" t="str">
        <f>IF($B170="","",(AV170+AW170)*$AC170)</f>
        <v/>
      </c>
      <c r="AY170" s="22" t="str">
        <f>IF($B170="","",AV170+AW170-AX170)</f>
        <v/>
      </c>
      <c r="AZ170" s="22" t="str">
        <f>IF($B170="","",AO170-AY170)</f>
        <v/>
      </c>
      <c r="BA170" s="22" t="str">
        <f>IF($B170="","",IF($AC170=1,N($R170)-($G170-AX170),0))</f>
        <v/>
      </c>
      <c r="BB170" s="22" t="str">
        <f>IF($B170="","",ROUND(AQ170-AW170,0))</f>
        <v/>
      </c>
      <c r="BC170" s="22" t="str">
        <f>IF($B170="","",ROUND(BA170-AU170,0))</f>
        <v/>
      </c>
      <c r="BD170" s="22" t="str">
        <f>IF($B170="","",BB170+BC170)</f>
        <v/>
      </c>
      <c r="BE170" s="22" t="str">
        <f>IF($B170="","",ROUND(AV170-AP170,0))</f>
        <v/>
      </c>
      <c r="BF170" s="22" t="str">
        <f>IF($B170="","",ROUND(AT170-AZ170,0))</f>
        <v/>
      </c>
      <c r="BG170" s="22" t="str">
        <f>IF($B170="","",ROUND(BF170*TarifPPh,0))</f>
        <v/>
      </c>
      <c r="BH170" t="str">
        <f>IF($B170="","",IF($D170="","Kategori kosong",IF($F170="","Tgl perolehan kosong",IF(N($H170)&gt;$G170,"Residu &gt; harga perolehan",IF(AND(LEFT($U170,8)="Bangunan",$W170="Saldo Menurun"),"Bangunan wajib Garis Lurus (Ps.11 UU PPh)",IF(AND($S170="Unit Produksi",N($K170)=0),"Isi kapasitas unit",IF(AND(OR($S170="Garis Lurus",$S170="Saldo Menurun"),N($T170)&lt;=0),"Umur komersial kosong",IF(AND(OR($W170="Garis Lurus",$W170="Saldo Menurun"),N($V170)&lt;=0),"Masa manfaat fiskal kosong",IF(AND($Q170&lt;&gt;"",$Q170&lt;$F170),"Tgl pelepasan &lt; perolehan","OK")))))))))</f>
        <v/>
      </c>
    </row>
    <row r="171" spans="1:60" x14ac:dyDescent="0.25">
      <c r="A171" t="str">
        <f>IF($B171="","",ROW()-6)</f>
        <v/>
      </c>
      <c r="B171" s="9"/>
      <c r="C171" s="9"/>
      <c r="D171" s="9"/>
      <c r="E171" s="9"/>
      <c r="F171" s="17"/>
      <c r="G171" s="18"/>
      <c r="H171" s="18"/>
      <c r="I171" s="9"/>
      <c r="J171" s="9"/>
      <c r="K171" s="19"/>
      <c r="L171" s="19"/>
      <c r="M171" s="19"/>
      <c r="N171" s="9"/>
      <c r="O171" s="9"/>
      <c r="P171" s="9"/>
      <c r="Q171" s="17"/>
      <c r="R171" s="18"/>
      <c r="S171" t="str">
        <f>IF($B171="","",IF($I171&lt;&gt;"",$I171,IFERROR(INDEX(Kat_Metode,MATCH($D171,Kat_Nama,0)),"")))</f>
        <v/>
      </c>
      <c r="T171" t="str">
        <f>IF($B171="","",IF($J171&lt;&gt;"",$J171,IFERROR(INDEX(Kat_Umur,MATCH($D171,Kat_Nama,0)),0)))</f>
        <v/>
      </c>
      <c r="U171" t="str">
        <f>IF($B171="","",IF($N171&lt;&gt;"",$N171,IFERROR(INDEX(Kat_Kelompok,MATCH($D171,Kat_Nama,0)),"")))</f>
        <v/>
      </c>
      <c r="V171" t="str">
        <f>IF($B171="","",IF($U171="Masa Manfaat Sebenarnya",N($O171),IFERROR(INDEX(Kel_Masa,MATCH($U171,Kel_Nama,0)),0)))</f>
        <v/>
      </c>
      <c r="W171" t="str">
        <f>IF($B171="","",IF($P171&lt;&gt;"",$P171,IF(OR($U171="Tidak Disusutkan",$V171=0),"Tidak Disusutkan","Garis Lurus")))</f>
        <v/>
      </c>
      <c r="X171" t="str">
        <f>IF($B171="","",IF($Y171&gt;TahunBuku*12+12,"Belum Diperoleh",IF($Z171&lt;=TahunBuku*12,"Dilepas (thn lalu)",IF($AC171=1,"Dilepas thn ini",IF($AB171=1,"Perolehan baru","Aktif")))))</f>
        <v/>
      </c>
      <c r="Y171" s="20" t="str">
        <f>IF($B171="","",YEAR($F171)*12+MONTH($F171))</f>
        <v/>
      </c>
      <c r="Z171" s="20" t="str">
        <f>IF($B171="","",IF($Q171="",99999,YEAR($Q171)*12+MONTH($Q171)))</f>
        <v/>
      </c>
      <c r="AA171" s="20" t="str">
        <f>IF($B171="","",--AND($Y171&lt;=TahunBuku*12,$Z171&gt;TahunBuku*12))</f>
        <v/>
      </c>
      <c r="AB171" s="20" t="str">
        <f>IF($B171="","",--AND($Y171&gt;TahunBuku*12,$Y171&lt;=TahunBuku*12+12))</f>
        <v/>
      </c>
      <c r="AC171" s="20" t="str">
        <f>IF($B171="","",--AND($Z171&gt;TahunBuku*12,$Z171&lt;=TahunBuku*12+12,$Y171&lt;=$Z171))</f>
        <v/>
      </c>
      <c r="AD171" s="21" t="str">
        <f>IF($B171="","",IFERROR(IF($S171="Garis Lurus",$G171-($G171-$H171)*MIN($T171*12,MAX(0,TahunBuku*12-$Y171+1))/($T171*12),IF($S171="Saldo Menurun",IF(TahunBuku-1&lt;YEAR($F171),$G171,IF(TahunBuku-1&gt;=INT(($Y171+$T171*12-2)/12),$H171,MAX($H171,$G171*(1-2/$T171*(13-MONTH($F171))/12)*(1-2/$T171)^(TahunBuku-1-YEAR($F171))))),IF($S171="Unit Produksi",$G171-($G171-$H171)*MIN(1,N($L171)/$K171),$G171))),$G171))</f>
        <v/>
      </c>
      <c r="AE171" s="21" t="str">
        <f>IF($B171="","",IFERROR(IF($S171="Garis Lurus",$G171-($G171-$H171)*MIN($T171*12,MAX(0,TahunBuku*12+12-$Y171+1))/($T171*12),IF($S171="Saldo Menurun",IF(TahunBuku&lt;YEAR($F171),$G171,IF(TahunBuku&gt;=INT(($Y171+$T171*12-2)/12),$H171,MAX($H171,$G171*(1-2/$T171*(13-MONTH($F171))/12)*(1-2/$T171)^(TahunBuku-YEAR($F171))))),IF($S171="Unit Produksi",$G171-($G171-$H171)*MIN(1,(N($L171)+N($M171))/$K171),$G171))),$G171))</f>
        <v/>
      </c>
      <c r="AF171" s="20" t="str">
        <f>IF($B171="","",IF(OR($S171="Garis Lurus",$S171="Saldo Menurun",$S171="Unit Produksi"),MAX(0,IF($S171="Unit Produksi",TahunBuku*12+12,MIN(TahunBuku*12+12,$Y171+$T171*12-1))-MAX(TahunBuku*12+1,$Y171)+1),0))</f>
        <v/>
      </c>
      <c r="AG171" s="20" t="str">
        <f>IF($B171="","",IF(OR($S171="Garis Lurus",$S171="Saldo Menurun",$S171="Unit Produksi"),MAX(0,MIN($Z171,IF($S171="Unit Produksi",TahunBuku*12+12,MIN(TahunBuku*12+12,$Y171+$T171*12-1)))-MAX(TahunBuku*12+1,$Y171)+1),0))</f>
        <v/>
      </c>
      <c r="AH171" s="21" t="str">
        <f>IF($B171="","",IFERROR(IF($W171="Garis Lurus",$G171*(1-MIN($V171*12,MAX(0,TahunBuku*12-$Y171+1))/($V171*12)),IF($W171="Saldo Menurun",IF(TahunBuku-1&lt;YEAR($F171),$G171,IF(TahunBuku-1&gt;=INT(($Y171+$V171*12-2)/12),0,$G171*(1-2/$V171*(13-MONTH($F171))/12)*(1-2/$V171)^(TahunBuku-1-YEAR($F171)))),$G171)),$G171))</f>
        <v/>
      </c>
      <c r="AI171" s="21" t="str">
        <f>IF($B171="","",IFERROR(IF($W171="Garis Lurus",$G171*(1-MIN($V171*12,MAX(0,TahunBuku*12+12-$Y171+1))/($V171*12)),IF($W171="Saldo Menurun",IF(TahunBuku&lt;YEAR($F171),$G171,IF(TahunBuku&gt;=INT(($Y171+$V171*12-2)/12),0,$G171*(1-2/$V171*(13-MONTH($F171))/12)*(1-2/$V171)^(TahunBuku-YEAR($F171)))),$G171)),$G171))</f>
        <v/>
      </c>
      <c r="AJ171" s="20" t="str">
        <f>IF($B171="","",IF(OR($W171="Garis Lurus",$W171="Saldo Menurun"),MAX(0,MIN(TahunBuku*12+12,$Y171+$V171*12-1)-MAX(TahunBuku*12+1,$Y171)+1),0))</f>
        <v/>
      </c>
      <c r="AK171" s="20" t="str">
        <f>IF($B171="","",IF(OR($W171="Garis Lurus",$W171="Saldo Menurun"),MAX(0,MIN($Z171,TahunBuku*12+12,$Y171+$V171*12-1)-MAX(TahunBuku*12+1,$Y171)+1),0))</f>
        <v/>
      </c>
      <c r="AL171" s="22" t="str">
        <f>IF($B171="","",$G171*$AA171)</f>
        <v/>
      </c>
      <c r="AM171" s="22" t="str">
        <f>IF($B171="","",$G171*$AB171)</f>
        <v/>
      </c>
      <c r="AN171" s="22" t="str">
        <f>IF($B171="","",$G171*$AC171)</f>
        <v/>
      </c>
      <c r="AO171" s="22" t="str">
        <f>IF($B171="","",AL171+AM171-AN171)</f>
        <v/>
      </c>
      <c r="AP171" s="22" t="str">
        <f>IF($B171="","",($G171-$AD171)*$AA171)</f>
        <v/>
      </c>
      <c r="AQ171" s="22" t="str">
        <f>IF($B171="","",IF($AF171=0,0,($AD171-$AE171)*$AG171/$AF171)*MAX($AA171,$AB171))</f>
        <v/>
      </c>
      <c r="AR171" s="22" t="str">
        <f>IF($B171="","",(AP171+AQ171)*$AC171)</f>
        <v/>
      </c>
      <c r="AS171" s="22" t="str">
        <f>IF($B171="","",AP171+AQ171-AR171)</f>
        <v/>
      </c>
      <c r="AT171" s="22" t="str">
        <f>IF($B171="","",AO171-AS171)</f>
        <v/>
      </c>
      <c r="AU171" s="22" t="str">
        <f>IF($B171="","",IF($AC171=1,N($R171)-($G171-AR171),0))</f>
        <v/>
      </c>
      <c r="AV171" s="22" t="str">
        <f>IF($B171="","",($G171-$AH171)*$AA171)</f>
        <v/>
      </c>
      <c r="AW171" s="22" t="str">
        <f>IF($B171="","",IF($AJ171=0,0,($AH171-$AI171)*$AK171/$AJ171)*MAX($AA171,$AB171))</f>
        <v/>
      </c>
      <c r="AX171" s="22" t="str">
        <f>IF($B171="","",(AV171+AW171)*$AC171)</f>
        <v/>
      </c>
      <c r="AY171" s="22" t="str">
        <f>IF($B171="","",AV171+AW171-AX171)</f>
        <v/>
      </c>
      <c r="AZ171" s="22" t="str">
        <f>IF($B171="","",AO171-AY171)</f>
        <v/>
      </c>
      <c r="BA171" s="22" t="str">
        <f>IF($B171="","",IF($AC171=1,N($R171)-($G171-AX171),0))</f>
        <v/>
      </c>
      <c r="BB171" s="22" t="str">
        <f>IF($B171="","",ROUND(AQ171-AW171,0))</f>
        <v/>
      </c>
      <c r="BC171" s="22" t="str">
        <f>IF($B171="","",ROUND(BA171-AU171,0))</f>
        <v/>
      </c>
      <c r="BD171" s="22" t="str">
        <f>IF($B171="","",BB171+BC171)</f>
        <v/>
      </c>
      <c r="BE171" s="22" t="str">
        <f>IF($B171="","",ROUND(AV171-AP171,0))</f>
        <v/>
      </c>
      <c r="BF171" s="22" t="str">
        <f>IF($B171="","",ROUND(AT171-AZ171,0))</f>
        <v/>
      </c>
      <c r="BG171" s="22" t="str">
        <f>IF($B171="","",ROUND(BF171*TarifPPh,0))</f>
        <v/>
      </c>
      <c r="BH171" t="str">
        <f>IF($B171="","",IF($D171="","Kategori kosong",IF($F171="","Tgl perolehan kosong",IF(N($H171)&gt;$G171,"Residu &gt; harga perolehan",IF(AND(LEFT($U171,8)="Bangunan",$W171="Saldo Menurun"),"Bangunan wajib Garis Lurus (Ps.11 UU PPh)",IF(AND($S171="Unit Produksi",N($K171)=0),"Isi kapasitas unit",IF(AND(OR($S171="Garis Lurus",$S171="Saldo Menurun"),N($T171)&lt;=0),"Umur komersial kosong",IF(AND(OR($W171="Garis Lurus",$W171="Saldo Menurun"),N($V171)&lt;=0),"Masa manfaat fiskal kosong",IF(AND($Q171&lt;&gt;"",$Q171&lt;$F171),"Tgl pelepasan &lt; perolehan","OK")))))))))</f>
        <v/>
      </c>
    </row>
    <row r="172" spans="1:60" x14ac:dyDescent="0.25">
      <c r="A172" t="str">
        <f>IF($B172="","",ROW()-6)</f>
        <v/>
      </c>
      <c r="B172" s="9"/>
      <c r="C172" s="9"/>
      <c r="D172" s="9"/>
      <c r="E172" s="9"/>
      <c r="F172" s="17"/>
      <c r="G172" s="18"/>
      <c r="H172" s="18"/>
      <c r="I172" s="9"/>
      <c r="J172" s="9"/>
      <c r="K172" s="19"/>
      <c r="L172" s="19"/>
      <c r="M172" s="19"/>
      <c r="N172" s="9"/>
      <c r="O172" s="9"/>
      <c r="P172" s="9"/>
      <c r="Q172" s="17"/>
      <c r="R172" s="18"/>
      <c r="S172" t="str">
        <f>IF($B172="","",IF($I172&lt;&gt;"",$I172,IFERROR(INDEX(Kat_Metode,MATCH($D172,Kat_Nama,0)),"")))</f>
        <v/>
      </c>
      <c r="T172" t="str">
        <f>IF($B172="","",IF($J172&lt;&gt;"",$J172,IFERROR(INDEX(Kat_Umur,MATCH($D172,Kat_Nama,0)),0)))</f>
        <v/>
      </c>
      <c r="U172" t="str">
        <f>IF($B172="","",IF($N172&lt;&gt;"",$N172,IFERROR(INDEX(Kat_Kelompok,MATCH($D172,Kat_Nama,0)),"")))</f>
        <v/>
      </c>
      <c r="V172" t="str">
        <f>IF($B172="","",IF($U172="Masa Manfaat Sebenarnya",N($O172),IFERROR(INDEX(Kel_Masa,MATCH($U172,Kel_Nama,0)),0)))</f>
        <v/>
      </c>
      <c r="W172" t="str">
        <f>IF($B172="","",IF($P172&lt;&gt;"",$P172,IF(OR($U172="Tidak Disusutkan",$V172=0),"Tidak Disusutkan","Garis Lurus")))</f>
        <v/>
      </c>
      <c r="X172" t="str">
        <f>IF($B172="","",IF($Y172&gt;TahunBuku*12+12,"Belum Diperoleh",IF($Z172&lt;=TahunBuku*12,"Dilepas (thn lalu)",IF($AC172=1,"Dilepas thn ini",IF($AB172=1,"Perolehan baru","Aktif")))))</f>
        <v/>
      </c>
      <c r="Y172" s="20" t="str">
        <f>IF($B172="","",YEAR($F172)*12+MONTH($F172))</f>
        <v/>
      </c>
      <c r="Z172" s="20" t="str">
        <f>IF($B172="","",IF($Q172="",99999,YEAR($Q172)*12+MONTH($Q172)))</f>
        <v/>
      </c>
      <c r="AA172" s="20" t="str">
        <f>IF($B172="","",--AND($Y172&lt;=TahunBuku*12,$Z172&gt;TahunBuku*12))</f>
        <v/>
      </c>
      <c r="AB172" s="20" t="str">
        <f>IF($B172="","",--AND($Y172&gt;TahunBuku*12,$Y172&lt;=TahunBuku*12+12))</f>
        <v/>
      </c>
      <c r="AC172" s="20" t="str">
        <f>IF($B172="","",--AND($Z172&gt;TahunBuku*12,$Z172&lt;=TahunBuku*12+12,$Y172&lt;=$Z172))</f>
        <v/>
      </c>
      <c r="AD172" s="21" t="str">
        <f>IF($B172="","",IFERROR(IF($S172="Garis Lurus",$G172-($G172-$H172)*MIN($T172*12,MAX(0,TahunBuku*12-$Y172+1))/($T172*12),IF($S172="Saldo Menurun",IF(TahunBuku-1&lt;YEAR($F172),$G172,IF(TahunBuku-1&gt;=INT(($Y172+$T172*12-2)/12),$H172,MAX($H172,$G172*(1-2/$T172*(13-MONTH($F172))/12)*(1-2/$T172)^(TahunBuku-1-YEAR($F172))))),IF($S172="Unit Produksi",$G172-($G172-$H172)*MIN(1,N($L172)/$K172),$G172))),$G172))</f>
        <v/>
      </c>
      <c r="AE172" s="21" t="str">
        <f>IF($B172="","",IFERROR(IF($S172="Garis Lurus",$G172-($G172-$H172)*MIN($T172*12,MAX(0,TahunBuku*12+12-$Y172+1))/($T172*12),IF($S172="Saldo Menurun",IF(TahunBuku&lt;YEAR($F172),$G172,IF(TahunBuku&gt;=INT(($Y172+$T172*12-2)/12),$H172,MAX($H172,$G172*(1-2/$T172*(13-MONTH($F172))/12)*(1-2/$T172)^(TahunBuku-YEAR($F172))))),IF($S172="Unit Produksi",$G172-($G172-$H172)*MIN(1,(N($L172)+N($M172))/$K172),$G172))),$G172))</f>
        <v/>
      </c>
      <c r="AF172" s="20" t="str">
        <f>IF($B172="","",IF(OR($S172="Garis Lurus",$S172="Saldo Menurun",$S172="Unit Produksi"),MAX(0,IF($S172="Unit Produksi",TahunBuku*12+12,MIN(TahunBuku*12+12,$Y172+$T172*12-1))-MAX(TahunBuku*12+1,$Y172)+1),0))</f>
        <v/>
      </c>
      <c r="AG172" s="20" t="str">
        <f>IF($B172="","",IF(OR($S172="Garis Lurus",$S172="Saldo Menurun",$S172="Unit Produksi"),MAX(0,MIN($Z172,IF($S172="Unit Produksi",TahunBuku*12+12,MIN(TahunBuku*12+12,$Y172+$T172*12-1)))-MAX(TahunBuku*12+1,$Y172)+1),0))</f>
        <v/>
      </c>
      <c r="AH172" s="21" t="str">
        <f>IF($B172="","",IFERROR(IF($W172="Garis Lurus",$G172*(1-MIN($V172*12,MAX(0,TahunBuku*12-$Y172+1))/($V172*12)),IF($W172="Saldo Menurun",IF(TahunBuku-1&lt;YEAR($F172),$G172,IF(TahunBuku-1&gt;=INT(($Y172+$V172*12-2)/12),0,$G172*(1-2/$V172*(13-MONTH($F172))/12)*(1-2/$V172)^(TahunBuku-1-YEAR($F172)))),$G172)),$G172))</f>
        <v/>
      </c>
      <c r="AI172" s="21" t="str">
        <f>IF($B172="","",IFERROR(IF($W172="Garis Lurus",$G172*(1-MIN($V172*12,MAX(0,TahunBuku*12+12-$Y172+1))/($V172*12)),IF($W172="Saldo Menurun",IF(TahunBuku&lt;YEAR($F172),$G172,IF(TahunBuku&gt;=INT(($Y172+$V172*12-2)/12),0,$G172*(1-2/$V172*(13-MONTH($F172))/12)*(1-2/$V172)^(TahunBuku-YEAR($F172)))),$G172)),$G172))</f>
        <v/>
      </c>
      <c r="AJ172" s="20" t="str">
        <f>IF($B172="","",IF(OR($W172="Garis Lurus",$W172="Saldo Menurun"),MAX(0,MIN(TahunBuku*12+12,$Y172+$V172*12-1)-MAX(TahunBuku*12+1,$Y172)+1),0))</f>
        <v/>
      </c>
      <c r="AK172" s="20" t="str">
        <f>IF($B172="","",IF(OR($W172="Garis Lurus",$W172="Saldo Menurun"),MAX(0,MIN($Z172,TahunBuku*12+12,$Y172+$V172*12-1)-MAX(TahunBuku*12+1,$Y172)+1),0))</f>
        <v/>
      </c>
      <c r="AL172" s="22" t="str">
        <f>IF($B172="","",$G172*$AA172)</f>
        <v/>
      </c>
      <c r="AM172" s="22" t="str">
        <f>IF($B172="","",$G172*$AB172)</f>
        <v/>
      </c>
      <c r="AN172" s="22" t="str">
        <f>IF($B172="","",$G172*$AC172)</f>
        <v/>
      </c>
      <c r="AO172" s="22" t="str">
        <f>IF($B172="","",AL172+AM172-AN172)</f>
        <v/>
      </c>
      <c r="AP172" s="22" t="str">
        <f>IF($B172="","",($G172-$AD172)*$AA172)</f>
        <v/>
      </c>
      <c r="AQ172" s="22" t="str">
        <f>IF($B172="","",IF($AF172=0,0,($AD172-$AE172)*$AG172/$AF172)*MAX($AA172,$AB172))</f>
        <v/>
      </c>
      <c r="AR172" s="22" t="str">
        <f>IF($B172="","",(AP172+AQ172)*$AC172)</f>
        <v/>
      </c>
      <c r="AS172" s="22" t="str">
        <f>IF($B172="","",AP172+AQ172-AR172)</f>
        <v/>
      </c>
      <c r="AT172" s="22" t="str">
        <f>IF($B172="","",AO172-AS172)</f>
        <v/>
      </c>
      <c r="AU172" s="22" t="str">
        <f>IF($B172="","",IF($AC172=1,N($R172)-($G172-AR172),0))</f>
        <v/>
      </c>
      <c r="AV172" s="22" t="str">
        <f>IF($B172="","",($G172-$AH172)*$AA172)</f>
        <v/>
      </c>
      <c r="AW172" s="22" t="str">
        <f>IF($B172="","",IF($AJ172=0,0,($AH172-$AI172)*$AK172/$AJ172)*MAX($AA172,$AB172))</f>
        <v/>
      </c>
      <c r="AX172" s="22" t="str">
        <f>IF($B172="","",(AV172+AW172)*$AC172)</f>
        <v/>
      </c>
      <c r="AY172" s="22" t="str">
        <f>IF($B172="","",AV172+AW172-AX172)</f>
        <v/>
      </c>
      <c r="AZ172" s="22" t="str">
        <f>IF($B172="","",AO172-AY172)</f>
        <v/>
      </c>
      <c r="BA172" s="22" t="str">
        <f>IF($B172="","",IF($AC172=1,N($R172)-($G172-AX172),0))</f>
        <v/>
      </c>
      <c r="BB172" s="22" t="str">
        <f>IF($B172="","",ROUND(AQ172-AW172,0))</f>
        <v/>
      </c>
      <c r="BC172" s="22" t="str">
        <f>IF($B172="","",ROUND(BA172-AU172,0))</f>
        <v/>
      </c>
      <c r="BD172" s="22" t="str">
        <f>IF($B172="","",BB172+BC172)</f>
        <v/>
      </c>
      <c r="BE172" s="22" t="str">
        <f>IF($B172="","",ROUND(AV172-AP172,0))</f>
        <v/>
      </c>
      <c r="BF172" s="22" t="str">
        <f>IF($B172="","",ROUND(AT172-AZ172,0))</f>
        <v/>
      </c>
      <c r="BG172" s="22" t="str">
        <f>IF($B172="","",ROUND(BF172*TarifPPh,0))</f>
        <v/>
      </c>
      <c r="BH172" t="str">
        <f>IF($B172="","",IF($D172="","Kategori kosong",IF($F172="","Tgl perolehan kosong",IF(N($H172)&gt;$G172,"Residu &gt; harga perolehan",IF(AND(LEFT($U172,8)="Bangunan",$W172="Saldo Menurun"),"Bangunan wajib Garis Lurus (Ps.11 UU PPh)",IF(AND($S172="Unit Produksi",N($K172)=0),"Isi kapasitas unit",IF(AND(OR($S172="Garis Lurus",$S172="Saldo Menurun"),N($T172)&lt;=0),"Umur komersial kosong",IF(AND(OR($W172="Garis Lurus",$W172="Saldo Menurun"),N($V172)&lt;=0),"Masa manfaat fiskal kosong",IF(AND($Q172&lt;&gt;"",$Q172&lt;$F172),"Tgl pelepasan &lt; perolehan","OK")))))))))</f>
        <v/>
      </c>
    </row>
    <row r="173" spans="1:60" x14ac:dyDescent="0.25">
      <c r="A173" t="str">
        <f>IF($B173="","",ROW()-6)</f>
        <v/>
      </c>
      <c r="B173" s="9"/>
      <c r="C173" s="9"/>
      <c r="D173" s="9"/>
      <c r="E173" s="9"/>
      <c r="F173" s="17"/>
      <c r="G173" s="18"/>
      <c r="H173" s="18"/>
      <c r="I173" s="9"/>
      <c r="J173" s="9"/>
      <c r="K173" s="19"/>
      <c r="L173" s="19"/>
      <c r="M173" s="19"/>
      <c r="N173" s="9"/>
      <c r="O173" s="9"/>
      <c r="P173" s="9"/>
      <c r="Q173" s="17"/>
      <c r="R173" s="18"/>
      <c r="S173" t="str">
        <f>IF($B173="","",IF($I173&lt;&gt;"",$I173,IFERROR(INDEX(Kat_Metode,MATCH($D173,Kat_Nama,0)),"")))</f>
        <v/>
      </c>
      <c r="T173" t="str">
        <f>IF($B173="","",IF($J173&lt;&gt;"",$J173,IFERROR(INDEX(Kat_Umur,MATCH($D173,Kat_Nama,0)),0)))</f>
        <v/>
      </c>
      <c r="U173" t="str">
        <f>IF($B173="","",IF($N173&lt;&gt;"",$N173,IFERROR(INDEX(Kat_Kelompok,MATCH($D173,Kat_Nama,0)),"")))</f>
        <v/>
      </c>
      <c r="V173" t="str">
        <f>IF($B173="","",IF($U173="Masa Manfaat Sebenarnya",N($O173),IFERROR(INDEX(Kel_Masa,MATCH($U173,Kel_Nama,0)),0)))</f>
        <v/>
      </c>
      <c r="W173" t="str">
        <f>IF($B173="","",IF($P173&lt;&gt;"",$P173,IF(OR($U173="Tidak Disusutkan",$V173=0),"Tidak Disusutkan","Garis Lurus")))</f>
        <v/>
      </c>
      <c r="X173" t="str">
        <f>IF($B173="","",IF($Y173&gt;TahunBuku*12+12,"Belum Diperoleh",IF($Z173&lt;=TahunBuku*12,"Dilepas (thn lalu)",IF($AC173=1,"Dilepas thn ini",IF($AB173=1,"Perolehan baru","Aktif")))))</f>
        <v/>
      </c>
      <c r="Y173" s="20" t="str">
        <f>IF($B173="","",YEAR($F173)*12+MONTH($F173))</f>
        <v/>
      </c>
      <c r="Z173" s="20" t="str">
        <f>IF($B173="","",IF($Q173="",99999,YEAR($Q173)*12+MONTH($Q173)))</f>
        <v/>
      </c>
      <c r="AA173" s="20" t="str">
        <f>IF($B173="","",--AND($Y173&lt;=TahunBuku*12,$Z173&gt;TahunBuku*12))</f>
        <v/>
      </c>
      <c r="AB173" s="20" t="str">
        <f>IF($B173="","",--AND($Y173&gt;TahunBuku*12,$Y173&lt;=TahunBuku*12+12))</f>
        <v/>
      </c>
      <c r="AC173" s="20" t="str">
        <f>IF($B173="","",--AND($Z173&gt;TahunBuku*12,$Z173&lt;=TahunBuku*12+12,$Y173&lt;=$Z173))</f>
        <v/>
      </c>
      <c r="AD173" s="21" t="str">
        <f>IF($B173="","",IFERROR(IF($S173="Garis Lurus",$G173-($G173-$H173)*MIN($T173*12,MAX(0,TahunBuku*12-$Y173+1))/($T173*12),IF($S173="Saldo Menurun",IF(TahunBuku-1&lt;YEAR($F173),$G173,IF(TahunBuku-1&gt;=INT(($Y173+$T173*12-2)/12),$H173,MAX($H173,$G173*(1-2/$T173*(13-MONTH($F173))/12)*(1-2/$T173)^(TahunBuku-1-YEAR($F173))))),IF($S173="Unit Produksi",$G173-($G173-$H173)*MIN(1,N($L173)/$K173),$G173))),$G173))</f>
        <v/>
      </c>
      <c r="AE173" s="21" t="str">
        <f>IF($B173="","",IFERROR(IF($S173="Garis Lurus",$G173-($G173-$H173)*MIN($T173*12,MAX(0,TahunBuku*12+12-$Y173+1))/($T173*12),IF($S173="Saldo Menurun",IF(TahunBuku&lt;YEAR($F173),$G173,IF(TahunBuku&gt;=INT(($Y173+$T173*12-2)/12),$H173,MAX($H173,$G173*(1-2/$T173*(13-MONTH($F173))/12)*(1-2/$T173)^(TahunBuku-YEAR($F173))))),IF($S173="Unit Produksi",$G173-($G173-$H173)*MIN(1,(N($L173)+N($M173))/$K173),$G173))),$G173))</f>
        <v/>
      </c>
      <c r="AF173" s="20" t="str">
        <f>IF($B173="","",IF(OR($S173="Garis Lurus",$S173="Saldo Menurun",$S173="Unit Produksi"),MAX(0,IF($S173="Unit Produksi",TahunBuku*12+12,MIN(TahunBuku*12+12,$Y173+$T173*12-1))-MAX(TahunBuku*12+1,$Y173)+1),0))</f>
        <v/>
      </c>
      <c r="AG173" s="20" t="str">
        <f>IF($B173="","",IF(OR($S173="Garis Lurus",$S173="Saldo Menurun",$S173="Unit Produksi"),MAX(0,MIN($Z173,IF($S173="Unit Produksi",TahunBuku*12+12,MIN(TahunBuku*12+12,$Y173+$T173*12-1)))-MAX(TahunBuku*12+1,$Y173)+1),0))</f>
        <v/>
      </c>
      <c r="AH173" s="21" t="str">
        <f>IF($B173="","",IFERROR(IF($W173="Garis Lurus",$G173*(1-MIN($V173*12,MAX(0,TahunBuku*12-$Y173+1))/($V173*12)),IF($W173="Saldo Menurun",IF(TahunBuku-1&lt;YEAR($F173),$G173,IF(TahunBuku-1&gt;=INT(($Y173+$V173*12-2)/12),0,$G173*(1-2/$V173*(13-MONTH($F173))/12)*(1-2/$V173)^(TahunBuku-1-YEAR($F173)))),$G173)),$G173))</f>
        <v/>
      </c>
      <c r="AI173" s="21" t="str">
        <f>IF($B173="","",IFERROR(IF($W173="Garis Lurus",$G173*(1-MIN($V173*12,MAX(0,TahunBuku*12+12-$Y173+1))/($V173*12)),IF($W173="Saldo Menurun",IF(TahunBuku&lt;YEAR($F173),$G173,IF(TahunBuku&gt;=INT(($Y173+$V173*12-2)/12),0,$G173*(1-2/$V173*(13-MONTH($F173))/12)*(1-2/$V173)^(TahunBuku-YEAR($F173)))),$G173)),$G173))</f>
        <v/>
      </c>
      <c r="AJ173" s="20" t="str">
        <f>IF($B173="","",IF(OR($W173="Garis Lurus",$W173="Saldo Menurun"),MAX(0,MIN(TahunBuku*12+12,$Y173+$V173*12-1)-MAX(TahunBuku*12+1,$Y173)+1),0))</f>
        <v/>
      </c>
      <c r="AK173" s="20" t="str">
        <f>IF($B173="","",IF(OR($W173="Garis Lurus",$W173="Saldo Menurun"),MAX(0,MIN($Z173,TahunBuku*12+12,$Y173+$V173*12-1)-MAX(TahunBuku*12+1,$Y173)+1),0))</f>
        <v/>
      </c>
      <c r="AL173" s="22" t="str">
        <f>IF($B173="","",$G173*$AA173)</f>
        <v/>
      </c>
      <c r="AM173" s="22" t="str">
        <f>IF($B173="","",$G173*$AB173)</f>
        <v/>
      </c>
      <c r="AN173" s="22" t="str">
        <f>IF($B173="","",$G173*$AC173)</f>
        <v/>
      </c>
      <c r="AO173" s="22" t="str">
        <f>IF($B173="","",AL173+AM173-AN173)</f>
        <v/>
      </c>
      <c r="AP173" s="22" t="str">
        <f>IF($B173="","",($G173-$AD173)*$AA173)</f>
        <v/>
      </c>
      <c r="AQ173" s="22" t="str">
        <f>IF($B173="","",IF($AF173=0,0,($AD173-$AE173)*$AG173/$AF173)*MAX($AA173,$AB173))</f>
        <v/>
      </c>
      <c r="AR173" s="22" t="str">
        <f>IF($B173="","",(AP173+AQ173)*$AC173)</f>
        <v/>
      </c>
      <c r="AS173" s="22" t="str">
        <f>IF($B173="","",AP173+AQ173-AR173)</f>
        <v/>
      </c>
      <c r="AT173" s="22" t="str">
        <f>IF($B173="","",AO173-AS173)</f>
        <v/>
      </c>
      <c r="AU173" s="22" t="str">
        <f>IF($B173="","",IF($AC173=1,N($R173)-($G173-AR173),0))</f>
        <v/>
      </c>
      <c r="AV173" s="22" t="str">
        <f>IF($B173="","",($G173-$AH173)*$AA173)</f>
        <v/>
      </c>
      <c r="AW173" s="22" t="str">
        <f>IF($B173="","",IF($AJ173=0,0,($AH173-$AI173)*$AK173/$AJ173)*MAX($AA173,$AB173))</f>
        <v/>
      </c>
      <c r="AX173" s="22" t="str">
        <f>IF($B173="","",(AV173+AW173)*$AC173)</f>
        <v/>
      </c>
      <c r="AY173" s="22" t="str">
        <f>IF($B173="","",AV173+AW173-AX173)</f>
        <v/>
      </c>
      <c r="AZ173" s="22" t="str">
        <f>IF($B173="","",AO173-AY173)</f>
        <v/>
      </c>
      <c r="BA173" s="22" t="str">
        <f>IF($B173="","",IF($AC173=1,N($R173)-($G173-AX173),0))</f>
        <v/>
      </c>
      <c r="BB173" s="22" t="str">
        <f>IF($B173="","",ROUND(AQ173-AW173,0))</f>
        <v/>
      </c>
      <c r="BC173" s="22" t="str">
        <f>IF($B173="","",ROUND(BA173-AU173,0))</f>
        <v/>
      </c>
      <c r="BD173" s="22" t="str">
        <f>IF($B173="","",BB173+BC173)</f>
        <v/>
      </c>
      <c r="BE173" s="22" t="str">
        <f>IF($B173="","",ROUND(AV173-AP173,0))</f>
        <v/>
      </c>
      <c r="BF173" s="22" t="str">
        <f>IF($B173="","",ROUND(AT173-AZ173,0))</f>
        <v/>
      </c>
      <c r="BG173" s="22" t="str">
        <f>IF($B173="","",ROUND(BF173*TarifPPh,0))</f>
        <v/>
      </c>
      <c r="BH173" t="str">
        <f>IF($B173="","",IF($D173="","Kategori kosong",IF($F173="","Tgl perolehan kosong",IF(N($H173)&gt;$G173,"Residu &gt; harga perolehan",IF(AND(LEFT($U173,8)="Bangunan",$W173="Saldo Menurun"),"Bangunan wajib Garis Lurus (Ps.11 UU PPh)",IF(AND($S173="Unit Produksi",N($K173)=0),"Isi kapasitas unit",IF(AND(OR($S173="Garis Lurus",$S173="Saldo Menurun"),N($T173)&lt;=0),"Umur komersial kosong",IF(AND(OR($W173="Garis Lurus",$W173="Saldo Menurun"),N($V173)&lt;=0),"Masa manfaat fiskal kosong",IF(AND($Q173&lt;&gt;"",$Q173&lt;$F173),"Tgl pelepasan &lt; perolehan","OK")))))))))</f>
        <v/>
      </c>
    </row>
    <row r="174" spans="1:60" x14ac:dyDescent="0.25">
      <c r="A174" t="str">
        <f>IF($B174="","",ROW()-6)</f>
        <v/>
      </c>
      <c r="B174" s="9"/>
      <c r="C174" s="9"/>
      <c r="D174" s="9"/>
      <c r="E174" s="9"/>
      <c r="F174" s="17"/>
      <c r="G174" s="18"/>
      <c r="H174" s="18"/>
      <c r="I174" s="9"/>
      <c r="J174" s="9"/>
      <c r="K174" s="19"/>
      <c r="L174" s="19"/>
      <c r="M174" s="19"/>
      <c r="N174" s="9"/>
      <c r="O174" s="9"/>
      <c r="P174" s="9"/>
      <c r="Q174" s="17"/>
      <c r="R174" s="18"/>
      <c r="S174" t="str">
        <f>IF($B174="","",IF($I174&lt;&gt;"",$I174,IFERROR(INDEX(Kat_Metode,MATCH($D174,Kat_Nama,0)),"")))</f>
        <v/>
      </c>
      <c r="T174" t="str">
        <f>IF($B174="","",IF($J174&lt;&gt;"",$J174,IFERROR(INDEX(Kat_Umur,MATCH($D174,Kat_Nama,0)),0)))</f>
        <v/>
      </c>
      <c r="U174" t="str">
        <f>IF($B174="","",IF($N174&lt;&gt;"",$N174,IFERROR(INDEX(Kat_Kelompok,MATCH($D174,Kat_Nama,0)),"")))</f>
        <v/>
      </c>
      <c r="V174" t="str">
        <f>IF($B174="","",IF($U174="Masa Manfaat Sebenarnya",N($O174),IFERROR(INDEX(Kel_Masa,MATCH($U174,Kel_Nama,0)),0)))</f>
        <v/>
      </c>
      <c r="W174" t="str">
        <f>IF($B174="","",IF($P174&lt;&gt;"",$P174,IF(OR($U174="Tidak Disusutkan",$V174=0),"Tidak Disusutkan","Garis Lurus")))</f>
        <v/>
      </c>
      <c r="X174" t="str">
        <f>IF($B174="","",IF($Y174&gt;TahunBuku*12+12,"Belum Diperoleh",IF($Z174&lt;=TahunBuku*12,"Dilepas (thn lalu)",IF($AC174=1,"Dilepas thn ini",IF($AB174=1,"Perolehan baru","Aktif")))))</f>
        <v/>
      </c>
      <c r="Y174" s="20" t="str">
        <f>IF($B174="","",YEAR($F174)*12+MONTH($F174))</f>
        <v/>
      </c>
      <c r="Z174" s="20" t="str">
        <f>IF($B174="","",IF($Q174="",99999,YEAR($Q174)*12+MONTH($Q174)))</f>
        <v/>
      </c>
      <c r="AA174" s="20" t="str">
        <f>IF($B174="","",--AND($Y174&lt;=TahunBuku*12,$Z174&gt;TahunBuku*12))</f>
        <v/>
      </c>
      <c r="AB174" s="20" t="str">
        <f>IF($B174="","",--AND($Y174&gt;TahunBuku*12,$Y174&lt;=TahunBuku*12+12))</f>
        <v/>
      </c>
      <c r="AC174" s="20" t="str">
        <f>IF($B174="","",--AND($Z174&gt;TahunBuku*12,$Z174&lt;=TahunBuku*12+12,$Y174&lt;=$Z174))</f>
        <v/>
      </c>
      <c r="AD174" s="21" t="str">
        <f>IF($B174="","",IFERROR(IF($S174="Garis Lurus",$G174-($G174-$H174)*MIN($T174*12,MAX(0,TahunBuku*12-$Y174+1))/($T174*12),IF($S174="Saldo Menurun",IF(TahunBuku-1&lt;YEAR($F174),$G174,IF(TahunBuku-1&gt;=INT(($Y174+$T174*12-2)/12),$H174,MAX($H174,$G174*(1-2/$T174*(13-MONTH($F174))/12)*(1-2/$T174)^(TahunBuku-1-YEAR($F174))))),IF($S174="Unit Produksi",$G174-($G174-$H174)*MIN(1,N($L174)/$K174),$G174))),$G174))</f>
        <v/>
      </c>
      <c r="AE174" s="21" t="str">
        <f>IF($B174="","",IFERROR(IF($S174="Garis Lurus",$G174-($G174-$H174)*MIN($T174*12,MAX(0,TahunBuku*12+12-$Y174+1))/($T174*12),IF($S174="Saldo Menurun",IF(TahunBuku&lt;YEAR($F174),$G174,IF(TahunBuku&gt;=INT(($Y174+$T174*12-2)/12),$H174,MAX($H174,$G174*(1-2/$T174*(13-MONTH($F174))/12)*(1-2/$T174)^(TahunBuku-YEAR($F174))))),IF($S174="Unit Produksi",$G174-($G174-$H174)*MIN(1,(N($L174)+N($M174))/$K174),$G174))),$G174))</f>
        <v/>
      </c>
      <c r="AF174" s="20" t="str">
        <f>IF($B174="","",IF(OR($S174="Garis Lurus",$S174="Saldo Menurun",$S174="Unit Produksi"),MAX(0,IF($S174="Unit Produksi",TahunBuku*12+12,MIN(TahunBuku*12+12,$Y174+$T174*12-1))-MAX(TahunBuku*12+1,$Y174)+1),0))</f>
        <v/>
      </c>
      <c r="AG174" s="20" t="str">
        <f>IF($B174="","",IF(OR($S174="Garis Lurus",$S174="Saldo Menurun",$S174="Unit Produksi"),MAX(0,MIN($Z174,IF($S174="Unit Produksi",TahunBuku*12+12,MIN(TahunBuku*12+12,$Y174+$T174*12-1)))-MAX(TahunBuku*12+1,$Y174)+1),0))</f>
        <v/>
      </c>
      <c r="AH174" s="21" t="str">
        <f>IF($B174="","",IFERROR(IF($W174="Garis Lurus",$G174*(1-MIN($V174*12,MAX(0,TahunBuku*12-$Y174+1))/($V174*12)),IF($W174="Saldo Menurun",IF(TahunBuku-1&lt;YEAR($F174),$G174,IF(TahunBuku-1&gt;=INT(($Y174+$V174*12-2)/12),0,$G174*(1-2/$V174*(13-MONTH($F174))/12)*(1-2/$V174)^(TahunBuku-1-YEAR($F174)))),$G174)),$G174))</f>
        <v/>
      </c>
      <c r="AI174" s="21" t="str">
        <f>IF($B174="","",IFERROR(IF($W174="Garis Lurus",$G174*(1-MIN($V174*12,MAX(0,TahunBuku*12+12-$Y174+1))/($V174*12)),IF($W174="Saldo Menurun",IF(TahunBuku&lt;YEAR($F174),$G174,IF(TahunBuku&gt;=INT(($Y174+$V174*12-2)/12),0,$G174*(1-2/$V174*(13-MONTH($F174))/12)*(1-2/$V174)^(TahunBuku-YEAR($F174)))),$G174)),$G174))</f>
        <v/>
      </c>
      <c r="AJ174" s="20" t="str">
        <f>IF($B174="","",IF(OR($W174="Garis Lurus",$W174="Saldo Menurun"),MAX(0,MIN(TahunBuku*12+12,$Y174+$V174*12-1)-MAX(TahunBuku*12+1,$Y174)+1),0))</f>
        <v/>
      </c>
      <c r="AK174" s="20" t="str">
        <f>IF($B174="","",IF(OR($W174="Garis Lurus",$W174="Saldo Menurun"),MAX(0,MIN($Z174,TahunBuku*12+12,$Y174+$V174*12-1)-MAX(TahunBuku*12+1,$Y174)+1),0))</f>
        <v/>
      </c>
      <c r="AL174" s="22" t="str">
        <f>IF($B174="","",$G174*$AA174)</f>
        <v/>
      </c>
      <c r="AM174" s="22" t="str">
        <f>IF($B174="","",$G174*$AB174)</f>
        <v/>
      </c>
      <c r="AN174" s="22" t="str">
        <f>IF($B174="","",$G174*$AC174)</f>
        <v/>
      </c>
      <c r="AO174" s="22" t="str">
        <f>IF($B174="","",AL174+AM174-AN174)</f>
        <v/>
      </c>
      <c r="AP174" s="22" t="str">
        <f>IF($B174="","",($G174-$AD174)*$AA174)</f>
        <v/>
      </c>
      <c r="AQ174" s="22" t="str">
        <f>IF($B174="","",IF($AF174=0,0,($AD174-$AE174)*$AG174/$AF174)*MAX($AA174,$AB174))</f>
        <v/>
      </c>
      <c r="AR174" s="22" t="str">
        <f>IF($B174="","",(AP174+AQ174)*$AC174)</f>
        <v/>
      </c>
      <c r="AS174" s="22" t="str">
        <f>IF($B174="","",AP174+AQ174-AR174)</f>
        <v/>
      </c>
      <c r="AT174" s="22" t="str">
        <f>IF($B174="","",AO174-AS174)</f>
        <v/>
      </c>
      <c r="AU174" s="22" t="str">
        <f>IF($B174="","",IF($AC174=1,N($R174)-($G174-AR174),0))</f>
        <v/>
      </c>
      <c r="AV174" s="22" t="str">
        <f>IF($B174="","",($G174-$AH174)*$AA174)</f>
        <v/>
      </c>
      <c r="AW174" s="22" t="str">
        <f>IF($B174="","",IF($AJ174=0,0,($AH174-$AI174)*$AK174/$AJ174)*MAX($AA174,$AB174))</f>
        <v/>
      </c>
      <c r="AX174" s="22" t="str">
        <f>IF($B174="","",(AV174+AW174)*$AC174)</f>
        <v/>
      </c>
      <c r="AY174" s="22" t="str">
        <f>IF($B174="","",AV174+AW174-AX174)</f>
        <v/>
      </c>
      <c r="AZ174" s="22" t="str">
        <f>IF($B174="","",AO174-AY174)</f>
        <v/>
      </c>
      <c r="BA174" s="22" t="str">
        <f>IF($B174="","",IF($AC174=1,N($R174)-($G174-AX174),0))</f>
        <v/>
      </c>
      <c r="BB174" s="22" t="str">
        <f>IF($B174="","",ROUND(AQ174-AW174,0))</f>
        <v/>
      </c>
      <c r="BC174" s="22" t="str">
        <f>IF($B174="","",ROUND(BA174-AU174,0))</f>
        <v/>
      </c>
      <c r="BD174" s="22" t="str">
        <f>IF($B174="","",BB174+BC174)</f>
        <v/>
      </c>
      <c r="BE174" s="22" t="str">
        <f>IF($B174="","",ROUND(AV174-AP174,0))</f>
        <v/>
      </c>
      <c r="BF174" s="22" t="str">
        <f>IF($B174="","",ROUND(AT174-AZ174,0))</f>
        <v/>
      </c>
      <c r="BG174" s="22" t="str">
        <f>IF($B174="","",ROUND(BF174*TarifPPh,0))</f>
        <v/>
      </c>
      <c r="BH174" t="str">
        <f>IF($B174="","",IF($D174="","Kategori kosong",IF($F174="","Tgl perolehan kosong",IF(N($H174)&gt;$G174,"Residu &gt; harga perolehan",IF(AND(LEFT($U174,8)="Bangunan",$W174="Saldo Menurun"),"Bangunan wajib Garis Lurus (Ps.11 UU PPh)",IF(AND($S174="Unit Produksi",N($K174)=0),"Isi kapasitas unit",IF(AND(OR($S174="Garis Lurus",$S174="Saldo Menurun"),N($T174)&lt;=0),"Umur komersial kosong",IF(AND(OR($W174="Garis Lurus",$W174="Saldo Menurun"),N($V174)&lt;=0),"Masa manfaat fiskal kosong",IF(AND($Q174&lt;&gt;"",$Q174&lt;$F174),"Tgl pelepasan &lt; perolehan","OK")))))))))</f>
        <v/>
      </c>
    </row>
    <row r="175" spans="1:60" x14ac:dyDescent="0.25">
      <c r="A175" t="str">
        <f>IF($B175="","",ROW()-6)</f>
        <v/>
      </c>
      <c r="B175" s="9"/>
      <c r="C175" s="9"/>
      <c r="D175" s="9"/>
      <c r="E175" s="9"/>
      <c r="F175" s="17"/>
      <c r="G175" s="18"/>
      <c r="H175" s="18"/>
      <c r="I175" s="9"/>
      <c r="J175" s="9"/>
      <c r="K175" s="19"/>
      <c r="L175" s="19"/>
      <c r="M175" s="19"/>
      <c r="N175" s="9"/>
      <c r="O175" s="9"/>
      <c r="P175" s="9"/>
      <c r="Q175" s="17"/>
      <c r="R175" s="18"/>
      <c r="S175" t="str">
        <f>IF($B175="","",IF($I175&lt;&gt;"",$I175,IFERROR(INDEX(Kat_Metode,MATCH($D175,Kat_Nama,0)),"")))</f>
        <v/>
      </c>
      <c r="T175" t="str">
        <f>IF($B175="","",IF($J175&lt;&gt;"",$J175,IFERROR(INDEX(Kat_Umur,MATCH($D175,Kat_Nama,0)),0)))</f>
        <v/>
      </c>
      <c r="U175" t="str">
        <f>IF($B175="","",IF($N175&lt;&gt;"",$N175,IFERROR(INDEX(Kat_Kelompok,MATCH($D175,Kat_Nama,0)),"")))</f>
        <v/>
      </c>
      <c r="V175" t="str">
        <f>IF($B175="","",IF($U175="Masa Manfaat Sebenarnya",N($O175),IFERROR(INDEX(Kel_Masa,MATCH($U175,Kel_Nama,0)),0)))</f>
        <v/>
      </c>
      <c r="W175" t="str">
        <f>IF($B175="","",IF($P175&lt;&gt;"",$P175,IF(OR($U175="Tidak Disusutkan",$V175=0),"Tidak Disusutkan","Garis Lurus")))</f>
        <v/>
      </c>
      <c r="X175" t="str">
        <f>IF($B175="","",IF($Y175&gt;TahunBuku*12+12,"Belum Diperoleh",IF($Z175&lt;=TahunBuku*12,"Dilepas (thn lalu)",IF($AC175=1,"Dilepas thn ini",IF($AB175=1,"Perolehan baru","Aktif")))))</f>
        <v/>
      </c>
      <c r="Y175" s="20" t="str">
        <f>IF($B175="","",YEAR($F175)*12+MONTH($F175))</f>
        <v/>
      </c>
      <c r="Z175" s="20" t="str">
        <f>IF($B175="","",IF($Q175="",99999,YEAR($Q175)*12+MONTH($Q175)))</f>
        <v/>
      </c>
      <c r="AA175" s="20" t="str">
        <f>IF($B175="","",--AND($Y175&lt;=TahunBuku*12,$Z175&gt;TahunBuku*12))</f>
        <v/>
      </c>
      <c r="AB175" s="20" t="str">
        <f>IF($B175="","",--AND($Y175&gt;TahunBuku*12,$Y175&lt;=TahunBuku*12+12))</f>
        <v/>
      </c>
      <c r="AC175" s="20" t="str">
        <f>IF($B175="","",--AND($Z175&gt;TahunBuku*12,$Z175&lt;=TahunBuku*12+12,$Y175&lt;=$Z175))</f>
        <v/>
      </c>
      <c r="AD175" s="21" t="str">
        <f>IF($B175="","",IFERROR(IF($S175="Garis Lurus",$G175-($G175-$H175)*MIN($T175*12,MAX(0,TahunBuku*12-$Y175+1))/($T175*12),IF($S175="Saldo Menurun",IF(TahunBuku-1&lt;YEAR($F175),$G175,IF(TahunBuku-1&gt;=INT(($Y175+$T175*12-2)/12),$H175,MAX($H175,$G175*(1-2/$T175*(13-MONTH($F175))/12)*(1-2/$T175)^(TahunBuku-1-YEAR($F175))))),IF($S175="Unit Produksi",$G175-($G175-$H175)*MIN(1,N($L175)/$K175),$G175))),$G175))</f>
        <v/>
      </c>
      <c r="AE175" s="21" t="str">
        <f>IF($B175="","",IFERROR(IF($S175="Garis Lurus",$G175-($G175-$H175)*MIN($T175*12,MAX(0,TahunBuku*12+12-$Y175+1))/($T175*12),IF($S175="Saldo Menurun",IF(TahunBuku&lt;YEAR($F175),$G175,IF(TahunBuku&gt;=INT(($Y175+$T175*12-2)/12),$H175,MAX($H175,$G175*(1-2/$T175*(13-MONTH($F175))/12)*(1-2/$T175)^(TahunBuku-YEAR($F175))))),IF($S175="Unit Produksi",$G175-($G175-$H175)*MIN(1,(N($L175)+N($M175))/$K175),$G175))),$G175))</f>
        <v/>
      </c>
      <c r="AF175" s="20" t="str">
        <f>IF($B175="","",IF(OR($S175="Garis Lurus",$S175="Saldo Menurun",$S175="Unit Produksi"),MAX(0,IF($S175="Unit Produksi",TahunBuku*12+12,MIN(TahunBuku*12+12,$Y175+$T175*12-1))-MAX(TahunBuku*12+1,$Y175)+1),0))</f>
        <v/>
      </c>
      <c r="AG175" s="20" t="str">
        <f>IF($B175="","",IF(OR($S175="Garis Lurus",$S175="Saldo Menurun",$S175="Unit Produksi"),MAX(0,MIN($Z175,IF($S175="Unit Produksi",TahunBuku*12+12,MIN(TahunBuku*12+12,$Y175+$T175*12-1)))-MAX(TahunBuku*12+1,$Y175)+1),0))</f>
        <v/>
      </c>
      <c r="AH175" s="21" t="str">
        <f>IF($B175="","",IFERROR(IF($W175="Garis Lurus",$G175*(1-MIN($V175*12,MAX(0,TahunBuku*12-$Y175+1))/($V175*12)),IF($W175="Saldo Menurun",IF(TahunBuku-1&lt;YEAR($F175),$G175,IF(TahunBuku-1&gt;=INT(($Y175+$V175*12-2)/12),0,$G175*(1-2/$V175*(13-MONTH($F175))/12)*(1-2/$V175)^(TahunBuku-1-YEAR($F175)))),$G175)),$G175))</f>
        <v/>
      </c>
      <c r="AI175" s="21" t="str">
        <f>IF($B175="","",IFERROR(IF($W175="Garis Lurus",$G175*(1-MIN($V175*12,MAX(0,TahunBuku*12+12-$Y175+1))/($V175*12)),IF($W175="Saldo Menurun",IF(TahunBuku&lt;YEAR($F175),$G175,IF(TahunBuku&gt;=INT(($Y175+$V175*12-2)/12),0,$G175*(1-2/$V175*(13-MONTH($F175))/12)*(1-2/$V175)^(TahunBuku-YEAR($F175)))),$G175)),$G175))</f>
        <v/>
      </c>
      <c r="AJ175" s="20" t="str">
        <f>IF($B175="","",IF(OR($W175="Garis Lurus",$W175="Saldo Menurun"),MAX(0,MIN(TahunBuku*12+12,$Y175+$V175*12-1)-MAX(TahunBuku*12+1,$Y175)+1),0))</f>
        <v/>
      </c>
      <c r="AK175" s="20" t="str">
        <f>IF($B175="","",IF(OR($W175="Garis Lurus",$W175="Saldo Menurun"),MAX(0,MIN($Z175,TahunBuku*12+12,$Y175+$V175*12-1)-MAX(TahunBuku*12+1,$Y175)+1),0))</f>
        <v/>
      </c>
      <c r="AL175" s="22" t="str">
        <f>IF($B175="","",$G175*$AA175)</f>
        <v/>
      </c>
      <c r="AM175" s="22" t="str">
        <f>IF($B175="","",$G175*$AB175)</f>
        <v/>
      </c>
      <c r="AN175" s="22" t="str">
        <f>IF($B175="","",$G175*$AC175)</f>
        <v/>
      </c>
      <c r="AO175" s="22" t="str">
        <f>IF($B175="","",AL175+AM175-AN175)</f>
        <v/>
      </c>
      <c r="AP175" s="22" t="str">
        <f>IF($B175="","",($G175-$AD175)*$AA175)</f>
        <v/>
      </c>
      <c r="AQ175" s="22" t="str">
        <f>IF($B175="","",IF($AF175=0,0,($AD175-$AE175)*$AG175/$AF175)*MAX($AA175,$AB175))</f>
        <v/>
      </c>
      <c r="AR175" s="22" t="str">
        <f>IF($B175="","",(AP175+AQ175)*$AC175)</f>
        <v/>
      </c>
      <c r="AS175" s="22" t="str">
        <f>IF($B175="","",AP175+AQ175-AR175)</f>
        <v/>
      </c>
      <c r="AT175" s="22" t="str">
        <f>IF($B175="","",AO175-AS175)</f>
        <v/>
      </c>
      <c r="AU175" s="22" t="str">
        <f>IF($B175="","",IF($AC175=1,N($R175)-($G175-AR175),0))</f>
        <v/>
      </c>
      <c r="AV175" s="22" t="str">
        <f>IF($B175="","",($G175-$AH175)*$AA175)</f>
        <v/>
      </c>
      <c r="AW175" s="22" t="str">
        <f>IF($B175="","",IF($AJ175=0,0,($AH175-$AI175)*$AK175/$AJ175)*MAX($AA175,$AB175))</f>
        <v/>
      </c>
      <c r="AX175" s="22" t="str">
        <f>IF($B175="","",(AV175+AW175)*$AC175)</f>
        <v/>
      </c>
      <c r="AY175" s="22" t="str">
        <f>IF($B175="","",AV175+AW175-AX175)</f>
        <v/>
      </c>
      <c r="AZ175" s="22" t="str">
        <f>IF($B175="","",AO175-AY175)</f>
        <v/>
      </c>
      <c r="BA175" s="22" t="str">
        <f>IF($B175="","",IF($AC175=1,N($R175)-($G175-AX175),0))</f>
        <v/>
      </c>
      <c r="BB175" s="22" t="str">
        <f>IF($B175="","",ROUND(AQ175-AW175,0))</f>
        <v/>
      </c>
      <c r="BC175" s="22" t="str">
        <f>IF($B175="","",ROUND(BA175-AU175,0))</f>
        <v/>
      </c>
      <c r="BD175" s="22" t="str">
        <f>IF($B175="","",BB175+BC175)</f>
        <v/>
      </c>
      <c r="BE175" s="22" t="str">
        <f>IF($B175="","",ROUND(AV175-AP175,0))</f>
        <v/>
      </c>
      <c r="BF175" s="22" t="str">
        <f>IF($B175="","",ROUND(AT175-AZ175,0))</f>
        <v/>
      </c>
      <c r="BG175" s="22" t="str">
        <f>IF($B175="","",ROUND(BF175*TarifPPh,0))</f>
        <v/>
      </c>
      <c r="BH175" t="str">
        <f>IF($B175="","",IF($D175="","Kategori kosong",IF($F175="","Tgl perolehan kosong",IF(N($H175)&gt;$G175,"Residu &gt; harga perolehan",IF(AND(LEFT($U175,8)="Bangunan",$W175="Saldo Menurun"),"Bangunan wajib Garis Lurus (Ps.11 UU PPh)",IF(AND($S175="Unit Produksi",N($K175)=0),"Isi kapasitas unit",IF(AND(OR($S175="Garis Lurus",$S175="Saldo Menurun"),N($T175)&lt;=0),"Umur komersial kosong",IF(AND(OR($W175="Garis Lurus",$W175="Saldo Menurun"),N($V175)&lt;=0),"Masa manfaat fiskal kosong",IF(AND($Q175&lt;&gt;"",$Q175&lt;$F175),"Tgl pelepasan &lt; perolehan","OK")))))))))</f>
        <v/>
      </c>
    </row>
    <row r="176" spans="1:60" x14ac:dyDescent="0.25">
      <c r="A176" t="str">
        <f>IF($B176="","",ROW()-6)</f>
        <v/>
      </c>
      <c r="B176" s="9"/>
      <c r="C176" s="9"/>
      <c r="D176" s="9"/>
      <c r="E176" s="9"/>
      <c r="F176" s="17"/>
      <c r="G176" s="18"/>
      <c r="H176" s="18"/>
      <c r="I176" s="9"/>
      <c r="J176" s="9"/>
      <c r="K176" s="19"/>
      <c r="L176" s="19"/>
      <c r="M176" s="19"/>
      <c r="N176" s="9"/>
      <c r="O176" s="9"/>
      <c r="P176" s="9"/>
      <c r="Q176" s="17"/>
      <c r="R176" s="18"/>
      <c r="S176" t="str">
        <f>IF($B176="","",IF($I176&lt;&gt;"",$I176,IFERROR(INDEX(Kat_Metode,MATCH($D176,Kat_Nama,0)),"")))</f>
        <v/>
      </c>
      <c r="T176" t="str">
        <f>IF($B176="","",IF($J176&lt;&gt;"",$J176,IFERROR(INDEX(Kat_Umur,MATCH($D176,Kat_Nama,0)),0)))</f>
        <v/>
      </c>
      <c r="U176" t="str">
        <f>IF($B176="","",IF($N176&lt;&gt;"",$N176,IFERROR(INDEX(Kat_Kelompok,MATCH($D176,Kat_Nama,0)),"")))</f>
        <v/>
      </c>
      <c r="V176" t="str">
        <f>IF($B176="","",IF($U176="Masa Manfaat Sebenarnya",N($O176),IFERROR(INDEX(Kel_Masa,MATCH($U176,Kel_Nama,0)),0)))</f>
        <v/>
      </c>
      <c r="W176" t="str">
        <f>IF($B176="","",IF($P176&lt;&gt;"",$P176,IF(OR($U176="Tidak Disusutkan",$V176=0),"Tidak Disusutkan","Garis Lurus")))</f>
        <v/>
      </c>
      <c r="X176" t="str">
        <f>IF($B176="","",IF($Y176&gt;TahunBuku*12+12,"Belum Diperoleh",IF($Z176&lt;=TahunBuku*12,"Dilepas (thn lalu)",IF($AC176=1,"Dilepas thn ini",IF($AB176=1,"Perolehan baru","Aktif")))))</f>
        <v/>
      </c>
      <c r="Y176" s="20" t="str">
        <f>IF($B176="","",YEAR($F176)*12+MONTH($F176))</f>
        <v/>
      </c>
      <c r="Z176" s="20" t="str">
        <f>IF($B176="","",IF($Q176="",99999,YEAR($Q176)*12+MONTH($Q176)))</f>
        <v/>
      </c>
      <c r="AA176" s="20" t="str">
        <f>IF($B176="","",--AND($Y176&lt;=TahunBuku*12,$Z176&gt;TahunBuku*12))</f>
        <v/>
      </c>
      <c r="AB176" s="20" t="str">
        <f>IF($B176="","",--AND($Y176&gt;TahunBuku*12,$Y176&lt;=TahunBuku*12+12))</f>
        <v/>
      </c>
      <c r="AC176" s="20" t="str">
        <f>IF($B176="","",--AND($Z176&gt;TahunBuku*12,$Z176&lt;=TahunBuku*12+12,$Y176&lt;=$Z176))</f>
        <v/>
      </c>
      <c r="AD176" s="21" t="str">
        <f>IF($B176="","",IFERROR(IF($S176="Garis Lurus",$G176-($G176-$H176)*MIN($T176*12,MAX(0,TahunBuku*12-$Y176+1))/($T176*12),IF($S176="Saldo Menurun",IF(TahunBuku-1&lt;YEAR($F176),$G176,IF(TahunBuku-1&gt;=INT(($Y176+$T176*12-2)/12),$H176,MAX($H176,$G176*(1-2/$T176*(13-MONTH($F176))/12)*(1-2/$T176)^(TahunBuku-1-YEAR($F176))))),IF($S176="Unit Produksi",$G176-($G176-$H176)*MIN(1,N($L176)/$K176),$G176))),$G176))</f>
        <v/>
      </c>
      <c r="AE176" s="21" t="str">
        <f>IF($B176="","",IFERROR(IF($S176="Garis Lurus",$G176-($G176-$H176)*MIN($T176*12,MAX(0,TahunBuku*12+12-$Y176+1))/($T176*12),IF($S176="Saldo Menurun",IF(TahunBuku&lt;YEAR($F176),$G176,IF(TahunBuku&gt;=INT(($Y176+$T176*12-2)/12),$H176,MAX($H176,$G176*(1-2/$T176*(13-MONTH($F176))/12)*(1-2/$T176)^(TahunBuku-YEAR($F176))))),IF($S176="Unit Produksi",$G176-($G176-$H176)*MIN(1,(N($L176)+N($M176))/$K176),$G176))),$G176))</f>
        <v/>
      </c>
      <c r="AF176" s="20" t="str">
        <f>IF($B176="","",IF(OR($S176="Garis Lurus",$S176="Saldo Menurun",$S176="Unit Produksi"),MAX(0,IF($S176="Unit Produksi",TahunBuku*12+12,MIN(TahunBuku*12+12,$Y176+$T176*12-1))-MAX(TahunBuku*12+1,$Y176)+1),0))</f>
        <v/>
      </c>
      <c r="AG176" s="20" t="str">
        <f>IF($B176="","",IF(OR($S176="Garis Lurus",$S176="Saldo Menurun",$S176="Unit Produksi"),MAX(0,MIN($Z176,IF($S176="Unit Produksi",TahunBuku*12+12,MIN(TahunBuku*12+12,$Y176+$T176*12-1)))-MAX(TahunBuku*12+1,$Y176)+1),0))</f>
        <v/>
      </c>
      <c r="AH176" s="21" t="str">
        <f>IF($B176="","",IFERROR(IF($W176="Garis Lurus",$G176*(1-MIN($V176*12,MAX(0,TahunBuku*12-$Y176+1))/($V176*12)),IF($W176="Saldo Menurun",IF(TahunBuku-1&lt;YEAR($F176),$G176,IF(TahunBuku-1&gt;=INT(($Y176+$V176*12-2)/12),0,$G176*(1-2/$V176*(13-MONTH($F176))/12)*(1-2/$V176)^(TahunBuku-1-YEAR($F176)))),$G176)),$G176))</f>
        <v/>
      </c>
      <c r="AI176" s="21" t="str">
        <f>IF($B176="","",IFERROR(IF($W176="Garis Lurus",$G176*(1-MIN($V176*12,MAX(0,TahunBuku*12+12-$Y176+1))/($V176*12)),IF($W176="Saldo Menurun",IF(TahunBuku&lt;YEAR($F176),$G176,IF(TahunBuku&gt;=INT(($Y176+$V176*12-2)/12),0,$G176*(1-2/$V176*(13-MONTH($F176))/12)*(1-2/$V176)^(TahunBuku-YEAR($F176)))),$G176)),$G176))</f>
        <v/>
      </c>
      <c r="AJ176" s="20" t="str">
        <f>IF($B176="","",IF(OR($W176="Garis Lurus",$W176="Saldo Menurun"),MAX(0,MIN(TahunBuku*12+12,$Y176+$V176*12-1)-MAX(TahunBuku*12+1,$Y176)+1),0))</f>
        <v/>
      </c>
      <c r="AK176" s="20" t="str">
        <f>IF($B176="","",IF(OR($W176="Garis Lurus",$W176="Saldo Menurun"),MAX(0,MIN($Z176,TahunBuku*12+12,$Y176+$V176*12-1)-MAX(TahunBuku*12+1,$Y176)+1),0))</f>
        <v/>
      </c>
      <c r="AL176" s="22" t="str">
        <f>IF($B176="","",$G176*$AA176)</f>
        <v/>
      </c>
      <c r="AM176" s="22" t="str">
        <f>IF($B176="","",$G176*$AB176)</f>
        <v/>
      </c>
      <c r="AN176" s="22" t="str">
        <f>IF($B176="","",$G176*$AC176)</f>
        <v/>
      </c>
      <c r="AO176" s="22" t="str">
        <f>IF($B176="","",AL176+AM176-AN176)</f>
        <v/>
      </c>
      <c r="AP176" s="22" t="str">
        <f>IF($B176="","",($G176-$AD176)*$AA176)</f>
        <v/>
      </c>
      <c r="AQ176" s="22" t="str">
        <f>IF($B176="","",IF($AF176=0,0,($AD176-$AE176)*$AG176/$AF176)*MAX($AA176,$AB176))</f>
        <v/>
      </c>
      <c r="AR176" s="22" t="str">
        <f>IF($B176="","",(AP176+AQ176)*$AC176)</f>
        <v/>
      </c>
      <c r="AS176" s="22" t="str">
        <f>IF($B176="","",AP176+AQ176-AR176)</f>
        <v/>
      </c>
      <c r="AT176" s="22" t="str">
        <f>IF($B176="","",AO176-AS176)</f>
        <v/>
      </c>
      <c r="AU176" s="22" t="str">
        <f>IF($B176="","",IF($AC176=1,N($R176)-($G176-AR176),0))</f>
        <v/>
      </c>
      <c r="AV176" s="22" t="str">
        <f>IF($B176="","",($G176-$AH176)*$AA176)</f>
        <v/>
      </c>
      <c r="AW176" s="22" t="str">
        <f>IF($B176="","",IF($AJ176=0,0,($AH176-$AI176)*$AK176/$AJ176)*MAX($AA176,$AB176))</f>
        <v/>
      </c>
      <c r="AX176" s="22" t="str">
        <f>IF($B176="","",(AV176+AW176)*$AC176)</f>
        <v/>
      </c>
      <c r="AY176" s="22" t="str">
        <f>IF($B176="","",AV176+AW176-AX176)</f>
        <v/>
      </c>
      <c r="AZ176" s="22" t="str">
        <f>IF($B176="","",AO176-AY176)</f>
        <v/>
      </c>
      <c r="BA176" s="22" t="str">
        <f>IF($B176="","",IF($AC176=1,N($R176)-($G176-AX176),0))</f>
        <v/>
      </c>
      <c r="BB176" s="22" t="str">
        <f>IF($B176="","",ROUND(AQ176-AW176,0))</f>
        <v/>
      </c>
      <c r="BC176" s="22" t="str">
        <f>IF($B176="","",ROUND(BA176-AU176,0))</f>
        <v/>
      </c>
      <c r="BD176" s="22" t="str">
        <f>IF($B176="","",BB176+BC176)</f>
        <v/>
      </c>
      <c r="BE176" s="22" t="str">
        <f>IF($B176="","",ROUND(AV176-AP176,0))</f>
        <v/>
      </c>
      <c r="BF176" s="22" t="str">
        <f>IF($B176="","",ROUND(AT176-AZ176,0))</f>
        <v/>
      </c>
      <c r="BG176" s="22" t="str">
        <f>IF($B176="","",ROUND(BF176*TarifPPh,0))</f>
        <v/>
      </c>
      <c r="BH176" t="str">
        <f>IF($B176="","",IF($D176="","Kategori kosong",IF($F176="","Tgl perolehan kosong",IF(N($H176)&gt;$G176,"Residu &gt; harga perolehan",IF(AND(LEFT($U176,8)="Bangunan",$W176="Saldo Menurun"),"Bangunan wajib Garis Lurus (Ps.11 UU PPh)",IF(AND($S176="Unit Produksi",N($K176)=0),"Isi kapasitas unit",IF(AND(OR($S176="Garis Lurus",$S176="Saldo Menurun"),N($T176)&lt;=0),"Umur komersial kosong",IF(AND(OR($W176="Garis Lurus",$W176="Saldo Menurun"),N($V176)&lt;=0),"Masa manfaat fiskal kosong",IF(AND($Q176&lt;&gt;"",$Q176&lt;$F176),"Tgl pelepasan &lt; perolehan","OK")))))))))</f>
        <v/>
      </c>
    </row>
    <row r="177" spans="1:60" x14ac:dyDescent="0.25">
      <c r="A177" t="str">
        <f>IF($B177="","",ROW()-6)</f>
        <v/>
      </c>
      <c r="B177" s="9"/>
      <c r="C177" s="9"/>
      <c r="D177" s="9"/>
      <c r="E177" s="9"/>
      <c r="F177" s="17"/>
      <c r="G177" s="18"/>
      <c r="H177" s="18"/>
      <c r="I177" s="9"/>
      <c r="J177" s="9"/>
      <c r="K177" s="19"/>
      <c r="L177" s="19"/>
      <c r="M177" s="19"/>
      <c r="N177" s="9"/>
      <c r="O177" s="9"/>
      <c r="P177" s="9"/>
      <c r="Q177" s="17"/>
      <c r="R177" s="18"/>
      <c r="S177" t="str">
        <f>IF($B177="","",IF($I177&lt;&gt;"",$I177,IFERROR(INDEX(Kat_Metode,MATCH($D177,Kat_Nama,0)),"")))</f>
        <v/>
      </c>
      <c r="T177" t="str">
        <f>IF($B177="","",IF($J177&lt;&gt;"",$J177,IFERROR(INDEX(Kat_Umur,MATCH($D177,Kat_Nama,0)),0)))</f>
        <v/>
      </c>
      <c r="U177" t="str">
        <f>IF($B177="","",IF($N177&lt;&gt;"",$N177,IFERROR(INDEX(Kat_Kelompok,MATCH($D177,Kat_Nama,0)),"")))</f>
        <v/>
      </c>
      <c r="V177" t="str">
        <f>IF($B177="","",IF($U177="Masa Manfaat Sebenarnya",N($O177),IFERROR(INDEX(Kel_Masa,MATCH($U177,Kel_Nama,0)),0)))</f>
        <v/>
      </c>
      <c r="W177" t="str">
        <f>IF($B177="","",IF($P177&lt;&gt;"",$P177,IF(OR($U177="Tidak Disusutkan",$V177=0),"Tidak Disusutkan","Garis Lurus")))</f>
        <v/>
      </c>
      <c r="X177" t="str">
        <f>IF($B177="","",IF($Y177&gt;TahunBuku*12+12,"Belum Diperoleh",IF($Z177&lt;=TahunBuku*12,"Dilepas (thn lalu)",IF($AC177=1,"Dilepas thn ini",IF($AB177=1,"Perolehan baru","Aktif")))))</f>
        <v/>
      </c>
      <c r="Y177" s="20" t="str">
        <f>IF($B177="","",YEAR($F177)*12+MONTH($F177))</f>
        <v/>
      </c>
      <c r="Z177" s="20" t="str">
        <f>IF($B177="","",IF($Q177="",99999,YEAR($Q177)*12+MONTH($Q177)))</f>
        <v/>
      </c>
      <c r="AA177" s="20" t="str">
        <f>IF($B177="","",--AND($Y177&lt;=TahunBuku*12,$Z177&gt;TahunBuku*12))</f>
        <v/>
      </c>
      <c r="AB177" s="20" t="str">
        <f>IF($B177="","",--AND($Y177&gt;TahunBuku*12,$Y177&lt;=TahunBuku*12+12))</f>
        <v/>
      </c>
      <c r="AC177" s="20" t="str">
        <f>IF($B177="","",--AND($Z177&gt;TahunBuku*12,$Z177&lt;=TahunBuku*12+12,$Y177&lt;=$Z177))</f>
        <v/>
      </c>
      <c r="AD177" s="21" t="str">
        <f>IF($B177="","",IFERROR(IF($S177="Garis Lurus",$G177-($G177-$H177)*MIN($T177*12,MAX(0,TahunBuku*12-$Y177+1))/($T177*12),IF($S177="Saldo Menurun",IF(TahunBuku-1&lt;YEAR($F177),$G177,IF(TahunBuku-1&gt;=INT(($Y177+$T177*12-2)/12),$H177,MAX($H177,$G177*(1-2/$T177*(13-MONTH($F177))/12)*(1-2/$T177)^(TahunBuku-1-YEAR($F177))))),IF($S177="Unit Produksi",$G177-($G177-$H177)*MIN(1,N($L177)/$K177),$G177))),$G177))</f>
        <v/>
      </c>
      <c r="AE177" s="21" t="str">
        <f>IF($B177="","",IFERROR(IF($S177="Garis Lurus",$G177-($G177-$H177)*MIN($T177*12,MAX(0,TahunBuku*12+12-$Y177+1))/($T177*12),IF($S177="Saldo Menurun",IF(TahunBuku&lt;YEAR($F177),$G177,IF(TahunBuku&gt;=INT(($Y177+$T177*12-2)/12),$H177,MAX($H177,$G177*(1-2/$T177*(13-MONTH($F177))/12)*(1-2/$T177)^(TahunBuku-YEAR($F177))))),IF($S177="Unit Produksi",$G177-($G177-$H177)*MIN(1,(N($L177)+N($M177))/$K177),$G177))),$G177))</f>
        <v/>
      </c>
      <c r="AF177" s="20" t="str">
        <f>IF($B177="","",IF(OR($S177="Garis Lurus",$S177="Saldo Menurun",$S177="Unit Produksi"),MAX(0,IF($S177="Unit Produksi",TahunBuku*12+12,MIN(TahunBuku*12+12,$Y177+$T177*12-1))-MAX(TahunBuku*12+1,$Y177)+1),0))</f>
        <v/>
      </c>
      <c r="AG177" s="20" t="str">
        <f>IF($B177="","",IF(OR($S177="Garis Lurus",$S177="Saldo Menurun",$S177="Unit Produksi"),MAX(0,MIN($Z177,IF($S177="Unit Produksi",TahunBuku*12+12,MIN(TahunBuku*12+12,$Y177+$T177*12-1)))-MAX(TahunBuku*12+1,$Y177)+1),0))</f>
        <v/>
      </c>
      <c r="AH177" s="21" t="str">
        <f>IF($B177="","",IFERROR(IF($W177="Garis Lurus",$G177*(1-MIN($V177*12,MAX(0,TahunBuku*12-$Y177+1))/($V177*12)),IF($W177="Saldo Menurun",IF(TahunBuku-1&lt;YEAR($F177),$G177,IF(TahunBuku-1&gt;=INT(($Y177+$V177*12-2)/12),0,$G177*(1-2/$V177*(13-MONTH($F177))/12)*(1-2/$V177)^(TahunBuku-1-YEAR($F177)))),$G177)),$G177))</f>
        <v/>
      </c>
      <c r="AI177" s="21" t="str">
        <f>IF($B177="","",IFERROR(IF($W177="Garis Lurus",$G177*(1-MIN($V177*12,MAX(0,TahunBuku*12+12-$Y177+1))/($V177*12)),IF($W177="Saldo Menurun",IF(TahunBuku&lt;YEAR($F177),$G177,IF(TahunBuku&gt;=INT(($Y177+$V177*12-2)/12),0,$G177*(1-2/$V177*(13-MONTH($F177))/12)*(1-2/$V177)^(TahunBuku-YEAR($F177)))),$G177)),$G177))</f>
        <v/>
      </c>
      <c r="AJ177" s="20" t="str">
        <f>IF($B177="","",IF(OR($W177="Garis Lurus",$W177="Saldo Menurun"),MAX(0,MIN(TahunBuku*12+12,$Y177+$V177*12-1)-MAX(TahunBuku*12+1,$Y177)+1),0))</f>
        <v/>
      </c>
      <c r="AK177" s="20" t="str">
        <f>IF($B177="","",IF(OR($W177="Garis Lurus",$W177="Saldo Menurun"),MAX(0,MIN($Z177,TahunBuku*12+12,$Y177+$V177*12-1)-MAX(TahunBuku*12+1,$Y177)+1),0))</f>
        <v/>
      </c>
      <c r="AL177" s="22" t="str">
        <f>IF($B177="","",$G177*$AA177)</f>
        <v/>
      </c>
      <c r="AM177" s="22" t="str">
        <f>IF($B177="","",$G177*$AB177)</f>
        <v/>
      </c>
      <c r="AN177" s="22" t="str">
        <f>IF($B177="","",$G177*$AC177)</f>
        <v/>
      </c>
      <c r="AO177" s="22" t="str">
        <f>IF($B177="","",AL177+AM177-AN177)</f>
        <v/>
      </c>
      <c r="AP177" s="22" t="str">
        <f>IF($B177="","",($G177-$AD177)*$AA177)</f>
        <v/>
      </c>
      <c r="AQ177" s="22" t="str">
        <f>IF($B177="","",IF($AF177=0,0,($AD177-$AE177)*$AG177/$AF177)*MAX($AA177,$AB177))</f>
        <v/>
      </c>
      <c r="AR177" s="22" t="str">
        <f>IF($B177="","",(AP177+AQ177)*$AC177)</f>
        <v/>
      </c>
      <c r="AS177" s="22" t="str">
        <f>IF($B177="","",AP177+AQ177-AR177)</f>
        <v/>
      </c>
      <c r="AT177" s="22" t="str">
        <f>IF($B177="","",AO177-AS177)</f>
        <v/>
      </c>
      <c r="AU177" s="22" t="str">
        <f>IF($B177="","",IF($AC177=1,N($R177)-($G177-AR177),0))</f>
        <v/>
      </c>
      <c r="AV177" s="22" t="str">
        <f>IF($B177="","",($G177-$AH177)*$AA177)</f>
        <v/>
      </c>
      <c r="AW177" s="22" t="str">
        <f>IF($B177="","",IF($AJ177=0,0,($AH177-$AI177)*$AK177/$AJ177)*MAX($AA177,$AB177))</f>
        <v/>
      </c>
      <c r="AX177" s="22" t="str">
        <f>IF($B177="","",(AV177+AW177)*$AC177)</f>
        <v/>
      </c>
      <c r="AY177" s="22" t="str">
        <f>IF($B177="","",AV177+AW177-AX177)</f>
        <v/>
      </c>
      <c r="AZ177" s="22" t="str">
        <f>IF($B177="","",AO177-AY177)</f>
        <v/>
      </c>
      <c r="BA177" s="22" t="str">
        <f>IF($B177="","",IF($AC177=1,N($R177)-($G177-AX177),0))</f>
        <v/>
      </c>
      <c r="BB177" s="22" t="str">
        <f>IF($B177="","",ROUND(AQ177-AW177,0))</f>
        <v/>
      </c>
      <c r="BC177" s="22" t="str">
        <f>IF($B177="","",ROUND(BA177-AU177,0))</f>
        <v/>
      </c>
      <c r="BD177" s="22" t="str">
        <f>IF($B177="","",BB177+BC177)</f>
        <v/>
      </c>
      <c r="BE177" s="22" t="str">
        <f>IF($B177="","",ROUND(AV177-AP177,0))</f>
        <v/>
      </c>
      <c r="BF177" s="22" t="str">
        <f>IF($B177="","",ROUND(AT177-AZ177,0))</f>
        <v/>
      </c>
      <c r="BG177" s="22" t="str">
        <f>IF($B177="","",ROUND(BF177*TarifPPh,0))</f>
        <v/>
      </c>
      <c r="BH177" t="str">
        <f>IF($B177="","",IF($D177="","Kategori kosong",IF($F177="","Tgl perolehan kosong",IF(N($H177)&gt;$G177,"Residu &gt; harga perolehan",IF(AND(LEFT($U177,8)="Bangunan",$W177="Saldo Menurun"),"Bangunan wajib Garis Lurus (Ps.11 UU PPh)",IF(AND($S177="Unit Produksi",N($K177)=0),"Isi kapasitas unit",IF(AND(OR($S177="Garis Lurus",$S177="Saldo Menurun"),N($T177)&lt;=0),"Umur komersial kosong",IF(AND(OR($W177="Garis Lurus",$W177="Saldo Menurun"),N($V177)&lt;=0),"Masa manfaat fiskal kosong",IF(AND($Q177&lt;&gt;"",$Q177&lt;$F177),"Tgl pelepasan &lt; perolehan","OK")))))))))</f>
        <v/>
      </c>
    </row>
    <row r="178" spans="1:60" x14ac:dyDescent="0.25">
      <c r="A178" t="str">
        <f>IF($B178="","",ROW()-6)</f>
        <v/>
      </c>
      <c r="B178" s="9"/>
      <c r="C178" s="9"/>
      <c r="D178" s="9"/>
      <c r="E178" s="9"/>
      <c r="F178" s="17"/>
      <c r="G178" s="18"/>
      <c r="H178" s="18"/>
      <c r="I178" s="9"/>
      <c r="J178" s="9"/>
      <c r="K178" s="19"/>
      <c r="L178" s="19"/>
      <c r="M178" s="19"/>
      <c r="N178" s="9"/>
      <c r="O178" s="9"/>
      <c r="P178" s="9"/>
      <c r="Q178" s="17"/>
      <c r="R178" s="18"/>
      <c r="S178" t="str">
        <f>IF($B178="","",IF($I178&lt;&gt;"",$I178,IFERROR(INDEX(Kat_Metode,MATCH($D178,Kat_Nama,0)),"")))</f>
        <v/>
      </c>
      <c r="T178" t="str">
        <f>IF($B178="","",IF($J178&lt;&gt;"",$J178,IFERROR(INDEX(Kat_Umur,MATCH($D178,Kat_Nama,0)),0)))</f>
        <v/>
      </c>
      <c r="U178" t="str">
        <f>IF($B178="","",IF($N178&lt;&gt;"",$N178,IFERROR(INDEX(Kat_Kelompok,MATCH($D178,Kat_Nama,0)),"")))</f>
        <v/>
      </c>
      <c r="V178" t="str">
        <f>IF($B178="","",IF($U178="Masa Manfaat Sebenarnya",N($O178),IFERROR(INDEX(Kel_Masa,MATCH($U178,Kel_Nama,0)),0)))</f>
        <v/>
      </c>
      <c r="W178" t="str">
        <f>IF($B178="","",IF($P178&lt;&gt;"",$P178,IF(OR($U178="Tidak Disusutkan",$V178=0),"Tidak Disusutkan","Garis Lurus")))</f>
        <v/>
      </c>
      <c r="X178" t="str">
        <f>IF($B178="","",IF($Y178&gt;TahunBuku*12+12,"Belum Diperoleh",IF($Z178&lt;=TahunBuku*12,"Dilepas (thn lalu)",IF($AC178=1,"Dilepas thn ini",IF($AB178=1,"Perolehan baru","Aktif")))))</f>
        <v/>
      </c>
      <c r="Y178" s="20" t="str">
        <f>IF($B178="","",YEAR($F178)*12+MONTH($F178))</f>
        <v/>
      </c>
      <c r="Z178" s="20" t="str">
        <f>IF($B178="","",IF($Q178="",99999,YEAR($Q178)*12+MONTH($Q178)))</f>
        <v/>
      </c>
      <c r="AA178" s="20" t="str">
        <f>IF($B178="","",--AND($Y178&lt;=TahunBuku*12,$Z178&gt;TahunBuku*12))</f>
        <v/>
      </c>
      <c r="AB178" s="20" t="str">
        <f>IF($B178="","",--AND($Y178&gt;TahunBuku*12,$Y178&lt;=TahunBuku*12+12))</f>
        <v/>
      </c>
      <c r="AC178" s="20" t="str">
        <f>IF($B178="","",--AND($Z178&gt;TahunBuku*12,$Z178&lt;=TahunBuku*12+12,$Y178&lt;=$Z178))</f>
        <v/>
      </c>
      <c r="AD178" s="21" t="str">
        <f>IF($B178="","",IFERROR(IF($S178="Garis Lurus",$G178-($G178-$H178)*MIN($T178*12,MAX(0,TahunBuku*12-$Y178+1))/($T178*12),IF($S178="Saldo Menurun",IF(TahunBuku-1&lt;YEAR($F178),$G178,IF(TahunBuku-1&gt;=INT(($Y178+$T178*12-2)/12),$H178,MAX($H178,$G178*(1-2/$T178*(13-MONTH($F178))/12)*(1-2/$T178)^(TahunBuku-1-YEAR($F178))))),IF($S178="Unit Produksi",$G178-($G178-$H178)*MIN(1,N($L178)/$K178),$G178))),$G178))</f>
        <v/>
      </c>
      <c r="AE178" s="21" t="str">
        <f>IF($B178="","",IFERROR(IF($S178="Garis Lurus",$G178-($G178-$H178)*MIN($T178*12,MAX(0,TahunBuku*12+12-$Y178+1))/($T178*12),IF($S178="Saldo Menurun",IF(TahunBuku&lt;YEAR($F178),$G178,IF(TahunBuku&gt;=INT(($Y178+$T178*12-2)/12),$H178,MAX($H178,$G178*(1-2/$T178*(13-MONTH($F178))/12)*(1-2/$T178)^(TahunBuku-YEAR($F178))))),IF($S178="Unit Produksi",$G178-($G178-$H178)*MIN(1,(N($L178)+N($M178))/$K178),$G178))),$G178))</f>
        <v/>
      </c>
      <c r="AF178" s="20" t="str">
        <f>IF($B178="","",IF(OR($S178="Garis Lurus",$S178="Saldo Menurun",$S178="Unit Produksi"),MAX(0,IF($S178="Unit Produksi",TahunBuku*12+12,MIN(TahunBuku*12+12,$Y178+$T178*12-1))-MAX(TahunBuku*12+1,$Y178)+1),0))</f>
        <v/>
      </c>
      <c r="AG178" s="20" t="str">
        <f>IF($B178="","",IF(OR($S178="Garis Lurus",$S178="Saldo Menurun",$S178="Unit Produksi"),MAX(0,MIN($Z178,IF($S178="Unit Produksi",TahunBuku*12+12,MIN(TahunBuku*12+12,$Y178+$T178*12-1)))-MAX(TahunBuku*12+1,$Y178)+1),0))</f>
        <v/>
      </c>
      <c r="AH178" s="21" t="str">
        <f>IF($B178="","",IFERROR(IF($W178="Garis Lurus",$G178*(1-MIN($V178*12,MAX(0,TahunBuku*12-$Y178+1))/($V178*12)),IF($W178="Saldo Menurun",IF(TahunBuku-1&lt;YEAR($F178),$G178,IF(TahunBuku-1&gt;=INT(($Y178+$V178*12-2)/12),0,$G178*(1-2/$V178*(13-MONTH($F178))/12)*(1-2/$V178)^(TahunBuku-1-YEAR($F178)))),$G178)),$G178))</f>
        <v/>
      </c>
      <c r="AI178" s="21" t="str">
        <f>IF($B178="","",IFERROR(IF($W178="Garis Lurus",$G178*(1-MIN($V178*12,MAX(0,TahunBuku*12+12-$Y178+1))/($V178*12)),IF($W178="Saldo Menurun",IF(TahunBuku&lt;YEAR($F178),$G178,IF(TahunBuku&gt;=INT(($Y178+$V178*12-2)/12),0,$G178*(1-2/$V178*(13-MONTH($F178))/12)*(1-2/$V178)^(TahunBuku-YEAR($F178)))),$G178)),$G178))</f>
        <v/>
      </c>
      <c r="AJ178" s="20" t="str">
        <f>IF($B178="","",IF(OR($W178="Garis Lurus",$W178="Saldo Menurun"),MAX(0,MIN(TahunBuku*12+12,$Y178+$V178*12-1)-MAX(TahunBuku*12+1,$Y178)+1),0))</f>
        <v/>
      </c>
      <c r="AK178" s="20" t="str">
        <f>IF($B178="","",IF(OR($W178="Garis Lurus",$W178="Saldo Menurun"),MAX(0,MIN($Z178,TahunBuku*12+12,$Y178+$V178*12-1)-MAX(TahunBuku*12+1,$Y178)+1),0))</f>
        <v/>
      </c>
      <c r="AL178" s="22" t="str">
        <f>IF($B178="","",$G178*$AA178)</f>
        <v/>
      </c>
      <c r="AM178" s="22" t="str">
        <f>IF($B178="","",$G178*$AB178)</f>
        <v/>
      </c>
      <c r="AN178" s="22" t="str">
        <f>IF($B178="","",$G178*$AC178)</f>
        <v/>
      </c>
      <c r="AO178" s="22" t="str">
        <f>IF($B178="","",AL178+AM178-AN178)</f>
        <v/>
      </c>
      <c r="AP178" s="22" t="str">
        <f>IF($B178="","",($G178-$AD178)*$AA178)</f>
        <v/>
      </c>
      <c r="AQ178" s="22" t="str">
        <f>IF($B178="","",IF($AF178=0,0,($AD178-$AE178)*$AG178/$AF178)*MAX($AA178,$AB178))</f>
        <v/>
      </c>
      <c r="AR178" s="22" t="str">
        <f>IF($B178="","",(AP178+AQ178)*$AC178)</f>
        <v/>
      </c>
      <c r="AS178" s="22" t="str">
        <f>IF($B178="","",AP178+AQ178-AR178)</f>
        <v/>
      </c>
      <c r="AT178" s="22" t="str">
        <f>IF($B178="","",AO178-AS178)</f>
        <v/>
      </c>
      <c r="AU178" s="22" t="str">
        <f>IF($B178="","",IF($AC178=1,N($R178)-($G178-AR178),0))</f>
        <v/>
      </c>
      <c r="AV178" s="22" t="str">
        <f>IF($B178="","",($G178-$AH178)*$AA178)</f>
        <v/>
      </c>
      <c r="AW178" s="22" t="str">
        <f>IF($B178="","",IF($AJ178=0,0,($AH178-$AI178)*$AK178/$AJ178)*MAX($AA178,$AB178))</f>
        <v/>
      </c>
      <c r="AX178" s="22" t="str">
        <f>IF($B178="","",(AV178+AW178)*$AC178)</f>
        <v/>
      </c>
      <c r="AY178" s="22" t="str">
        <f>IF($B178="","",AV178+AW178-AX178)</f>
        <v/>
      </c>
      <c r="AZ178" s="22" t="str">
        <f>IF($B178="","",AO178-AY178)</f>
        <v/>
      </c>
      <c r="BA178" s="22" t="str">
        <f>IF($B178="","",IF($AC178=1,N($R178)-($G178-AX178),0))</f>
        <v/>
      </c>
      <c r="BB178" s="22" t="str">
        <f>IF($B178="","",ROUND(AQ178-AW178,0))</f>
        <v/>
      </c>
      <c r="BC178" s="22" t="str">
        <f>IF($B178="","",ROUND(BA178-AU178,0))</f>
        <v/>
      </c>
      <c r="BD178" s="22" t="str">
        <f>IF($B178="","",BB178+BC178)</f>
        <v/>
      </c>
      <c r="BE178" s="22" t="str">
        <f>IF($B178="","",ROUND(AV178-AP178,0))</f>
        <v/>
      </c>
      <c r="BF178" s="22" t="str">
        <f>IF($B178="","",ROUND(AT178-AZ178,0))</f>
        <v/>
      </c>
      <c r="BG178" s="22" t="str">
        <f>IF($B178="","",ROUND(BF178*TarifPPh,0))</f>
        <v/>
      </c>
      <c r="BH178" t="str">
        <f>IF($B178="","",IF($D178="","Kategori kosong",IF($F178="","Tgl perolehan kosong",IF(N($H178)&gt;$G178,"Residu &gt; harga perolehan",IF(AND(LEFT($U178,8)="Bangunan",$W178="Saldo Menurun"),"Bangunan wajib Garis Lurus (Ps.11 UU PPh)",IF(AND($S178="Unit Produksi",N($K178)=0),"Isi kapasitas unit",IF(AND(OR($S178="Garis Lurus",$S178="Saldo Menurun"),N($T178)&lt;=0),"Umur komersial kosong",IF(AND(OR($W178="Garis Lurus",$W178="Saldo Menurun"),N($V178)&lt;=0),"Masa manfaat fiskal kosong",IF(AND($Q178&lt;&gt;"",$Q178&lt;$F178),"Tgl pelepasan &lt; perolehan","OK")))))))))</f>
        <v/>
      </c>
    </row>
    <row r="179" spans="1:60" x14ac:dyDescent="0.25">
      <c r="A179" t="str">
        <f>IF($B179="","",ROW()-6)</f>
        <v/>
      </c>
      <c r="B179" s="9"/>
      <c r="C179" s="9"/>
      <c r="D179" s="9"/>
      <c r="E179" s="9"/>
      <c r="F179" s="17"/>
      <c r="G179" s="18"/>
      <c r="H179" s="18"/>
      <c r="I179" s="9"/>
      <c r="J179" s="9"/>
      <c r="K179" s="19"/>
      <c r="L179" s="19"/>
      <c r="M179" s="19"/>
      <c r="N179" s="9"/>
      <c r="O179" s="9"/>
      <c r="P179" s="9"/>
      <c r="Q179" s="17"/>
      <c r="R179" s="18"/>
      <c r="S179" t="str">
        <f>IF($B179="","",IF($I179&lt;&gt;"",$I179,IFERROR(INDEX(Kat_Metode,MATCH($D179,Kat_Nama,0)),"")))</f>
        <v/>
      </c>
      <c r="T179" t="str">
        <f>IF($B179="","",IF($J179&lt;&gt;"",$J179,IFERROR(INDEX(Kat_Umur,MATCH($D179,Kat_Nama,0)),0)))</f>
        <v/>
      </c>
      <c r="U179" t="str">
        <f>IF($B179="","",IF($N179&lt;&gt;"",$N179,IFERROR(INDEX(Kat_Kelompok,MATCH($D179,Kat_Nama,0)),"")))</f>
        <v/>
      </c>
      <c r="V179" t="str">
        <f>IF($B179="","",IF($U179="Masa Manfaat Sebenarnya",N($O179),IFERROR(INDEX(Kel_Masa,MATCH($U179,Kel_Nama,0)),0)))</f>
        <v/>
      </c>
      <c r="W179" t="str">
        <f>IF($B179="","",IF($P179&lt;&gt;"",$P179,IF(OR($U179="Tidak Disusutkan",$V179=0),"Tidak Disusutkan","Garis Lurus")))</f>
        <v/>
      </c>
      <c r="X179" t="str">
        <f>IF($B179="","",IF($Y179&gt;TahunBuku*12+12,"Belum Diperoleh",IF($Z179&lt;=TahunBuku*12,"Dilepas (thn lalu)",IF($AC179=1,"Dilepas thn ini",IF($AB179=1,"Perolehan baru","Aktif")))))</f>
        <v/>
      </c>
      <c r="Y179" s="20" t="str">
        <f>IF($B179="","",YEAR($F179)*12+MONTH($F179))</f>
        <v/>
      </c>
      <c r="Z179" s="20" t="str">
        <f>IF($B179="","",IF($Q179="",99999,YEAR($Q179)*12+MONTH($Q179)))</f>
        <v/>
      </c>
      <c r="AA179" s="20" t="str">
        <f>IF($B179="","",--AND($Y179&lt;=TahunBuku*12,$Z179&gt;TahunBuku*12))</f>
        <v/>
      </c>
      <c r="AB179" s="20" t="str">
        <f>IF($B179="","",--AND($Y179&gt;TahunBuku*12,$Y179&lt;=TahunBuku*12+12))</f>
        <v/>
      </c>
      <c r="AC179" s="20" t="str">
        <f>IF($B179="","",--AND($Z179&gt;TahunBuku*12,$Z179&lt;=TahunBuku*12+12,$Y179&lt;=$Z179))</f>
        <v/>
      </c>
      <c r="AD179" s="21" t="str">
        <f>IF($B179="","",IFERROR(IF($S179="Garis Lurus",$G179-($G179-$H179)*MIN($T179*12,MAX(0,TahunBuku*12-$Y179+1))/($T179*12),IF($S179="Saldo Menurun",IF(TahunBuku-1&lt;YEAR($F179),$G179,IF(TahunBuku-1&gt;=INT(($Y179+$T179*12-2)/12),$H179,MAX($H179,$G179*(1-2/$T179*(13-MONTH($F179))/12)*(1-2/$T179)^(TahunBuku-1-YEAR($F179))))),IF($S179="Unit Produksi",$G179-($G179-$H179)*MIN(1,N($L179)/$K179),$G179))),$G179))</f>
        <v/>
      </c>
      <c r="AE179" s="21" t="str">
        <f>IF($B179="","",IFERROR(IF($S179="Garis Lurus",$G179-($G179-$H179)*MIN($T179*12,MAX(0,TahunBuku*12+12-$Y179+1))/($T179*12),IF($S179="Saldo Menurun",IF(TahunBuku&lt;YEAR($F179),$G179,IF(TahunBuku&gt;=INT(($Y179+$T179*12-2)/12),$H179,MAX($H179,$G179*(1-2/$T179*(13-MONTH($F179))/12)*(1-2/$T179)^(TahunBuku-YEAR($F179))))),IF($S179="Unit Produksi",$G179-($G179-$H179)*MIN(1,(N($L179)+N($M179))/$K179),$G179))),$G179))</f>
        <v/>
      </c>
      <c r="AF179" s="20" t="str">
        <f>IF($B179="","",IF(OR($S179="Garis Lurus",$S179="Saldo Menurun",$S179="Unit Produksi"),MAX(0,IF($S179="Unit Produksi",TahunBuku*12+12,MIN(TahunBuku*12+12,$Y179+$T179*12-1))-MAX(TahunBuku*12+1,$Y179)+1),0))</f>
        <v/>
      </c>
      <c r="AG179" s="20" t="str">
        <f>IF($B179="","",IF(OR($S179="Garis Lurus",$S179="Saldo Menurun",$S179="Unit Produksi"),MAX(0,MIN($Z179,IF($S179="Unit Produksi",TahunBuku*12+12,MIN(TahunBuku*12+12,$Y179+$T179*12-1)))-MAX(TahunBuku*12+1,$Y179)+1),0))</f>
        <v/>
      </c>
      <c r="AH179" s="21" t="str">
        <f>IF($B179="","",IFERROR(IF($W179="Garis Lurus",$G179*(1-MIN($V179*12,MAX(0,TahunBuku*12-$Y179+1))/($V179*12)),IF($W179="Saldo Menurun",IF(TahunBuku-1&lt;YEAR($F179),$G179,IF(TahunBuku-1&gt;=INT(($Y179+$V179*12-2)/12),0,$G179*(1-2/$V179*(13-MONTH($F179))/12)*(1-2/$V179)^(TahunBuku-1-YEAR($F179)))),$G179)),$G179))</f>
        <v/>
      </c>
      <c r="AI179" s="21" t="str">
        <f>IF($B179="","",IFERROR(IF($W179="Garis Lurus",$G179*(1-MIN($V179*12,MAX(0,TahunBuku*12+12-$Y179+1))/($V179*12)),IF($W179="Saldo Menurun",IF(TahunBuku&lt;YEAR($F179),$G179,IF(TahunBuku&gt;=INT(($Y179+$V179*12-2)/12),0,$G179*(1-2/$V179*(13-MONTH($F179))/12)*(1-2/$V179)^(TahunBuku-YEAR($F179)))),$G179)),$G179))</f>
        <v/>
      </c>
      <c r="AJ179" s="20" t="str">
        <f>IF($B179="","",IF(OR($W179="Garis Lurus",$W179="Saldo Menurun"),MAX(0,MIN(TahunBuku*12+12,$Y179+$V179*12-1)-MAX(TahunBuku*12+1,$Y179)+1),0))</f>
        <v/>
      </c>
      <c r="AK179" s="20" t="str">
        <f>IF($B179="","",IF(OR($W179="Garis Lurus",$W179="Saldo Menurun"),MAX(0,MIN($Z179,TahunBuku*12+12,$Y179+$V179*12-1)-MAX(TahunBuku*12+1,$Y179)+1),0))</f>
        <v/>
      </c>
      <c r="AL179" s="22" t="str">
        <f>IF($B179="","",$G179*$AA179)</f>
        <v/>
      </c>
      <c r="AM179" s="22" t="str">
        <f>IF($B179="","",$G179*$AB179)</f>
        <v/>
      </c>
      <c r="AN179" s="22" t="str">
        <f>IF($B179="","",$G179*$AC179)</f>
        <v/>
      </c>
      <c r="AO179" s="22" t="str">
        <f>IF($B179="","",AL179+AM179-AN179)</f>
        <v/>
      </c>
      <c r="AP179" s="22" t="str">
        <f>IF($B179="","",($G179-$AD179)*$AA179)</f>
        <v/>
      </c>
      <c r="AQ179" s="22" t="str">
        <f>IF($B179="","",IF($AF179=0,0,($AD179-$AE179)*$AG179/$AF179)*MAX($AA179,$AB179))</f>
        <v/>
      </c>
      <c r="AR179" s="22" t="str">
        <f>IF($B179="","",(AP179+AQ179)*$AC179)</f>
        <v/>
      </c>
      <c r="AS179" s="22" t="str">
        <f>IF($B179="","",AP179+AQ179-AR179)</f>
        <v/>
      </c>
      <c r="AT179" s="22" t="str">
        <f>IF($B179="","",AO179-AS179)</f>
        <v/>
      </c>
      <c r="AU179" s="22" t="str">
        <f>IF($B179="","",IF($AC179=1,N($R179)-($G179-AR179),0))</f>
        <v/>
      </c>
      <c r="AV179" s="22" t="str">
        <f>IF($B179="","",($G179-$AH179)*$AA179)</f>
        <v/>
      </c>
      <c r="AW179" s="22" t="str">
        <f>IF($B179="","",IF($AJ179=0,0,($AH179-$AI179)*$AK179/$AJ179)*MAX($AA179,$AB179))</f>
        <v/>
      </c>
      <c r="AX179" s="22" t="str">
        <f>IF($B179="","",(AV179+AW179)*$AC179)</f>
        <v/>
      </c>
      <c r="AY179" s="22" t="str">
        <f>IF($B179="","",AV179+AW179-AX179)</f>
        <v/>
      </c>
      <c r="AZ179" s="22" t="str">
        <f>IF($B179="","",AO179-AY179)</f>
        <v/>
      </c>
      <c r="BA179" s="22" t="str">
        <f>IF($B179="","",IF($AC179=1,N($R179)-($G179-AX179),0))</f>
        <v/>
      </c>
      <c r="BB179" s="22" t="str">
        <f>IF($B179="","",ROUND(AQ179-AW179,0))</f>
        <v/>
      </c>
      <c r="BC179" s="22" t="str">
        <f>IF($B179="","",ROUND(BA179-AU179,0))</f>
        <v/>
      </c>
      <c r="BD179" s="22" t="str">
        <f>IF($B179="","",BB179+BC179)</f>
        <v/>
      </c>
      <c r="BE179" s="22" t="str">
        <f>IF($B179="","",ROUND(AV179-AP179,0))</f>
        <v/>
      </c>
      <c r="BF179" s="22" t="str">
        <f>IF($B179="","",ROUND(AT179-AZ179,0))</f>
        <v/>
      </c>
      <c r="BG179" s="22" t="str">
        <f>IF($B179="","",ROUND(BF179*TarifPPh,0))</f>
        <v/>
      </c>
      <c r="BH179" t="str">
        <f>IF($B179="","",IF($D179="","Kategori kosong",IF($F179="","Tgl perolehan kosong",IF(N($H179)&gt;$G179,"Residu &gt; harga perolehan",IF(AND(LEFT($U179,8)="Bangunan",$W179="Saldo Menurun"),"Bangunan wajib Garis Lurus (Ps.11 UU PPh)",IF(AND($S179="Unit Produksi",N($K179)=0),"Isi kapasitas unit",IF(AND(OR($S179="Garis Lurus",$S179="Saldo Menurun"),N($T179)&lt;=0),"Umur komersial kosong",IF(AND(OR($W179="Garis Lurus",$W179="Saldo Menurun"),N($V179)&lt;=0),"Masa manfaat fiskal kosong",IF(AND($Q179&lt;&gt;"",$Q179&lt;$F179),"Tgl pelepasan &lt; perolehan","OK")))))))))</f>
        <v/>
      </c>
    </row>
    <row r="180" spans="1:60" x14ac:dyDescent="0.25">
      <c r="A180" t="str">
        <f>IF($B180="","",ROW()-6)</f>
        <v/>
      </c>
      <c r="B180" s="9"/>
      <c r="C180" s="9"/>
      <c r="D180" s="9"/>
      <c r="E180" s="9"/>
      <c r="F180" s="17"/>
      <c r="G180" s="18"/>
      <c r="H180" s="18"/>
      <c r="I180" s="9"/>
      <c r="J180" s="9"/>
      <c r="K180" s="19"/>
      <c r="L180" s="19"/>
      <c r="M180" s="19"/>
      <c r="N180" s="9"/>
      <c r="O180" s="9"/>
      <c r="P180" s="9"/>
      <c r="Q180" s="17"/>
      <c r="R180" s="18"/>
      <c r="S180" t="str">
        <f>IF($B180="","",IF($I180&lt;&gt;"",$I180,IFERROR(INDEX(Kat_Metode,MATCH($D180,Kat_Nama,0)),"")))</f>
        <v/>
      </c>
      <c r="T180" t="str">
        <f>IF($B180="","",IF($J180&lt;&gt;"",$J180,IFERROR(INDEX(Kat_Umur,MATCH($D180,Kat_Nama,0)),0)))</f>
        <v/>
      </c>
      <c r="U180" t="str">
        <f>IF($B180="","",IF($N180&lt;&gt;"",$N180,IFERROR(INDEX(Kat_Kelompok,MATCH($D180,Kat_Nama,0)),"")))</f>
        <v/>
      </c>
      <c r="V180" t="str">
        <f>IF($B180="","",IF($U180="Masa Manfaat Sebenarnya",N($O180),IFERROR(INDEX(Kel_Masa,MATCH($U180,Kel_Nama,0)),0)))</f>
        <v/>
      </c>
      <c r="W180" t="str">
        <f>IF($B180="","",IF($P180&lt;&gt;"",$P180,IF(OR($U180="Tidak Disusutkan",$V180=0),"Tidak Disusutkan","Garis Lurus")))</f>
        <v/>
      </c>
      <c r="X180" t="str">
        <f>IF($B180="","",IF($Y180&gt;TahunBuku*12+12,"Belum Diperoleh",IF($Z180&lt;=TahunBuku*12,"Dilepas (thn lalu)",IF($AC180=1,"Dilepas thn ini",IF($AB180=1,"Perolehan baru","Aktif")))))</f>
        <v/>
      </c>
      <c r="Y180" s="20" t="str">
        <f>IF($B180="","",YEAR($F180)*12+MONTH($F180))</f>
        <v/>
      </c>
      <c r="Z180" s="20" t="str">
        <f>IF($B180="","",IF($Q180="",99999,YEAR($Q180)*12+MONTH($Q180)))</f>
        <v/>
      </c>
      <c r="AA180" s="20" t="str">
        <f>IF($B180="","",--AND($Y180&lt;=TahunBuku*12,$Z180&gt;TahunBuku*12))</f>
        <v/>
      </c>
      <c r="AB180" s="20" t="str">
        <f>IF($B180="","",--AND($Y180&gt;TahunBuku*12,$Y180&lt;=TahunBuku*12+12))</f>
        <v/>
      </c>
      <c r="AC180" s="20" t="str">
        <f>IF($B180="","",--AND($Z180&gt;TahunBuku*12,$Z180&lt;=TahunBuku*12+12,$Y180&lt;=$Z180))</f>
        <v/>
      </c>
      <c r="AD180" s="21" t="str">
        <f>IF($B180="","",IFERROR(IF($S180="Garis Lurus",$G180-($G180-$H180)*MIN($T180*12,MAX(0,TahunBuku*12-$Y180+1))/($T180*12),IF($S180="Saldo Menurun",IF(TahunBuku-1&lt;YEAR($F180),$G180,IF(TahunBuku-1&gt;=INT(($Y180+$T180*12-2)/12),$H180,MAX($H180,$G180*(1-2/$T180*(13-MONTH($F180))/12)*(1-2/$T180)^(TahunBuku-1-YEAR($F180))))),IF($S180="Unit Produksi",$G180-($G180-$H180)*MIN(1,N($L180)/$K180),$G180))),$G180))</f>
        <v/>
      </c>
      <c r="AE180" s="21" t="str">
        <f>IF($B180="","",IFERROR(IF($S180="Garis Lurus",$G180-($G180-$H180)*MIN($T180*12,MAX(0,TahunBuku*12+12-$Y180+1))/($T180*12),IF($S180="Saldo Menurun",IF(TahunBuku&lt;YEAR($F180),$G180,IF(TahunBuku&gt;=INT(($Y180+$T180*12-2)/12),$H180,MAX($H180,$G180*(1-2/$T180*(13-MONTH($F180))/12)*(1-2/$T180)^(TahunBuku-YEAR($F180))))),IF($S180="Unit Produksi",$G180-($G180-$H180)*MIN(1,(N($L180)+N($M180))/$K180),$G180))),$G180))</f>
        <v/>
      </c>
      <c r="AF180" s="20" t="str">
        <f>IF($B180="","",IF(OR($S180="Garis Lurus",$S180="Saldo Menurun",$S180="Unit Produksi"),MAX(0,IF($S180="Unit Produksi",TahunBuku*12+12,MIN(TahunBuku*12+12,$Y180+$T180*12-1))-MAX(TahunBuku*12+1,$Y180)+1),0))</f>
        <v/>
      </c>
      <c r="AG180" s="20" t="str">
        <f>IF($B180="","",IF(OR($S180="Garis Lurus",$S180="Saldo Menurun",$S180="Unit Produksi"),MAX(0,MIN($Z180,IF($S180="Unit Produksi",TahunBuku*12+12,MIN(TahunBuku*12+12,$Y180+$T180*12-1)))-MAX(TahunBuku*12+1,$Y180)+1),0))</f>
        <v/>
      </c>
      <c r="AH180" s="21" t="str">
        <f>IF($B180="","",IFERROR(IF($W180="Garis Lurus",$G180*(1-MIN($V180*12,MAX(0,TahunBuku*12-$Y180+1))/($V180*12)),IF($W180="Saldo Menurun",IF(TahunBuku-1&lt;YEAR($F180),$G180,IF(TahunBuku-1&gt;=INT(($Y180+$V180*12-2)/12),0,$G180*(1-2/$V180*(13-MONTH($F180))/12)*(1-2/$V180)^(TahunBuku-1-YEAR($F180)))),$G180)),$G180))</f>
        <v/>
      </c>
      <c r="AI180" s="21" t="str">
        <f>IF($B180="","",IFERROR(IF($W180="Garis Lurus",$G180*(1-MIN($V180*12,MAX(0,TahunBuku*12+12-$Y180+1))/($V180*12)),IF($W180="Saldo Menurun",IF(TahunBuku&lt;YEAR($F180),$G180,IF(TahunBuku&gt;=INT(($Y180+$V180*12-2)/12),0,$G180*(1-2/$V180*(13-MONTH($F180))/12)*(1-2/$V180)^(TahunBuku-YEAR($F180)))),$G180)),$G180))</f>
        <v/>
      </c>
      <c r="AJ180" s="20" t="str">
        <f>IF($B180="","",IF(OR($W180="Garis Lurus",$W180="Saldo Menurun"),MAX(0,MIN(TahunBuku*12+12,$Y180+$V180*12-1)-MAX(TahunBuku*12+1,$Y180)+1),0))</f>
        <v/>
      </c>
      <c r="AK180" s="20" t="str">
        <f>IF($B180="","",IF(OR($W180="Garis Lurus",$W180="Saldo Menurun"),MAX(0,MIN($Z180,TahunBuku*12+12,$Y180+$V180*12-1)-MAX(TahunBuku*12+1,$Y180)+1),0))</f>
        <v/>
      </c>
      <c r="AL180" s="22" t="str">
        <f>IF($B180="","",$G180*$AA180)</f>
        <v/>
      </c>
      <c r="AM180" s="22" t="str">
        <f>IF($B180="","",$G180*$AB180)</f>
        <v/>
      </c>
      <c r="AN180" s="22" t="str">
        <f>IF($B180="","",$G180*$AC180)</f>
        <v/>
      </c>
      <c r="AO180" s="22" t="str">
        <f>IF($B180="","",AL180+AM180-AN180)</f>
        <v/>
      </c>
      <c r="AP180" s="22" t="str">
        <f>IF($B180="","",($G180-$AD180)*$AA180)</f>
        <v/>
      </c>
      <c r="AQ180" s="22" t="str">
        <f>IF($B180="","",IF($AF180=0,0,($AD180-$AE180)*$AG180/$AF180)*MAX($AA180,$AB180))</f>
        <v/>
      </c>
      <c r="AR180" s="22" t="str">
        <f>IF($B180="","",(AP180+AQ180)*$AC180)</f>
        <v/>
      </c>
      <c r="AS180" s="22" t="str">
        <f>IF($B180="","",AP180+AQ180-AR180)</f>
        <v/>
      </c>
      <c r="AT180" s="22" t="str">
        <f>IF($B180="","",AO180-AS180)</f>
        <v/>
      </c>
      <c r="AU180" s="22" t="str">
        <f>IF($B180="","",IF($AC180=1,N($R180)-($G180-AR180),0))</f>
        <v/>
      </c>
      <c r="AV180" s="22" t="str">
        <f>IF($B180="","",($G180-$AH180)*$AA180)</f>
        <v/>
      </c>
      <c r="AW180" s="22" t="str">
        <f>IF($B180="","",IF($AJ180=0,0,($AH180-$AI180)*$AK180/$AJ180)*MAX($AA180,$AB180))</f>
        <v/>
      </c>
      <c r="AX180" s="22" t="str">
        <f>IF($B180="","",(AV180+AW180)*$AC180)</f>
        <v/>
      </c>
      <c r="AY180" s="22" t="str">
        <f>IF($B180="","",AV180+AW180-AX180)</f>
        <v/>
      </c>
      <c r="AZ180" s="22" t="str">
        <f>IF($B180="","",AO180-AY180)</f>
        <v/>
      </c>
      <c r="BA180" s="22" t="str">
        <f>IF($B180="","",IF($AC180=1,N($R180)-($G180-AX180),0))</f>
        <v/>
      </c>
      <c r="BB180" s="22" t="str">
        <f>IF($B180="","",ROUND(AQ180-AW180,0))</f>
        <v/>
      </c>
      <c r="BC180" s="22" t="str">
        <f>IF($B180="","",ROUND(BA180-AU180,0))</f>
        <v/>
      </c>
      <c r="BD180" s="22" t="str">
        <f>IF($B180="","",BB180+BC180)</f>
        <v/>
      </c>
      <c r="BE180" s="22" t="str">
        <f>IF($B180="","",ROUND(AV180-AP180,0))</f>
        <v/>
      </c>
      <c r="BF180" s="22" t="str">
        <f>IF($B180="","",ROUND(AT180-AZ180,0))</f>
        <v/>
      </c>
      <c r="BG180" s="22" t="str">
        <f>IF($B180="","",ROUND(BF180*TarifPPh,0))</f>
        <v/>
      </c>
      <c r="BH180" t="str">
        <f>IF($B180="","",IF($D180="","Kategori kosong",IF($F180="","Tgl perolehan kosong",IF(N($H180)&gt;$G180,"Residu &gt; harga perolehan",IF(AND(LEFT($U180,8)="Bangunan",$W180="Saldo Menurun"),"Bangunan wajib Garis Lurus (Ps.11 UU PPh)",IF(AND($S180="Unit Produksi",N($K180)=0),"Isi kapasitas unit",IF(AND(OR($S180="Garis Lurus",$S180="Saldo Menurun"),N($T180)&lt;=0),"Umur komersial kosong",IF(AND(OR($W180="Garis Lurus",$W180="Saldo Menurun"),N($V180)&lt;=0),"Masa manfaat fiskal kosong",IF(AND($Q180&lt;&gt;"",$Q180&lt;$F180),"Tgl pelepasan &lt; perolehan","OK")))))))))</f>
        <v/>
      </c>
    </row>
    <row r="181" spans="1:60" x14ac:dyDescent="0.25">
      <c r="A181" t="str">
        <f>IF($B181="","",ROW()-6)</f>
        <v/>
      </c>
      <c r="B181" s="9"/>
      <c r="C181" s="9"/>
      <c r="D181" s="9"/>
      <c r="E181" s="9"/>
      <c r="F181" s="17"/>
      <c r="G181" s="18"/>
      <c r="H181" s="18"/>
      <c r="I181" s="9"/>
      <c r="J181" s="9"/>
      <c r="K181" s="19"/>
      <c r="L181" s="19"/>
      <c r="M181" s="19"/>
      <c r="N181" s="9"/>
      <c r="O181" s="9"/>
      <c r="P181" s="9"/>
      <c r="Q181" s="17"/>
      <c r="R181" s="18"/>
      <c r="S181" t="str">
        <f>IF($B181="","",IF($I181&lt;&gt;"",$I181,IFERROR(INDEX(Kat_Metode,MATCH($D181,Kat_Nama,0)),"")))</f>
        <v/>
      </c>
      <c r="T181" t="str">
        <f>IF($B181="","",IF($J181&lt;&gt;"",$J181,IFERROR(INDEX(Kat_Umur,MATCH($D181,Kat_Nama,0)),0)))</f>
        <v/>
      </c>
      <c r="U181" t="str">
        <f>IF($B181="","",IF($N181&lt;&gt;"",$N181,IFERROR(INDEX(Kat_Kelompok,MATCH($D181,Kat_Nama,0)),"")))</f>
        <v/>
      </c>
      <c r="V181" t="str">
        <f>IF($B181="","",IF($U181="Masa Manfaat Sebenarnya",N($O181),IFERROR(INDEX(Kel_Masa,MATCH($U181,Kel_Nama,0)),0)))</f>
        <v/>
      </c>
      <c r="W181" t="str">
        <f>IF($B181="","",IF($P181&lt;&gt;"",$P181,IF(OR($U181="Tidak Disusutkan",$V181=0),"Tidak Disusutkan","Garis Lurus")))</f>
        <v/>
      </c>
      <c r="X181" t="str">
        <f>IF($B181="","",IF($Y181&gt;TahunBuku*12+12,"Belum Diperoleh",IF($Z181&lt;=TahunBuku*12,"Dilepas (thn lalu)",IF($AC181=1,"Dilepas thn ini",IF($AB181=1,"Perolehan baru","Aktif")))))</f>
        <v/>
      </c>
      <c r="Y181" s="20" t="str">
        <f>IF($B181="","",YEAR($F181)*12+MONTH($F181))</f>
        <v/>
      </c>
      <c r="Z181" s="20" t="str">
        <f>IF($B181="","",IF($Q181="",99999,YEAR($Q181)*12+MONTH($Q181)))</f>
        <v/>
      </c>
      <c r="AA181" s="20" t="str">
        <f>IF($B181="","",--AND($Y181&lt;=TahunBuku*12,$Z181&gt;TahunBuku*12))</f>
        <v/>
      </c>
      <c r="AB181" s="20" t="str">
        <f>IF($B181="","",--AND($Y181&gt;TahunBuku*12,$Y181&lt;=TahunBuku*12+12))</f>
        <v/>
      </c>
      <c r="AC181" s="20" t="str">
        <f>IF($B181="","",--AND($Z181&gt;TahunBuku*12,$Z181&lt;=TahunBuku*12+12,$Y181&lt;=$Z181))</f>
        <v/>
      </c>
      <c r="AD181" s="21" t="str">
        <f>IF($B181="","",IFERROR(IF($S181="Garis Lurus",$G181-($G181-$H181)*MIN($T181*12,MAX(0,TahunBuku*12-$Y181+1))/($T181*12),IF($S181="Saldo Menurun",IF(TahunBuku-1&lt;YEAR($F181),$G181,IF(TahunBuku-1&gt;=INT(($Y181+$T181*12-2)/12),$H181,MAX($H181,$G181*(1-2/$T181*(13-MONTH($F181))/12)*(1-2/$T181)^(TahunBuku-1-YEAR($F181))))),IF($S181="Unit Produksi",$G181-($G181-$H181)*MIN(1,N($L181)/$K181),$G181))),$G181))</f>
        <v/>
      </c>
      <c r="AE181" s="21" t="str">
        <f>IF($B181="","",IFERROR(IF($S181="Garis Lurus",$G181-($G181-$H181)*MIN($T181*12,MAX(0,TahunBuku*12+12-$Y181+1))/($T181*12),IF($S181="Saldo Menurun",IF(TahunBuku&lt;YEAR($F181),$G181,IF(TahunBuku&gt;=INT(($Y181+$T181*12-2)/12),$H181,MAX($H181,$G181*(1-2/$T181*(13-MONTH($F181))/12)*(1-2/$T181)^(TahunBuku-YEAR($F181))))),IF($S181="Unit Produksi",$G181-($G181-$H181)*MIN(1,(N($L181)+N($M181))/$K181),$G181))),$G181))</f>
        <v/>
      </c>
      <c r="AF181" s="20" t="str">
        <f>IF($B181="","",IF(OR($S181="Garis Lurus",$S181="Saldo Menurun",$S181="Unit Produksi"),MAX(0,IF($S181="Unit Produksi",TahunBuku*12+12,MIN(TahunBuku*12+12,$Y181+$T181*12-1))-MAX(TahunBuku*12+1,$Y181)+1),0))</f>
        <v/>
      </c>
      <c r="AG181" s="20" t="str">
        <f>IF($B181="","",IF(OR($S181="Garis Lurus",$S181="Saldo Menurun",$S181="Unit Produksi"),MAX(0,MIN($Z181,IF($S181="Unit Produksi",TahunBuku*12+12,MIN(TahunBuku*12+12,$Y181+$T181*12-1)))-MAX(TahunBuku*12+1,$Y181)+1),0))</f>
        <v/>
      </c>
      <c r="AH181" s="21" t="str">
        <f>IF($B181="","",IFERROR(IF($W181="Garis Lurus",$G181*(1-MIN($V181*12,MAX(0,TahunBuku*12-$Y181+1))/($V181*12)),IF($W181="Saldo Menurun",IF(TahunBuku-1&lt;YEAR($F181),$G181,IF(TahunBuku-1&gt;=INT(($Y181+$V181*12-2)/12),0,$G181*(1-2/$V181*(13-MONTH($F181))/12)*(1-2/$V181)^(TahunBuku-1-YEAR($F181)))),$G181)),$G181))</f>
        <v/>
      </c>
      <c r="AI181" s="21" t="str">
        <f>IF($B181="","",IFERROR(IF($W181="Garis Lurus",$G181*(1-MIN($V181*12,MAX(0,TahunBuku*12+12-$Y181+1))/($V181*12)),IF($W181="Saldo Menurun",IF(TahunBuku&lt;YEAR($F181),$G181,IF(TahunBuku&gt;=INT(($Y181+$V181*12-2)/12),0,$G181*(1-2/$V181*(13-MONTH($F181))/12)*(1-2/$V181)^(TahunBuku-YEAR($F181)))),$G181)),$G181))</f>
        <v/>
      </c>
      <c r="AJ181" s="20" t="str">
        <f>IF($B181="","",IF(OR($W181="Garis Lurus",$W181="Saldo Menurun"),MAX(0,MIN(TahunBuku*12+12,$Y181+$V181*12-1)-MAX(TahunBuku*12+1,$Y181)+1),0))</f>
        <v/>
      </c>
      <c r="AK181" s="20" t="str">
        <f>IF($B181="","",IF(OR($W181="Garis Lurus",$W181="Saldo Menurun"),MAX(0,MIN($Z181,TahunBuku*12+12,$Y181+$V181*12-1)-MAX(TahunBuku*12+1,$Y181)+1),0))</f>
        <v/>
      </c>
      <c r="AL181" s="22" t="str">
        <f>IF($B181="","",$G181*$AA181)</f>
        <v/>
      </c>
      <c r="AM181" s="22" t="str">
        <f>IF($B181="","",$G181*$AB181)</f>
        <v/>
      </c>
      <c r="AN181" s="22" t="str">
        <f>IF($B181="","",$G181*$AC181)</f>
        <v/>
      </c>
      <c r="AO181" s="22" t="str">
        <f>IF($B181="","",AL181+AM181-AN181)</f>
        <v/>
      </c>
      <c r="AP181" s="22" t="str">
        <f>IF($B181="","",($G181-$AD181)*$AA181)</f>
        <v/>
      </c>
      <c r="AQ181" s="22" t="str">
        <f>IF($B181="","",IF($AF181=0,0,($AD181-$AE181)*$AG181/$AF181)*MAX($AA181,$AB181))</f>
        <v/>
      </c>
      <c r="AR181" s="22" t="str">
        <f>IF($B181="","",(AP181+AQ181)*$AC181)</f>
        <v/>
      </c>
      <c r="AS181" s="22" t="str">
        <f>IF($B181="","",AP181+AQ181-AR181)</f>
        <v/>
      </c>
      <c r="AT181" s="22" t="str">
        <f>IF($B181="","",AO181-AS181)</f>
        <v/>
      </c>
      <c r="AU181" s="22" t="str">
        <f>IF($B181="","",IF($AC181=1,N($R181)-($G181-AR181),0))</f>
        <v/>
      </c>
      <c r="AV181" s="22" t="str">
        <f>IF($B181="","",($G181-$AH181)*$AA181)</f>
        <v/>
      </c>
      <c r="AW181" s="22" t="str">
        <f>IF($B181="","",IF($AJ181=0,0,($AH181-$AI181)*$AK181/$AJ181)*MAX($AA181,$AB181))</f>
        <v/>
      </c>
      <c r="AX181" s="22" t="str">
        <f>IF($B181="","",(AV181+AW181)*$AC181)</f>
        <v/>
      </c>
      <c r="AY181" s="22" t="str">
        <f>IF($B181="","",AV181+AW181-AX181)</f>
        <v/>
      </c>
      <c r="AZ181" s="22" t="str">
        <f>IF($B181="","",AO181-AY181)</f>
        <v/>
      </c>
      <c r="BA181" s="22" t="str">
        <f>IF($B181="","",IF($AC181=1,N($R181)-($G181-AX181),0))</f>
        <v/>
      </c>
      <c r="BB181" s="22" t="str">
        <f>IF($B181="","",ROUND(AQ181-AW181,0))</f>
        <v/>
      </c>
      <c r="BC181" s="22" t="str">
        <f>IF($B181="","",ROUND(BA181-AU181,0))</f>
        <v/>
      </c>
      <c r="BD181" s="22" t="str">
        <f>IF($B181="","",BB181+BC181)</f>
        <v/>
      </c>
      <c r="BE181" s="22" t="str">
        <f>IF($B181="","",ROUND(AV181-AP181,0))</f>
        <v/>
      </c>
      <c r="BF181" s="22" t="str">
        <f>IF($B181="","",ROUND(AT181-AZ181,0))</f>
        <v/>
      </c>
      <c r="BG181" s="22" t="str">
        <f>IF($B181="","",ROUND(BF181*TarifPPh,0))</f>
        <v/>
      </c>
      <c r="BH181" t="str">
        <f>IF($B181="","",IF($D181="","Kategori kosong",IF($F181="","Tgl perolehan kosong",IF(N($H181)&gt;$G181,"Residu &gt; harga perolehan",IF(AND(LEFT($U181,8)="Bangunan",$W181="Saldo Menurun"),"Bangunan wajib Garis Lurus (Ps.11 UU PPh)",IF(AND($S181="Unit Produksi",N($K181)=0),"Isi kapasitas unit",IF(AND(OR($S181="Garis Lurus",$S181="Saldo Menurun"),N($T181)&lt;=0),"Umur komersial kosong",IF(AND(OR($W181="Garis Lurus",$W181="Saldo Menurun"),N($V181)&lt;=0),"Masa manfaat fiskal kosong",IF(AND($Q181&lt;&gt;"",$Q181&lt;$F181),"Tgl pelepasan &lt; perolehan","OK")))))))))</f>
        <v/>
      </c>
    </row>
    <row r="182" spans="1:60" x14ac:dyDescent="0.25">
      <c r="A182" t="str">
        <f>IF($B182="","",ROW()-6)</f>
        <v/>
      </c>
      <c r="B182" s="9"/>
      <c r="C182" s="9"/>
      <c r="D182" s="9"/>
      <c r="E182" s="9"/>
      <c r="F182" s="17"/>
      <c r="G182" s="18"/>
      <c r="H182" s="18"/>
      <c r="I182" s="9"/>
      <c r="J182" s="9"/>
      <c r="K182" s="19"/>
      <c r="L182" s="19"/>
      <c r="M182" s="19"/>
      <c r="N182" s="9"/>
      <c r="O182" s="9"/>
      <c r="P182" s="9"/>
      <c r="Q182" s="17"/>
      <c r="R182" s="18"/>
      <c r="S182" t="str">
        <f>IF($B182="","",IF($I182&lt;&gt;"",$I182,IFERROR(INDEX(Kat_Metode,MATCH($D182,Kat_Nama,0)),"")))</f>
        <v/>
      </c>
      <c r="T182" t="str">
        <f>IF($B182="","",IF($J182&lt;&gt;"",$J182,IFERROR(INDEX(Kat_Umur,MATCH($D182,Kat_Nama,0)),0)))</f>
        <v/>
      </c>
      <c r="U182" t="str">
        <f>IF($B182="","",IF($N182&lt;&gt;"",$N182,IFERROR(INDEX(Kat_Kelompok,MATCH($D182,Kat_Nama,0)),"")))</f>
        <v/>
      </c>
      <c r="V182" t="str">
        <f>IF($B182="","",IF($U182="Masa Manfaat Sebenarnya",N($O182),IFERROR(INDEX(Kel_Masa,MATCH($U182,Kel_Nama,0)),0)))</f>
        <v/>
      </c>
      <c r="W182" t="str">
        <f>IF($B182="","",IF($P182&lt;&gt;"",$P182,IF(OR($U182="Tidak Disusutkan",$V182=0),"Tidak Disusutkan","Garis Lurus")))</f>
        <v/>
      </c>
      <c r="X182" t="str">
        <f>IF($B182="","",IF($Y182&gt;TahunBuku*12+12,"Belum Diperoleh",IF($Z182&lt;=TahunBuku*12,"Dilepas (thn lalu)",IF($AC182=1,"Dilepas thn ini",IF($AB182=1,"Perolehan baru","Aktif")))))</f>
        <v/>
      </c>
      <c r="Y182" s="20" t="str">
        <f>IF($B182="","",YEAR($F182)*12+MONTH($F182))</f>
        <v/>
      </c>
      <c r="Z182" s="20" t="str">
        <f>IF($B182="","",IF($Q182="",99999,YEAR($Q182)*12+MONTH($Q182)))</f>
        <v/>
      </c>
      <c r="AA182" s="20" t="str">
        <f>IF($B182="","",--AND($Y182&lt;=TahunBuku*12,$Z182&gt;TahunBuku*12))</f>
        <v/>
      </c>
      <c r="AB182" s="20" t="str">
        <f>IF($B182="","",--AND($Y182&gt;TahunBuku*12,$Y182&lt;=TahunBuku*12+12))</f>
        <v/>
      </c>
      <c r="AC182" s="20" t="str">
        <f>IF($B182="","",--AND($Z182&gt;TahunBuku*12,$Z182&lt;=TahunBuku*12+12,$Y182&lt;=$Z182))</f>
        <v/>
      </c>
      <c r="AD182" s="21" t="str">
        <f>IF($B182="","",IFERROR(IF($S182="Garis Lurus",$G182-($G182-$H182)*MIN($T182*12,MAX(0,TahunBuku*12-$Y182+1))/($T182*12),IF($S182="Saldo Menurun",IF(TahunBuku-1&lt;YEAR($F182),$G182,IF(TahunBuku-1&gt;=INT(($Y182+$T182*12-2)/12),$H182,MAX($H182,$G182*(1-2/$T182*(13-MONTH($F182))/12)*(1-2/$T182)^(TahunBuku-1-YEAR($F182))))),IF($S182="Unit Produksi",$G182-($G182-$H182)*MIN(1,N($L182)/$K182),$G182))),$G182))</f>
        <v/>
      </c>
      <c r="AE182" s="21" t="str">
        <f>IF($B182="","",IFERROR(IF($S182="Garis Lurus",$G182-($G182-$H182)*MIN($T182*12,MAX(0,TahunBuku*12+12-$Y182+1))/($T182*12),IF($S182="Saldo Menurun",IF(TahunBuku&lt;YEAR($F182),$G182,IF(TahunBuku&gt;=INT(($Y182+$T182*12-2)/12),$H182,MAX($H182,$G182*(1-2/$T182*(13-MONTH($F182))/12)*(1-2/$T182)^(TahunBuku-YEAR($F182))))),IF($S182="Unit Produksi",$G182-($G182-$H182)*MIN(1,(N($L182)+N($M182))/$K182),$G182))),$G182))</f>
        <v/>
      </c>
      <c r="AF182" s="20" t="str">
        <f>IF($B182="","",IF(OR($S182="Garis Lurus",$S182="Saldo Menurun",$S182="Unit Produksi"),MAX(0,IF($S182="Unit Produksi",TahunBuku*12+12,MIN(TahunBuku*12+12,$Y182+$T182*12-1))-MAX(TahunBuku*12+1,$Y182)+1),0))</f>
        <v/>
      </c>
      <c r="AG182" s="20" t="str">
        <f>IF($B182="","",IF(OR($S182="Garis Lurus",$S182="Saldo Menurun",$S182="Unit Produksi"),MAX(0,MIN($Z182,IF($S182="Unit Produksi",TahunBuku*12+12,MIN(TahunBuku*12+12,$Y182+$T182*12-1)))-MAX(TahunBuku*12+1,$Y182)+1),0))</f>
        <v/>
      </c>
      <c r="AH182" s="21" t="str">
        <f>IF($B182="","",IFERROR(IF($W182="Garis Lurus",$G182*(1-MIN($V182*12,MAX(0,TahunBuku*12-$Y182+1))/($V182*12)),IF($W182="Saldo Menurun",IF(TahunBuku-1&lt;YEAR($F182),$G182,IF(TahunBuku-1&gt;=INT(($Y182+$V182*12-2)/12),0,$G182*(1-2/$V182*(13-MONTH($F182))/12)*(1-2/$V182)^(TahunBuku-1-YEAR($F182)))),$G182)),$G182))</f>
        <v/>
      </c>
      <c r="AI182" s="21" t="str">
        <f>IF($B182="","",IFERROR(IF($W182="Garis Lurus",$G182*(1-MIN($V182*12,MAX(0,TahunBuku*12+12-$Y182+1))/($V182*12)),IF($W182="Saldo Menurun",IF(TahunBuku&lt;YEAR($F182),$G182,IF(TahunBuku&gt;=INT(($Y182+$V182*12-2)/12),0,$G182*(1-2/$V182*(13-MONTH($F182))/12)*(1-2/$V182)^(TahunBuku-YEAR($F182)))),$G182)),$G182))</f>
        <v/>
      </c>
      <c r="AJ182" s="20" t="str">
        <f>IF($B182="","",IF(OR($W182="Garis Lurus",$W182="Saldo Menurun"),MAX(0,MIN(TahunBuku*12+12,$Y182+$V182*12-1)-MAX(TahunBuku*12+1,$Y182)+1),0))</f>
        <v/>
      </c>
      <c r="AK182" s="20" t="str">
        <f>IF($B182="","",IF(OR($W182="Garis Lurus",$W182="Saldo Menurun"),MAX(0,MIN($Z182,TahunBuku*12+12,$Y182+$V182*12-1)-MAX(TahunBuku*12+1,$Y182)+1),0))</f>
        <v/>
      </c>
      <c r="AL182" s="22" t="str">
        <f>IF($B182="","",$G182*$AA182)</f>
        <v/>
      </c>
      <c r="AM182" s="22" t="str">
        <f>IF($B182="","",$G182*$AB182)</f>
        <v/>
      </c>
      <c r="AN182" s="22" t="str">
        <f>IF($B182="","",$G182*$AC182)</f>
        <v/>
      </c>
      <c r="AO182" s="22" t="str">
        <f>IF($B182="","",AL182+AM182-AN182)</f>
        <v/>
      </c>
      <c r="AP182" s="22" t="str">
        <f>IF($B182="","",($G182-$AD182)*$AA182)</f>
        <v/>
      </c>
      <c r="AQ182" s="22" t="str">
        <f>IF($B182="","",IF($AF182=0,0,($AD182-$AE182)*$AG182/$AF182)*MAX($AA182,$AB182))</f>
        <v/>
      </c>
      <c r="AR182" s="22" t="str">
        <f>IF($B182="","",(AP182+AQ182)*$AC182)</f>
        <v/>
      </c>
      <c r="AS182" s="22" t="str">
        <f>IF($B182="","",AP182+AQ182-AR182)</f>
        <v/>
      </c>
      <c r="AT182" s="22" t="str">
        <f>IF($B182="","",AO182-AS182)</f>
        <v/>
      </c>
      <c r="AU182" s="22" t="str">
        <f>IF($B182="","",IF($AC182=1,N($R182)-($G182-AR182),0))</f>
        <v/>
      </c>
      <c r="AV182" s="22" t="str">
        <f>IF($B182="","",($G182-$AH182)*$AA182)</f>
        <v/>
      </c>
      <c r="AW182" s="22" t="str">
        <f>IF($B182="","",IF($AJ182=0,0,($AH182-$AI182)*$AK182/$AJ182)*MAX($AA182,$AB182))</f>
        <v/>
      </c>
      <c r="AX182" s="22" t="str">
        <f>IF($B182="","",(AV182+AW182)*$AC182)</f>
        <v/>
      </c>
      <c r="AY182" s="22" t="str">
        <f>IF($B182="","",AV182+AW182-AX182)</f>
        <v/>
      </c>
      <c r="AZ182" s="22" t="str">
        <f>IF($B182="","",AO182-AY182)</f>
        <v/>
      </c>
      <c r="BA182" s="22" t="str">
        <f>IF($B182="","",IF($AC182=1,N($R182)-($G182-AX182),0))</f>
        <v/>
      </c>
      <c r="BB182" s="22" t="str">
        <f>IF($B182="","",ROUND(AQ182-AW182,0))</f>
        <v/>
      </c>
      <c r="BC182" s="22" t="str">
        <f>IF($B182="","",ROUND(BA182-AU182,0))</f>
        <v/>
      </c>
      <c r="BD182" s="22" t="str">
        <f>IF($B182="","",BB182+BC182)</f>
        <v/>
      </c>
      <c r="BE182" s="22" t="str">
        <f>IF($B182="","",ROUND(AV182-AP182,0))</f>
        <v/>
      </c>
      <c r="BF182" s="22" t="str">
        <f>IF($B182="","",ROUND(AT182-AZ182,0))</f>
        <v/>
      </c>
      <c r="BG182" s="22" t="str">
        <f>IF($B182="","",ROUND(BF182*TarifPPh,0))</f>
        <v/>
      </c>
      <c r="BH182" t="str">
        <f>IF($B182="","",IF($D182="","Kategori kosong",IF($F182="","Tgl perolehan kosong",IF(N($H182)&gt;$G182,"Residu &gt; harga perolehan",IF(AND(LEFT($U182,8)="Bangunan",$W182="Saldo Menurun"),"Bangunan wajib Garis Lurus (Ps.11 UU PPh)",IF(AND($S182="Unit Produksi",N($K182)=0),"Isi kapasitas unit",IF(AND(OR($S182="Garis Lurus",$S182="Saldo Menurun"),N($T182)&lt;=0),"Umur komersial kosong",IF(AND(OR($W182="Garis Lurus",$W182="Saldo Menurun"),N($V182)&lt;=0),"Masa manfaat fiskal kosong",IF(AND($Q182&lt;&gt;"",$Q182&lt;$F182),"Tgl pelepasan &lt; perolehan","OK")))))))))</f>
        <v/>
      </c>
    </row>
    <row r="183" spans="1:60" x14ac:dyDescent="0.25">
      <c r="A183" t="str">
        <f>IF($B183="","",ROW()-6)</f>
        <v/>
      </c>
      <c r="B183" s="9"/>
      <c r="C183" s="9"/>
      <c r="D183" s="9"/>
      <c r="E183" s="9"/>
      <c r="F183" s="17"/>
      <c r="G183" s="18"/>
      <c r="H183" s="18"/>
      <c r="I183" s="9"/>
      <c r="J183" s="9"/>
      <c r="K183" s="19"/>
      <c r="L183" s="19"/>
      <c r="M183" s="19"/>
      <c r="N183" s="9"/>
      <c r="O183" s="9"/>
      <c r="P183" s="9"/>
      <c r="Q183" s="17"/>
      <c r="R183" s="18"/>
      <c r="S183" t="str">
        <f>IF($B183="","",IF($I183&lt;&gt;"",$I183,IFERROR(INDEX(Kat_Metode,MATCH($D183,Kat_Nama,0)),"")))</f>
        <v/>
      </c>
      <c r="T183" t="str">
        <f>IF($B183="","",IF($J183&lt;&gt;"",$J183,IFERROR(INDEX(Kat_Umur,MATCH($D183,Kat_Nama,0)),0)))</f>
        <v/>
      </c>
      <c r="U183" t="str">
        <f>IF($B183="","",IF($N183&lt;&gt;"",$N183,IFERROR(INDEX(Kat_Kelompok,MATCH($D183,Kat_Nama,0)),"")))</f>
        <v/>
      </c>
      <c r="V183" t="str">
        <f>IF($B183="","",IF($U183="Masa Manfaat Sebenarnya",N($O183),IFERROR(INDEX(Kel_Masa,MATCH($U183,Kel_Nama,0)),0)))</f>
        <v/>
      </c>
      <c r="W183" t="str">
        <f>IF($B183="","",IF($P183&lt;&gt;"",$P183,IF(OR($U183="Tidak Disusutkan",$V183=0),"Tidak Disusutkan","Garis Lurus")))</f>
        <v/>
      </c>
      <c r="X183" t="str">
        <f>IF($B183="","",IF($Y183&gt;TahunBuku*12+12,"Belum Diperoleh",IF($Z183&lt;=TahunBuku*12,"Dilepas (thn lalu)",IF($AC183=1,"Dilepas thn ini",IF($AB183=1,"Perolehan baru","Aktif")))))</f>
        <v/>
      </c>
      <c r="Y183" s="20" t="str">
        <f>IF($B183="","",YEAR($F183)*12+MONTH($F183))</f>
        <v/>
      </c>
      <c r="Z183" s="20" t="str">
        <f>IF($B183="","",IF($Q183="",99999,YEAR($Q183)*12+MONTH($Q183)))</f>
        <v/>
      </c>
      <c r="AA183" s="20" t="str">
        <f>IF($B183="","",--AND($Y183&lt;=TahunBuku*12,$Z183&gt;TahunBuku*12))</f>
        <v/>
      </c>
      <c r="AB183" s="20" t="str">
        <f>IF($B183="","",--AND($Y183&gt;TahunBuku*12,$Y183&lt;=TahunBuku*12+12))</f>
        <v/>
      </c>
      <c r="AC183" s="20" t="str">
        <f>IF($B183="","",--AND($Z183&gt;TahunBuku*12,$Z183&lt;=TahunBuku*12+12,$Y183&lt;=$Z183))</f>
        <v/>
      </c>
      <c r="AD183" s="21" t="str">
        <f>IF($B183="","",IFERROR(IF($S183="Garis Lurus",$G183-($G183-$H183)*MIN($T183*12,MAX(0,TahunBuku*12-$Y183+1))/($T183*12),IF($S183="Saldo Menurun",IF(TahunBuku-1&lt;YEAR($F183),$G183,IF(TahunBuku-1&gt;=INT(($Y183+$T183*12-2)/12),$H183,MAX($H183,$G183*(1-2/$T183*(13-MONTH($F183))/12)*(1-2/$T183)^(TahunBuku-1-YEAR($F183))))),IF($S183="Unit Produksi",$G183-($G183-$H183)*MIN(1,N($L183)/$K183),$G183))),$G183))</f>
        <v/>
      </c>
      <c r="AE183" s="21" t="str">
        <f>IF($B183="","",IFERROR(IF($S183="Garis Lurus",$G183-($G183-$H183)*MIN($T183*12,MAX(0,TahunBuku*12+12-$Y183+1))/($T183*12),IF($S183="Saldo Menurun",IF(TahunBuku&lt;YEAR($F183),$G183,IF(TahunBuku&gt;=INT(($Y183+$T183*12-2)/12),$H183,MAX($H183,$G183*(1-2/$T183*(13-MONTH($F183))/12)*(1-2/$T183)^(TahunBuku-YEAR($F183))))),IF($S183="Unit Produksi",$G183-($G183-$H183)*MIN(1,(N($L183)+N($M183))/$K183),$G183))),$G183))</f>
        <v/>
      </c>
      <c r="AF183" s="20" t="str">
        <f>IF($B183="","",IF(OR($S183="Garis Lurus",$S183="Saldo Menurun",$S183="Unit Produksi"),MAX(0,IF($S183="Unit Produksi",TahunBuku*12+12,MIN(TahunBuku*12+12,$Y183+$T183*12-1))-MAX(TahunBuku*12+1,$Y183)+1),0))</f>
        <v/>
      </c>
      <c r="AG183" s="20" t="str">
        <f>IF($B183="","",IF(OR($S183="Garis Lurus",$S183="Saldo Menurun",$S183="Unit Produksi"),MAX(0,MIN($Z183,IF($S183="Unit Produksi",TahunBuku*12+12,MIN(TahunBuku*12+12,$Y183+$T183*12-1)))-MAX(TahunBuku*12+1,$Y183)+1),0))</f>
        <v/>
      </c>
      <c r="AH183" s="21" t="str">
        <f>IF($B183="","",IFERROR(IF($W183="Garis Lurus",$G183*(1-MIN($V183*12,MAX(0,TahunBuku*12-$Y183+1))/($V183*12)),IF($W183="Saldo Menurun",IF(TahunBuku-1&lt;YEAR($F183),$G183,IF(TahunBuku-1&gt;=INT(($Y183+$V183*12-2)/12),0,$G183*(1-2/$V183*(13-MONTH($F183))/12)*(1-2/$V183)^(TahunBuku-1-YEAR($F183)))),$G183)),$G183))</f>
        <v/>
      </c>
      <c r="AI183" s="21" t="str">
        <f>IF($B183="","",IFERROR(IF($W183="Garis Lurus",$G183*(1-MIN($V183*12,MAX(0,TahunBuku*12+12-$Y183+1))/($V183*12)),IF($W183="Saldo Menurun",IF(TahunBuku&lt;YEAR($F183),$G183,IF(TahunBuku&gt;=INT(($Y183+$V183*12-2)/12),0,$G183*(1-2/$V183*(13-MONTH($F183))/12)*(1-2/$V183)^(TahunBuku-YEAR($F183)))),$G183)),$G183))</f>
        <v/>
      </c>
      <c r="AJ183" s="20" t="str">
        <f>IF($B183="","",IF(OR($W183="Garis Lurus",$W183="Saldo Menurun"),MAX(0,MIN(TahunBuku*12+12,$Y183+$V183*12-1)-MAX(TahunBuku*12+1,$Y183)+1),0))</f>
        <v/>
      </c>
      <c r="AK183" s="20" t="str">
        <f>IF($B183="","",IF(OR($W183="Garis Lurus",$W183="Saldo Menurun"),MAX(0,MIN($Z183,TahunBuku*12+12,$Y183+$V183*12-1)-MAX(TahunBuku*12+1,$Y183)+1),0))</f>
        <v/>
      </c>
      <c r="AL183" s="22" t="str">
        <f>IF($B183="","",$G183*$AA183)</f>
        <v/>
      </c>
      <c r="AM183" s="22" t="str">
        <f>IF($B183="","",$G183*$AB183)</f>
        <v/>
      </c>
      <c r="AN183" s="22" t="str">
        <f>IF($B183="","",$G183*$AC183)</f>
        <v/>
      </c>
      <c r="AO183" s="22" t="str">
        <f>IF($B183="","",AL183+AM183-AN183)</f>
        <v/>
      </c>
      <c r="AP183" s="22" t="str">
        <f>IF($B183="","",($G183-$AD183)*$AA183)</f>
        <v/>
      </c>
      <c r="AQ183" s="22" t="str">
        <f>IF($B183="","",IF($AF183=0,0,($AD183-$AE183)*$AG183/$AF183)*MAX($AA183,$AB183))</f>
        <v/>
      </c>
      <c r="AR183" s="22" t="str">
        <f>IF($B183="","",(AP183+AQ183)*$AC183)</f>
        <v/>
      </c>
      <c r="AS183" s="22" t="str">
        <f>IF($B183="","",AP183+AQ183-AR183)</f>
        <v/>
      </c>
      <c r="AT183" s="22" t="str">
        <f>IF($B183="","",AO183-AS183)</f>
        <v/>
      </c>
      <c r="AU183" s="22" t="str">
        <f>IF($B183="","",IF($AC183=1,N($R183)-($G183-AR183),0))</f>
        <v/>
      </c>
      <c r="AV183" s="22" t="str">
        <f>IF($B183="","",($G183-$AH183)*$AA183)</f>
        <v/>
      </c>
      <c r="AW183" s="22" t="str">
        <f>IF($B183="","",IF($AJ183=0,0,($AH183-$AI183)*$AK183/$AJ183)*MAX($AA183,$AB183))</f>
        <v/>
      </c>
      <c r="AX183" s="22" t="str">
        <f>IF($B183="","",(AV183+AW183)*$AC183)</f>
        <v/>
      </c>
      <c r="AY183" s="22" t="str">
        <f>IF($B183="","",AV183+AW183-AX183)</f>
        <v/>
      </c>
      <c r="AZ183" s="22" t="str">
        <f>IF($B183="","",AO183-AY183)</f>
        <v/>
      </c>
      <c r="BA183" s="22" t="str">
        <f>IF($B183="","",IF($AC183=1,N($R183)-($G183-AX183),0))</f>
        <v/>
      </c>
      <c r="BB183" s="22" t="str">
        <f>IF($B183="","",ROUND(AQ183-AW183,0))</f>
        <v/>
      </c>
      <c r="BC183" s="22" t="str">
        <f>IF($B183="","",ROUND(BA183-AU183,0))</f>
        <v/>
      </c>
      <c r="BD183" s="22" t="str">
        <f>IF($B183="","",BB183+BC183)</f>
        <v/>
      </c>
      <c r="BE183" s="22" t="str">
        <f>IF($B183="","",ROUND(AV183-AP183,0))</f>
        <v/>
      </c>
      <c r="BF183" s="22" t="str">
        <f>IF($B183="","",ROUND(AT183-AZ183,0))</f>
        <v/>
      </c>
      <c r="BG183" s="22" t="str">
        <f>IF($B183="","",ROUND(BF183*TarifPPh,0))</f>
        <v/>
      </c>
      <c r="BH183" t="str">
        <f>IF($B183="","",IF($D183="","Kategori kosong",IF($F183="","Tgl perolehan kosong",IF(N($H183)&gt;$G183,"Residu &gt; harga perolehan",IF(AND(LEFT($U183,8)="Bangunan",$W183="Saldo Menurun"),"Bangunan wajib Garis Lurus (Ps.11 UU PPh)",IF(AND($S183="Unit Produksi",N($K183)=0),"Isi kapasitas unit",IF(AND(OR($S183="Garis Lurus",$S183="Saldo Menurun"),N($T183)&lt;=0),"Umur komersial kosong",IF(AND(OR($W183="Garis Lurus",$W183="Saldo Menurun"),N($V183)&lt;=0),"Masa manfaat fiskal kosong",IF(AND($Q183&lt;&gt;"",$Q183&lt;$F183),"Tgl pelepasan &lt; perolehan","OK")))))))))</f>
        <v/>
      </c>
    </row>
    <row r="184" spans="1:60" x14ac:dyDescent="0.25">
      <c r="A184" t="str">
        <f>IF($B184="","",ROW()-6)</f>
        <v/>
      </c>
      <c r="B184" s="9"/>
      <c r="C184" s="9"/>
      <c r="D184" s="9"/>
      <c r="E184" s="9"/>
      <c r="F184" s="17"/>
      <c r="G184" s="18"/>
      <c r="H184" s="18"/>
      <c r="I184" s="9"/>
      <c r="J184" s="9"/>
      <c r="K184" s="19"/>
      <c r="L184" s="19"/>
      <c r="M184" s="19"/>
      <c r="N184" s="9"/>
      <c r="O184" s="9"/>
      <c r="P184" s="9"/>
      <c r="Q184" s="17"/>
      <c r="R184" s="18"/>
      <c r="S184" t="str">
        <f>IF($B184="","",IF($I184&lt;&gt;"",$I184,IFERROR(INDEX(Kat_Metode,MATCH($D184,Kat_Nama,0)),"")))</f>
        <v/>
      </c>
      <c r="T184" t="str">
        <f>IF($B184="","",IF($J184&lt;&gt;"",$J184,IFERROR(INDEX(Kat_Umur,MATCH($D184,Kat_Nama,0)),0)))</f>
        <v/>
      </c>
      <c r="U184" t="str">
        <f>IF($B184="","",IF($N184&lt;&gt;"",$N184,IFERROR(INDEX(Kat_Kelompok,MATCH($D184,Kat_Nama,0)),"")))</f>
        <v/>
      </c>
      <c r="V184" t="str">
        <f>IF($B184="","",IF($U184="Masa Manfaat Sebenarnya",N($O184),IFERROR(INDEX(Kel_Masa,MATCH($U184,Kel_Nama,0)),0)))</f>
        <v/>
      </c>
      <c r="W184" t="str">
        <f>IF($B184="","",IF($P184&lt;&gt;"",$P184,IF(OR($U184="Tidak Disusutkan",$V184=0),"Tidak Disusutkan","Garis Lurus")))</f>
        <v/>
      </c>
      <c r="X184" t="str">
        <f>IF($B184="","",IF($Y184&gt;TahunBuku*12+12,"Belum Diperoleh",IF($Z184&lt;=TahunBuku*12,"Dilepas (thn lalu)",IF($AC184=1,"Dilepas thn ini",IF($AB184=1,"Perolehan baru","Aktif")))))</f>
        <v/>
      </c>
      <c r="Y184" s="20" t="str">
        <f>IF($B184="","",YEAR($F184)*12+MONTH($F184))</f>
        <v/>
      </c>
      <c r="Z184" s="20" t="str">
        <f>IF($B184="","",IF($Q184="",99999,YEAR($Q184)*12+MONTH($Q184)))</f>
        <v/>
      </c>
      <c r="AA184" s="20" t="str">
        <f>IF($B184="","",--AND($Y184&lt;=TahunBuku*12,$Z184&gt;TahunBuku*12))</f>
        <v/>
      </c>
      <c r="AB184" s="20" t="str">
        <f>IF($B184="","",--AND($Y184&gt;TahunBuku*12,$Y184&lt;=TahunBuku*12+12))</f>
        <v/>
      </c>
      <c r="AC184" s="20" t="str">
        <f>IF($B184="","",--AND($Z184&gt;TahunBuku*12,$Z184&lt;=TahunBuku*12+12,$Y184&lt;=$Z184))</f>
        <v/>
      </c>
      <c r="AD184" s="21" t="str">
        <f>IF($B184="","",IFERROR(IF($S184="Garis Lurus",$G184-($G184-$H184)*MIN($T184*12,MAX(0,TahunBuku*12-$Y184+1))/($T184*12),IF($S184="Saldo Menurun",IF(TahunBuku-1&lt;YEAR($F184),$G184,IF(TahunBuku-1&gt;=INT(($Y184+$T184*12-2)/12),$H184,MAX($H184,$G184*(1-2/$T184*(13-MONTH($F184))/12)*(1-2/$T184)^(TahunBuku-1-YEAR($F184))))),IF($S184="Unit Produksi",$G184-($G184-$H184)*MIN(1,N($L184)/$K184),$G184))),$G184))</f>
        <v/>
      </c>
      <c r="AE184" s="21" t="str">
        <f>IF($B184="","",IFERROR(IF($S184="Garis Lurus",$G184-($G184-$H184)*MIN($T184*12,MAX(0,TahunBuku*12+12-$Y184+1))/($T184*12),IF($S184="Saldo Menurun",IF(TahunBuku&lt;YEAR($F184),$G184,IF(TahunBuku&gt;=INT(($Y184+$T184*12-2)/12),$H184,MAX($H184,$G184*(1-2/$T184*(13-MONTH($F184))/12)*(1-2/$T184)^(TahunBuku-YEAR($F184))))),IF($S184="Unit Produksi",$G184-($G184-$H184)*MIN(1,(N($L184)+N($M184))/$K184),$G184))),$G184))</f>
        <v/>
      </c>
      <c r="AF184" s="20" t="str">
        <f>IF($B184="","",IF(OR($S184="Garis Lurus",$S184="Saldo Menurun",$S184="Unit Produksi"),MAX(0,IF($S184="Unit Produksi",TahunBuku*12+12,MIN(TahunBuku*12+12,$Y184+$T184*12-1))-MAX(TahunBuku*12+1,$Y184)+1),0))</f>
        <v/>
      </c>
      <c r="AG184" s="20" t="str">
        <f>IF($B184="","",IF(OR($S184="Garis Lurus",$S184="Saldo Menurun",$S184="Unit Produksi"),MAX(0,MIN($Z184,IF($S184="Unit Produksi",TahunBuku*12+12,MIN(TahunBuku*12+12,$Y184+$T184*12-1)))-MAX(TahunBuku*12+1,$Y184)+1),0))</f>
        <v/>
      </c>
      <c r="AH184" s="21" t="str">
        <f>IF($B184="","",IFERROR(IF($W184="Garis Lurus",$G184*(1-MIN($V184*12,MAX(0,TahunBuku*12-$Y184+1))/($V184*12)),IF($W184="Saldo Menurun",IF(TahunBuku-1&lt;YEAR($F184),$G184,IF(TahunBuku-1&gt;=INT(($Y184+$V184*12-2)/12),0,$G184*(1-2/$V184*(13-MONTH($F184))/12)*(1-2/$V184)^(TahunBuku-1-YEAR($F184)))),$G184)),$G184))</f>
        <v/>
      </c>
      <c r="AI184" s="21" t="str">
        <f>IF($B184="","",IFERROR(IF($W184="Garis Lurus",$G184*(1-MIN($V184*12,MAX(0,TahunBuku*12+12-$Y184+1))/($V184*12)),IF($W184="Saldo Menurun",IF(TahunBuku&lt;YEAR($F184),$G184,IF(TahunBuku&gt;=INT(($Y184+$V184*12-2)/12),0,$G184*(1-2/$V184*(13-MONTH($F184))/12)*(1-2/$V184)^(TahunBuku-YEAR($F184)))),$G184)),$G184))</f>
        <v/>
      </c>
      <c r="AJ184" s="20" t="str">
        <f>IF($B184="","",IF(OR($W184="Garis Lurus",$W184="Saldo Menurun"),MAX(0,MIN(TahunBuku*12+12,$Y184+$V184*12-1)-MAX(TahunBuku*12+1,$Y184)+1),0))</f>
        <v/>
      </c>
      <c r="AK184" s="20" t="str">
        <f>IF($B184="","",IF(OR($W184="Garis Lurus",$W184="Saldo Menurun"),MAX(0,MIN($Z184,TahunBuku*12+12,$Y184+$V184*12-1)-MAX(TahunBuku*12+1,$Y184)+1),0))</f>
        <v/>
      </c>
      <c r="AL184" s="22" t="str">
        <f>IF($B184="","",$G184*$AA184)</f>
        <v/>
      </c>
      <c r="AM184" s="22" t="str">
        <f>IF($B184="","",$G184*$AB184)</f>
        <v/>
      </c>
      <c r="AN184" s="22" t="str">
        <f>IF($B184="","",$G184*$AC184)</f>
        <v/>
      </c>
      <c r="AO184" s="22" t="str">
        <f>IF($B184="","",AL184+AM184-AN184)</f>
        <v/>
      </c>
      <c r="AP184" s="22" t="str">
        <f>IF($B184="","",($G184-$AD184)*$AA184)</f>
        <v/>
      </c>
      <c r="AQ184" s="22" t="str">
        <f>IF($B184="","",IF($AF184=0,0,($AD184-$AE184)*$AG184/$AF184)*MAX($AA184,$AB184))</f>
        <v/>
      </c>
      <c r="AR184" s="22" t="str">
        <f>IF($B184="","",(AP184+AQ184)*$AC184)</f>
        <v/>
      </c>
      <c r="AS184" s="22" t="str">
        <f>IF($B184="","",AP184+AQ184-AR184)</f>
        <v/>
      </c>
      <c r="AT184" s="22" t="str">
        <f>IF($B184="","",AO184-AS184)</f>
        <v/>
      </c>
      <c r="AU184" s="22" t="str">
        <f>IF($B184="","",IF($AC184=1,N($R184)-($G184-AR184),0))</f>
        <v/>
      </c>
      <c r="AV184" s="22" t="str">
        <f>IF($B184="","",($G184-$AH184)*$AA184)</f>
        <v/>
      </c>
      <c r="AW184" s="22" t="str">
        <f>IF($B184="","",IF($AJ184=0,0,($AH184-$AI184)*$AK184/$AJ184)*MAX($AA184,$AB184))</f>
        <v/>
      </c>
      <c r="AX184" s="22" t="str">
        <f>IF($B184="","",(AV184+AW184)*$AC184)</f>
        <v/>
      </c>
      <c r="AY184" s="22" t="str">
        <f>IF($B184="","",AV184+AW184-AX184)</f>
        <v/>
      </c>
      <c r="AZ184" s="22" t="str">
        <f>IF($B184="","",AO184-AY184)</f>
        <v/>
      </c>
      <c r="BA184" s="22" t="str">
        <f>IF($B184="","",IF($AC184=1,N($R184)-($G184-AX184),0))</f>
        <v/>
      </c>
      <c r="BB184" s="22" t="str">
        <f>IF($B184="","",ROUND(AQ184-AW184,0))</f>
        <v/>
      </c>
      <c r="BC184" s="22" t="str">
        <f>IF($B184="","",ROUND(BA184-AU184,0))</f>
        <v/>
      </c>
      <c r="BD184" s="22" t="str">
        <f>IF($B184="","",BB184+BC184)</f>
        <v/>
      </c>
      <c r="BE184" s="22" t="str">
        <f>IF($B184="","",ROUND(AV184-AP184,0))</f>
        <v/>
      </c>
      <c r="BF184" s="22" t="str">
        <f>IF($B184="","",ROUND(AT184-AZ184,0))</f>
        <v/>
      </c>
      <c r="BG184" s="22" t="str">
        <f>IF($B184="","",ROUND(BF184*TarifPPh,0))</f>
        <v/>
      </c>
      <c r="BH184" t="str">
        <f>IF($B184="","",IF($D184="","Kategori kosong",IF($F184="","Tgl perolehan kosong",IF(N($H184)&gt;$G184,"Residu &gt; harga perolehan",IF(AND(LEFT($U184,8)="Bangunan",$W184="Saldo Menurun"),"Bangunan wajib Garis Lurus (Ps.11 UU PPh)",IF(AND($S184="Unit Produksi",N($K184)=0),"Isi kapasitas unit",IF(AND(OR($S184="Garis Lurus",$S184="Saldo Menurun"),N($T184)&lt;=0),"Umur komersial kosong",IF(AND(OR($W184="Garis Lurus",$W184="Saldo Menurun"),N($V184)&lt;=0),"Masa manfaat fiskal kosong",IF(AND($Q184&lt;&gt;"",$Q184&lt;$F184),"Tgl pelepasan &lt; perolehan","OK")))))))))</f>
        <v/>
      </c>
    </row>
    <row r="185" spans="1:60" x14ac:dyDescent="0.25">
      <c r="A185" t="str">
        <f>IF($B185="","",ROW()-6)</f>
        <v/>
      </c>
      <c r="B185" s="9"/>
      <c r="C185" s="9"/>
      <c r="D185" s="9"/>
      <c r="E185" s="9"/>
      <c r="F185" s="17"/>
      <c r="G185" s="18"/>
      <c r="H185" s="18"/>
      <c r="I185" s="9"/>
      <c r="J185" s="9"/>
      <c r="K185" s="19"/>
      <c r="L185" s="19"/>
      <c r="M185" s="19"/>
      <c r="N185" s="9"/>
      <c r="O185" s="9"/>
      <c r="P185" s="9"/>
      <c r="Q185" s="17"/>
      <c r="R185" s="18"/>
      <c r="S185" t="str">
        <f>IF($B185="","",IF($I185&lt;&gt;"",$I185,IFERROR(INDEX(Kat_Metode,MATCH($D185,Kat_Nama,0)),"")))</f>
        <v/>
      </c>
      <c r="T185" t="str">
        <f>IF($B185="","",IF($J185&lt;&gt;"",$J185,IFERROR(INDEX(Kat_Umur,MATCH($D185,Kat_Nama,0)),0)))</f>
        <v/>
      </c>
      <c r="U185" t="str">
        <f>IF($B185="","",IF($N185&lt;&gt;"",$N185,IFERROR(INDEX(Kat_Kelompok,MATCH($D185,Kat_Nama,0)),"")))</f>
        <v/>
      </c>
      <c r="V185" t="str">
        <f>IF($B185="","",IF($U185="Masa Manfaat Sebenarnya",N($O185),IFERROR(INDEX(Kel_Masa,MATCH($U185,Kel_Nama,0)),0)))</f>
        <v/>
      </c>
      <c r="W185" t="str">
        <f>IF($B185="","",IF($P185&lt;&gt;"",$P185,IF(OR($U185="Tidak Disusutkan",$V185=0),"Tidak Disusutkan","Garis Lurus")))</f>
        <v/>
      </c>
      <c r="X185" t="str">
        <f>IF($B185="","",IF($Y185&gt;TahunBuku*12+12,"Belum Diperoleh",IF($Z185&lt;=TahunBuku*12,"Dilepas (thn lalu)",IF($AC185=1,"Dilepas thn ini",IF($AB185=1,"Perolehan baru","Aktif")))))</f>
        <v/>
      </c>
      <c r="Y185" s="20" t="str">
        <f>IF($B185="","",YEAR($F185)*12+MONTH($F185))</f>
        <v/>
      </c>
      <c r="Z185" s="20" t="str">
        <f>IF($B185="","",IF($Q185="",99999,YEAR($Q185)*12+MONTH($Q185)))</f>
        <v/>
      </c>
      <c r="AA185" s="20" t="str">
        <f>IF($B185="","",--AND($Y185&lt;=TahunBuku*12,$Z185&gt;TahunBuku*12))</f>
        <v/>
      </c>
      <c r="AB185" s="20" t="str">
        <f>IF($B185="","",--AND($Y185&gt;TahunBuku*12,$Y185&lt;=TahunBuku*12+12))</f>
        <v/>
      </c>
      <c r="AC185" s="20" t="str">
        <f>IF($B185="","",--AND($Z185&gt;TahunBuku*12,$Z185&lt;=TahunBuku*12+12,$Y185&lt;=$Z185))</f>
        <v/>
      </c>
      <c r="AD185" s="21" t="str">
        <f>IF($B185="","",IFERROR(IF($S185="Garis Lurus",$G185-($G185-$H185)*MIN($T185*12,MAX(0,TahunBuku*12-$Y185+1))/($T185*12),IF($S185="Saldo Menurun",IF(TahunBuku-1&lt;YEAR($F185),$G185,IF(TahunBuku-1&gt;=INT(($Y185+$T185*12-2)/12),$H185,MAX($H185,$G185*(1-2/$T185*(13-MONTH($F185))/12)*(1-2/$T185)^(TahunBuku-1-YEAR($F185))))),IF($S185="Unit Produksi",$G185-($G185-$H185)*MIN(1,N($L185)/$K185),$G185))),$G185))</f>
        <v/>
      </c>
      <c r="AE185" s="21" t="str">
        <f>IF($B185="","",IFERROR(IF($S185="Garis Lurus",$G185-($G185-$H185)*MIN($T185*12,MAX(0,TahunBuku*12+12-$Y185+1))/($T185*12),IF($S185="Saldo Menurun",IF(TahunBuku&lt;YEAR($F185),$G185,IF(TahunBuku&gt;=INT(($Y185+$T185*12-2)/12),$H185,MAX($H185,$G185*(1-2/$T185*(13-MONTH($F185))/12)*(1-2/$T185)^(TahunBuku-YEAR($F185))))),IF($S185="Unit Produksi",$G185-($G185-$H185)*MIN(1,(N($L185)+N($M185))/$K185),$G185))),$G185))</f>
        <v/>
      </c>
      <c r="AF185" s="20" t="str">
        <f>IF($B185="","",IF(OR($S185="Garis Lurus",$S185="Saldo Menurun",$S185="Unit Produksi"),MAX(0,IF($S185="Unit Produksi",TahunBuku*12+12,MIN(TahunBuku*12+12,$Y185+$T185*12-1))-MAX(TahunBuku*12+1,$Y185)+1),0))</f>
        <v/>
      </c>
      <c r="AG185" s="20" t="str">
        <f>IF($B185="","",IF(OR($S185="Garis Lurus",$S185="Saldo Menurun",$S185="Unit Produksi"),MAX(0,MIN($Z185,IF($S185="Unit Produksi",TahunBuku*12+12,MIN(TahunBuku*12+12,$Y185+$T185*12-1)))-MAX(TahunBuku*12+1,$Y185)+1),0))</f>
        <v/>
      </c>
      <c r="AH185" s="21" t="str">
        <f>IF($B185="","",IFERROR(IF($W185="Garis Lurus",$G185*(1-MIN($V185*12,MAX(0,TahunBuku*12-$Y185+1))/($V185*12)),IF($W185="Saldo Menurun",IF(TahunBuku-1&lt;YEAR($F185),$G185,IF(TahunBuku-1&gt;=INT(($Y185+$V185*12-2)/12),0,$G185*(1-2/$V185*(13-MONTH($F185))/12)*(1-2/$V185)^(TahunBuku-1-YEAR($F185)))),$G185)),$G185))</f>
        <v/>
      </c>
      <c r="AI185" s="21" t="str">
        <f>IF($B185="","",IFERROR(IF($W185="Garis Lurus",$G185*(1-MIN($V185*12,MAX(0,TahunBuku*12+12-$Y185+1))/($V185*12)),IF($W185="Saldo Menurun",IF(TahunBuku&lt;YEAR($F185),$G185,IF(TahunBuku&gt;=INT(($Y185+$V185*12-2)/12),0,$G185*(1-2/$V185*(13-MONTH($F185))/12)*(1-2/$V185)^(TahunBuku-YEAR($F185)))),$G185)),$G185))</f>
        <v/>
      </c>
      <c r="AJ185" s="20" t="str">
        <f>IF($B185="","",IF(OR($W185="Garis Lurus",$W185="Saldo Menurun"),MAX(0,MIN(TahunBuku*12+12,$Y185+$V185*12-1)-MAX(TahunBuku*12+1,$Y185)+1),0))</f>
        <v/>
      </c>
      <c r="AK185" s="20" t="str">
        <f>IF($B185="","",IF(OR($W185="Garis Lurus",$W185="Saldo Menurun"),MAX(0,MIN($Z185,TahunBuku*12+12,$Y185+$V185*12-1)-MAX(TahunBuku*12+1,$Y185)+1),0))</f>
        <v/>
      </c>
      <c r="AL185" s="22" t="str">
        <f>IF($B185="","",$G185*$AA185)</f>
        <v/>
      </c>
      <c r="AM185" s="22" t="str">
        <f>IF($B185="","",$G185*$AB185)</f>
        <v/>
      </c>
      <c r="AN185" s="22" t="str">
        <f>IF($B185="","",$G185*$AC185)</f>
        <v/>
      </c>
      <c r="AO185" s="22" t="str">
        <f>IF($B185="","",AL185+AM185-AN185)</f>
        <v/>
      </c>
      <c r="AP185" s="22" t="str">
        <f>IF($B185="","",($G185-$AD185)*$AA185)</f>
        <v/>
      </c>
      <c r="AQ185" s="22" t="str">
        <f>IF($B185="","",IF($AF185=0,0,($AD185-$AE185)*$AG185/$AF185)*MAX($AA185,$AB185))</f>
        <v/>
      </c>
      <c r="AR185" s="22" t="str">
        <f>IF($B185="","",(AP185+AQ185)*$AC185)</f>
        <v/>
      </c>
      <c r="AS185" s="22" t="str">
        <f>IF($B185="","",AP185+AQ185-AR185)</f>
        <v/>
      </c>
      <c r="AT185" s="22" t="str">
        <f>IF($B185="","",AO185-AS185)</f>
        <v/>
      </c>
      <c r="AU185" s="22" t="str">
        <f>IF($B185="","",IF($AC185=1,N($R185)-($G185-AR185),0))</f>
        <v/>
      </c>
      <c r="AV185" s="22" t="str">
        <f>IF($B185="","",($G185-$AH185)*$AA185)</f>
        <v/>
      </c>
      <c r="AW185" s="22" t="str">
        <f>IF($B185="","",IF($AJ185=0,0,($AH185-$AI185)*$AK185/$AJ185)*MAX($AA185,$AB185))</f>
        <v/>
      </c>
      <c r="AX185" s="22" t="str">
        <f>IF($B185="","",(AV185+AW185)*$AC185)</f>
        <v/>
      </c>
      <c r="AY185" s="22" t="str">
        <f>IF($B185="","",AV185+AW185-AX185)</f>
        <v/>
      </c>
      <c r="AZ185" s="22" t="str">
        <f>IF($B185="","",AO185-AY185)</f>
        <v/>
      </c>
      <c r="BA185" s="22" t="str">
        <f>IF($B185="","",IF($AC185=1,N($R185)-($G185-AX185),0))</f>
        <v/>
      </c>
      <c r="BB185" s="22" t="str">
        <f>IF($B185="","",ROUND(AQ185-AW185,0))</f>
        <v/>
      </c>
      <c r="BC185" s="22" t="str">
        <f>IF($B185="","",ROUND(BA185-AU185,0))</f>
        <v/>
      </c>
      <c r="BD185" s="22" t="str">
        <f>IF($B185="","",BB185+BC185)</f>
        <v/>
      </c>
      <c r="BE185" s="22" t="str">
        <f>IF($B185="","",ROUND(AV185-AP185,0))</f>
        <v/>
      </c>
      <c r="BF185" s="22" t="str">
        <f>IF($B185="","",ROUND(AT185-AZ185,0))</f>
        <v/>
      </c>
      <c r="BG185" s="22" t="str">
        <f>IF($B185="","",ROUND(BF185*TarifPPh,0))</f>
        <v/>
      </c>
      <c r="BH185" t="str">
        <f>IF($B185="","",IF($D185="","Kategori kosong",IF($F185="","Tgl perolehan kosong",IF(N($H185)&gt;$G185,"Residu &gt; harga perolehan",IF(AND(LEFT($U185,8)="Bangunan",$W185="Saldo Menurun"),"Bangunan wajib Garis Lurus (Ps.11 UU PPh)",IF(AND($S185="Unit Produksi",N($K185)=0),"Isi kapasitas unit",IF(AND(OR($S185="Garis Lurus",$S185="Saldo Menurun"),N($T185)&lt;=0),"Umur komersial kosong",IF(AND(OR($W185="Garis Lurus",$W185="Saldo Menurun"),N($V185)&lt;=0),"Masa manfaat fiskal kosong",IF(AND($Q185&lt;&gt;"",$Q185&lt;$F185),"Tgl pelepasan &lt; perolehan","OK")))))))))</f>
        <v/>
      </c>
    </row>
    <row r="186" spans="1:60" x14ac:dyDescent="0.25">
      <c r="A186" t="str">
        <f>IF($B186="","",ROW()-6)</f>
        <v/>
      </c>
      <c r="B186" s="9"/>
      <c r="C186" s="9"/>
      <c r="D186" s="9"/>
      <c r="E186" s="9"/>
      <c r="F186" s="17"/>
      <c r="G186" s="18"/>
      <c r="H186" s="18"/>
      <c r="I186" s="9"/>
      <c r="J186" s="9"/>
      <c r="K186" s="19"/>
      <c r="L186" s="19"/>
      <c r="M186" s="19"/>
      <c r="N186" s="9"/>
      <c r="O186" s="9"/>
      <c r="P186" s="9"/>
      <c r="Q186" s="17"/>
      <c r="R186" s="18"/>
      <c r="S186" t="str">
        <f>IF($B186="","",IF($I186&lt;&gt;"",$I186,IFERROR(INDEX(Kat_Metode,MATCH($D186,Kat_Nama,0)),"")))</f>
        <v/>
      </c>
      <c r="T186" t="str">
        <f>IF($B186="","",IF($J186&lt;&gt;"",$J186,IFERROR(INDEX(Kat_Umur,MATCH($D186,Kat_Nama,0)),0)))</f>
        <v/>
      </c>
      <c r="U186" t="str">
        <f>IF($B186="","",IF($N186&lt;&gt;"",$N186,IFERROR(INDEX(Kat_Kelompok,MATCH($D186,Kat_Nama,0)),"")))</f>
        <v/>
      </c>
      <c r="V186" t="str">
        <f>IF($B186="","",IF($U186="Masa Manfaat Sebenarnya",N($O186),IFERROR(INDEX(Kel_Masa,MATCH($U186,Kel_Nama,0)),0)))</f>
        <v/>
      </c>
      <c r="W186" t="str">
        <f>IF($B186="","",IF($P186&lt;&gt;"",$P186,IF(OR($U186="Tidak Disusutkan",$V186=0),"Tidak Disusutkan","Garis Lurus")))</f>
        <v/>
      </c>
      <c r="X186" t="str">
        <f>IF($B186="","",IF($Y186&gt;TahunBuku*12+12,"Belum Diperoleh",IF($Z186&lt;=TahunBuku*12,"Dilepas (thn lalu)",IF($AC186=1,"Dilepas thn ini",IF($AB186=1,"Perolehan baru","Aktif")))))</f>
        <v/>
      </c>
      <c r="Y186" s="20" t="str">
        <f>IF($B186="","",YEAR($F186)*12+MONTH($F186))</f>
        <v/>
      </c>
      <c r="Z186" s="20" t="str">
        <f>IF($B186="","",IF($Q186="",99999,YEAR($Q186)*12+MONTH($Q186)))</f>
        <v/>
      </c>
      <c r="AA186" s="20" t="str">
        <f>IF($B186="","",--AND($Y186&lt;=TahunBuku*12,$Z186&gt;TahunBuku*12))</f>
        <v/>
      </c>
      <c r="AB186" s="20" t="str">
        <f>IF($B186="","",--AND($Y186&gt;TahunBuku*12,$Y186&lt;=TahunBuku*12+12))</f>
        <v/>
      </c>
      <c r="AC186" s="20" t="str">
        <f>IF($B186="","",--AND($Z186&gt;TahunBuku*12,$Z186&lt;=TahunBuku*12+12,$Y186&lt;=$Z186))</f>
        <v/>
      </c>
      <c r="AD186" s="21" t="str">
        <f>IF($B186="","",IFERROR(IF($S186="Garis Lurus",$G186-($G186-$H186)*MIN($T186*12,MAX(0,TahunBuku*12-$Y186+1))/($T186*12),IF($S186="Saldo Menurun",IF(TahunBuku-1&lt;YEAR($F186),$G186,IF(TahunBuku-1&gt;=INT(($Y186+$T186*12-2)/12),$H186,MAX($H186,$G186*(1-2/$T186*(13-MONTH($F186))/12)*(1-2/$T186)^(TahunBuku-1-YEAR($F186))))),IF($S186="Unit Produksi",$G186-($G186-$H186)*MIN(1,N($L186)/$K186),$G186))),$G186))</f>
        <v/>
      </c>
      <c r="AE186" s="21" t="str">
        <f>IF($B186="","",IFERROR(IF($S186="Garis Lurus",$G186-($G186-$H186)*MIN($T186*12,MAX(0,TahunBuku*12+12-$Y186+1))/($T186*12),IF($S186="Saldo Menurun",IF(TahunBuku&lt;YEAR($F186),$G186,IF(TahunBuku&gt;=INT(($Y186+$T186*12-2)/12),$H186,MAX($H186,$G186*(1-2/$T186*(13-MONTH($F186))/12)*(1-2/$T186)^(TahunBuku-YEAR($F186))))),IF($S186="Unit Produksi",$G186-($G186-$H186)*MIN(1,(N($L186)+N($M186))/$K186),$G186))),$G186))</f>
        <v/>
      </c>
      <c r="AF186" s="20" t="str">
        <f>IF($B186="","",IF(OR($S186="Garis Lurus",$S186="Saldo Menurun",$S186="Unit Produksi"),MAX(0,IF($S186="Unit Produksi",TahunBuku*12+12,MIN(TahunBuku*12+12,$Y186+$T186*12-1))-MAX(TahunBuku*12+1,$Y186)+1),0))</f>
        <v/>
      </c>
      <c r="AG186" s="20" t="str">
        <f>IF($B186="","",IF(OR($S186="Garis Lurus",$S186="Saldo Menurun",$S186="Unit Produksi"),MAX(0,MIN($Z186,IF($S186="Unit Produksi",TahunBuku*12+12,MIN(TahunBuku*12+12,$Y186+$T186*12-1)))-MAX(TahunBuku*12+1,$Y186)+1),0))</f>
        <v/>
      </c>
      <c r="AH186" s="21" t="str">
        <f>IF($B186="","",IFERROR(IF($W186="Garis Lurus",$G186*(1-MIN($V186*12,MAX(0,TahunBuku*12-$Y186+1))/($V186*12)),IF($W186="Saldo Menurun",IF(TahunBuku-1&lt;YEAR($F186),$G186,IF(TahunBuku-1&gt;=INT(($Y186+$V186*12-2)/12),0,$G186*(1-2/$V186*(13-MONTH($F186))/12)*(1-2/$V186)^(TahunBuku-1-YEAR($F186)))),$G186)),$G186))</f>
        <v/>
      </c>
      <c r="AI186" s="21" t="str">
        <f>IF($B186="","",IFERROR(IF($W186="Garis Lurus",$G186*(1-MIN($V186*12,MAX(0,TahunBuku*12+12-$Y186+1))/($V186*12)),IF($W186="Saldo Menurun",IF(TahunBuku&lt;YEAR($F186),$G186,IF(TahunBuku&gt;=INT(($Y186+$V186*12-2)/12),0,$G186*(1-2/$V186*(13-MONTH($F186))/12)*(1-2/$V186)^(TahunBuku-YEAR($F186)))),$G186)),$G186))</f>
        <v/>
      </c>
      <c r="AJ186" s="20" t="str">
        <f>IF($B186="","",IF(OR($W186="Garis Lurus",$W186="Saldo Menurun"),MAX(0,MIN(TahunBuku*12+12,$Y186+$V186*12-1)-MAX(TahunBuku*12+1,$Y186)+1),0))</f>
        <v/>
      </c>
      <c r="AK186" s="20" t="str">
        <f>IF($B186="","",IF(OR($W186="Garis Lurus",$W186="Saldo Menurun"),MAX(0,MIN($Z186,TahunBuku*12+12,$Y186+$V186*12-1)-MAX(TahunBuku*12+1,$Y186)+1),0))</f>
        <v/>
      </c>
      <c r="AL186" s="22" t="str">
        <f>IF($B186="","",$G186*$AA186)</f>
        <v/>
      </c>
      <c r="AM186" s="22" t="str">
        <f>IF($B186="","",$G186*$AB186)</f>
        <v/>
      </c>
      <c r="AN186" s="22" t="str">
        <f>IF($B186="","",$G186*$AC186)</f>
        <v/>
      </c>
      <c r="AO186" s="22" t="str">
        <f>IF($B186="","",AL186+AM186-AN186)</f>
        <v/>
      </c>
      <c r="AP186" s="22" t="str">
        <f>IF($B186="","",($G186-$AD186)*$AA186)</f>
        <v/>
      </c>
      <c r="AQ186" s="22" t="str">
        <f>IF($B186="","",IF($AF186=0,0,($AD186-$AE186)*$AG186/$AF186)*MAX($AA186,$AB186))</f>
        <v/>
      </c>
      <c r="AR186" s="22" t="str">
        <f>IF($B186="","",(AP186+AQ186)*$AC186)</f>
        <v/>
      </c>
      <c r="AS186" s="22" t="str">
        <f>IF($B186="","",AP186+AQ186-AR186)</f>
        <v/>
      </c>
      <c r="AT186" s="22" t="str">
        <f>IF($B186="","",AO186-AS186)</f>
        <v/>
      </c>
      <c r="AU186" s="22" t="str">
        <f>IF($B186="","",IF($AC186=1,N($R186)-($G186-AR186),0))</f>
        <v/>
      </c>
      <c r="AV186" s="22" t="str">
        <f>IF($B186="","",($G186-$AH186)*$AA186)</f>
        <v/>
      </c>
      <c r="AW186" s="22" t="str">
        <f>IF($B186="","",IF($AJ186=0,0,($AH186-$AI186)*$AK186/$AJ186)*MAX($AA186,$AB186))</f>
        <v/>
      </c>
      <c r="AX186" s="22" t="str">
        <f>IF($B186="","",(AV186+AW186)*$AC186)</f>
        <v/>
      </c>
      <c r="AY186" s="22" t="str">
        <f>IF($B186="","",AV186+AW186-AX186)</f>
        <v/>
      </c>
      <c r="AZ186" s="22" t="str">
        <f>IF($B186="","",AO186-AY186)</f>
        <v/>
      </c>
      <c r="BA186" s="22" t="str">
        <f>IF($B186="","",IF($AC186=1,N($R186)-($G186-AX186),0))</f>
        <v/>
      </c>
      <c r="BB186" s="22" t="str">
        <f>IF($B186="","",ROUND(AQ186-AW186,0))</f>
        <v/>
      </c>
      <c r="BC186" s="22" t="str">
        <f>IF($B186="","",ROUND(BA186-AU186,0))</f>
        <v/>
      </c>
      <c r="BD186" s="22" t="str">
        <f>IF($B186="","",BB186+BC186)</f>
        <v/>
      </c>
      <c r="BE186" s="22" t="str">
        <f>IF($B186="","",ROUND(AV186-AP186,0))</f>
        <v/>
      </c>
      <c r="BF186" s="22" t="str">
        <f>IF($B186="","",ROUND(AT186-AZ186,0))</f>
        <v/>
      </c>
      <c r="BG186" s="22" t="str">
        <f>IF($B186="","",ROUND(BF186*TarifPPh,0))</f>
        <v/>
      </c>
      <c r="BH186" t="str">
        <f>IF($B186="","",IF($D186="","Kategori kosong",IF($F186="","Tgl perolehan kosong",IF(N($H186)&gt;$G186,"Residu &gt; harga perolehan",IF(AND(LEFT($U186,8)="Bangunan",$W186="Saldo Menurun"),"Bangunan wajib Garis Lurus (Ps.11 UU PPh)",IF(AND($S186="Unit Produksi",N($K186)=0),"Isi kapasitas unit",IF(AND(OR($S186="Garis Lurus",$S186="Saldo Menurun"),N($T186)&lt;=0),"Umur komersial kosong",IF(AND(OR($W186="Garis Lurus",$W186="Saldo Menurun"),N($V186)&lt;=0),"Masa manfaat fiskal kosong",IF(AND($Q186&lt;&gt;"",$Q186&lt;$F186),"Tgl pelepasan &lt; perolehan","OK")))))))))</f>
        <v/>
      </c>
    </row>
    <row r="187" spans="1:60" x14ac:dyDescent="0.25">
      <c r="A187" t="str">
        <f>IF($B187="","",ROW()-6)</f>
        <v/>
      </c>
      <c r="B187" s="9"/>
      <c r="C187" s="9"/>
      <c r="D187" s="9"/>
      <c r="E187" s="9"/>
      <c r="F187" s="17"/>
      <c r="G187" s="18"/>
      <c r="H187" s="18"/>
      <c r="I187" s="9"/>
      <c r="J187" s="9"/>
      <c r="K187" s="19"/>
      <c r="L187" s="19"/>
      <c r="M187" s="19"/>
      <c r="N187" s="9"/>
      <c r="O187" s="9"/>
      <c r="P187" s="9"/>
      <c r="Q187" s="17"/>
      <c r="R187" s="18"/>
      <c r="S187" t="str">
        <f>IF($B187="","",IF($I187&lt;&gt;"",$I187,IFERROR(INDEX(Kat_Metode,MATCH($D187,Kat_Nama,0)),"")))</f>
        <v/>
      </c>
      <c r="T187" t="str">
        <f>IF($B187="","",IF($J187&lt;&gt;"",$J187,IFERROR(INDEX(Kat_Umur,MATCH($D187,Kat_Nama,0)),0)))</f>
        <v/>
      </c>
      <c r="U187" t="str">
        <f>IF($B187="","",IF($N187&lt;&gt;"",$N187,IFERROR(INDEX(Kat_Kelompok,MATCH($D187,Kat_Nama,0)),"")))</f>
        <v/>
      </c>
      <c r="V187" t="str">
        <f>IF($B187="","",IF($U187="Masa Manfaat Sebenarnya",N($O187),IFERROR(INDEX(Kel_Masa,MATCH($U187,Kel_Nama,0)),0)))</f>
        <v/>
      </c>
      <c r="W187" t="str">
        <f>IF($B187="","",IF($P187&lt;&gt;"",$P187,IF(OR($U187="Tidak Disusutkan",$V187=0),"Tidak Disusutkan","Garis Lurus")))</f>
        <v/>
      </c>
      <c r="X187" t="str">
        <f>IF($B187="","",IF($Y187&gt;TahunBuku*12+12,"Belum Diperoleh",IF($Z187&lt;=TahunBuku*12,"Dilepas (thn lalu)",IF($AC187=1,"Dilepas thn ini",IF($AB187=1,"Perolehan baru","Aktif")))))</f>
        <v/>
      </c>
      <c r="Y187" s="20" t="str">
        <f>IF($B187="","",YEAR($F187)*12+MONTH($F187))</f>
        <v/>
      </c>
      <c r="Z187" s="20" t="str">
        <f>IF($B187="","",IF($Q187="",99999,YEAR($Q187)*12+MONTH($Q187)))</f>
        <v/>
      </c>
      <c r="AA187" s="20" t="str">
        <f>IF($B187="","",--AND($Y187&lt;=TahunBuku*12,$Z187&gt;TahunBuku*12))</f>
        <v/>
      </c>
      <c r="AB187" s="20" t="str">
        <f>IF($B187="","",--AND($Y187&gt;TahunBuku*12,$Y187&lt;=TahunBuku*12+12))</f>
        <v/>
      </c>
      <c r="AC187" s="20" t="str">
        <f>IF($B187="","",--AND($Z187&gt;TahunBuku*12,$Z187&lt;=TahunBuku*12+12,$Y187&lt;=$Z187))</f>
        <v/>
      </c>
      <c r="AD187" s="21" t="str">
        <f>IF($B187="","",IFERROR(IF($S187="Garis Lurus",$G187-($G187-$H187)*MIN($T187*12,MAX(0,TahunBuku*12-$Y187+1))/($T187*12),IF($S187="Saldo Menurun",IF(TahunBuku-1&lt;YEAR($F187),$G187,IF(TahunBuku-1&gt;=INT(($Y187+$T187*12-2)/12),$H187,MAX($H187,$G187*(1-2/$T187*(13-MONTH($F187))/12)*(1-2/$T187)^(TahunBuku-1-YEAR($F187))))),IF($S187="Unit Produksi",$G187-($G187-$H187)*MIN(1,N($L187)/$K187),$G187))),$G187))</f>
        <v/>
      </c>
      <c r="AE187" s="21" t="str">
        <f>IF($B187="","",IFERROR(IF($S187="Garis Lurus",$G187-($G187-$H187)*MIN($T187*12,MAX(0,TahunBuku*12+12-$Y187+1))/($T187*12),IF($S187="Saldo Menurun",IF(TahunBuku&lt;YEAR($F187),$G187,IF(TahunBuku&gt;=INT(($Y187+$T187*12-2)/12),$H187,MAX($H187,$G187*(1-2/$T187*(13-MONTH($F187))/12)*(1-2/$T187)^(TahunBuku-YEAR($F187))))),IF($S187="Unit Produksi",$G187-($G187-$H187)*MIN(1,(N($L187)+N($M187))/$K187),$G187))),$G187))</f>
        <v/>
      </c>
      <c r="AF187" s="20" t="str">
        <f>IF($B187="","",IF(OR($S187="Garis Lurus",$S187="Saldo Menurun",$S187="Unit Produksi"),MAX(0,IF($S187="Unit Produksi",TahunBuku*12+12,MIN(TahunBuku*12+12,$Y187+$T187*12-1))-MAX(TahunBuku*12+1,$Y187)+1),0))</f>
        <v/>
      </c>
      <c r="AG187" s="20" t="str">
        <f>IF($B187="","",IF(OR($S187="Garis Lurus",$S187="Saldo Menurun",$S187="Unit Produksi"),MAX(0,MIN($Z187,IF($S187="Unit Produksi",TahunBuku*12+12,MIN(TahunBuku*12+12,$Y187+$T187*12-1)))-MAX(TahunBuku*12+1,$Y187)+1),0))</f>
        <v/>
      </c>
      <c r="AH187" s="21" t="str">
        <f>IF($B187="","",IFERROR(IF($W187="Garis Lurus",$G187*(1-MIN($V187*12,MAX(0,TahunBuku*12-$Y187+1))/($V187*12)),IF($W187="Saldo Menurun",IF(TahunBuku-1&lt;YEAR($F187),$G187,IF(TahunBuku-1&gt;=INT(($Y187+$V187*12-2)/12),0,$G187*(1-2/$V187*(13-MONTH($F187))/12)*(1-2/$V187)^(TahunBuku-1-YEAR($F187)))),$G187)),$G187))</f>
        <v/>
      </c>
      <c r="AI187" s="21" t="str">
        <f>IF($B187="","",IFERROR(IF($W187="Garis Lurus",$G187*(1-MIN($V187*12,MAX(0,TahunBuku*12+12-$Y187+1))/($V187*12)),IF($W187="Saldo Menurun",IF(TahunBuku&lt;YEAR($F187),$G187,IF(TahunBuku&gt;=INT(($Y187+$V187*12-2)/12),0,$G187*(1-2/$V187*(13-MONTH($F187))/12)*(1-2/$V187)^(TahunBuku-YEAR($F187)))),$G187)),$G187))</f>
        <v/>
      </c>
      <c r="AJ187" s="20" t="str">
        <f>IF($B187="","",IF(OR($W187="Garis Lurus",$W187="Saldo Menurun"),MAX(0,MIN(TahunBuku*12+12,$Y187+$V187*12-1)-MAX(TahunBuku*12+1,$Y187)+1),0))</f>
        <v/>
      </c>
      <c r="AK187" s="20" t="str">
        <f>IF($B187="","",IF(OR($W187="Garis Lurus",$W187="Saldo Menurun"),MAX(0,MIN($Z187,TahunBuku*12+12,$Y187+$V187*12-1)-MAX(TahunBuku*12+1,$Y187)+1),0))</f>
        <v/>
      </c>
      <c r="AL187" s="22" t="str">
        <f>IF($B187="","",$G187*$AA187)</f>
        <v/>
      </c>
      <c r="AM187" s="22" t="str">
        <f>IF($B187="","",$G187*$AB187)</f>
        <v/>
      </c>
      <c r="AN187" s="22" t="str">
        <f>IF($B187="","",$G187*$AC187)</f>
        <v/>
      </c>
      <c r="AO187" s="22" t="str">
        <f>IF($B187="","",AL187+AM187-AN187)</f>
        <v/>
      </c>
      <c r="AP187" s="22" t="str">
        <f>IF($B187="","",($G187-$AD187)*$AA187)</f>
        <v/>
      </c>
      <c r="AQ187" s="22" t="str">
        <f>IF($B187="","",IF($AF187=0,0,($AD187-$AE187)*$AG187/$AF187)*MAX($AA187,$AB187))</f>
        <v/>
      </c>
      <c r="AR187" s="22" t="str">
        <f>IF($B187="","",(AP187+AQ187)*$AC187)</f>
        <v/>
      </c>
      <c r="AS187" s="22" t="str">
        <f>IF($B187="","",AP187+AQ187-AR187)</f>
        <v/>
      </c>
      <c r="AT187" s="22" t="str">
        <f>IF($B187="","",AO187-AS187)</f>
        <v/>
      </c>
      <c r="AU187" s="22" t="str">
        <f>IF($B187="","",IF($AC187=1,N($R187)-($G187-AR187),0))</f>
        <v/>
      </c>
      <c r="AV187" s="22" t="str">
        <f>IF($B187="","",($G187-$AH187)*$AA187)</f>
        <v/>
      </c>
      <c r="AW187" s="22" t="str">
        <f>IF($B187="","",IF($AJ187=0,0,($AH187-$AI187)*$AK187/$AJ187)*MAX($AA187,$AB187))</f>
        <v/>
      </c>
      <c r="AX187" s="22" t="str">
        <f>IF($B187="","",(AV187+AW187)*$AC187)</f>
        <v/>
      </c>
      <c r="AY187" s="22" t="str">
        <f>IF($B187="","",AV187+AW187-AX187)</f>
        <v/>
      </c>
      <c r="AZ187" s="22" t="str">
        <f>IF($B187="","",AO187-AY187)</f>
        <v/>
      </c>
      <c r="BA187" s="22" t="str">
        <f>IF($B187="","",IF($AC187=1,N($R187)-($G187-AX187),0))</f>
        <v/>
      </c>
      <c r="BB187" s="22" t="str">
        <f>IF($B187="","",ROUND(AQ187-AW187,0))</f>
        <v/>
      </c>
      <c r="BC187" s="22" t="str">
        <f>IF($B187="","",ROUND(BA187-AU187,0))</f>
        <v/>
      </c>
      <c r="BD187" s="22" t="str">
        <f>IF($B187="","",BB187+BC187)</f>
        <v/>
      </c>
      <c r="BE187" s="22" t="str">
        <f>IF($B187="","",ROUND(AV187-AP187,0))</f>
        <v/>
      </c>
      <c r="BF187" s="22" t="str">
        <f>IF($B187="","",ROUND(AT187-AZ187,0))</f>
        <v/>
      </c>
      <c r="BG187" s="22" t="str">
        <f>IF($B187="","",ROUND(BF187*TarifPPh,0))</f>
        <v/>
      </c>
      <c r="BH187" t="str">
        <f>IF($B187="","",IF($D187="","Kategori kosong",IF($F187="","Tgl perolehan kosong",IF(N($H187)&gt;$G187,"Residu &gt; harga perolehan",IF(AND(LEFT($U187,8)="Bangunan",$W187="Saldo Menurun"),"Bangunan wajib Garis Lurus (Ps.11 UU PPh)",IF(AND($S187="Unit Produksi",N($K187)=0),"Isi kapasitas unit",IF(AND(OR($S187="Garis Lurus",$S187="Saldo Menurun"),N($T187)&lt;=0),"Umur komersial kosong",IF(AND(OR($W187="Garis Lurus",$W187="Saldo Menurun"),N($V187)&lt;=0),"Masa manfaat fiskal kosong",IF(AND($Q187&lt;&gt;"",$Q187&lt;$F187),"Tgl pelepasan &lt; perolehan","OK")))))))))</f>
        <v/>
      </c>
    </row>
    <row r="188" spans="1:60" x14ac:dyDescent="0.25">
      <c r="A188" t="str">
        <f>IF($B188="","",ROW()-6)</f>
        <v/>
      </c>
      <c r="B188" s="9"/>
      <c r="C188" s="9"/>
      <c r="D188" s="9"/>
      <c r="E188" s="9"/>
      <c r="F188" s="17"/>
      <c r="G188" s="18"/>
      <c r="H188" s="18"/>
      <c r="I188" s="9"/>
      <c r="J188" s="9"/>
      <c r="K188" s="19"/>
      <c r="L188" s="19"/>
      <c r="M188" s="19"/>
      <c r="N188" s="9"/>
      <c r="O188" s="9"/>
      <c r="P188" s="9"/>
      <c r="Q188" s="17"/>
      <c r="R188" s="18"/>
      <c r="S188" t="str">
        <f>IF($B188="","",IF($I188&lt;&gt;"",$I188,IFERROR(INDEX(Kat_Metode,MATCH($D188,Kat_Nama,0)),"")))</f>
        <v/>
      </c>
      <c r="T188" t="str">
        <f>IF($B188="","",IF($J188&lt;&gt;"",$J188,IFERROR(INDEX(Kat_Umur,MATCH($D188,Kat_Nama,0)),0)))</f>
        <v/>
      </c>
      <c r="U188" t="str">
        <f>IF($B188="","",IF($N188&lt;&gt;"",$N188,IFERROR(INDEX(Kat_Kelompok,MATCH($D188,Kat_Nama,0)),"")))</f>
        <v/>
      </c>
      <c r="V188" t="str">
        <f>IF($B188="","",IF($U188="Masa Manfaat Sebenarnya",N($O188),IFERROR(INDEX(Kel_Masa,MATCH($U188,Kel_Nama,0)),0)))</f>
        <v/>
      </c>
      <c r="W188" t="str">
        <f>IF($B188="","",IF($P188&lt;&gt;"",$P188,IF(OR($U188="Tidak Disusutkan",$V188=0),"Tidak Disusutkan","Garis Lurus")))</f>
        <v/>
      </c>
      <c r="X188" t="str">
        <f>IF($B188="","",IF($Y188&gt;TahunBuku*12+12,"Belum Diperoleh",IF($Z188&lt;=TahunBuku*12,"Dilepas (thn lalu)",IF($AC188=1,"Dilepas thn ini",IF($AB188=1,"Perolehan baru","Aktif")))))</f>
        <v/>
      </c>
      <c r="Y188" s="20" t="str">
        <f>IF($B188="","",YEAR($F188)*12+MONTH($F188))</f>
        <v/>
      </c>
      <c r="Z188" s="20" t="str">
        <f>IF($B188="","",IF($Q188="",99999,YEAR($Q188)*12+MONTH($Q188)))</f>
        <v/>
      </c>
      <c r="AA188" s="20" t="str">
        <f>IF($B188="","",--AND($Y188&lt;=TahunBuku*12,$Z188&gt;TahunBuku*12))</f>
        <v/>
      </c>
      <c r="AB188" s="20" t="str">
        <f>IF($B188="","",--AND($Y188&gt;TahunBuku*12,$Y188&lt;=TahunBuku*12+12))</f>
        <v/>
      </c>
      <c r="AC188" s="20" t="str">
        <f>IF($B188="","",--AND($Z188&gt;TahunBuku*12,$Z188&lt;=TahunBuku*12+12,$Y188&lt;=$Z188))</f>
        <v/>
      </c>
      <c r="AD188" s="21" t="str">
        <f>IF($B188="","",IFERROR(IF($S188="Garis Lurus",$G188-($G188-$H188)*MIN($T188*12,MAX(0,TahunBuku*12-$Y188+1))/($T188*12),IF($S188="Saldo Menurun",IF(TahunBuku-1&lt;YEAR($F188),$G188,IF(TahunBuku-1&gt;=INT(($Y188+$T188*12-2)/12),$H188,MAX($H188,$G188*(1-2/$T188*(13-MONTH($F188))/12)*(1-2/$T188)^(TahunBuku-1-YEAR($F188))))),IF($S188="Unit Produksi",$G188-($G188-$H188)*MIN(1,N($L188)/$K188),$G188))),$G188))</f>
        <v/>
      </c>
      <c r="AE188" s="21" t="str">
        <f>IF($B188="","",IFERROR(IF($S188="Garis Lurus",$G188-($G188-$H188)*MIN($T188*12,MAX(0,TahunBuku*12+12-$Y188+1))/($T188*12),IF($S188="Saldo Menurun",IF(TahunBuku&lt;YEAR($F188),$G188,IF(TahunBuku&gt;=INT(($Y188+$T188*12-2)/12),$H188,MAX($H188,$G188*(1-2/$T188*(13-MONTH($F188))/12)*(1-2/$T188)^(TahunBuku-YEAR($F188))))),IF($S188="Unit Produksi",$G188-($G188-$H188)*MIN(1,(N($L188)+N($M188))/$K188),$G188))),$G188))</f>
        <v/>
      </c>
      <c r="AF188" s="20" t="str">
        <f>IF($B188="","",IF(OR($S188="Garis Lurus",$S188="Saldo Menurun",$S188="Unit Produksi"),MAX(0,IF($S188="Unit Produksi",TahunBuku*12+12,MIN(TahunBuku*12+12,$Y188+$T188*12-1))-MAX(TahunBuku*12+1,$Y188)+1),0))</f>
        <v/>
      </c>
      <c r="AG188" s="20" t="str">
        <f>IF($B188="","",IF(OR($S188="Garis Lurus",$S188="Saldo Menurun",$S188="Unit Produksi"),MAX(0,MIN($Z188,IF($S188="Unit Produksi",TahunBuku*12+12,MIN(TahunBuku*12+12,$Y188+$T188*12-1)))-MAX(TahunBuku*12+1,$Y188)+1),0))</f>
        <v/>
      </c>
      <c r="AH188" s="21" t="str">
        <f>IF($B188="","",IFERROR(IF($W188="Garis Lurus",$G188*(1-MIN($V188*12,MAX(0,TahunBuku*12-$Y188+1))/($V188*12)),IF($W188="Saldo Menurun",IF(TahunBuku-1&lt;YEAR($F188),$G188,IF(TahunBuku-1&gt;=INT(($Y188+$V188*12-2)/12),0,$G188*(1-2/$V188*(13-MONTH($F188))/12)*(1-2/$V188)^(TahunBuku-1-YEAR($F188)))),$G188)),$G188))</f>
        <v/>
      </c>
      <c r="AI188" s="21" t="str">
        <f>IF($B188="","",IFERROR(IF($W188="Garis Lurus",$G188*(1-MIN($V188*12,MAX(0,TahunBuku*12+12-$Y188+1))/($V188*12)),IF($W188="Saldo Menurun",IF(TahunBuku&lt;YEAR($F188),$G188,IF(TahunBuku&gt;=INT(($Y188+$V188*12-2)/12),0,$G188*(1-2/$V188*(13-MONTH($F188))/12)*(1-2/$V188)^(TahunBuku-YEAR($F188)))),$G188)),$G188))</f>
        <v/>
      </c>
      <c r="AJ188" s="20" t="str">
        <f>IF($B188="","",IF(OR($W188="Garis Lurus",$W188="Saldo Menurun"),MAX(0,MIN(TahunBuku*12+12,$Y188+$V188*12-1)-MAX(TahunBuku*12+1,$Y188)+1),0))</f>
        <v/>
      </c>
      <c r="AK188" s="20" t="str">
        <f>IF($B188="","",IF(OR($W188="Garis Lurus",$W188="Saldo Menurun"),MAX(0,MIN($Z188,TahunBuku*12+12,$Y188+$V188*12-1)-MAX(TahunBuku*12+1,$Y188)+1),0))</f>
        <v/>
      </c>
      <c r="AL188" s="22" t="str">
        <f>IF($B188="","",$G188*$AA188)</f>
        <v/>
      </c>
      <c r="AM188" s="22" t="str">
        <f>IF($B188="","",$G188*$AB188)</f>
        <v/>
      </c>
      <c r="AN188" s="22" t="str">
        <f>IF($B188="","",$G188*$AC188)</f>
        <v/>
      </c>
      <c r="AO188" s="22" t="str">
        <f>IF($B188="","",AL188+AM188-AN188)</f>
        <v/>
      </c>
      <c r="AP188" s="22" t="str">
        <f>IF($B188="","",($G188-$AD188)*$AA188)</f>
        <v/>
      </c>
      <c r="AQ188" s="22" t="str">
        <f>IF($B188="","",IF($AF188=0,0,($AD188-$AE188)*$AG188/$AF188)*MAX($AA188,$AB188))</f>
        <v/>
      </c>
      <c r="AR188" s="22" t="str">
        <f>IF($B188="","",(AP188+AQ188)*$AC188)</f>
        <v/>
      </c>
      <c r="AS188" s="22" t="str">
        <f>IF($B188="","",AP188+AQ188-AR188)</f>
        <v/>
      </c>
      <c r="AT188" s="22" t="str">
        <f>IF($B188="","",AO188-AS188)</f>
        <v/>
      </c>
      <c r="AU188" s="22" t="str">
        <f>IF($B188="","",IF($AC188=1,N($R188)-($G188-AR188),0))</f>
        <v/>
      </c>
      <c r="AV188" s="22" t="str">
        <f>IF($B188="","",($G188-$AH188)*$AA188)</f>
        <v/>
      </c>
      <c r="AW188" s="22" t="str">
        <f>IF($B188="","",IF($AJ188=0,0,($AH188-$AI188)*$AK188/$AJ188)*MAX($AA188,$AB188))</f>
        <v/>
      </c>
      <c r="AX188" s="22" t="str">
        <f>IF($B188="","",(AV188+AW188)*$AC188)</f>
        <v/>
      </c>
      <c r="AY188" s="22" t="str">
        <f>IF($B188="","",AV188+AW188-AX188)</f>
        <v/>
      </c>
      <c r="AZ188" s="22" t="str">
        <f>IF($B188="","",AO188-AY188)</f>
        <v/>
      </c>
      <c r="BA188" s="22" t="str">
        <f>IF($B188="","",IF($AC188=1,N($R188)-($G188-AX188),0))</f>
        <v/>
      </c>
      <c r="BB188" s="22" t="str">
        <f>IF($B188="","",ROUND(AQ188-AW188,0))</f>
        <v/>
      </c>
      <c r="BC188" s="22" t="str">
        <f>IF($B188="","",ROUND(BA188-AU188,0))</f>
        <v/>
      </c>
      <c r="BD188" s="22" t="str">
        <f>IF($B188="","",BB188+BC188)</f>
        <v/>
      </c>
      <c r="BE188" s="22" t="str">
        <f>IF($B188="","",ROUND(AV188-AP188,0))</f>
        <v/>
      </c>
      <c r="BF188" s="22" t="str">
        <f>IF($B188="","",ROUND(AT188-AZ188,0))</f>
        <v/>
      </c>
      <c r="BG188" s="22" t="str">
        <f>IF($B188="","",ROUND(BF188*TarifPPh,0))</f>
        <v/>
      </c>
      <c r="BH188" t="str">
        <f>IF($B188="","",IF($D188="","Kategori kosong",IF($F188="","Tgl perolehan kosong",IF(N($H188)&gt;$G188,"Residu &gt; harga perolehan",IF(AND(LEFT($U188,8)="Bangunan",$W188="Saldo Menurun"),"Bangunan wajib Garis Lurus (Ps.11 UU PPh)",IF(AND($S188="Unit Produksi",N($K188)=0),"Isi kapasitas unit",IF(AND(OR($S188="Garis Lurus",$S188="Saldo Menurun"),N($T188)&lt;=0),"Umur komersial kosong",IF(AND(OR($W188="Garis Lurus",$W188="Saldo Menurun"),N($V188)&lt;=0),"Masa manfaat fiskal kosong",IF(AND($Q188&lt;&gt;"",$Q188&lt;$F188),"Tgl pelepasan &lt; perolehan","OK")))))))))</f>
        <v/>
      </c>
    </row>
    <row r="189" spans="1:60" x14ac:dyDescent="0.25">
      <c r="A189" t="str">
        <f>IF($B189="","",ROW()-6)</f>
        <v/>
      </c>
      <c r="B189" s="9"/>
      <c r="C189" s="9"/>
      <c r="D189" s="9"/>
      <c r="E189" s="9"/>
      <c r="F189" s="17"/>
      <c r="G189" s="18"/>
      <c r="H189" s="18"/>
      <c r="I189" s="9"/>
      <c r="J189" s="9"/>
      <c r="K189" s="19"/>
      <c r="L189" s="19"/>
      <c r="M189" s="19"/>
      <c r="N189" s="9"/>
      <c r="O189" s="9"/>
      <c r="P189" s="9"/>
      <c r="Q189" s="17"/>
      <c r="R189" s="18"/>
      <c r="S189" t="str">
        <f>IF($B189="","",IF($I189&lt;&gt;"",$I189,IFERROR(INDEX(Kat_Metode,MATCH($D189,Kat_Nama,0)),"")))</f>
        <v/>
      </c>
      <c r="T189" t="str">
        <f>IF($B189="","",IF($J189&lt;&gt;"",$J189,IFERROR(INDEX(Kat_Umur,MATCH($D189,Kat_Nama,0)),0)))</f>
        <v/>
      </c>
      <c r="U189" t="str">
        <f>IF($B189="","",IF($N189&lt;&gt;"",$N189,IFERROR(INDEX(Kat_Kelompok,MATCH($D189,Kat_Nama,0)),"")))</f>
        <v/>
      </c>
      <c r="V189" t="str">
        <f>IF($B189="","",IF($U189="Masa Manfaat Sebenarnya",N($O189),IFERROR(INDEX(Kel_Masa,MATCH($U189,Kel_Nama,0)),0)))</f>
        <v/>
      </c>
      <c r="W189" t="str">
        <f>IF($B189="","",IF($P189&lt;&gt;"",$P189,IF(OR($U189="Tidak Disusutkan",$V189=0),"Tidak Disusutkan","Garis Lurus")))</f>
        <v/>
      </c>
      <c r="X189" t="str">
        <f>IF($B189="","",IF($Y189&gt;TahunBuku*12+12,"Belum Diperoleh",IF($Z189&lt;=TahunBuku*12,"Dilepas (thn lalu)",IF($AC189=1,"Dilepas thn ini",IF($AB189=1,"Perolehan baru","Aktif")))))</f>
        <v/>
      </c>
      <c r="Y189" s="20" t="str">
        <f>IF($B189="","",YEAR($F189)*12+MONTH($F189))</f>
        <v/>
      </c>
      <c r="Z189" s="20" t="str">
        <f>IF($B189="","",IF($Q189="",99999,YEAR($Q189)*12+MONTH($Q189)))</f>
        <v/>
      </c>
      <c r="AA189" s="20" t="str">
        <f>IF($B189="","",--AND($Y189&lt;=TahunBuku*12,$Z189&gt;TahunBuku*12))</f>
        <v/>
      </c>
      <c r="AB189" s="20" t="str">
        <f>IF($B189="","",--AND($Y189&gt;TahunBuku*12,$Y189&lt;=TahunBuku*12+12))</f>
        <v/>
      </c>
      <c r="AC189" s="20" t="str">
        <f>IF($B189="","",--AND($Z189&gt;TahunBuku*12,$Z189&lt;=TahunBuku*12+12,$Y189&lt;=$Z189))</f>
        <v/>
      </c>
      <c r="AD189" s="21" t="str">
        <f>IF($B189="","",IFERROR(IF($S189="Garis Lurus",$G189-($G189-$H189)*MIN($T189*12,MAX(0,TahunBuku*12-$Y189+1))/($T189*12),IF($S189="Saldo Menurun",IF(TahunBuku-1&lt;YEAR($F189),$G189,IF(TahunBuku-1&gt;=INT(($Y189+$T189*12-2)/12),$H189,MAX($H189,$G189*(1-2/$T189*(13-MONTH($F189))/12)*(1-2/$T189)^(TahunBuku-1-YEAR($F189))))),IF($S189="Unit Produksi",$G189-($G189-$H189)*MIN(1,N($L189)/$K189),$G189))),$G189))</f>
        <v/>
      </c>
      <c r="AE189" s="21" t="str">
        <f>IF($B189="","",IFERROR(IF($S189="Garis Lurus",$G189-($G189-$H189)*MIN($T189*12,MAX(0,TahunBuku*12+12-$Y189+1))/($T189*12),IF($S189="Saldo Menurun",IF(TahunBuku&lt;YEAR($F189),$G189,IF(TahunBuku&gt;=INT(($Y189+$T189*12-2)/12),$H189,MAX($H189,$G189*(1-2/$T189*(13-MONTH($F189))/12)*(1-2/$T189)^(TahunBuku-YEAR($F189))))),IF($S189="Unit Produksi",$G189-($G189-$H189)*MIN(1,(N($L189)+N($M189))/$K189),$G189))),$G189))</f>
        <v/>
      </c>
      <c r="AF189" s="20" t="str">
        <f>IF($B189="","",IF(OR($S189="Garis Lurus",$S189="Saldo Menurun",$S189="Unit Produksi"),MAX(0,IF($S189="Unit Produksi",TahunBuku*12+12,MIN(TahunBuku*12+12,$Y189+$T189*12-1))-MAX(TahunBuku*12+1,$Y189)+1),0))</f>
        <v/>
      </c>
      <c r="AG189" s="20" t="str">
        <f>IF($B189="","",IF(OR($S189="Garis Lurus",$S189="Saldo Menurun",$S189="Unit Produksi"),MAX(0,MIN($Z189,IF($S189="Unit Produksi",TahunBuku*12+12,MIN(TahunBuku*12+12,$Y189+$T189*12-1)))-MAX(TahunBuku*12+1,$Y189)+1),0))</f>
        <v/>
      </c>
      <c r="AH189" s="21" t="str">
        <f>IF($B189="","",IFERROR(IF($W189="Garis Lurus",$G189*(1-MIN($V189*12,MAX(0,TahunBuku*12-$Y189+1))/($V189*12)),IF($W189="Saldo Menurun",IF(TahunBuku-1&lt;YEAR($F189),$G189,IF(TahunBuku-1&gt;=INT(($Y189+$V189*12-2)/12),0,$G189*(1-2/$V189*(13-MONTH($F189))/12)*(1-2/$V189)^(TahunBuku-1-YEAR($F189)))),$G189)),$G189))</f>
        <v/>
      </c>
      <c r="AI189" s="21" t="str">
        <f>IF($B189="","",IFERROR(IF($W189="Garis Lurus",$G189*(1-MIN($V189*12,MAX(0,TahunBuku*12+12-$Y189+1))/($V189*12)),IF($W189="Saldo Menurun",IF(TahunBuku&lt;YEAR($F189),$G189,IF(TahunBuku&gt;=INT(($Y189+$V189*12-2)/12),0,$G189*(1-2/$V189*(13-MONTH($F189))/12)*(1-2/$V189)^(TahunBuku-YEAR($F189)))),$G189)),$G189))</f>
        <v/>
      </c>
      <c r="AJ189" s="20" t="str">
        <f>IF($B189="","",IF(OR($W189="Garis Lurus",$W189="Saldo Menurun"),MAX(0,MIN(TahunBuku*12+12,$Y189+$V189*12-1)-MAX(TahunBuku*12+1,$Y189)+1),0))</f>
        <v/>
      </c>
      <c r="AK189" s="20" t="str">
        <f>IF($B189="","",IF(OR($W189="Garis Lurus",$W189="Saldo Menurun"),MAX(0,MIN($Z189,TahunBuku*12+12,$Y189+$V189*12-1)-MAX(TahunBuku*12+1,$Y189)+1),0))</f>
        <v/>
      </c>
      <c r="AL189" s="22" t="str">
        <f>IF($B189="","",$G189*$AA189)</f>
        <v/>
      </c>
      <c r="AM189" s="22" t="str">
        <f>IF($B189="","",$G189*$AB189)</f>
        <v/>
      </c>
      <c r="AN189" s="22" t="str">
        <f>IF($B189="","",$G189*$AC189)</f>
        <v/>
      </c>
      <c r="AO189" s="22" t="str">
        <f>IF($B189="","",AL189+AM189-AN189)</f>
        <v/>
      </c>
      <c r="AP189" s="22" t="str">
        <f>IF($B189="","",($G189-$AD189)*$AA189)</f>
        <v/>
      </c>
      <c r="AQ189" s="22" t="str">
        <f>IF($B189="","",IF($AF189=0,0,($AD189-$AE189)*$AG189/$AF189)*MAX($AA189,$AB189))</f>
        <v/>
      </c>
      <c r="AR189" s="22" t="str">
        <f>IF($B189="","",(AP189+AQ189)*$AC189)</f>
        <v/>
      </c>
      <c r="AS189" s="22" t="str">
        <f>IF($B189="","",AP189+AQ189-AR189)</f>
        <v/>
      </c>
      <c r="AT189" s="22" t="str">
        <f>IF($B189="","",AO189-AS189)</f>
        <v/>
      </c>
      <c r="AU189" s="22" t="str">
        <f>IF($B189="","",IF($AC189=1,N($R189)-($G189-AR189),0))</f>
        <v/>
      </c>
      <c r="AV189" s="22" t="str">
        <f>IF($B189="","",($G189-$AH189)*$AA189)</f>
        <v/>
      </c>
      <c r="AW189" s="22" t="str">
        <f>IF($B189="","",IF($AJ189=0,0,($AH189-$AI189)*$AK189/$AJ189)*MAX($AA189,$AB189))</f>
        <v/>
      </c>
      <c r="AX189" s="22" t="str">
        <f>IF($B189="","",(AV189+AW189)*$AC189)</f>
        <v/>
      </c>
      <c r="AY189" s="22" t="str">
        <f>IF($B189="","",AV189+AW189-AX189)</f>
        <v/>
      </c>
      <c r="AZ189" s="22" t="str">
        <f>IF($B189="","",AO189-AY189)</f>
        <v/>
      </c>
      <c r="BA189" s="22" t="str">
        <f>IF($B189="","",IF($AC189=1,N($R189)-($G189-AX189),0))</f>
        <v/>
      </c>
      <c r="BB189" s="22" t="str">
        <f>IF($B189="","",ROUND(AQ189-AW189,0))</f>
        <v/>
      </c>
      <c r="BC189" s="22" t="str">
        <f>IF($B189="","",ROUND(BA189-AU189,0))</f>
        <v/>
      </c>
      <c r="BD189" s="22" t="str">
        <f>IF($B189="","",BB189+BC189)</f>
        <v/>
      </c>
      <c r="BE189" s="22" t="str">
        <f>IF($B189="","",ROUND(AV189-AP189,0))</f>
        <v/>
      </c>
      <c r="BF189" s="22" t="str">
        <f>IF($B189="","",ROUND(AT189-AZ189,0))</f>
        <v/>
      </c>
      <c r="BG189" s="22" t="str">
        <f>IF($B189="","",ROUND(BF189*TarifPPh,0))</f>
        <v/>
      </c>
      <c r="BH189" t="str">
        <f>IF($B189="","",IF($D189="","Kategori kosong",IF($F189="","Tgl perolehan kosong",IF(N($H189)&gt;$G189,"Residu &gt; harga perolehan",IF(AND(LEFT($U189,8)="Bangunan",$W189="Saldo Menurun"),"Bangunan wajib Garis Lurus (Ps.11 UU PPh)",IF(AND($S189="Unit Produksi",N($K189)=0),"Isi kapasitas unit",IF(AND(OR($S189="Garis Lurus",$S189="Saldo Menurun"),N($T189)&lt;=0),"Umur komersial kosong",IF(AND(OR($W189="Garis Lurus",$W189="Saldo Menurun"),N($V189)&lt;=0),"Masa manfaat fiskal kosong",IF(AND($Q189&lt;&gt;"",$Q189&lt;$F189),"Tgl pelepasan &lt; perolehan","OK")))))))))</f>
        <v/>
      </c>
    </row>
    <row r="190" spans="1:60" x14ac:dyDescent="0.25">
      <c r="A190" t="str">
        <f>IF($B190="","",ROW()-6)</f>
        <v/>
      </c>
      <c r="B190" s="9"/>
      <c r="C190" s="9"/>
      <c r="D190" s="9"/>
      <c r="E190" s="9"/>
      <c r="F190" s="17"/>
      <c r="G190" s="18"/>
      <c r="H190" s="18"/>
      <c r="I190" s="9"/>
      <c r="J190" s="9"/>
      <c r="K190" s="19"/>
      <c r="L190" s="19"/>
      <c r="M190" s="19"/>
      <c r="N190" s="9"/>
      <c r="O190" s="9"/>
      <c r="P190" s="9"/>
      <c r="Q190" s="17"/>
      <c r="R190" s="18"/>
      <c r="S190" t="str">
        <f>IF($B190="","",IF($I190&lt;&gt;"",$I190,IFERROR(INDEX(Kat_Metode,MATCH($D190,Kat_Nama,0)),"")))</f>
        <v/>
      </c>
      <c r="T190" t="str">
        <f>IF($B190="","",IF($J190&lt;&gt;"",$J190,IFERROR(INDEX(Kat_Umur,MATCH($D190,Kat_Nama,0)),0)))</f>
        <v/>
      </c>
      <c r="U190" t="str">
        <f>IF($B190="","",IF($N190&lt;&gt;"",$N190,IFERROR(INDEX(Kat_Kelompok,MATCH($D190,Kat_Nama,0)),"")))</f>
        <v/>
      </c>
      <c r="V190" t="str">
        <f>IF($B190="","",IF($U190="Masa Manfaat Sebenarnya",N($O190),IFERROR(INDEX(Kel_Masa,MATCH($U190,Kel_Nama,0)),0)))</f>
        <v/>
      </c>
      <c r="W190" t="str">
        <f>IF($B190="","",IF($P190&lt;&gt;"",$P190,IF(OR($U190="Tidak Disusutkan",$V190=0),"Tidak Disusutkan","Garis Lurus")))</f>
        <v/>
      </c>
      <c r="X190" t="str">
        <f>IF($B190="","",IF($Y190&gt;TahunBuku*12+12,"Belum Diperoleh",IF($Z190&lt;=TahunBuku*12,"Dilepas (thn lalu)",IF($AC190=1,"Dilepas thn ini",IF($AB190=1,"Perolehan baru","Aktif")))))</f>
        <v/>
      </c>
      <c r="Y190" s="20" t="str">
        <f>IF($B190="","",YEAR($F190)*12+MONTH($F190))</f>
        <v/>
      </c>
      <c r="Z190" s="20" t="str">
        <f>IF($B190="","",IF($Q190="",99999,YEAR($Q190)*12+MONTH($Q190)))</f>
        <v/>
      </c>
      <c r="AA190" s="20" t="str">
        <f>IF($B190="","",--AND($Y190&lt;=TahunBuku*12,$Z190&gt;TahunBuku*12))</f>
        <v/>
      </c>
      <c r="AB190" s="20" t="str">
        <f>IF($B190="","",--AND($Y190&gt;TahunBuku*12,$Y190&lt;=TahunBuku*12+12))</f>
        <v/>
      </c>
      <c r="AC190" s="20" t="str">
        <f>IF($B190="","",--AND($Z190&gt;TahunBuku*12,$Z190&lt;=TahunBuku*12+12,$Y190&lt;=$Z190))</f>
        <v/>
      </c>
      <c r="AD190" s="21" t="str">
        <f>IF($B190="","",IFERROR(IF($S190="Garis Lurus",$G190-($G190-$H190)*MIN($T190*12,MAX(0,TahunBuku*12-$Y190+1))/($T190*12),IF($S190="Saldo Menurun",IF(TahunBuku-1&lt;YEAR($F190),$G190,IF(TahunBuku-1&gt;=INT(($Y190+$T190*12-2)/12),$H190,MAX($H190,$G190*(1-2/$T190*(13-MONTH($F190))/12)*(1-2/$T190)^(TahunBuku-1-YEAR($F190))))),IF($S190="Unit Produksi",$G190-($G190-$H190)*MIN(1,N($L190)/$K190),$G190))),$G190))</f>
        <v/>
      </c>
      <c r="AE190" s="21" t="str">
        <f>IF($B190="","",IFERROR(IF($S190="Garis Lurus",$G190-($G190-$H190)*MIN($T190*12,MAX(0,TahunBuku*12+12-$Y190+1))/($T190*12),IF($S190="Saldo Menurun",IF(TahunBuku&lt;YEAR($F190),$G190,IF(TahunBuku&gt;=INT(($Y190+$T190*12-2)/12),$H190,MAX($H190,$G190*(1-2/$T190*(13-MONTH($F190))/12)*(1-2/$T190)^(TahunBuku-YEAR($F190))))),IF($S190="Unit Produksi",$G190-($G190-$H190)*MIN(1,(N($L190)+N($M190))/$K190),$G190))),$G190))</f>
        <v/>
      </c>
      <c r="AF190" s="20" t="str">
        <f>IF($B190="","",IF(OR($S190="Garis Lurus",$S190="Saldo Menurun",$S190="Unit Produksi"),MAX(0,IF($S190="Unit Produksi",TahunBuku*12+12,MIN(TahunBuku*12+12,$Y190+$T190*12-1))-MAX(TahunBuku*12+1,$Y190)+1),0))</f>
        <v/>
      </c>
      <c r="AG190" s="20" t="str">
        <f>IF($B190="","",IF(OR($S190="Garis Lurus",$S190="Saldo Menurun",$S190="Unit Produksi"),MAX(0,MIN($Z190,IF($S190="Unit Produksi",TahunBuku*12+12,MIN(TahunBuku*12+12,$Y190+$T190*12-1)))-MAX(TahunBuku*12+1,$Y190)+1),0))</f>
        <v/>
      </c>
      <c r="AH190" s="21" t="str">
        <f>IF($B190="","",IFERROR(IF($W190="Garis Lurus",$G190*(1-MIN($V190*12,MAX(0,TahunBuku*12-$Y190+1))/($V190*12)),IF($W190="Saldo Menurun",IF(TahunBuku-1&lt;YEAR($F190),$G190,IF(TahunBuku-1&gt;=INT(($Y190+$V190*12-2)/12),0,$G190*(1-2/$V190*(13-MONTH($F190))/12)*(1-2/$V190)^(TahunBuku-1-YEAR($F190)))),$G190)),$G190))</f>
        <v/>
      </c>
      <c r="AI190" s="21" t="str">
        <f>IF($B190="","",IFERROR(IF($W190="Garis Lurus",$G190*(1-MIN($V190*12,MAX(0,TahunBuku*12+12-$Y190+1))/($V190*12)),IF($W190="Saldo Menurun",IF(TahunBuku&lt;YEAR($F190),$G190,IF(TahunBuku&gt;=INT(($Y190+$V190*12-2)/12),0,$G190*(1-2/$V190*(13-MONTH($F190))/12)*(1-2/$V190)^(TahunBuku-YEAR($F190)))),$G190)),$G190))</f>
        <v/>
      </c>
      <c r="AJ190" s="20" t="str">
        <f>IF($B190="","",IF(OR($W190="Garis Lurus",$W190="Saldo Menurun"),MAX(0,MIN(TahunBuku*12+12,$Y190+$V190*12-1)-MAX(TahunBuku*12+1,$Y190)+1),0))</f>
        <v/>
      </c>
      <c r="AK190" s="20" t="str">
        <f>IF($B190="","",IF(OR($W190="Garis Lurus",$W190="Saldo Menurun"),MAX(0,MIN($Z190,TahunBuku*12+12,$Y190+$V190*12-1)-MAX(TahunBuku*12+1,$Y190)+1),0))</f>
        <v/>
      </c>
      <c r="AL190" s="22" t="str">
        <f>IF($B190="","",$G190*$AA190)</f>
        <v/>
      </c>
      <c r="AM190" s="22" t="str">
        <f>IF($B190="","",$G190*$AB190)</f>
        <v/>
      </c>
      <c r="AN190" s="22" t="str">
        <f>IF($B190="","",$G190*$AC190)</f>
        <v/>
      </c>
      <c r="AO190" s="22" t="str">
        <f>IF($B190="","",AL190+AM190-AN190)</f>
        <v/>
      </c>
      <c r="AP190" s="22" t="str">
        <f>IF($B190="","",($G190-$AD190)*$AA190)</f>
        <v/>
      </c>
      <c r="AQ190" s="22" t="str">
        <f>IF($B190="","",IF($AF190=0,0,($AD190-$AE190)*$AG190/$AF190)*MAX($AA190,$AB190))</f>
        <v/>
      </c>
      <c r="AR190" s="22" t="str">
        <f>IF($B190="","",(AP190+AQ190)*$AC190)</f>
        <v/>
      </c>
      <c r="AS190" s="22" t="str">
        <f>IF($B190="","",AP190+AQ190-AR190)</f>
        <v/>
      </c>
      <c r="AT190" s="22" t="str">
        <f>IF($B190="","",AO190-AS190)</f>
        <v/>
      </c>
      <c r="AU190" s="22" t="str">
        <f>IF($B190="","",IF($AC190=1,N($R190)-($G190-AR190),0))</f>
        <v/>
      </c>
      <c r="AV190" s="22" t="str">
        <f>IF($B190="","",($G190-$AH190)*$AA190)</f>
        <v/>
      </c>
      <c r="AW190" s="22" t="str">
        <f>IF($B190="","",IF($AJ190=0,0,($AH190-$AI190)*$AK190/$AJ190)*MAX($AA190,$AB190))</f>
        <v/>
      </c>
      <c r="AX190" s="22" t="str">
        <f>IF($B190="","",(AV190+AW190)*$AC190)</f>
        <v/>
      </c>
      <c r="AY190" s="22" t="str">
        <f>IF($B190="","",AV190+AW190-AX190)</f>
        <v/>
      </c>
      <c r="AZ190" s="22" t="str">
        <f>IF($B190="","",AO190-AY190)</f>
        <v/>
      </c>
      <c r="BA190" s="22" t="str">
        <f>IF($B190="","",IF($AC190=1,N($R190)-($G190-AX190),0))</f>
        <v/>
      </c>
      <c r="BB190" s="22" t="str">
        <f>IF($B190="","",ROUND(AQ190-AW190,0))</f>
        <v/>
      </c>
      <c r="BC190" s="22" t="str">
        <f>IF($B190="","",ROUND(BA190-AU190,0))</f>
        <v/>
      </c>
      <c r="BD190" s="22" t="str">
        <f>IF($B190="","",BB190+BC190)</f>
        <v/>
      </c>
      <c r="BE190" s="22" t="str">
        <f>IF($B190="","",ROUND(AV190-AP190,0))</f>
        <v/>
      </c>
      <c r="BF190" s="22" t="str">
        <f>IF($B190="","",ROUND(AT190-AZ190,0))</f>
        <v/>
      </c>
      <c r="BG190" s="22" t="str">
        <f>IF($B190="","",ROUND(BF190*TarifPPh,0))</f>
        <v/>
      </c>
      <c r="BH190" t="str">
        <f>IF($B190="","",IF($D190="","Kategori kosong",IF($F190="","Tgl perolehan kosong",IF(N($H190)&gt;$G190,"Residu &gt; harga perolehan",IF(AND(LEFT($U190,8)="Bangunan",$W190="Saldo Menurun"),"Bangunan wajib Garis Lurus (Ps.11 UU PPh)",IF(AND($S190="Unit Produksi",N($K190)=0),"Isi kapasitas unit",IF(AND(OR($S190="Garis Lurus",$S190="Saldo Menurun"),N($T190)&lt;=0),"Umur komersial kosong",IF(AND(OR($W190="Garis Lurus",$W190="Saldo Menurun"),N($V190)&lt;=0),"Masa manfaat fiskal kosong",IF(AND($Q190&lt;&gt;"",$Q190&lt;$F190),"Tgl pelepasan &lt; perolehan","OK")))))))))</f>
        <v/>
      </c>
    </row>
    <row r="191" spans="1:60" x14ac:dyDescent="0.25">
      <c r="A191" t="str">
        <f>IF($B191="","",ROW()-6)</f>
        <v/>
      </c>
      <c r="B191" s="9"/>
      <c r="C191" s="9"/>
      <c r="D191" s="9"/>
      <c r="E191" s="9"/>
      <c r="F191" s="17"/>
      <c r="G191" s="18"/>
      <c r="H191" s="18"/>
      <c r="I191" s="9"/>
      <c r="J191" s="9"/>
      <c r="K191" s="19"/>
      <c r="L191" s="19"/>
      <c r="M191" s="19"/>
      <c r="N191" s="9"/>
      <c r="O191" s="9"/>
      <c r="P191" s="9"/>
      <c r="Q191" s="17"/>
      <c r="R191" s="18"/>
      <c r="S191" t="str">
        <f>IF($B191="","",IF($I191&lt;&gt;"",$I191,IFERROR(INDEX(Kat_Metode,MATCH($D191,Kat_Nama,0)),"")))</f>
        <v/>
      </c>
      <c r="T191" t="str">
        <f>IF($B191="","",IF($J191&lt;&gt;"",$J191,IFERROR(INDEX(Kat_Umur,MATCH($D191,Kat_Nama,0)),0)))</f>
        <v/>
      </c>
      <c r="U191" t="str">
        <f>IF($B191="","",IF($N191&lt;&gt;"",$N191,IFERROR(INDEX(Kat_Kelompok,MATCH($D191,Kat_Nama,0)),"")))</f>
        <v/>
      </c>
      <c r="V191" t="str">
        <f>IF($B191="","",IF($U191="Masa Manfaat Sebenarnya",N($O191),IFERROR(INDEX(Kel_Masa,MATCH($U191,Kel_Nama,0)),0)))</f>
        <v/>
      </c>
      <c r="W191" t="str">
        <f>IF($B191="","",IF($P191&lt;&gt;"",$P191,IF(OR($U191="Tidak Disusutkan",$V191=0),"Tidak Disusutkan","Garis Lurus")))</f>
        <v/>
      </c>
      <c r="X191" t="str">
        <f>IF($B191="","",IF($Y191&gt;TahunBuku*12+12,"Belum Diperoleh",IF($Z191&lt;=TahunBuku*12,"Dilepas (thn lalu)",IF($AC191=1,"Dilepas thn ini",IF($AB191=1,"Perolehan baru","Aktif")))))</f>
        <v/>
      </c>
      <c r="Y191" s="20" t="str">
        <f>IF($B191="","",YEAR($F191)*12+MONTH($F191))</f>
        <v/>
      </c>
      <c r="Z191" s="20" t="str">
        <f>IF($B191="","",IF($Q191="",99999,YEAR($Q191)*12+MONTH($Q191)))</f>
        <v/>
      </c>
      <c r="AA191" s="20" t="str">
        <f>IF($B191="","",--AND($Y191&lt;=TahunBuku*12,$Z191&gt;TahunBuku*12))</f>
        <v/>
      </c>
      <c r="AB191" s="20" t="str">
        <f>IF($B191="","",--AND($Y191&gt;TahunBuku*12,$Y191&lt;=TahunBuku*12+12))</f>
        <v/>
      </c>
      <c r="AC191" s="20" t="str">
        <f>IF($B191="","",--AND($Z191&gt;TahunBuku*12,$Z191&lt;=TahunBuku*12+12,$Y191&lt;=$Z191))</f>
        <v/>
      </c>
      <c r="AD191" s="21" t="str">
        <f>IF($B191="","",IFERROR(IF($S191="Garis Lurus",$G191-($G191-$H191)*MIN($T191*12,MAX(0,TahunBuku*12-$Y191+1))/($T191*12),IF($S191="Saldo Menurun",IF(TahunBuku-1&lt;YEAR($F191),$G191,IF(TahunBuku-1&gt;=INT(($Y191+$T191*12-2)/12),$H191,MAX($H191,$G191*(1-2/$T191*(13-MONTH($F191))/12)*(1-2/$T191)^(TahunBuku-1-YEAR($F191))))),IF($S191="Unit Produksi",$G191-($G191-$H191)*MIN(1,N($L191)/$K191),$G191))),$G191))</f>
        <v/>
      </c>
      <c r="AE191" s="21" t="str">
        <f>IF($B191="","",IFERROR(IF($S191="Garis Lurus",$G191-($G191-$H191)*MIN($T191*12,MAX(0,TahunBuku*12+12-$Y191+1))/($T191*12),IF($S191="Saldo Menurun",IF(TahunBuku&lt;YEAR($F191),$G191,IF(TahunBuku&gt;=INT(($Y191+$T191*12-2)/12),$H191,MAX($H191,$G191*(1-2/$T191*(13-MONTH($F191))/12)*(1-2/$T191)^(TahunBuku-YEAR($F191))))),IF($S191="Unit Produksi",$G191-($G191-$H191)*MIN(1,(N($L191)+N($M191))/$K191),$G191))),$G191))</f>
        <v/>
      </c>
      <c r="AF191" s="20" t="str">
        <f>IF($B191="","",IF(OR($S191="Garis Lurus",$S191="Saldo Menurun",$S191="Unit Produksi"),MAX(0,IF($S191="Unit Produksi",TahunBuku*12+12,MIN(TahunBuku*12+12,$Y191+$T191*12-1))-MAX(TahunBuku*12+1,$Y191)+1),0))</f>
        <v/>
      </c>
      <c r="AG191" s="20" t="str">
        <f>IF($B191="","",IF(OR($S191="Garis Lurus",$S191="Saldo Menurun",$S191="Unit Produksi"),MAX(0,MIN($Z191,IF($S191="Unit Produksi",TahunBuku*12+12,MIN(TahunBuku*12+12,$Y191+$T191*12-1)))-MAX(TahunBuku*12+1,$Y191)+1),0))</f>
        <v/>
      </c>
      <c r="AH191" s="21" t="str">
        <f>IF($B191="","",IFERROR(IF($W191="Garis Lurus",$G191*(1-MIN($V191*12,MAX(0,TahunBuku*12-$Y191+1))/($V191*12)),IF($W191="Saldo Menurun",IF(TahunBuku-1&lt;YEAR($F191),$G191,IF(TahunBuku-1&gt;=INT(($Y191+$V191*12-2)/12),0,$G191*(1-2/$V191*(13-MONTH($F191))/12)*(1-2/$V191)^(TahunBuku-1-YEAR($F191)))),$G191)),$G191))</f>
        <v/>
      </c>
      <c r="AI191" s="21" t="str">
        <f>IF($B191="","",IFERROR(IF($W191="Garis Lurus",$G191*(1-MIN($V191*12,MAX(0,TahunBuku*12+12-$Y191+1))/($V191*12)),IF($W191="Saldo Menurun",IF(TahunBuku&lt;YEAR($F191),$G191,IF(TahunBuku&gt;=INT(($Y191+$V191*12-2)/12),0,$G191*(1-2/$V191*(13-MONTH($F191))/12)*(1-2/$V191)^(TahunBuku-YEAR($F191)))),$G191)),$G191))</f>
        <v/>
      </c>
      <c r="AJ191" s="20" t="str">
        <f>IF($B191="","",IF(OR($W191="Garis Lurus",$W191="Saldo Menurun"),MAX(0,MIN(TahunBuku*12+12,$Y191+$V191*12-1)-MAX(TahunBuku*12+1,$Y191)+1),0))</f>
        <v/>
      </c>
      <c r="AK191" s="20" t="str">
        <f>IF($B191="","",IF(OR($W191="Garis Lurus",$W191="Saldo Menurun"),MAX(0,MIN($Z191,TahunBuku*12+12,$Y191+$V191*12-1)-MAX(TahunBuku*12+1,$Y191)+1),0))</f>
        <v/>
      </c>
      <c r="AL191" s="22" t="str">
        <f>IF($B191="","",$G191*$AA191)</f>
        <v/>
      </c>
      <c r="AM191" s="22" t="str">
        <f>IF($B191="","",$G191*$AB191)</f>
        <v/>
      </c>
      <c r="AN191" s="22" t="str">
        <f>IF($B191="","",$G191*$AC191)</f>
        <v/>
      </c>
      <c r="AO191" s="22" t="str">
        <f>IF($B191="","",AL191+AM191-AN191)</f>
        <v/>
      </c>
      <c r="AP191" s="22" t="str">
        <f>IF($B191="","",($G191-$AD191)*$AA191)</f>
        <v/>
      </c>
      <c r="AQ191" s="22" t="str">
        <f>IF($B191="","",IF($AF191=0,0,($AD191-$AE191)*$AG191/$AF191)*MAX($AA191,$AB191))</f>
        <v/>
      </c>
      <c r="AR191" s="22" t="str">
        <f>IF($B191="","",(AP191+AQ191)*$AC191)</f>
        <v/>
      </c>
      <c r="AS191" s="22" t="str">
        <f>IF($B191="","",AP191+AQ191-AR191)</f>
        <v/>
      </c>
      <c r="AT191" s="22" t="str">
        <f>IF($B191="","",AO191-AS191)</f>
        <v/>
      </c>
      <c r="AU191" s="22" t="str">
        <f>IF($B191="","",IF($AC191=1,N($R191)-($G191-AR191),0))</f>
        <v/>
      </c>
      <c r="AV191" s="22" t="str">
        <f>IF($B191="","",($G191-$AH191)*$AA191)</f>
        <v/>
      </c>
      <c r="AW191" s="22" t="str">
        <f>IF($B191="","",IF($AJ191=0,0,($AH191-$AI191)*$AK191/$AJ191)*MAX($AA191,$AB191))</f>
        <v/>
      </c>
      <c r="AX191" s="22" t="str">
        <f>IF($B191="","",(AV191+AW191)*$AC191)</f>
        <v/>
      </c>
      <c r="AY191" s="22" t="str">
        <f>IF($B191="","",AV191+AW191-AX191)</f>
        <v/>
      </c>
      <c r="AZ191" s="22" t="str">
        <f>IF($B191="","",AO191-AY191)</f>
        <v/>
      </c>
      <c r="BA191" s="22" t="str">
        <f>IF($B191="","",IF($AC191=1,N($R191)-($G191-AX191),0))</f>
        <v/>
      </c>
      <c r="BB191" s="22" t="str">
        <f>IF($B191="","",ROUND(AQ191-AW191,0))</f>
        <v/>
      </c>
      <c r="BC191" s="22" t="str">
        <f>IF($B191="","",ROUND(BA191-AU191,0))</f>
        <v/>
      </c>
      <c r="BD191" s="22" t="str">
        <f>IF($B191="","",BB191+BC191)</f>
        <v/>
      </c>
      <c r="BE191" s="22" t="str">
        <f>IF($B191="","",ROUND(AV191-AP191,0))</f>
        <v/>
      </c>
      <c r="BF191" s="22" t="str">
        <f>IF($B191="","",ROUND(AT191-AZ191,0))</f>
        <v/>
      </c>
      <c r="BG191" s="22" t="str">
        <f>IF($B191="","",ROUND(BF191*TarifPPh,0))</f>
        <v/>
      </c>
      <c r="BH191" t="str">
        <f>IF($B191="","",IF($D191="","Kategori kosong",IF($F191="","Tgl perolehan kosong",IF(N($H191)&gt;$G191,"Residu &gt; harga perolehan",IF(AND(LEFT($U191,8)="Bangunan",$W191="Saldo Menurun"),"Bangunan wajib Garis Lurus (Ps.11 UU PPh)",IF(AND($S191="Unit Produksi",N($K191)=0),"Isi kapasitas unit",IF(AND(OR($S191="Garis Lurus",$S191="Saldo Menurun"),N($T191)&lt;=0),"Umur komersial kosong",IF(AND(OR($W191="Garis Lurus",$W191="Saldo Menurun"),N($V191)&lt;=0),"Masa manfaat fiskal kosong",IF(AND($Q191&lt;&gt;"",$Q191&lt;$F191),"Tgl pelepasan &lt; perolehan","OK")))))))))</f>
        <v/>
      </c>
    </row>
    <row r="192" spans="1:60" x14ac:dyDescent="0.25">
      <c r="A192" t="str">
        <f>IF($B192="","",ROW()-6)</f>
        <v/>
      </c>
      <c r="B192" s="9"/>
      <c r="C192" s="9"/>
      <c r="D192" s="9"/>
      <c r="E192" s="9"/>
      <c r="F192" s="17"/>
      <c r="G192" s="18"/>
      <c r="H192" s="18"/>
      <c r="I192" s="9"/>
      <c r="J192" s="9"/>
      <c r="K192" s="19"/>
      <c r="L192" s="19"/>
      <c r="M192" s="19"/>
      <c r="N192" s="9"/>
      <c r="O192" s="9"/>
      <c r="P192" s="9"/>
      <c r="Q192" s="17"/>
      <c r="R192" s="18"/>
      <c r="S192" t="str">
        <f>IF($B192="","",IF($I192&lt;&gt;"",$I192,IFERROR(INDEX(Kat_Metode,MATCH($D192,Kat_Nama,0)),"")))</f>
        <v/>
      </c>
      <c r="T192" t="str">
        <f>IF($B192="","",IF($J192&lt;&gt;"",$J192,IFERROR(INDEX(Kat_Umur,MATCH($D192,Kat_Nama,0)),0)))</f>
        <v/>
      </c>
      <c r="U192" t="str">
        <f>IF($B192="","",IF($N192&lt;&gt;"",$N192,IFERROR(INDEX(Kat_Kelompok,MATCH($D192,Kat_Nama,0)),"")))</f>
        <v/>
      </c>
      <c r="V192" t="str">
        <f>IF($B192="","",IF($U192="Masa Manfaat Sebenarnya",N($O192),IFERROR(INDEX(Kel_Masa,MATCH($U192,Kel_Nama,0)),0)))</f>
        <v/>
      </c>
      <c r="W192" t="str">
        <f>IF($B192="","",IF($P192&lt;&gt;"",$P192,IF(OR($U192="Tidak Disusutkan",$V192=0),"Tidak Disusutkan","Garis Lurus")))</f>
        <v/>
      </c>
      <c r="X192" t="str">
        <f>IF($B192="","",IF($Y192&gt;TahunBuku*12+12,"Belum Diperoleh",IF($Z192&lt;=TahunBuku*12,"Dilepas (thn lalu)",IF($AC192=1,"Dilepas thn ini",IF($AB192=1,"Perolehan baru","Aktif")))))</f>
        <v/>
      </c>
      <c r="Y192" s="20" t="str">
        <f>IF($B192="","",YEAR($F192)*12+MONTH($F192))</f>
        <v/>
      </c>
      <c r="Z192" s="20" t="str">
        <f>IF($B192="","",IF($Q192="",99999,YEAR($Q192)*12+MONTH($Q192)))</f>
        <v/>
      </c>
      <c r="AA192" s="20" t="str">
        <f>IF($B192="","",--AND($Y192&lt;=TahunBuku*12,$Z192&gt;TahunBuku*12))</f>
        <v/>
      </c>
      <c r="AB192" s="20" t="str">
        <f>IF($B192="","",--AND($Y192&gt;TahunBuku*12,$Y192&lt;=TahunBuku*12+12))</f>
        <v/>
      </c>
      <c r="AC192" s="20" t="str">
        <f>IF($B192="","",--AND($Z192&gt;TahunBuku*12,$Z192&lt;=TahunBuku*12+12,$Y192&lt;=$Z192))</f>
        <v/>
      </c>
      <c r="AD192" s="21" t="str">
        <f>IF($B192="","",IFERROR(IF($S192="Garis Lurus",$G192-($G192-$H192)*MIN($T192*12,MAX(0,TahunBuku*12-$Y192+1))/($T192*12),IF($S192="Saldo Menurun",IF(TahunBuku-1&lt;YEAR($F192),$G192,IF(TahunBuku-1&gt;=INT(($Y192+$T192*12-2)/12),$H192,MAX($H192,$G192*(1-2/$T192*(13-MONTH($F192))/12)*(1-2/$T192)^(TahunBuku-1-YEAR($F192))))),IF($S192="Unit Produksi",$G192-($G192-$H192)*MIN(1,N($L192)/$K192),$G192))),$G192))</f>
        <v/>
      </c>
      <c r="AE192" s="21" t="str">
        <f>IF($B192="","",IFERROR(IF($S192="Garis Lurus",$G192-($G192-$H192)*MIN($T192*12,MAX(0,TahunBuku*12+12-$Y192+1))/($T192*12),IF($S192="Saldo Menurun",IF(TahunBuku&lt;YEAR($F192),$G192,IF(TahunBuku&gt;=INT(($Y192+$T192*12-2)/12),$H192,MAX($H192,$G192*(1-2/$T192*(13-MONTH($F192))/12)*(1-2/$T192)^(TahunBuku-YEAR($F192))))),IF($S192="Unit Produksi",$G192-($G192-$H192)*MIN(1,(N($L192)+N($M192))/$K192),$G192))),$G192))</f>
        <v/>
      </c>
      <c r="AF192" s="20" t="str">
        <f>IF($B192="","",IF(OR($S192="Garis Lurus",$S192="Saldo Menurun",$S192="Unit Produksi"),MAX(0,IF($S192="Unit Produksi",TahunBuku*12+12,MIN(TahunBuku*12+12,$Y192+$T192*12-1))-MAX(TahunBuku*12+1,$Y192)+1),0))</f>
        <v/>
      </c>
      <c r="AG192" s="20" t="str">
        <f>IF($B192="","",IF(OR($S192="Garis Lurus",$S192="Saldo Menurun",$S192="Unit Produksi"),MAX(0,MIN($Z192,IF($S192="Unit Produksi",TahunBuku*12+12,MIN(TahunBuku*12+12,$Y192+$T192*12-1)))-MAX(TahunBuku*12+1,$Y192)+1),0))</f>
        <v/>
      </c>
      <c r="AH192" s="21" t="str">
        <f>IF($B192="","",IFERROR(IF($W192="Garis Lurus",$G192*(1-MIN($V192*12,MAX(0,TahunBuku*12-$Y192+1))/($V192*12)),IF($W192="Saldo Menurun",IF(TahunBuku-1&lt;YEAR($F192),$G192,IF(TahunBuku-1&gt;=INT(($Y192+$V192*12-2)/12),0,$G192*(1-2/$V192*(13-MONTH($F192))/12)*(1-2/$V192)^(TahunBuku-1-YEAR($F192)))),$G192)),$G192))</f>
        <v/>
      </c>
      <c r="AI192" s="21" t="str">
        <f>IF($B192="","",IFERROR(IF($W192="Garis Lurus",$G192*(1-MIN($V192*12,MAX(0,TahunBuku*12+12-$Y192+1))/($V192*12)),IF($W192="Saldo Menurun",IF(TahunBuku&lt;YEAR($F192),$G192,IF(TahunBuku&gt;=INT(($Y192+$V192*12-2)/12),0,$G192*(1-2/$V192*(13-MONTH($F192))/12)*(1-2/$V192)^(TahunBuku-YEAR($F192)))),$G192)),$G192))</f>
        <v/>
      </c>
      <c r="AJ192" s="20" t="str">
        <f>IF($B192="","",IF(OR($W192="Garis Lurus",$W192="Saldo Menurun"),MAX(0,MIN(TahunBuku*12+12,$Y192+$V192*12-1)-MAX(TahunBuku*12+1,$Y192)+1),0))</f>
        <v/>
      </c>
      <c r="AK192" s="20" t="str">
        <f>IF($B192="","",IF(OR($W192="Garis Lurus",$W192="Saldo Menurun"),MAX(0,MIN($Z192,TahunBuku*12+12,$Y192+$V192*12-1)-MAX(TahunBuku*12+1,$Y192)+1),0))</f>
        <v/>
      </c>
      <c r="AL192" s="22" t="str">
        <f>IF($B192="","",$G192*$AA192)</f>
        <v/>
      </c>
      <c r="AM192" s="22" t="str">
        <f>IF($B192="","",$G192*$AB192)</f>
        <v/>
      </c>
      <c r="AN192" s="22" t="str">
        <f>IF($B192="","",$G192*$AC192)</f>
        <v/>
      </c>
      <c r="AO192" s="22" t="str">
        <f>IF($B192="","",AL192+AM192-AN192)</f>
        <v/>
      </c>
      <c r="AP192" s="22" t="str">
        <f>IF($B192="","",($G192-$AD192)*$AA192)</f>
        <v/>
      </c>
      <c r="AQ192" s="22" t="str">
        <f>IF($B192="","",IF($AF192=0,0,($AD192-$AE192)*$AG192/$AF192)*MAX($AA192,$AB192))</f>
        <v/>
      </c>
      <c r="AR192" s="22" t="str">
        <f>IF($B192="","",(AP192+AQ192)*$AC192)</f>
        <v/>
      </c>
      <c r="AS192" s="22" t="str">
        <f>IF($B192="","",AP192+AQ192-AR192)</f>
        <v/>
      </c>
      <c r="AT192" s="22" t="str">
        <f>IF($B192="","",AO192-AS192)</f>
        <v/>
      </c>
      <c r="AU192" s="22" t="str">
        <f>IF($B192="","",IF($AC192=1,N($R192)-($G192-AR192),0))</f>
        <v/>
      </c>
      <c r="AV192" s="22" t="str">
        <f>IF($B192="","",($G192-$AH192)*$AA192)</f>
        <v/>
      </c>
      <c r="AW192" s="22" t="str">
        <f>IF($B192="","",IF($AJ192=0,0,($AH192-$AI192)*$AK192/$AJ192)*MAX($AA192,$AB192))</f>
        <v/>
      </c>
      <c r="AX192" s="22" t="str">
        <f>IF($B192="","",(AV192+AW192)*$AC192)</f>
        <v/>
      </c>
      <c r="AY192" s="22" t="str">
        <f>IF($B192="","",AV192+AW192-AX192)</f>
        <v/>
      </c>
      <c r="AZ192" s="22" t="str">
        <f>IF($B192="","",AO192-AY192)</f>
        <v/>
      </c>
      <c r="BA192" s="22" t="str">
        <f>IF($B192="","",IF($AC192=1,N($R192)-($G192-AX192),0))</f>
        <v/>
      </c>
      <c r="BB192" s="22" t="str">
        <f>IF($B192="","",ROUND(AQ192-AW192,0))</f>
        <v/>
      </c>
      <c r="BC192" s="22" t="str">
        <f>IF($B192="","",ROUND(BA192-AU192,0))</f>
        <v/>
      </c>
      <c r="BD192" s="22" t="str">
        <f>IF($B192="","",BB192+BC192)</f>
        <v/>
      </c>
      <c r="BE192" s="22" t="str">
        <f>IF($B192="","",ROUND(AV192-AP192,0))</f>
        <v/>
      </c>
      <c r="BF192" s="22" t="str">
        <f>IF($B192="","",ROUND(AT192-AZ192,0))</f>
        <v/>
      </c>
      <c r="BG192" s="22" t="str">
        <f>IF($B192="","",ROUND(BF192*TarifPPh,0))</f>
        <v/>
      </c>
      <c r="BH192" t="str">
        <f>IF($B192="","",IF($D192="","Kategori kosong",IF($F192="","Tgl perolehan kosong",IF(N($H192)&gt;$G192,"Residu &gt; harga perolehan",IF(AND(LEFT($U192,8)="Bangunan",$W192="Saldo Menurun"),"Bangunan wajib Garis Lurus (Ps.11 UU PPh)",IF(AND($S192="Unit Produksi",N($K192)=0),"Isi kapasitas unit",IF(AND(OR($S192="Garis Lurus",$S192="Saldo Menurun"),N($T192)&lt;=0),"Umur komersial kosong",IF(AND(OR($W192="Garis Lurus",$W192="Saldo Menurun"),N($V192)&lt;=0),"Masa manfaat fiskal kosong",IF(AND($Q192&lt;&gt;"",$Q192&lt;$F192),"Tgl pelepasan &lt; perolehan","OK")))))))))</f>
        <v/>
      </c>
    </row>
    <row r="193" spans="1:60" x14ac:dyDescent="0.25">
      <c r="A193" t="str">
        <f>IF($B193="","",ROW()-6)</f>
        <v/>
      </c>
      <c r="B193" s="9"/>
      <c r="C193" s="9"/>
      <c r="D193" s="9"/>
      <c r="E193" s="9"/>
      <c r="F193" s="17"/>
      <c r="G193" s="18"/>
      <c r="H193" s="18"/>
      <c r="I193" s="9"/>
      <c r="J193" s="9"/>
      <c r="K193" s="19"/>
      <c r="L193" s="19"/>
      <c r="M193" s="19"/>
      <c r="N193" s="9"/>
      <c r="O193" s="9"/>
      <c r="P193" s="9"/>
      <c r="Q193" s="17"/>
      <c r="R193" s="18"/>
      <c r="S193" t="str">
        <f>IF($B193="","",IF($I193&lt;&gt;"",$I193,IFERROR(INDEX(Kat_Metode,MATCH($D193,Kat_Nama,0)),"")))</f>
        <v/>
      </c>
      <c r="T193" t="str">
        <f>IF($B193="","",IF($J193&lt;&gt;"",$J193,IFERROR(INDEX(Kat_Umur,MATCH($D193,Kat_Nama,0)),0)))</f>
        <v/>
      </c>
      <c r="U193" t="str">
        <f>IF($B193="","",IF($N193&lt;&gt;"",$N193,IFERROR(INDEX(Kat_Kelompok,MATCH($D193,Kat_Nama,0)),"")))</f>
        <v/>
      </c>
      <c r="V193" t="str">
        <f>IF($B193="","",IF($U193="Masa Manfaat Sebenarnya",N($O193),IFERROR(INDEX(Kel_Masa,MATCH($U193,Kel_Nama,0)),0)))</f>
        <v/>
      </c>
      <c r="W193" t="str">
        <f>IF($B193="","",IF($P193&lt;&gt;"",$P193,IF(OR($U193="Tidak Disusutkan",$V193=0),"Tidak Disusutkan","Garis Lurus")))</f>
        <v/>
      </c>
      <c r="X193" t="str">
        <f>IF($B193="","",IF($Y193&gt;TahunBuku*12+12,"Belum Diperoleh",IF($Z193&lt;=TahunBuku*12,"Dilepas (thn lalu)",IF($AC193=1,"Dilepas thn ini",IF($AB193=1,"Perolehan baru","Aktif")))))</f>
        <v/>
      </c>
      <c r="Y193" s="20" t="str">
        <f>IF($B193="","",YEAR($F193)*12+MONTH($F193))</f>
        <v/>
      </c>
      <c r="Z193" s="20" t="str">
        <f>IF($B193="","",IF($Q193="",99999,YEAR($Q193)*12+MONTH($Q193)))</f>
        <v/>
      </c>
      <c r="AA193" s="20" t="str">
        <f>IF($B193="","",--AND($Y193&lt;=TahunBuku*12,$Z193&gt;TahunBuku*12))</f>
        <v/>
      </c>
      <c r="AB193" s="20" t="str">
        <f>IF($B193="","",--AND($Y193&gt;TahunBuku*12,$Y193&lt;=TahunBuku*12+12))</f>
        <v/>
      </c>
      <c r="AC193" s="20" t="str">
        <f>IF($B193="","",--AND($Z193&gt;TahunBuku*12,$Z193&lt;=TahunBuku*12+12,$Y193&lt;=$Z193))</f>
        <v/>
      </c>
      <c r="AD193" s="21" t="str">
        <f>IF($B193="","",IFERROR(IF($S193="Garis Lurus",$G193-($G193-$H193)*MIN($T193*12,MAX(0,TahunBuku*12-$Y193+1))/($T193*12),IF($S193="Saldo Menurun",IF(TahunBuku-1&lt;YEAR($F193),$G193,IF(TahunBuku-1&gt;=INT(($Y193+$T193*12-2)/12),$H193,MAX($H193,$G193*(1-2/$T193*(13-MONTH($F193))/12)*(1-2/$T193)^(TahunBuku-1-YEAR($F193))))),IF($S193="Unit Produksi",$G193-($G193-$H193)*MIN(1,N($L193)/$K193),$G193))),$G193))</f>
        <v/>
      </c>
      <c r="AE193" s="21" t="str">
        <f>IF($B193="","",IFERROR(IF($S193="Garis Lurus",$G193-($G193-$H193)*MIN($T193*12,MAX(0,TahunBuku*12+12-$Y193+1))/($T193*12),IF($S193="Saldo Menurun",IF(TahunBuku&lt;YEAR($F193),$G193,IF(TahunBuku&gt;=INT(($Y193+$T193*12-2)/12),$H193,MAX($H193,$G193*(1-2/$T193*(13-MONTH($F193))/12)*(1-2/$T193)^(TahunBuku-YEAR($F193))))),IF($S193="Unit Produksi",$G193-($G193-$H193)*MIN(1,(N($L193)+N($M193))/$K193),$G193))),$G193))</f>
        <v/>
      </c>
      <c r="AF193" s="20" t="str">
        <f>IF($B193="","",IF(OR($S193="Garis Lurus",$S193="Saldo Menurun",$S193="Unit Produksi"),MAX(0,IF($S193="Unit Produksi",TahunBuku*12+12,MIN(TahunBuku*12+12,$Y193+$T193*12-1))-MAX(TahunBuku*12+1,$Y193)+1),0))</f>
        <v/>
      </c>
      <c r="AG193" s="20" t="str">
        <f>IF($B193="","",IF(OR($S193="Garis Lurus",$S193="Saldo Menurun",$S193="Unit Produksi"),MAX(0,MIN($Z193,IF($S193="Unit Produksi",TahunBuku*12+12,MIN(TahunBuku*12+12,$Y193+$T193*12-1)))-MAX(TahunBuku*12+1,$Y193)+1),0))</f>
        <v/>
      </c>
      <c r="AH193" s="21" t="str">
        <f>IF($B193="","",IFERROR(IF($W193="Garis Lurus",$G193*(1-MIN($V193*12,MAX(0,TahunBuku*12-$Y193+1))/($V193*12)),IF($W193="Saldo Menurun",IF(TahunBuku-1&lt;YEAR($F193),$G193,IF(TahunBuku-1&gt;=INT(($Y193+$V193*12-2)/12),0,$G193*(1-2/$V193*(13-MONTH($F193))/12)*(1-2/$V193)^(TahunBuku-1-YEAR($F193)))),$G193)),$G193))</f>
        <v/>
      </c>
      <c r="AI193" s="21" t="str">
        <f>IF($B193="","",IFERROR(IF($W193="Garis Lurus",$G193*(1-MIN($V193*12,MAX(0,TahunBuku*12+12-$Y193+1))/($V193*12)),IF($W193="Saldo Menurun",IF(TahunBuku&lt;YEAR($F193),$G193,IF(TahunBuku&gt;=INT(($Y193+$V193*12-2)/12),0,$G193*(1-2/$V193*(13-MONTH($F193))/12)*(1-2/$V193)^(TahunBuku-YEAR($F193)))),$G193)),$G193))</f>
        <v/>
      </c>
      <c r="AJ193" s="20" t="str">
        <f>IF($B193="","",IF(OR($W193="Garis Lurus",$W193="Saldo Menurun"),MAX(0,MIN(TahunBuku*12+12,$Y193+$V193*12-1)-MAX(TahunBuku*12+1,$Y193)+1),0))</f>
        <v/>
      </c>
      <c r="AK193" s="20" t="str">
        <f>IF($B193="","",IF(OR($W193="Garis Lurus",$W193="Saldo Menurun"),MAX(0,MIN($Z193,TahunBuku*12+12,$Y193+$V193*12-1)-MAX(TahunBuku*12+1,$Y193)+1),0))</f>
        <v/>
      </c>
      <c r="AL193" s="22" t="str">
        <f>IF($B193="","",$G193*$AA193)</f>
        <v/>
      </c>
      <c r="AM193" s="22" t="str">
        <f>IF($B193="","",$G193*$AB193)</f>
        <v/>
      </c>
      <c r="AN193" s="22" t="str">
        <f>IF($B193="","",$G193*$AC193)</f>
        <v/>
      </c>
      <c r="AO193" s="22" t="str">
        <f>IF($B193="","",AL193+AM193-AN193)</f>
        <v/>
      </c>
      <c r="AP193" s="22" t="str">
        <f>IF($B193="","",($G193-$AD193)*$AA193)</f>
        <v/>
      </c>
      <c r="AQ193" s="22" t="str">
        <f>IF($B193="","",IF($AF193=0,0,($AD193-$AE193)*$AG193/$AF193)*MAX($AA193,$AB193))</f>
        <v/>
      </c>
      <c r="AR193" s="22" t="str">
        <f>IF($B193="","",(AP193+AQ193)*$AC193)</f>
        <v/>
      </c>
      <c r="AS193" s="22" t="str">
        <f>IF($B193="","",AP193+AQ193-AR193)</f>
        <v/>
      </c>
      <c r="AT193" s="22" t="str">
        <f>IF($B193="","",AO193-AS193)</f>
        <v/>
      </c>
      <c r="AU193" s="22" t="str">
        <f>IF($B193="","",IF($AC193=1,N($R193)-($G193-AR193),0))</f>
        <v/>
      </c>
      <c r="AV193" s="22" t="str">
        <f>IF($B193="","",($G193-$AH193)*$AA193)</f>
        <v/>
      </c>
      <c r="AW193" s="22" t="str">
        <f>IF($B193="","",IF($AJ193=0,0,($AH193-$AI193)*$AK193/$AJ193)*MAX($AA193,$AB193))</f>
        <v/>
      </c>
      <c r="AX193" s="22" t="str">
        <f>IF($B193="","",(AV193+AW193)*$AC193)</f>
        <v/>
      </c>
      <c r="AY193" s="22" t="str">
        <f>IF($B193="","",AV193+AW193-AX193)</f>
        <v/>
      </c>
      <c r="AZ193" s="22" t="str">
        <f>IF($B193="","",AO193-AY193)</f>
        <v/>
      </c>
      <c r="BA193" s="22" t="str">
        <f>IF($B193="","",IF($AC193=1,N($R193)-($G193-AX193),0))</f>
        <v/>
      </c>
      <c r="BB193" s="22" t="str">
        <f>IF($B193="","",ROUND(AQ193-AW193,0))</f>
        <v/>
      </c>
      <c r="BC193" s="22" t="str">
        <f>IF($B193="","",ROUND(BA193-AU193,0))</f>
        <v/>
      </c>
      <c r="BD193" s="22" t="str">
        <f>IF($B193="","",BB193+BC193)</f>
        <v/>
      </c>
      <c r="BE193" s="22" t="str">
        <f>IF($B193="","",ROUND(AV193-AP193,0))</f>
        <v/>
      </c>
      <c r="BF193" s="22" t="str">
        <f>IF($B193="","",ROUND(AT193-AZ193,0))</f>
        <v/>
      </c>
      <c r="BG193" s="22" t="str">
        <f>IF($B193="","",ROUND(BF193*TarifPPh,0))</f>
        <v/>
      </c>
      <c r="BH193" t="str">
        <f>IF($B193="","",IF($D193="","Kategori kosong",IF($F193="","Tgl perolehan kosong",IF(N($H193)&gt;$G193,"Residu &gt; harga perolehan",IF(AND(LEFT($U193,8)="Bangunan",$W193="Saldo Menurun"),"Bangunan wajib Garis Lurus (Ps.11 UU PPh)",IF(AND($S193="Unit Produksi",N($K193)=0),"Isi kapasitas unit",IF(AND(OR($S193="Garis Lurus",$S193="Saldo Menurun"),N($T193)&lt;=0),"Umur komersial kosong",IF(AND(OR($W193="Garis Lurus",$W193="Saldo Menurun"),N($V193)&lt;=0),"Masa manfaat fiskal kosong",IF(AND($Q193&lt;&gt;"",$Q193&lt;$F193),"Tgl pelepasan &lt; perolehan","OK")))))))))</f>
        <v/>
      </c>
    </row>
    <row r="194" spans="1:60" x14ac:dyDescent="0.25">
      <c r="A194" t="str">
        <f>IF($B194="","",ROW()-6)</f>
        <v/>
      </c>
      <c r="B194" s="9"/>
      <c r="C194" s="9"/>
      <c r="D194" s="9"/>
      <c r="E194" s="9"/>
      <c r="F194" s="17"/>
      <c r="G194" s="18"/>
      <c r="H194" s="18"/>
      <c r="I194" s="9"/>
      <c r="J194" s="9"/>
      <c r="K194" s="19"/>
      <c r="L194" s="19"/>
      <c r="M194" s="19"/>
      <c r="N194" s="9"/>
      <c r="O194" s="9"/>
      <c r="P194" s="9"/>
      <c r="Q194" s="17"/>
      <c r="R194" s="18"/>
      <c r="S194" t="str">
        <f>IF($B194="","",IF($I194&lt;&gt;"",$I194,IFERROR(INDEX(Kat_Metode,MATCH($D194,Kat_Nama,0)),"")))</f>
        <v/>
      </c>
      <c r="T194" t="str">
        <f>IF($B194="","",IF($J194&lt;&gt;"",$J194,IFERROR(INDEX(Kat_Umur,MATCH($D194,Kat_Nama,0)),0)))</f>
        <v/>
      </c>
      <c r="U194" t="str">
        <f>IF($B194="","",IF($N194&lt;&gt;"",$N194,IFERROR(INDEX(Kat_Kelompok,MATCH($D194,Kat_Nama,0)),"")))</f>
        <v/>
      </c>
      <c r="V194" t="str">
        <f>IF($B194="","",IF($U194="Masa Manfaat Sebenarnya",N($O194),IFERROR(INDEX(Kel_Masa,MATCH($U194,Kel_Nama,0)),0)))</f>
        <v/>
      </c>
      <c r="W194" t="str">
        <f>IF($B194="","",IF($P194&lt;&gt;"",$P194,IF(OR($U194="Tidak Disusutkan",$V194=0),"Tidak Disusutkan","Garis Lurus")))</f>
        <v/>
      </c>
      <c r="X194" t="str">
        <f>IF($B194="","",IF($Y194&gt;TahunBuku*12+12,"Belum Diperoleh",IF($Z194&lt;=TahunBuku*12,"Dilepas (thn lalu)",IF($AC194=1,"Dilepas thn ini",IF($AB194=1,"Perolehan baru","Aktif")))))</f>
        <v/>
      </c>
      <c r="Y194" s="20" t="str">
        <f>IF($B194="","",YEAR($F194)*12+MONTH($F194))</f>
        <v/>
      </c>
      <c r="Z194" s="20" t="str">
        <f>IF($B194="","",IF($Q194="",99999,YEAR($Q194)*12+MONTH($Q194)))</f>
        <v/>
      </c>
      <c r="AA194" s="20" t="str">
        <f>IF($B194="","",--AND($Y194&lt;=TahunBuku*12,$Z194&gt;TahunBuku*12))</f>
        <v/>
      </c>
      <c r="AB194" s="20" t="str">
        <f>IF($B194="","",--AND($Y194&gt;TahunBuku*12,$Y194&lt;=TahunBuku*12+12))</f>
        <v/>
      </c>
      <c r="AC194" s="20" t="str">
        <f>IF($B194="","",--AND($Z194&gt;TahunBuku*12,$Z194&lt;=TahunBuku*12+12,$Y194&lt;=$Z194))</f>
        <v/>
      </c>
      <c r="AD194" s="21" t="str">
        <f>IF($B194="","",IFERROR(IF($S194="Garis Lurus",$G194-($G194-$H194)*MIN($T194*12,MAX(0,TahunBuku*12-$Y194+1))/($T194*12),IF($S194="Saldo Menurun",IF(TahunBuku-1&lt;YEAR($F194),$G194,IF(TahunBuku-1&gt;=INT(($Y194+$T194*12-2)/12),$H194,MAX($H194,$G194*(1-2/$T194*(13-MONTH($F194))/12)*(1-2/$T194)^(TahunBuku-1-YEAR($F194))))),IF($S194="Unit Produksi",$G194-($G194-$H194)*MIN(1,N($L194)/$K194),$G194))),$G194))</f>
        <v/>
      </c>
      <c r="AE194" s="21" t="str">
        <f>IF($B194="","",IFERROR(IF($S194="Garis Lurus",$G194-($G194-$H194)*MIN($T194*12,MAX(0,TahunBuku*12+12-$Y194+1))/($T194*12),IF($S194="Saldo Menurun",IF(TahunBuku&lt;YEAR($F194),$G194,IF(TahunBuku&gt;=INT(($Y194+$T194*12-2)/12),$H194,MAX($H194,$G194*(1-2/$T194*(13-MONTH($F194))/12)*(1-2/$T194)^(TahunBuku-YEAR($F194))))),IF($S194="Unit Produksi",$G194-($G194-$H194)*MIN(1,(N($L194)+N($M194))/$K194),$G194))),$G194))</f>
        <v/>
      </c>
      <c r="AF194" s="20" t="str">
        <f>IF($B194="","",IF(OR($S194="Garis Lurus",$S194="Saldo Menurun",$S194="Unit Produksi"),MAX(0,IF($S194="Unit Produksi",TahunBuku*12+12,MIN(TahunBuku*12+12,$Y194+$T194*12-1))-MAX(TahunBuku*12+1,$Y194)+1),0))</f>
        <v/>
      </c>
      <c r="AG194" s="20" t="str">
        <f>IF($B194="","",IF(OR($S194="Garis Lurus",$S194="Saldo Menurun",$S194="Unit Produksi"),MAX(0,MIN($Z194,IF($S194="Unit Produksi",TahunBuku*12+12,MIN(TahunBuku*12+12,$Y194+$T194*12-1)))-MAX(TahunBuku*12+1,$Y194)+1),0))</f>
        <v/>
      </c>
      <c r="AH194" s="21" t="str">
        <f>IF($B194="","",IFERROR(IF($W194="Garis Lurus",$G194*(1-MIN($V194*12,MAX(0,TahunBuku*12-$Y194+1))/($V194*12)),IF($W194="Saldo Menurun",IF(TahunBuku-1&lt;YEAR($F194),$G194,IF(TahunBuku-1&gt;=INT(($Y194+$V194*12-2)/12),0,$G194*(1-2/$V194*(13-MONTH($F194))/12)*(1-2/$V194)^(TahunBuku-1-YEAR($F194)))),$G194)),$G194))</f>
        <v/>
      </c>
      <c r="AI194" s="21" t="str">
        <f>IF($B194="","",IFERROR(IF($W194="Garis Lurus",$G194*(1-MIN($V194*12,MAX(0,TahunBuku*12+12-$Y194+1))/($V194*12)),IF($W194="Saldo Menurun",IF(TahunBuku&lt;YEAR($F194),$G194,IF(TahunBuku&gt;=INT(($Y194+$V194*12-2)/12),0,$G194*(1-2/$V194*(13-MONTH($F194))/12)*(1-2/$V194)^(TahunBuku-YEAR($F194)))),$G194)),$G194))</f>
        <v/>
      </c>
      <c r="AJ194" s="20" t="str">
        <f>IF($B194="","",IF(OR($W194="Garis Lurus",$W194="Saldo Menurun"),MAX(0,MIN(TahunBuku*12+12,$Y194+$V194*12-1)-MAX(TahunBuku*12+1,$Y194)+1),0))</f>
        <v/>
      </c>
      <c r="AK194" s="20" t="str">
        <f>IF($B194="","",IF(OR($W194="Garis Lurus",$W194="Saldo Menurun"),MAX(0,MIN($Z194,TahunBuku*12+12,$Y194+$V194*12-1)-MAX(TahunBuku*12+1,$Y194)+1),0))</f>
        <v/>
      </c>
      <c r="AL194" s="22" t="str">
        <f>IF($B194="","",$G194*$AA194)</f>
        <v/>
      </c>
      <c r="AM194" s="22" t="str">
        <f>IF($B194="","",$G194*$AB194)</f>
        <v/>
      </c>
      <c r="AN194" s="22" t="str">
        <f>IF($B194="","",$G194*$AC194)</f>
        <v/>
      </c>
      <c r="AO194" s="22" t="str">
        <f>IF($B194="","",AL194+AM194-AN194)</f>
        <v/>
      </c>
      <c r="AP194" s="22" t="str">
        <f>IF($B194="","",($G194-$AD194)*$AA194)</f>
        <v/>
      </c>
      <c r="AQ194" s="22" t="str">
        <f>IF($B194="","",IF($AF194=0,0,($AD194-$AE194)*$AG194/$AF194)*MAX($AA194,$AB194))</f>
        <v/>
      </c>
      <c r="AR194" s="22" t="str">
        <f>IF($B194="","",(AP194+AQ194)*$AC194)</f>
        <v/>
      </c>
      <c r="AS194" s="22" t="str">
        <f>IF($B194="","",AP194+AQ194-AR194)</f>
        <v/>
      </c>
      <c r="AT194" s="22" t="str">
        <f>IF($B194="","",AO194-AS194)</f>
        <v/>
      </c>
      <c r="AU194" s="22" t="str">
        <f>IF($B194="","",IF($AC194=1,N($R194)-($G194-AR194),0))</f>
        <v/>
      </c>
      <c r="AV194" s="22" t="str">
        <f>IF($B194="","",($G194-$AH194)*$AA194)</f>
        <v/>
      </c>
      <c r="AW194" s="22" t="str">
        <f>IF($B194="","",IF($AJ194=0,0,($AH194-$AI194)*$AK194/$AJ194)*MAX($AA194,$AB194))</f>
        <v/>
      </c>
      <c r="AX194" s="22" t="str">
        <f>IF($B194="","",(AV194+AW194)*$AC194)</f>
        <v/>
      </c>
      <c r="AY194" s="22" t="str">
        <f>IF($B194="","",AV194+AW194-AX194)</f>
        <v/>
      </c>
      <c r="AZ194" s="22" t="str">
        <f>IF($B194="","",AO194-AY194)</f>
        <v/>
      </c>
      <c r="BA194" s="22" t="str">
        <f>IF($B194="","",IF($AC194=1,N($R194)-($G194-AX194),0))</f>
        <v/>
      </c>
      <c r="BB194" s="22" t="str">
        <f>IF($B194="","",ROUND(AQ194-AW194,0))</f>
        <v/>
      </c>
      <c r="BC194" s="22" t="str">
        <f>IF($B194="","",ROUND(BA194-AU194,0))</f>
        <v/>
      </c>
      <c r="BD194" s="22" t="str">
        <f>IF($B194="","",BB194+BC194)</f>
        <v/>
      </c>
      <c r="BE194" s="22" t="str">
        <f>IF($B194="","",ROUND(AV194-AP194,0))</f>
        <v/>
      </c>
      <c r="BF194" s="22" t="str">
        <f>IF($B194="","",ROUND(AT194-AZ194,0))</f>
        <v/>
      </c>
      <c r="BG194" s="22" t="str">
        <f>IF($B194="","",ROUND(BF194*TarifPPh,0))</f>
        <v/>
      </c>
      <c r="BH194" t="str">
        <f>IF($B194="","",IF($D194="","Kategori kosong",IF($F194="","Tgl perolehan kosong",IF(N($H194)&gt;$G194,"Residu &gt; harga perolehan",IF(AND(LEFT($U194,8)="Bangunan",$W194="Saldo Menurun"),"Bangunan wajib Garis Lurus (Ps.11 UU PPh)",IF(AND($S194="Unit Produksi",N($K194)=0),"Isi kapasitas unit",IF(AND(OR($S194="Garis Lurus",$S194="Saldo Menurun"),N($T194)&lt;=0),"Umur komersial kosong",IF(AND(OR($W194="Garis Lurus",$W194="Saldo Menurun"),N($V194)&lt;=0),"Masa manfaat fiskal kosong",IF(AND($Q194&lt;&gt;"",$Q194&lt;$F194),"Tgl pelepasan &lt; perolehan","OK")))))))))</f>
        <v/>
      </c>
    </row>
    <row r="195" spans="1:60" x14ac:dyDescent="0.25">
      <c r="A195" t="str">
        <f>IF($B195="","",ROW()-6)</f>
        <v/>
      </c>
      <c r="B195" s="9"/>
      <c r="C195" s="9"/>
      <c r="D195" s="9"/>
      <c r="E195" s="9"/>
      <c r="F195" s="17"/>
      <c r="G195" s="18"/>
      <c r="H195" s="18"/>
      <c r="I195" s="9"/>
      <c r="J195" s="9"/>
      <c r="K195" s="19"/>
      <c r="L195" s="19"/>
      <c r="M195" s="19"/>
      <c r="N195" s="9"/>
      <c r="O195" s="9"/>
      <c r="P195" s="9"/>
      <c r="Q195" s="17"/>
      <c r="R195" s="18"/>
      <c r="S195" t="str">
        <f>IF($B195="","",IF($I195&lt;&gt;"",$I195,IFERROR(INDEX(Kat_Metode,MATCH($D195,Kat_Nama,0)),"")))</f>
        <v/>
      </c>
      <c r="T195" t="str">
        <f>IF($B195="","",IF($J195&lt;&gt;"",$J195,IFERROR(INDEX(Kat_Umur,MATCH($D195,Kat_Nama,0)),0)))</f>
        <v/>
      </c>
      <c r="U195" t="str">
        <f>IF($B195="","",IF($N195&lt;&gt;"",$N195,IFERROR(INDEX(Kat_Kelompok,MATCH($D195,Kat_Nama,0)),"")))</f>
        <v/>
      </c>
      <c r="V195" t="str">
        <f>IF($B195="","",IF($U195="Masa Manfaat Sebenarnya",N($O195),IFERROR(INDEX(Kel_Masa,MATCH($U195,Kel_Nama,0)),0)))</f>
        <v/>
      </c>
      <c r="W195" t="str">
        <f>IF($B195="","",IF($P195&lt;&gt;"",$P195,IF(OR($U195="Tidak Disusutkan",$V195=0),"Tidak Disusutkan","Garis Lurus")))</f>
        <v/>
      </c>
      <c r="X195" t="str">
        <f>IF($B195="","",IF($Y195&gt;TahunBuku*12+12,"Belum Diperoleh",IF($Z195&lt;=TahunBuku*12,"Dilepas (thn lalu)",IF($AC195=1,"Dilepas thn ini",IF($AB195=1,"Perolehan baru","Aktif")))))</f>
        <v/>
      </c>
      <c r="Y195" s="20" t="str">
        <f>IF($B195="","",YEAR($F195)*12+MONTH($F195))</f>
        <v/>
      </c>
      <c r="Z195" s="20" t="str">
        <f>IF($B195="","",IF($Q195="",99999,YEAR($Q195)*12+MONTH($Q195)))</f>
        <v/>
      </c>
      <c r="AA195" s="20" t="str">
        <f>IF($B195="","",--AND($Y195&lt;=TahunBuku*12,$Z195&gt;TahunBuku*12))</f>
        <v/>
      </c>
      <c r="AB195" s="20" t="str">
        <f>IF($B195="","",--AND($Y195&gt;TahunBuku*12,$Y195&lt;=TahunBuku*12+12))</f>
        <v/>
      </c>
      <c r="AC195" s="20" t="str">
        <f>IF($B195="","",--AND($Z195&gt;TahunBuku*12,$Z195&lt;=TahunBuku*12+12,$Y195&lt;=$Z195))</f>
        <v/>
      </c>
      <c r="AD195" s="21" t="str">
        <f>IF($B195="","",IFERROR(IF($S195="Garis Lurus",$G195-($G195-$H195)*MIN($T195*12,MAX(0,TahunBuku*12-$Y195+1))/($T195*12),IF($S195="Saldo Menurun",IF(TahunBuku-1&lt;YEAR($F195),$G195,IF(TahunBuku-1&gt;=INT(($Y195+$T195*12-2)/12),$H195,MAX($H195,$G195*(1-2/$T195*(13-MONTH($F195))/12)*(1-2/$T195)^(TahunBuku-1-YEAR($F195))))),IF($S195="Unit Produksi",$G195-($G195-$H195)*MIN(1,N($L195)/$K195),$G195))),$G195))</f>
        <v/>
      </c>
      <c r="AE195" s="21" t="str">
        <f>IF($B195="","",IFERROR(IF($S195="Garis Lurus",$G195-($G195-$H195)*MIN($T195*12,MAX(0,TahunBuku*12+12-$Y195+1))/($T195*12),IF($S195="Saldo Menurun",IF(TahunBuku&lt;YEAR($F195),$G195,IF(TahunBuku&gt;=INT(($Y195+$T195*12-2)/12),$H195,MAX($H195,$G195*(1-2/$T195*(13-MONTH($F195))/12)*(1-2/$T195)^(TahunBuku-YEAR($F195))))),IF($S195="Unit Produksi",$G195-($G195-$H195)*MIN(1,(N($L195)+N($M195))/$K195),$G195))),$G195))</f>
        <v/>
      </c>
      <c r="AF195" s="20" t="str">
        <f>IF($B195="","",IF(OR($S195="Garis Lurus",$S195="Saldo Menurun",$S195="Unit Produksi"),MAX(0,IF($S195="Unit Produksi",TahunBuku*12+12,MIN(TahunBuku*12+12,$Y195+$T195*12-1))-MAX(TahunBuku*12+1,$Y195)+1),0))</f>
        <v/>
      </c>
      <c r="AG195" s="20" t="str">
        <f>IF($B195="","",IF(OR($S195="Garis Lurus",$S195="Saldo Menurun",$S195="Unit Produksi"),MAX(0,MIN($Z195,IF($S195="Unit Produksi",TahunBuku*12+12,MIN(TahunBuku*12+12,$Y195+$T195*12-1)))-MAX(TahunBuku*12+1,$Y195)+1),0))</f>
        <v/>
      </c>
      <c r="AH195" s="21" t="str">
        <f>IF($B195="","",IFERROR(IF($W195="Garis Lurus",$G195*(1-MIN($V195*12,MAX(0,TahunBuku*12-$Y195+1))/($V195*12)),IF($W195="Saldo Menurun",IF(TahunBuku-1&lt;YEAR($F195),$G195,IF(TahunBuku-1&gt;=INT(($Y195+$V195*12-2)/12),0,$G195*(1-2/$V195*(13-MONTH($F195))/12)*(1-2/$V195)^(TahunBuku-1-YEAR($F195)))),$G195)),$G195))</f>
        <v/>
      </c>
      <c r="AI195" s="21" t="str">
        <f>IF($B195="","",IFERROR(IF($W195="Garis Lurus",$G195*(1-MIN($V195*12,MAX(0,TahunBuku*12+12-$Y195+1))/($V195*12)),IF($W195="Saldo Menurun",IF(TahunBuku&lt;YEAR($F195),$G195,IF(TahunBuku&gt;=INT(($Y195+$V195*12-2)/12),0,$G195*(1-2/$V195*(13-MONTH($F195))/12)*(1-2/$V195)^(TahunBuku-YEAR($F195)))),$G195)),$G195))</f>
        <v/>
      </c>
      <c r="AJ195" s="20" t="str">
        <f>IF($B195="","",IF(OR($W195="Garis Lurus",$W195="Saldo Menurun"),MAX(0,MIN(TahunBuku*12+12,$Y195+$V195*12-1)-MAX(TahunBuku*12+1,$Y195)+1),0))</f>
        <v/>
      </c>
      <c r="AK195" s="20" t="str">
        <f>IF($B195="","",IF(OR($W195="Garis Lurus",$W195="Saldo Menurun"),MAX(0,MIN($Z195,TahunBuku*12+12,$Y195+$V195*12-1)-MAX(TahunBuku*12+1,$Y195)+1),0))</f>
        <v/>
      </c>
      <c r="AL195" s="22" t="str">
        <f>IF($B195="","",$G195*$AA195)</f>
        <v/>
      </c>
      <c r="AM195" s="22" t="str">
        <f>IF($B195="","",$G195*$AB195)</f>
        <v/>
      </c>
      <c r="AN195" s="22" t="str">
        <f>IF($B195="","",$G195*$AC195)</f>
        <v/>
      </c>
      <c r="AO195" s="22" t="str">
        <f>IF($B195="","",AL195+AM195-AN195)</f>
        <v/>
      </c>
      <c r="AP195" s="22" t="str">
        <f>IF($B195="","",($G195-$AD195)*$AA195)</f>
        <v/>
      </c>
      <c r="AQ195" s="22" t="str">
        <f>IF($B195="","",IF($AF195=0,0,($AD195-$AE195)*$AG195/$AF195)*MAX($AA195,$AB195))</f>
        <v/>
      </c>
      <c r="AR195" s="22" t="str">
        <f>IF($B195="","",(AP195+AQ195)*$AC195)</f>
        <v/>
      </c>
      <c r="AS195" s="22" t="str">
        <f>IF($B195="","",AP195+AQ195-AR195)</f>
        <v/>
      </c>
      <c r="AT195" s="22" t="str">
        <f>IF($B195="","",AO195-AS195)</f>
        <v/>
      </c>
      <c r="AU195" s="22" t="str">
        <f>IF($B195="","",IF($AC195=1,N($R195)-($G195-AR195),0))</f>
        <v/>
      </c>
      <c r="AV195" s="22" t="str">
        <f>IF($B195="","",($G195-$AH195)*$AA195)</f>
        <v/>
      </c>
      <c r="AW195" s="22" t="str">
        <f>IF($B195="","",IF($AJ195=0,0,($AH195-$AI195)*$AK195/$AJ195)*MAX($AA195,$AB195))</f>
        <v/>
      </c>
      <c r="AX195" s="22" t="str">
        <f>IF($B195="","",(AV195+AW195)*$AC195)</f>
        <v/>
      </c>
      <c r="AY195" s="22" t="str">
        <f>IF($B195="","",AV195+AW195-AX195)</f>
        <v/>
      </c>
      <c r="AZ195" s="22" t="str">
        <f>IF($B195="","",AO195-AY195)</f>
        <v/>
      </c>
      <c r="BA195" s="22" t="str">
        <f>IF($B195="","",IF($AC195=1,N($R195)-($G195-AX195),0))</f>
        <v/>
      </c>
      <c r="BB195" s="22" t="str">
        <f>IF($B195="","",ROUND(AQ195-AW195,0))</f>
        <v/>
      </c>
      <c r="BC195" s="22" t="str">
        <f>IF($B195="","",ROUND(BA195-AU195,0))</f>
        <v/>
      </c>
      <c r="BD195" s="22" t="str">
        <f>IF($B195="","",BB195+BC195)</f>
        <v/>
      </c>
      <c r="BE195" s="22" t="str">
        <f>IF($B195="","",ROUND(AV195-AP195,0))</f>
        <v/>
      </c>
      <c r="BF195" s="22" t="str">
        <f>IF($B195="","",ROUND(AT195-AZ195,0))</f>
        <v/>
      </c>
      <c r="BG195" s="22" t="str">
        <f>IF($B195="","",ROUND(BF195*TarifPPh,0))</f>
        <v/>
      </c>
      <c r="BH195" t="str">
        <f>IF($B195="","",IF($D195="","Kategori kosong",IF($F195="","Tgl perolehan kosong",IF(N($H195)&gt;$G195,"Residu &gt; harga perolehan",IF(AND(LEFT($U195,8)="Bangunan",$W195="Saldo Menurun"),"Bangunan wajib Garis Lurus (Ps.11 UU PPh)",IF(AND($S195="Unit Produksi",N($K195)=0),"Isi kapasitas unit",IF(AND(OR($S195="Garis Lurus",$S195="Saldo Menurun"),N($T195)&lt;=0),"Umur komersial kosong",IF(AND(OR($W195="Garis Lurus",$W195="Saldo Menurun"),N($V195)&lt;=0),"Masa manfaat fiskal kosong",IF(AND($Q195&lt;&gt;"",$Q195&lt;$F195),"Tgl pelepasan &lt; perolehan","OK")))))))))</f>
        <v/>
      </c>
    </row>
    <row r="196" spans="1:60" x14ac:dyDescent="0.25">
      <c r="A196" t="str">
        <f>IF($B196="","",ROW()-6)</f>
        <v/>
      </c>
      <c r="B196" s="9"/>
      <c r="C196" s="9"/>
      <c r="D196" s="9"/>
      <c r="E196" s="9"/>
      <c r="F196" s="17"/>
      <c r="G196" s="18"/>
      <c r="H196" s="18"/>
      <c r="I196" s="9"/>
      <c r="J196" s="9"/>
      <c r="K196" s="19"/>
      <c r="L196" s="19"/>
      <c r="M196" s="19"/>
      <c r="N196" s="9"/>
      <c r="O196" s="9"/>
      <c r="P196" s="9"/>
      <c r="Q196" s="17"/>
      <c r="R196" s="18"/>
      <c r="S196" t="str">
        <f>IF($B196="","",IF($I196&lt;&gt;"",$I196,IFERROR(INDEX(Kat_Metode,MATCH($D196,Kat_Nama,0)),"")))</f>
        <v/>
      </c>
      <c r="T196" t="str">
        <f>IF($B196="","",IF($J196&lt;&gt;"",$J196,IFERROR(INDEX(Kat_Umur,MATCH($D196,Kat_Nama,0)),0)))</f>
        <v/>
      </c>
      <c r="U196" t="str">
        <f>IF($B196="","",IF($N196&lt;&gt;"",$N196,IFERROR(INDEX(Kat_Kelompok,MATCH($D196,Kat_Nama,0)),"")))</f>
        <v/>
      </c>
      <c r="V196" t="str">
        <f>IF($B196="","",IF($U196="Masa Manfaat Sebenarnya",N($O196),IFERROR(INDEX(Kel_Masa,MATCH($U196,Kel_Nama,0)),0)))</f>
        <v/>
      </c>
      <c r="W196" t="str">
        <f>IF($B196="","",IF($P196&lt;&gt;"",$P196,IF(OR($U196="Tidak Disusutkan",$V196=0),"Tidak Disusutkan","Garis Lurus")))</f>
        <v/>
      </c>
      <c r="X196" t="str">
        <f>IF($B196="","",IF($Y196&gt;TahunBuku*12+12,"Belum Diperoleh",IF($Z196&lt;=TahunBuku*12,"Dilepas (thn lalu)",IF($AC196=1,"Dilepas thn ini",IF($AB196=1,"Perolehan baru","Aktif")))))</f>
        <v/>
      </c>
      <c r="Y196" s="20" t="str">
        <f>IF($B196="","",YEAR($F196)*12+MONTH($F196))</f>
        <v/>
      </c>
      <c r="Z196" s="20" t="str">
        <f>IF($B196="","",IF($Q196="",99999,YEAR($Q196)*12+MONTH($Q196)))</f>
        <v/>
      </c>
      <c r="AA196" s="20" t="str">
        <f>IF($B196="","",--AND($Y196&lt;=TahunBuku*12,$Z196&gt;TahunBuku*12))</f>
        <v/>
      </c>
      <c r="AB196" s="20" t="str">
        <f>IF($B196="","",--AND($Y196&gt;TahunBuku*12,$Y196&lt;=TahunBuku*12+12))</f>
        <v/>
      </c>
      <c r="AC196" s="20" t="str">
        <f>IF($B196="","",--AND($Z196&gt;TahunBuku*12,$Z196&lt;=TahunBuku*12+12,$Y196&lt;=$Z196))</f>
        <v/>
      </c>
      <c r="AD196" s="21" t="str">
        <f>IF($B196="","",IFERROR(IF($S196="Garis Lurus",$G196-($G196-$H196)*MIN($T196*12,MAX(0,TahunBuku*12-$Y196+1))/($T196*12),IF($S196="Saldo Menurun",IF(TahunBuku-1&lt;YEAR($F196),$G196,IF(TahunBuku-1&gt;=INT(($Y196+$T196*12-2)/12),$H196,MAX($H196,$G196*(1-2/$T196*(13-MONTH($F196))/12)*(1-2/$T196)^(TahunBuku-1-YEAR($F196))))),IF($S196="Unit Produksi",$G196-($G196-$H196)*MIN(1,N($L196)/$K196),$G196))),$G196))</f>
        <v/>
      </c>
      <c r="AE196" s="21" t="str">
        <f>IF($B196="","",IFERROR(IF($S196="Garis Lurus",$G196-($G196-$H196)*MIN($T196*12,MAX(0,TahunBuku*12+12-$Y196+1))/($T196*12),IF($S196="Saldo Menurun",IF(TahunBuku&lt;YEAR($F196),$G196,IF(TahunBuku&gt;=INT(($Y196+$T196*12-2)/12),$H196,MAX($H196,$G196*(1-2/$T196*(13-MONTH($F196))/12)*(1-2/$T196)^(TahunBuku-YEAR($F196))))),IF($S196="Unit Produksi",$G196-($G196-$H196)*MIN(1,(N($L196)+N($M196))/$K196),$G196))),$G196))</f>
        <v/>
      </c>
      <c r="AF196" s="20" t="str">
        <f>IF($B196="","",IF(OR($S196="Garis Lurus",$S196="Saldo Menurun",$S196="Unit Produksi"),MAX(0,IF($S196="Unit Produksi",TahunBuku*12+12,MIN(TahunBuku*12+12,$Y196+$T196*12-1))-MAX(TahunBuku*12+1,$Y196)+1),0))</f>
        <v/>
      </c>
      <c r="AG196" s="20" t="str">
        <f>IF($B196="","",IF(OR($S196="Garis Lurus",$S196="Saldo Menurun",$S196="Unit Produksi"),MAX(0,MIN($Z196,IF($S196="Unit Produksi",TahunBuku*12+12,MIN(TahunBuku*12+12,$Y196+$T196*12-1)))-MAX(TahunBuku*12+1,$Y196)+1),0))</f>
        <v/>
      </c>
      <c r="AH196" s="21" t="str">
        <f>IF($B196="","",IFERROR(IF($W196="Garis Lurus",$G196*(1-MIN($V196*12,MAX(0,TahunBuku*12-$Y196+1))/($V196*12)),IF($W196="Saldo Menurun",IF(TahunBuku-1&lt;YEAR($F196),$G196,IF(TahunBuku-1&gt;=INT(($Y196+$V196*12-2)/12),0,$G196*(1-2/$V196*(13-MONTH($F196))/12)*(1-2/$V196)^(TahunBuku-1-YEAR($F196)))),$G196)),$G196))</f>
        <v/>
      </c>
      <c r="AI196" s="21" t="str">
        <f>IF($B196="","",IFERROR(IF($W196="Garis Lurus",$G196*(1-MIN($V196*12,MAX(0,TahunBuku*12+12-$Y196+1))/($V196*12)),IF($W196="Saldo Menurun",IF(TahunBuku&lt;YEAR($F196),$G196,IF(TahunBuku&gt;=INT(($Y196+$V196*12-2)/12),0,$G196*(1-2/$V196*(13-MONTH($F196))/12)*(1-2/$V196)^(TahunBuku-YEAR($F196)))),$G196)),$G196))</f>
        <v/>
      </c>
      <c r="AJ196" s="20" t="str">
        <f>IF($B196="","",IF(OR($W196="Garis Lurus",$W196="Saldo Menurun"),MAX(0,MIN(TahunBuku*12+12,$Y196+$V196*12-1)-MAX(TahunBuku*12+1,$Y196)+1),0))</f>
        <v/>
      </c>
      <c r="AK196" s="20" t="str">
        <f>IF($B196="","",IF(OR($W196="Garis Lurus",$W196="Saldo Menurun"),MAX(0,MIN($Z196,TahunBuku*12+12,$Y196+$V196*12-1)-MAX(TahunBuku*12+1,$Y196)+1),0))</f>
        <v/>
      </c>
      <c r="AL196" s="22" t="str">
        <f>IF($B196="","",$G196*$AA196)</f>
        <v/>
      </c>
      <c r="AM196" s="22" t="str">
        <f>IF($B196="","",$G196*$AB196)</f>
        <v/>
      </c>
      <c r="AN196" s="22" t="str">
        <f>IF($B196="","",$G196*$AC196)</f>
        <v/>
      </c>
      <c r="AO196" s="22" t="str">
        <f>IF($B196="","",AL196+AM196-AN196)</f>
        <v/>
      </c>
      <c r="AP196" s="22" t="str">
        <f>IF($B196="","",($G196-$AD196)*$AA196)</f>
        <v/>
      </c>
      <c r="AQ196" s="22" t="str">
        <f>IF($B196="","",IF($AF196=0,0,($AD196-$AE196)*$AG196/$AF196)*MAX($AA196,$AB196))</f>
        <v/>
      </c>
      <c r="AR196" s="22" t="str">
        <f>IF($B196="","",(AP196+AQ196)*$AC196)</f>
        <v/>
      </c>
      <c r="AS196" s="22" t="str">
        <f>IF($B196="","",AP196+AQ196-AR196)</f>
        <v/>
      </c>
      <c r="AT196" s="22" t="str">
        <f>IF($B196="","",AO196-AS196)</f>
        <v/>
      </c>
      <c r="AU196" s="22" t="str">
        <f>IF($B196="","",IF($AC196=1,N($R196)-($G196-AR196),0))</f>
        <v/>
      </c>
      <c r="AV196" s="22" t="str">
        <f>IF($B196="","",($G196-$AH196)*$AA196)</f>
        <v/>
      </c>
      <c r="AW196" s="22" t="str">
        <f>IF($B196="","",IF($AJ196=0,0,($AH196-$AI196)*$AK196/$AJ196)*MAX($AA196,$AB196))</f>
        <v/>
      </c>
      <c r="AX196" s="22" t="str">
        <f>IF($B196="","",(AV196+AW196)*$AC196)</f>
        <v/>
      </c>
      <c r="AY196" s="22" t="str">
        <f>IF($B196="","",AV196+AW196-AX196)</f>
        <v/>
      </c>
      <c r="AZ196" s="22" t="str">
        <f>IF($B196="","",AO196-AY196)</f>
        <v/>
      </c>
      <c r="BA196" s="22" t="str">
        <f>IF($B196="","",IF($AC196=1,N($R196)-($G196-AX196),0))</f>
        <v/>
      </c>
      <c r="BB196" s="22" t="str">
        <f>IF($B196="","",ROUND(AQ196-AW196,0))</f>
        <v/>
      </c>
      <c r="BC196" s="22" t="str">
        <f>IF($B196="","",ROUND(BA196-AU196,0))</f>
        <v/>
      </c>
      <c r="BD196" s="22" t="str">
        <f>IF($B196="","",BB196+BC196)</f>
        <v/>
      </c>
      <c r="BE196" s="22" t="str">
        <f>IF($B196="","",ROUND(AV196-AP196,0))</f>
        <v/>
      </c>
      <c r="BF196" s="22" t="str">
        <f>IF($B196="","",ROUND(AT196-AZ196,0))</f>
        <v/>
      </c>
      <c r="BG196" s="22" t="str">
        <f>IF($B196="","",ROUND(BF196*TarifPPh,0))</f>
        <v/>
      </c>
      <c r="BH196" t="str">
        <f>IF($B196="","",IF($D196="","Kategori kosong",IF($F196="","Tgl perolehan kosong",IF(N($H196)&gt;$G196,"Residu &gt; harga perolehan",IF(AND(LEFT($U196,8)="Bangunan",$W196="Saldo Menurun"),"Bangunan wajib Garis Lurus (Ps.11 UU PPh)",IF(AND($S196="Unit Produksi",N($K196)=0),"Isi kapasitas unit",IF(AND(OR($S196="Garis Lurus",$S196="Saldo Menurun"),N($T196)&lt;=0),"Umur komersial kosong",IF(AND(OR($W196="Garis Lurus",$W196="Saldo Menurun"),N($V196)&lt;=0),"Masa manfaat fiskal kosong",IF(AND($Q196&lt;&gt;"",$Q196&lt;$F196),"Tgl pelepasan &lt; perolehan","OK")))))))))</f>
        <v/>
      </c>
    </row>
    <row r="197" spans="1:60" x14ac:dyDescent="0.25">
      <c r="A197" t="str">
        <f>IF($B197="","",ROW()-6)</f>
        <v/>
      </c>
      <c r="B197" s="9"/>
      <c r="C197" s="9"/>
      <c r="D197" s="9"/>
      <c r="E197" s="9"/>
      <c r="F197" s="17"/>
      <c r="G197" s="18"/>
      <c r="H197" s="18"/>
      <c r="I197" s="9"/>
      <c r="J197" s="9"/>
      <c r="K197" s="19"/>
      <c r="L197" s="19"/>
      <c r="M197" s="19"/>
      <c r="N197" s="9"/>
      <c r="O197" s="9"/>
      <c r="P197" s="9"/>
      <c r="Q197" s="17"/>
      <c r="R197" s="18"/>
      <c r="S197" t="str">
        <f>IF($B197="","",IF($I197&lt;&gt;"",$I197,IFERROR(INDEX(Kat_Metode,MATCH($D197,Kat_Nama,0)),"")))</f>
        <v/>
      </c>
      <c r="T197" t="str">
        <f>IF($B197="","",IF($J197&lt;&gt;"",$J197,IFERROR(INDEX(Kat_Umur,MATCH($D197,Kat_Nama,0)),0)))</f>
        <v/>
      </c>
      <c r="U197" t="str">
        <f>IF($B197="","",IF($N197&lt;&gt;"",$N197,IFERROR(INDEX(Kat_Kelompok,MATCH($D197,Kat_Nama,0)),"")))</f>
        <v/>
      </c>
      <c r="V197" t="str">
        <f>IF($B197="","",IF($U197="Masa Manfaat Sebenarnya",N($O197),IFERROR(INDEX(Kel_Masa,MATCH($U197,Kel_Nama,0)),0)))</f>
        <v/>
      </c>
      <c r="W197" t="str">
        <f>IF($B197="","",IF($P197&lt;&gt;"",$P197,IF(OR($U197="Tidak Disusutkan",$V197=0),"Tidak Disusutkan","Garis Lurus")))</f>
        <v/>
      </c>
      <c r="X197" t="str">
        <f>IF($B197="","",IF($Y197&gt;TahunBuku*12+12,"Belum Diperoleh",IF($Z197&lt;=TahunBuku*12,"Dilepas (thn lalu)",IF($AC197=1,"Dilepas thn ini",IF($AB197=1,"Perolehan baru","Aktif")))))</f>
        <v/>
      </c>
      <c r="Y197" s="20" t="str">
        <f>IF($B197="","",YEAR($F197)*12+MONTH($F197))</f>
        <v/>
      </c>
      <c r="Z197" s="20" t="str">
        <f>IF($B197="","",IF($Q197="",99999,YEAR($Q197)*12+MONTH($Q197)))</f>
        <v/>
      </c>
      <c r="AA197" s="20" t="str">
        <f>IF($B197="","",--AND($Y197&lt;=TahunBuku*12,$Z197&gt;TahunBuku*12))</f>
        <v/>
      </c>
      <c r="AB197" s="20" t="str">
        <f>IF($B197="","",--AND($Y197&gt;TahunBuku*12,$Y197&lt;=TahunBuku*12+12))</f>
        <v/>
      </c>
      <c r="AC197" s="20" t="str">
        <f>IF($B197="","",--AND($Z197&gt;TahunBuku*12,$Z197&lt;=TahunBuku*12+12,$Y197&lt;=$Z197))</f>
        <v/>
      </c>
      <c r="AD197" s="21" t="str">
        <f>IF($B197="","",IFERROR(IF($S197="Garis Lurus",$G197-($G197-$H197)*MIN($T197*12,MAX(0,TahunBuku*12-$Y197+1))/($T197*12),IF($S197="Saldo Menurun",IF(TahunBuku-1&lt;YEAR($F197),$G197,IF(TahunBuku-1&gt;=INT(($Y197+$T197*12-2)/12),$H197,MAX($H197,$G197*(1-2/$T197*(13-MONTH($F197))/12)*(1-2/$T197)^(TahunBuku-1-YEAR($F197))))),IF($S197="Unit Produksi",$G197-($G197-$H197)*MIN(1,N($L197)/$K197),$G197))),$G197))</f>
        <v/>
      </c>
      <c r="AE197" s="21" t="str">
        <f>IF($B197="","",IFERROR(IF($S197="Garis Lurus",$G197-($G197-$H197)*MIN($T197*12,MAX(0,TahunBuku*12+12-$Y197+1))/($T197*12),IF($S197="Saldo Menurun",IF(TahunBuku&lt;YEAR($F197),$G197,IF(TahunBuku&gt;=INT(($Y197+$T197*12-2)/12),$H197,MAX($H197,$G197*(1-2/$T197*(13-MONTH($F197))/12)*(1-2/$T197)^(TahunBuku-YEAR($F197))))),IF($S197="Unit Produksi",$G197-($G197-$H197)*MIN(1,(N($L197)+N($M197))/$K197),$G197))),$G197))</f>
        <v/>
      </c>
      <c r="AF197" s="20" t="str">
        <f>IF($B197="","",IF(OR($S197="Garis Lurus",$S197="Saldo Menurun",$S197="Unit Produksi"),MAX(0,IF($S197="Unit Produksi",TahunBuku*12+12,MIN(TahunBuku*12+12,$Y197+$T197*12-1))-MAX(TahunBuku*12+1,$Y197)+1),0))</f>
        <v/>
      </c>
      <c r="AG197" s="20" t="str">
        <f>IF($B197="","",IF(OR($S197="Garis Lurus",$S197="Saldo Menurun",$S197="Unit Produksi"),MAX(0,MIN($Z197,IF($S197="Unit Produksi",TahunBuku*12+12,MIN(TahunBuku*12+12,$Y197+$T197*12-1)))-MAX(TahunBuku*12+1,$Y197)+1),0))</f>
        <v/>
      </c>
      <c r="AH197" s="21" t="str">
        <f>IF($B197="","",IFERROR(IF($W197="Garis Lurus",$G197*(1-MIN($V197*12,MAX(0,TahunBuku*12-$Y197+1))/($V197*12)),IF($W197="Saldo Menurun",IF(TahunBuku-1&lt;YEAR($F197),$G197,IF(TahunBuku-1&gt;=INT(($Y197+$V197*12-2)/12),0,$G197*(1-2/$V197*(13-MONTH($F197))/12)*(1-2/$V197)^(TahunBuku-1-YEAR($F197)))),$G197)),$G197))</f>
        <v/>
      </c>
      <c r="AI197" s="21" t="str">
        <f>IF($B197="","",IFERROR(IF($W197="Garis Lurus",$G197*(1-MIN($V197*12,MAX(0,TahunBuku*12+12-$Y197+1))/($V197*12)),IF($W197="Saldo Menurun",IF(TahunBuku&lt;YEAR($F197),$G197,IF(TahunBuku&gt;=INT(($Y197+$V197*12-2)/12),0,$G197*(1-2/$V197*(13-MONTH($F197))/12)*(1-2/$V197)^(TahunBuku-YEAR($F197)))),$G197)),$G197))</f>
        <v/>
      </c>
      <c r="AJ197" s="20" t="str">
        <f>IF($B197="","",IF(OR($W197="Garis Lurus",$W197="Saldo Menurun"),MAX(0,MIN(TahunBuku*12+12,$Y197+$V197*12-1)-MAX(TahunBuku*12+1,$Y197)+1),0))</f>
        <v/>
      </c>
      <c r="AK197" s="20" t="str">
        <f>IF($B197="","",IF(OR($W197="Garis Lurus",$W197="Saldo Menurun"),MAX(0,MIN($Z197,TahunBuku*12+12,$Y197+$V197*12-1)-MAX(TahunBuku*12+1,$Y197)+1),0))</f>
        <v/>
      </c>
      <c r="AL197" s="22" t="str">
        <f>IF($B197="","",$G197*$AA197)</f>
        <v/>
      </c>
      <c r="AM197" s="22" t="str">
        <f>IF($B197="","",$G197*$AB197)</f>
        <v/>
      </c>
      <c r="AN197" s="22" t="str">
        <f>IF($B197="","",$G197*$AC197)</f>
        <v/>
      </c>
      <c r="AO197" s="22" t="str">
        <f>IF($B197="","",AL197+AM197-AN197)</f>
        <v/>
      </c>
      <c r="AP197" s="22" t="str">
        <f>IF($B197="","",($G197-$AD197)*$AA197)</f>
        <v/>
      </c>
      <c r="AQ197" s="22" t="str">
        <f>IF($B197="","",IF($AF197=0,0,($AD197-$AE197)*$AG197/$AF197)*MAX($AA197,$AB197))</f>
        <v/>
      </c>
      <c r="AR197" s="22" t="str">
        <f>IF($B197="","",(AP197+AQ197)*$AC197)</f>
        <v/>
      </c>
      <c r="AS197" s="22" t="str">
        <f>IF($B197="","",AP197+AQ197-AR197)</f>
        <v/>
      </c>
      <c r="AT197" s="22" t="str">
        <f>IF($B197="","",AO197-AS197)</f>
        <v/>
      </c>
      <c r="AU197" s="22" t="str">
        <f>IF($B197="","",IF($AC197=1,N($R197)-($G197-AR197),0))</f>
        <v/>
      </c>
      <c r="AV197" s="22" t="str">
        <f>IF($B197="","",($G197-$AH197)*$AA197)</f>
        <v/>
      </c>
      <c r="AW197" s="22" t="str">
        <f>IF($B197="","",IF($AJ197=0,0,($AH197-$AI197)*$AK197/$AJ197)*MAX($AA197,$AB197))</f>
        <v/>
      </c>
      <c r="AX197" s="22" t="str">
        <f>IF($B197="","",(AV197+AW197)*$AC197)</f>
        <v/>
      </c>
      <c r="AY197" s="22" t="str">
        <f>IF($B197="","",AV197+AW197-AX197)</f>
        <v/>
      </c>
      <c r="AZ197" s="22" t="str">
        <f>IF($B197="","",AO197-AY197)</f>
        <v/>
      </c>
      <c r="BA197" s="22" t="str">
        <f>IF($B197="","",IF($AC197=1,N($R197)-($G197-AX197),0))</f>
        <v/>
      </c>
      <c r="BB197" s="22" t="str">
        <f>IF($B197="","",ROUND(AQ197-AW197,0))</f>
        <v/>
      </c>
      <c r="BC197" s="22" t="str">
        <f>IF($B197="","",ROUND(BA197-AU197,0))</f>
        <v/>
      </c>
      <c r="BD197" s="22" t="str">
        <f>IF($B197="","",BB197+BC197)</f>
        <v/>
      </c>
      <c r="BE197" s="22" t="str">
        <f>IF($B197="","",ROUND(AV197-AP197,0))</f>
        <v/>
      </c>
      <c r="BF197" s="22" t="str">
        <f>IF($B197="","",ROUND(AT197-AZ197,0))</f>
        <v/>
      </c>
      <c r="BG197" s="22" t="str">
        <f>IF($B197="","",ROUND(BF197*TarifPPh,0))</f>
        <v/>
      </c>
      <c r="BH197" t="str">
        <f>IF($B197="","",IF($D197="","Kategori kosong",IF($F197="","Tgl perolehan kosong",IF(N($H197)&gt;$G197,"Residu &gt; harga perolehan",IF(AND(LEFT($U197,8)="Bangunan",$W197="Saldo Menurun"),"Bangunan wajib Garis Lurus (Ps.11 UU PPh)",IF(AND($S197="Unit Produksi",N($K197)=0),"Isi kapasitas unit",IF(AND(OR($S197="Garis Lurus",$S197="Saldo Menurun"),N($T197)&lt;=0),"Umur komersial kosong",IF(AND(OR($W197="Garis Lurus",$W197="Saldo Menurun"),N($V197)&lt;=0),"Masa manfaat fiskal kosong",IF(AND($Q197&lt;&gt;"",$Q197&lt;$F197),"Tgl pelepasan &lt; perolehan","OK")))))))))</f>
        <v/>
      </c>
    </row>
    <row r="198" spans="1:60" x14ac:dyDescent="0.25">
      <c r="A198" t="str">
        <f>IF($B198="","",ROW()-6)</f>
        <v/>
      </c>
      <c r="B198" s="9"/>
      <c r="C198" s="9"/>
      <c r="D198" s="9"/>
      <c r="E198" s="9"/>
      <c r="F198" s="17"/>
      <c r="G198" s="18"/>
      <c r="H198" s="18"/>
      <c r="I198" s="9"/>
      <c r="J198" s="9"/>
      <c r="K198" s="19"/>
      <c r="L198" s="19"/>
      <c r="M198" s="19"/>
      <c r="N198" s="9"/>
      <c r="O198" s="9"/>
      <c r="P198" s="9"/>
      <c r="Q198" s="17"/>
      <c r="R198" s="18"/>
      <c r="S198" t="str">
        <f>IF($B198="","",IF($I198&lt;&gt;"",$I198,IFERROR(INDEX(Kat_Metode,MATCH($D198,Kat_Nama,0)),"")))</f>
        <v/>
      </c>
      <c r="T198" t="str">
        <f>IF($B198="","",IF($J198&lt;&gt;"",$J198,IFERROR(INDEX(Kat_Umur,MATCH($D198,Kat_Nama,0)),0)))</f>
        <v/>
      </c>
      <c r="U198" t="str">
        <f>IF($B198="","",IF($N198&lt;&gt;"",$N198,IFERROR(INDEX(Kat_Kelompok,MATCH($D198,Kat_Nama,0)),"")))</f>
        <v/>
      </c>
      <c r="V198" t="str">
        <f>IF($B198="","",IF($U198="Masa Manfaat Sebenarnya",N($O198),IFERROR(INDEX(Kel_Masa,MATCH($U198,Kel_Nama,0)),0)))</f>
        <v/>
      </c>
      <c r="W198" t="str">
        <f>IF($B198="","",IF($P198&lt;&gt;"",$P198,IF(OR($U198="Tidak Disusutkan",$V198=0),"Tidak Disusutkan","Garis Lurus")))</f>
        <v/>
      </c>
      <c r="X198" t="str">
        <f>IF($B198="","",IF($Y198&gt;TahunBuku*12+12,"Belum Diperoleh",IF($Z198&lt;=TahunBuku*12,"Dilepas (thn lalu)",IF($AC198=1,"Dilepas thn ini",IF($AB198=1,"Perolehan baru","Aktif")))))</f>
        <v/>
      </c>
      <c r="Y198" s="20" t="str">
        <f>IF($B198="","",YEAR($F198)*12+MONTH($F198))</f>
        <v/>
      </c>
      <c r="Z198" s="20" t="str">
        <f>IF($B198="","",IF($Q198="",99999,YEAR($Q198)*12+MONTH($Q198)))</f>
        <v/>
      </c>
      <c r="AA198" s="20" t="str">
        <f>IF($B198="","",--AND($Y198&lt;=TahunBuku*12,$Z198&gt;TahunBuku*12))</f>
        <v/>
      </c>
      <c r="AB198" s="20" t="str">
        <f>IF($B198="","",--AND($Y198&gt;TahunBuku*12,$Y198&lt;=TahunBuku*12+12))</f>
        <v/>
      </c>
      <c r="AC198" s="20" t="str">
        <f>IF($B198="","",--AND($Z198&gt;TahunBuku*12,$Z198&lt;=TahunBuku*12+12,$Y198&lt;=$Z198))</f>
        <v/>
      </c>
      <c r="AD198" s="21" t="str">
        <f>IF($B198="","",IFERROR(IF($S198="Garis Lurus",$G198-($G198-$H198)*MIN($T198*12,MAX(0,TahunBuku*12-$Y198+1))/($T198*12),IF($S198="Saldo Menurun",IF(TahunBuku-1&lt;YEAR($F198),$G198,IF(TahunBuku-1&gt;=INT(($Y198+$T198*12-2)/12),$H198,MAX($H198,$G198*(1-2/$T198*(13-MONTH($F198))/12)*(1-2/$T198)^(TahunBuku-1-YEAR($F198))))),IF($S198="Unit Produksi",$G198-($G198-$H198)*MIN(1,N($L198)/$K198),$G198))),$G198))</f>
        <v/>
      </c>
      <c r="AE198" s="21" t="str">
        <f>IF($B198="","",IFERROR(IF($S198="Garis Lurus",$G198-($G198-$H198)*MIN($T198*12,MAX(0,TahunBuku*12+12-$Y198+1))/($T198*12),IF($S198="Saldo Menurun",IF(TahunBuku&lt;YEAR($F198),$G198,IF(TahunBuku&gt;=INT(($Y198+$T198*12-2)/12),$H198,MAX($H198,$G198*(1-2/$T198*(13-MONTH($F198))/12)*(1-2/$T198)^(TahunBuku-YEAR($F198))))),IF($S198="Unit Produksi",$G198-($G198-$H198)*MIN(1,(N($L198)+N($M198))/$K198),$G198))),$G198))</f>
        <v/>
      </c>
      <c r="AF198" s="20" t="str">
        <f>IF($B198="","",IF(OR($S198="Garis Lurus",$S198="Saldo Menurun",$S198="Unit Produksi"),MAX(0,IF($S198="Unit Produksi",TahunBuku*12+12,MIN(TahunBuku*12+12,$Y198+$T198*12-1))-MAX(TahunBuku*12+1,$Y198)+1),0))</f>
        <v/>
      </c>
      <c r="AG198" s="20" t="str">
        <f>IF($B198="","",IF(OR($S198="Garis Lurus",$S198="Saldo Menurun",$S198="Unit Produksi"),MAX(0,MIN($Z198,IF($S198="Unit Produksi",TahunBuku*12+12,MIN(TahunBuku*12+12,$Y198+$T198*12-1)))-MAX(TahunBuku*12+1,$Y198)+1),0))</f>
        <v/>
      </c>
      <c r="AH198" s="21" t="str">
        <f>IF($B198="","",IFERROR(IF($W198="Garis Lurus",$G198*(1-MIN($V198*12,MAX(0,TahunBuku*12-$Y198+1))/($V198*12)),IF($W198="Saldo Menurun",IF(TahunBuku-1&lt;YEAR($F198),$G198,IF(TahunBuku-1&gt;=INT(($Y198+$V198*12-2)/12),0,$G198*(1-2/$V198*(13-MONTH($F198))/12)*(1-2/$V198)^(TahunBuku-1-YEAR($F198)))),$G198)),$G198))</f>
        <v/>
      </c>
      <c r="AI198" s="21" t="str">
        <f>IF($B198="","",IFERROR(IF($W198="Garis Lurus",$G198*(1-MIN($V198*12,MAX(0,TahunBuku*12+12-$Y198+1))/($V198*12)),IF($W198="Saldo Menurun",IF(TahunBuku&lt;YEAR($F198),$G198,IF(TahunBuku&gt;=INT(($Y198+$V198*12-2)/12),0,$G198*(1-2/$V198*(13-MONTH($F198))/12)*(1-2/$V198)^(TahunBuku-YEAR($F198)))),$G198)),$G198))</f>
        <v/>
      </c>
      <c r="AJ198" s="20" t="str">
        <f>IF($B198="","",IF(OR($W198="Garis Lurus",$W198="Saldo Menurun"),MAX(0,MIN(TahunBuku*12+12,$Y198+$V198*12-1)-MAX(TahunBuku*12+1,$Y198)+1),0))</f>
        <v/>
      </c>
      <c r="AK198" s="20" t="str">
        <f>IF($B198="","",IF(OR($W198="Garis Lurus",$W198="Saldo Menurun"),MAX(0,MIN($Z198,TahunBuku*12+12,$Y198+$V198*12-1)-MAX(TahunBuku*12+1,$Y198)+1),0))</f>
        <v/>
      </c>
      <c r="AL198" s="22" t="str">
        <f>IF($B198="","",$G198*$AA198)</f>
        <v/>
      </c>
      <c r="AM198" s="22" t="str">
        <f>IF($B198="","",$G198*$AB198)</f>
        <v/>
      </c>
      <c r="AN198" s="22" t="str">
        <f>IF($B198="","",$G198*$AC198)</f>
        <v/>
      </c>
      <c r="AO198" s="22" t="str">
        <f>IF($B198="","",AL198+AM198-AN198)</f>
        <v/>
      </c>
      <c r="AP198" s="22" t="str">
        <f>IF($B198="","",($G198-$AD198)*$AA198)</f>
        <v/>
      </c>
      <c r="AQ198" s="22" t="str">
        <f>IF($B198="","",IF($AF198=0,0,($AD198-$AE198)*$AG198/$AF198)*MAX($AA198,$AB198))</f>
        <v/>
      </c>
      <c r="AR198" s="22" t="str">
        <f>IF($B198="","",(AP198+AQ198)*$AC198)</f>
        <v/>
      </c>
      <c r="AS198" s="22" t="str">
        <f>IF($B198="","",AP198+AQ198-AR198)</f>
        <v/>
      </c>
      <c r="AT198" s="22" t="str">
        <f>IF($B198="","",AO198-AS198)</f>
        <v/>
      </c>
      <c r="AU198" s="22" t="str">
        <f>IF($B198="","",IF($AC198=1,N($R198)-($G198-AR198),0))</f>
        <v/>
      </c>
      <c r="AV198" s="22" t="str">
        <f>IF($B198="","",($G198-$AH198)*$AA198)</f>
        <v/>
      </c>
      <c r="AW198" s="22" t="str">
        <f>IF($B198="","",IF($AJ198=0,0,($AH198-$AI198)*$AK198/$AJ198)*MAX($AA198,$AB198))</f>
        <v/>
      </c>
      <c r="AX198" s="22" t="str">
        <f>IF($B198="","",(AV198+AW198)*$AC198)</f>
        <v/>
      </c>
      <c r="AY198" s="22" t="str">
        <f>IF($B198="","",AV198+AW198-AX198)</f>
        <v/>
      </c>
      <c r="AZ198" s="22" t="str">
        <f>IF($B198="","",AO198-AY198)</f>
        <v/>
      </c>
      <c r="BA198" s="22" t="str">
        <f>IF($B198="","",IF($AC198=1,N($R198)-($G198-AX198),0))</f>
        <v/>
      </c>
      <c r="BB198" s="22" t="str">
        <f>IF($B198="","",ROUND(AQ198-AW198,0))</f>
        <v/>
      </c>
      <c r="BC198" s="22" t="str">
        <f>IF($B198="","",ROUND(BA198-AU198,0))</f>
        <v/>
      </c>
      <c r="BD198" s="22" t="str">
        <f>IF($B198="","",BB198+BC198)</f>
        <v/>
      </c>
      <c r="BE198" s="22" t="str">
        <f>IF($B198="","",ROUND(AV198-AP198,0))</f>
        <v/>
      </c>
      <c r="BF198" s="22" t="str">
        <f>IF($B198="","",ROUND(AT198-AZ198,0))</f>
        <v/>
      </c>
      <c r="BG198" s="22" t="str">
        <f>IF($B198="","",ROUND(BF198*TarifPPh,0))</f>
        <v/>
      </c>
      <c r="BH198" t="str">
        <f>IF($B198="","",IF($D198="","Kategori kosong",IF($F198="","Tgl perolehan kosong",IF(N($H198)&gt;$G198,"Residu &gt; harga perolehan",IF(AND(LEFT($U198,8)="Bangunan",$W198="Saldo Menurun"),"Bangunan wajib Garis Lurus (Ps.11 UU PPh)",IF(AND($S198="Unit Produksi",N($K198)=0),"Isi kapasitas unit",IF(AND(OR($S198="Garis Lurus",$S198="Saldo Menurun"),N($T198)&lt;=0),"Umur komersial kosong",IF(AND(OR($W198="Garis Lurus",$W198="Saldo Menurun"),N($V198)&lt;=0),"Masa manfaat fiskal kosong",IF(AND($Q198&lt;&gt;"",$Q198&lt;$F198),"Tgl pelepasan &lt; perolehan","OK")))))))))</f>
        <v/>
      </c>
    </row>
    <row r="199" spans="1:60" x14ac:dyDescent="0.25">
      <c r="A199" t="str">
        <f>IF($B199="","",ROW()-6)</f>
        <v/>
      </c>
      <c r="B199" s="9"/>
      <c r="C199" s="9"/>
      <c r="D199" s="9"/>
      <c r="E199" s="9"/>
      <c r="F199" s="17"/>
      <c r="G199" s="18"/>
      <c r="H199" s="18"/>
      <c r="I199" s="9"/>
      <c r="J199" s="9"/>
      <c r="K199" s="19"/>
      <c r="L199" s="19"/>
      <c r="M199" s="19"/>
      <c r="N199" s="9"/>
      <c r="O199" s="9"/>
      <c r="P199" s="9"/>
      <c r="Q199" s="17"/>
      <c r="R199" s="18"/>
      <c r="S199" t="str">
        <f>IF($B199="","",IF($I199&lt;&gt;"",$I199,IFERROR(INDEX(Kat_Metode,MATCH($D199,Kat_Nama,0)),"")))</f>
        <v/>
      </c>
      <c r="T199" t="str">
        <f>IF($B199="","",IF($J199&lt;&gt;"",$J199,IFERROR(INDEX(Kat_Umur,MATCH($D199,Kat_Nama,0)),0)))</f>
        <v/>
      </c>
      <c r="U199" t="str">
        <f>IF($B199="","",IF($N199&lt;&gt;"",$N199,IFERROR(INDEX(Kat_Kelompok,MATCH($D199,Kat_Nama,0)),"")))</f>
        <v/>
      </c>
      <c r="V199" t="str">
        <f>IF($B199="","",IF($U199="Masa Manfaat Sebenarnya",N($O199),IFERROR(INDEX(Kel_Masa,MATCH($U199,Kel_Nama,0)),0)))</f>
        <v/>
      </c>
      <c r="W199" t="str">
        <f>IF($B199="","",IF($P199&lt;&gt;"",$P199,IF(OR($U199="Tidak Disusutkan",$V199=0),"Tidak Disusutkan","Garis Lurus")))</f>
        <v/>
      </c>
      <c r="X199" t="str">
        <f>IF($B199="","",IF($Y199&gt;TahunBuku*12+12,"Belum Diperoleh",IF($Z199&lt;=TahunBuku*12,"Dilepas (thn lalu)",IF($AC199=1,"Dilepas thn ini",IF($AB199=1,"Perolehan baru","Aktif")))))</f>
        <v/>
      </c>
      <c r="Y199" s="20" t="str">
        <f>IF($B199="","",YEAR($F199)*12+MONTH($F199))</f>
        <v/>
      </c>
      <c r="Z199" s="20" t="str">
        <f>IF($B199="","",IF($Q199="",99999,YEAR($Q199)*12+MONTH($Q199)))</f>
        <v/>
      </c>
      <c r="AA199" s="20" t="str">
        <f>IF($B199="","",--AND($Y199&lt;=TahunBuku*12,$Z199&gt;TahunBuku*12))</f>
        <v/>
      </c>
      <c r="AB199" s="20" t="str">
        <f>IF($B199="","",--AND($Y199&gt;TahunBuku*12,$Y199&lt;=TahunBuku*12+12))</f>
        <v/>
      </c>
      <c r="AC199" s="20" t="str">
        <f>IF($B199="","",--AND($Z199&gt;TahunBuku*12,$Z199&lt;=TahunBuku*12+12,$Y199&lt;=$Z199))</f>
        <v/>
      </c>
      <c r="AD199" s="21" t="str">
        <f>IF($B199="","",IFERROR(IF($S199="Garis Lurus",$G199-($G199-$H199)*MIN($T199*12,MAX(0,TahunBuku*12-$Y199+1))/($T199*12),IF($S199="Saldo Menurun",IF(TahunBuku-1&lt;YEAR($F199),$G199,IF(TahunBuku-1&gt;=INT(($Y199+$T199*12-2)/12),$H199,MAX($H199,$G199*(1-2/$T199*(13-MONTH($F199))/12)*(1-2/$T199)^(TahunBuku-1-YEAR($F199))))),IF($S199="Unit Produksi",$G199-($G199-$H199)*MIN(1,N($L199)/$K199),$G199))),$G199))</f>
        <v/>
      </c>
      <c r="AE199" s="21" t="str">
        <f>IF($B199="","",IFERROR(IF($S199="Garis Lurus",$G199-($G199-$H199)*MIN($T199*12,MAX(0,TahunBuku*12+12-$Y199+1))/($T199*12),IF($S199="Saldo Menurun",IF(TahunBuku&lt;YEAR($F199),$G199,IF(TahunBuku&gt;=INT(($Y199+$T199*12-2)/12),$H199,MAX($H199,$G199*(1-2/$T199*(13-MONTH($F199))/12)*(1-2/$T199)^(TahunBuku-YEAR($F199))))),IF($S199="Unit Produksi",$G199-($G199-$H199)*MIN(1,(N($L199)+N($M199))/$K199),$G199))),$G199))</f>
        <v/>
      </c>
      <c r="AF199" s="20" t="str">
        <f>IF($B199="","",IF(OR($S199="Garis Lurus",$S199="Saldo Menurun",$S199="Unit Produksi"),MAX(0,IF($S199="Unit Produksi",TahunBuku*12+12,MIN(TahunBuku*12+12,$Y199+$T199*12-1))-MAX(TahunBuku*12+1,$Y199)+1),0))</f>
        <v/>
      </c>
      <c r="AG199" s="20" t="str">
        <f>IF($B199="","",IF(OR($S199="Garis Lurus",$S199="Saldo Menurun",$S199="Unit Produksi"),MAX(0,MIN($Z199,IF($S199="Unit Produksi",TahunBuku*12+12,MIN(TahunBuku*12+12,$Y199+$T199*12-1)))-MAX(TahunBuku*12+1,$Y199)+1),0))</f>
        <v/>
      </c>
      <c r="AH199" s="21" t="str">
        <f>IF($B199="","",IFERROR(IF($W199="Garis Lurus",$G199*(1-MIN($V199*12,MAX(0,TahunBuku*12-$Y199+1))/($V199*12)),IF($W199="Saldo Menurun",IF(TahunBuku-1&lt;YEAR($F199),$G199,IF(TahunBuku-1&gt;=INT(($Y199+$V199*12-2)/12),0,$G199*(1-2/$V199*(13-MONTH($F199))/12)*(1-2/$V199)^(TahunBuku-1-YEAR($F199)))),$G199)),$G199))</f>
        <v/>
      </c>
      <c r="AI199" s="21" t="str">
        <f>IF($B199="","",IFERROR(IF($W199="Garis Lurus",$G199*(1-MIN($V199*12,MAX(0,TahunBuku*12+12-$Y199+1))/($V199*12)),IF($W199="Saldo Menurun",IF(TahunBuku&lt;YEAR($F199),$G199,IF(TahunBuku&gt;=INT(($Y199+$V199*12-2)/12),0,$G199*(1-2/$V199*(13-MONTH($F199))/12)*(1-2/$V199)^(TahunBuku-YEAR($F199)))),$G199)),$G199))</f>
        <v/>
      </c>
      <c r="AJ199" s="20" t="str">
        <f>IF($B199="","",IF(OR($W199="Garis Lurus",$W199="Saldo Menurun"),MAX(0,MIN(TahunBuku*12+12,$Y199+$V199*12-1)-MAX(TahunBuku*12+1,$Y199)+1),0))</f>
        <v/>
      </c>
      <c r="AK199" s="20" t="str">
        <f>IF($B199="","",IF(OR($W199="Garis Lurus",$W199="Saldo Menurun"),MAX(0,MIN($Z199,TahunBuku*12+12,$Y199+$V199*12-1)-MAX(TahunBuku*12+1,$Y199)+1),0))</f>
        <v/>
      </c>
      <c r="AL199" s="22" t="str">
        <f>IF($B199="","",$G199*$AA199)</f>
        <v/>
      </c>
      <c r="AM199" s="22" t="str">
        <f>IF($B199="","",$G199*$AB199)</f>
        <v/>
      </c>
      <c r="AN199" s="22" t="str">
        <f>IF($B199="","",$G199*$AC199)</f>
        <v/>
      </c>
      <c r="AO199" s="22" t="str">
        <f>IF($B199="","",AL199+AM199-AN199)</f>
        <v/>
      </c>
      <c r="AP199" s="22" t="str">
        <f>IF($B199="","",($G199-$AD199)*$AA199)</f>
        <v/>
      </c>
      <c r="AQ199" s="22" t="str">
        <f>IF($B199="","",IF($AF199=0,0,($AD199-$AE199)*$AG199/$AF199)*MAX($AA199,$AB199))</f>
        <v/>
      </c>
      <c r="AR199" s="22" t="str">
        <f>IF($B199="","",(AP199+AQ199)*$AC199)</f>
        <v/>
      </c>
      <c r="AS199" s="22" t="str">
        <f>IF($B199="","",AP199+AQ199-AR199)</f>
        <v/>
      </c>
      <c r="AT199" s="22" t="str">
        <f>IF($B199="","",AO199-AS199)</f>
        <v/>
      </c>
      <c r="AU199" s="22" t="str">
        <f>IF($B199="","",IF($AC199=1,N($R199)-($G199-AR199),0))</f>
        <v/>
      </c>
      <c r="AV199" s="22" t="str">
        <f>IF($B199="","",($G199-$AH199)*$AA199)</f>
        <v/>
      </c>
      <c r="AW199" s="22" t="str">
        <f>IF($B199="","",IF($AJ199=0,0,($AH199-$AI199)*$AK199/$AJ199)*MAX($AA199,$AB199))</f>
        <v/>
      </c>
      <c r="AX199" s="22" t="str">
        <f>IF($B199="","",(AV199+AW199)*$AC199)</f>
        <v/>
      </c>
      <c r="AY199" s="22" t="str">
        <f>IF($B199="","",AV199+AW199-AX199)</f>
        <v/>
      </c>
      <c r="AZ199" s="22" t="str">
        <f>IF($B199="","",AO199-AY199)</f>
        <v/>
      </c>
      <c r="BA199" s="22" t="str">
        <f>IF($B199="","",IF($AC199=1,N($R199)-($G199-AX199),0))</f>
        <v/>
      </c>
      <c r="BB199" s="22" t="str">
        <f>IF($B199="","",ROUND(AQ199-AW199,0))</f>
        <v/>
      </c>
      <c r="BC199" s="22" t="str">
        <f>IF($B199="","",ROUND(BA199-AU199,0))</f>
        <v/>
      </c>
      <c r="BD199" s="22" t="str">
        <f>IF($B199="","",BB199+BC199)</f>
        <v/>
      </c>
      <c r="BE199" s="22" t="str">
        <f>IF($B199="","",ROUND(AV199-AP199,0))</f>
        <v/>
      </c>
      <c r="BF199" s="22" t="str">
        <f>IF($B199="","",ROUND(AT199-AZ199,0))</f>
        <v/>
      </c>
      <c r="BG199" s="22" t="str">
        <f>IF($B199="","",ROUND(BF199*TarifPPh,0))</f>
        <v/>
      </c>
      <c r="BH199" t="str">
        <f>IF($B199="","",IF($D199="","Kategori kosong",IF($F199="","Tgl perolehan kosong",IF(N($H199)&gt;$G199,"Residu &gt; harga perolehan",IF(AND(LEFT($U199,8)="Bangunan",$W199="Saldo Menurun"),"Bangunan wajib Garis Lurus (Ps.11 UU PPh)",IF(AND($S199="Unit Produksi",N($K199)=0),"Isi kapasitas unit",IF(AND(OR($S199="Garis Lurus",$S199="Saldo Menurun"),N($T199)&lt;=0),"Umur komersial kosong",IF(AND(OR($W199="Garis Lurus",$W199="Saldo Menurun"),N($V199)&lt;=0),"Masa manfaat fiskal kosong",IF(AND($Q199&lt;&gt;"",$Q199&lt;$F199),"Tgl pelepasan &lt; perolehan","OK")))))))))</f>
        <v/>
      </c>
    </row>
    <row r="200" spans="1:60" x14ac:dyDescent="0.25">
      <c r="A200" t="str">
        <f>IF($B200="","",ROW()-6)</f>
        <v/>
      </c>
      <c r="B200" s="9"/>
      <c r="C200" s="9"/>
      <c r="D200" s="9"/>
      <c r="E200" s="9"/>
      <c r="F200" s="17"/>
      <c r="G200" s="18"/>
      <c r="H200" s="18"/>
      <c r="I200" s="9"/>
      <c r="J200" s="9"/>
      <c r="K200" s="19"/>
      <c r="L200" s="19"/>
      <c r="M200" s="19"/>
      <c r="N200" s="9"/>
      <c r="O200" s="9"/>
      <c r="P200" s="9"/>
      <c r="Q200" s="17"/>
      <c r="R200" s="18"/>
      <c r="S200" t="str">
        <f>IF($B200="","",IF($I200&lt;&gt;"",$I200,IFERROR(INDEX(Kat_Metode,MATCH($D200,Kat_Nama,0)),"")))</f>
        <v/>
      </c>
      <c r="T200" t="str">
        <f>IF($B200="","",IF($J200&lt;&gt;"",$J200,IFERROR(INDEX(Kat_Umur,MATCH($D200,Kat_Nama,0)),0)))</f>
        <v/>
      </c>
      <c r="U200" t="str">
        <f>IF($B200="","",IF($N200&lt;&gt;"",$N200,IFERROR(INDEX(Kat_Kelompok,MATCH($D200,Kat_Nama,0)),"")))</f>
        <v/>
      </c>
      <c r="V200" t="str">
        <f>IF($B200="","",IF($U200="Masa Manfaat Sebenarnya",N($O200),IFERROR(INDEX(Kel_Masa,MATCH($U200,Kel_Nama,0)),0)))</f>
        <v/>
      </c>
      <c r="W200" t="str">
        <f>IF($B200="","",IF($P200&lt;&gt;"",$P200,IF(OR($U200="Tidak Disusutkan",$V200=0),"Tidak Disusutkan","Garis Lurus")))</f>
        <v/>
      </c>
      <c r="X200" t="str">
        <f>IF($B200="","",IF($Y200&gt;TahunBuku*12+12,"Belum Diperoleh",IF($Z200&lt;=TahunBuku*12,"Dilepas (thn lalu)",IF($AC200=1,"Dilepas thn ini",IF($AB200=1,"Perolehan baru","Aktif")))))</f>
        <v/>
      </c>
      <c r="Y200" s="20" t="str">
        <f>IF($B200="","",YEAR($F200)*12+MONTH($F200))</f>
        <v/>
      </c>
      <c r="Z200" s="20" t="str">
        <f>IF($B200="","",IF($Q200="",99999,YEAR($Q200)*12+MONTH($Q200)))</f>
        <v/>
      </c>
      <c r="AA200" s="20" t="str">
        <f>IF($B200="","",--AND($Y200&lt;=TahunBuku*12,$Z200&gt;TahunBuku*12))</f>
        <v/>
      </c>
      <c r="AB200" s="20" t="str">
        <f>IF($B200="","",--AND($Y200&gt;TahunBuku*12,$Y200&lt;=TahunBuku*12+12))</f>
        <v/>
      </c>
      <c r="AC200" s="20" t="str">
        <f>IF($B200="","",--AND($Z200&gt;TahunBuku*12,$Z200&lt;=TahunBuku*12+12,$Y200&lt;=$Z200))</f>
        <v/>
      </c>
      <c r="AD200" s="21" t="str">
        <f>IF($B200="","",IFERROR(IF($S200="Garis Lurus",$G200-($G200-$H200)*MIN($T200*12,MAX(0,TahunBuku*12-$Y200+1))/($T200*12),IF($S200="Saldo Menurun",IF(TahunBuku-1&lt;YEAR($F200),$G200,IF(TahunBuku-1&gt;=INT(($Y200+$T200*12-2)/12),$H200,MAX($H200,$G200*(1-2/$T200*(13-MONTH($F200))/12)*(1-2/$T200)^(TahunBuku-1-YEAR($F200))))),IF($S200="Unit Produksi",$G200-($G200-$H200)*MIN(1,N($L200)/$K200),$G200))),$G200))</f>
        <v/>
      </c>
      <c r="AE200" s="21" t="str">
        <f>IF($B200="","",IFERROR(IF($S200="Garis Lurus",$G200-($G200-$H200)*MIN($T200*12,MAX(0,TahunBuku*12+12-$Y200+1))/($T200*12),IF($S200="Saldo Menurun",IF(TahunBuku&lt;YEAR($F200),$G200,IF(TahunBuku&gt;=INT(($Y200+$T200*12-2)/12),$H200,MAX($H200,$G200*(1-2/$T200*(13-MONTH($F200))/12)*(1-2/$T200)^(TahunBuku-YEAR($F200))))),IF($S200="Unit Produksi",$G200-($G200-$H200)*MIN(1,(N($L200)+N($M200))/$K200),$G200))),$G200))</f>
        <v/>
      </c>
      <c r="AF200" s="20" t="str">
        <f>IF($B200="","",IF(OR($S200="Garis Lurus",$S200="Saldo Menurun",$S200="Unit Produksi"),MAX(0,IF($S200="Unit Produksi",TahunBuku*12+12,MIN(TahunBuku*12+12,$Y200+$T200*12-1))-MAX(TahunBuku*12+1,$Y200)+1),0))</f>
        <v/>
      </c>
      <c r="AG200" s="20" t="str">
        <f>IF($B200="","",IF(OR($S200="Garis Lurus",$S200="Saldo Menurun",$S200="Unit Produksi"),MAX(0,MIN($Z200,IF($S200="Unit Produksi",TahunBuku*12+12,MIN(TahunBuku*12+12,$Y200+$T200*12-1)))-MAX(TahunBuku*12+1,$Y200)+1),0))</f>
        <v/>
      </c>
      <c r="AH200" s="21" t="str">
        <f>IF($B200="","",IFERROR(IF($W200="Garis Lurus",$G200*(1-MIN($V200*12,MAX(0,TahunBuku*12-$Y200+1))/($V200*12)),IF($W200="Saldo Menurun",IF(TahunBuku-1&lt;YEAR($F200),$G200,IF(TahunBuku-1&gt;=INT(($Y200+$V200*12-2)/12),0,$G200*(1-2/$V200*(13-MONTH($F200))/12)*(1-2/$V200)^(TahunBuku-1-YEAR($F200)))),$G200)),$G200))</f>
        <v/>
      </c>
      <c r="AI200" s="21" t="str">
        <f>IF($B200="","",IFERROR(IF($W200="Garis Lurus",$G200*(1-MIN($V200*12,MAX(0,TahunBuku*12+12-$Y200+1))/($V200*12)),IF($W200="Saldo Menurun",IF(TahunBuku&lt;YEAR($F200),$G200,IF(TahunBuku&gt;=INT(($Y200+$V200*12-2)/12),0,$G200*(1-2/$V200*(13-MONTH($F200))/12)*(1-2/$V200)^(TahunBuku-YEAR($F200)))),$G200)),$G200))</f>
        <v/>
      </c>
      <c r="AJ200" s="20" t="str">
        <f>IF($B200="","",IF(OR($W200="Garis Lurus",$W200="Saldo Menurun"),MAX(0,MIN(TahunBuku*12+12,$Y200+$V200*12-1)-MAX(TahunBuku*12+1,$Y200)+1),0))</f>
        <v/>
      </c>
      <c r="AK200" s="20" t="str">
        <f>IF($B200="","",IF(OR($W200="Garis Lurus",$W200="Saldo Menurun"),MAX(0,MIN($Z200,TahunBuku*12+12,$Y200+$V200*12-1)-MAX(TahunBuku*12+1,$Y200)+1),0))</f>
        <v/>
      </c>
      <c r="AL200" s="22" t="str">
        <f>IF($B200="","",$G200*$AA200)</f>
        <v/>
      </c>
      <c r="AM200" s="22" t="str">
        <f>IF($B200="","",$G200*$AB200)</f>
        <v/>
      </c>
      <c r="AN200" s="22" t="str">
        <f>IF($B200="","",$G200*$AC200)</f>
        <v/>
      </c>
      <c r="AO200" s="22" t="str">
        <f>IF($B200="","",AL200+AM200-AN200)</f>
        <v/>
      </c>
      <c r="AP200" s="22" t="str">
        <f>IF($B200="","",($G200-$AD200)*$AA200)</f>
        <v/>
      </c>
      <c r="AQ200" s="22" t="str">
        <f>IF($B200="","",IF($AF200=0,0,($AD200-$AE200)*$AG200/$AF200)*MAX($AA200,$AB200))</f>
        <v/>
      </c>
      <c r="AR200" s="22" t="str">
        <f>IF($B200="","",(AP200+AQ200)*$AC200)</f>
        <v/>
      </c>
      <c r="AS200" s="22" t="str">
        <f>IF($B200="","",AP200+AQ200-AR200)</f>
        <v/>
      </c>
      <c r="AT200" s="22" t="str">
        <f>IF($B200="","",AO200-AS200)</f>
        <v/>
      </c>
      <c r="AU200" s="22" t="str">
        <f>IF($B200="","",IF($AC200=1,N($R200)-($G200-AR200),0))</f>
        <v/>
      </c>
      <c r="AV200" s="22" t="str">
        <f>IF($B200="","",($G200-$AH200)*$AA200)</f>
        <v/>
      </c>
      <c r="AW200" s="22" t="str">
        <f>IF($B200="","",IF($AJ200=0,0,($AH200-$AI200)*$AK200/$AJ200)*MAX($AA200,$AB200))</f>
        <v/>
      </c>
      <c r="AX200" s="22" t="str">
        <f>IF($B200="","",(AV200+AW200)*$AC200)</f>
        <v/>
      </c>
      <c r="AY200" s="22" t="str">
        <f>IF($B200="","",AV200+AW200-AX200)</f>
        <v/>
      </c>
      <c r="AZ200" s="22" t="str">
        <f>IF($B200="","",AO200-AY200)</f>
        <v/>
      </c>
      <c r="BA200" s="22" t="str">
        <f>IF($B200="","",IF($AC200=1,N($R200)-($G200-AX200),0))</f>
        <v/>
      </c>
      <c r="BB200" s="22" t="str">
        <f>IF($B200="","",ROUND(AQ200-AW200,0))</f>
        <v/>
      </c>
      <c r="BC200" s="22" t="str">
        <f>IF($B200="","",ROUND(BA200-AU200,0))</f>
        <v/>
      </c>
      <c r="BD200" s="22" t="str">
        <f>IF($B200="","",BB200+BC200)</f>
        <v/>
      </c>
      <c r="BE200" s="22" t="str">
        <f>IF($B200="","",ROUND(AV200-AP200,0))</f>
        <v/>
      </c>
      <c r="BF200" s="22" t="str">
        <f>IF($B200="","",ROUND(AT200-AZ200,0))</f>
        <v/>
      </c>
      <c r="BG200" s="22" t="str">
        <f>IF($B200="","",ROUND(BF200*TarifPPh,0))</f>
        <v/>
      </c>
      <c r="BH200" t="str">
        <f>IF($B200="","",IF($D200="","Kategori kosong",IF($F200="","Tgl perolehan kosong",IF(N($H200)&gt;$G200,"Residu &gt; harga perolehan",IF(AND(LEFT($U200,8)="Bangunan",$W200="Saldo Menurun"),"Bangunan wajib Garis Lurus (Ps.11 UU PPh)",IF(AND($S200="Unit Produksi",N($K200)=0),"Isi kapasitas unit",IF(AND(OR($S200="Garis Lurus",$S200="Saldo Menurun"),N($T200)&lt;=0),"Umur komersial kosong",IF(AND(OR($W200="Garis Lurus",$W200="Saldo Menurun"),N($V200)&lt;=0),"Masa manfaat fiskal kosong",IF(AND($Q200&lt;&gt;"",$Q200&lt;$F200),"Tgl pelepasan &lt; perolehan","OK")))))))))</f>
        <v/>
      </c>
    </row>
    <row r="201" spans="1:60" x14ac:dyDescent="0.25">
      <c r="A201" t="str">
        <f>IF($B201="","",ROW()-6)</f>
        <v/>
      </c>
      <c r="B201" s="9"/>
      <c r="C201" s="9"/>
      <c r="D201" s="9"/>
      <c r="E201" s="9"/>
      <c r="F201" s="17"/>
      <c r="G201" s="18"/>
      <c r="H201" s="18"/>
      <c r="I201" s="9"/>
      <c r="J201" s="9"/>
      <c r="K201" s="19"/>
      <c r="L201" s="19"/>
      <c r="M201" s="19"/>
      <c r="N201" s="9"/>
      <c r="O201" s="9"/>
      <c r="P201" s="9"/>
      <c r="Q201" s="17"/>
      <c r="R201" s="18"/>
      <c r="S201" t="str">
        <f>IF($B201="","",IF($I201&lt;&gt;"",$I201,IFERROR(INDEX(Kat_Metode,MATCH($D201,Kat_Nama,0)),"")))</f>
        <v/>
      </c>
      <c r="T201" t="str">
        <f>IF($B201="","",IF($J201&lt;&gt;"",$J201,IFERROR(INDEX(Kat_Umur,MATCH($D201,Kat_Nama,0)),0)))</f>
        <v/>
      </c>
      <c r="U201" t="str">
        <f>IF($B201="","",IF($N201&lt;&gt;"",$N201,IFERROR(INDEX(Kat_Kelompok,MATCH($D201,Kat_Nama,0)),"")))</f>
        <v/>
      </c>
      <c r="V201" t="str">
        <f>IF($B201="","",IF($U201="Masa Manfaat Sebenarnya",N($O201),IFERROR(INDEX(Kel_Masa,MATCH($U201,Kel_Nama,0)),0)))</f>
        <v/>
      </c>
      <c r="W201" t="str">
        <f>IF($B201="","",IF($P201&lt;&gt;"",$P201,IF(OR($U201="Tidak Disusutkan",$V201=0),"Tidak Disusutkan","Garis Lurus")))</f>
        <v/>
      </c>
      <c r="X201" t="str">
        <f>IF($B201="","",IF($Y201&gt;TahunBuku*12+12,"Belum Diperoleh",IF($Z201&lt;=TahunBuku*12,"Dilepas (thn lalu)",IF($AC201=1,"Dilepas thn ini",IF($AB201=1,"Perolehan baru","Aktif")))))</f>
        <v/>
      </c>
      <c r="Y201" s="20" t="str">
        <f>IF($B201="","",YEAR($F201)*12+MONTH($F201))</f>
        <v/>
      </c>
      <c r="Z201" s="20" t="str">
        <f>IF($B201="","",IF($Q201="",99999,YEAR($Q201)*12+MONTH($Q201)))</f>
        <v/>
      </c>
      <c r="AA201" s="20" t="str">
        <f>IF($B201="","",--AND($Y201&lt;=TahunBuku*12,$Z201&gt;TahunBuku*12))</f>
        <v/>
      </c>
      <c r="AB201" s="20" t="str">
        <f>IF($B201="","",--AND($Y201&gt;TahunBuku*12,$Y201&lt;=TahunBuku*12+12))</f>
        <v/>
      </c>
      <c r="AC201" s="20" t="str">
        <f>IF($B201="","",--AND($Z201&gt;TahunBuku*12,$Z201&lt;=TahunBuku*12+12,$Y201&lt;=$Z201))</f>
        <v/>
      </c>
      <c r="AD201" s="21" t="str">
        <f>IF($B201="","",IFERROR(IF($S201="Garis Lurus",$G201-($G201-$H201)*MIN($T201*12,MAX(0,TahunBuku*12-$Y201+1))/($T201*12),IF($S201="Saldo Menurun",IF(TahunBuku-1&lt;YEAR($F201),$G201,IF(TahunBuku-1&gt;=INT(($Y201+$T201*12-2)/12),$H201,MAX($H201,$G201*(1-2/$T201*(13-MONTH($F201))/12)*(1-2/$T201)^(TahunBuku-1-YEAR($F201))))),IF($S201="Unit Produksi",$G201-($G201-$H201)*MIN(1,N($L201)/$K201),$G201))),$G201))</f>
        <v/>
      </c>
      <c r="AE201" s="21" t="str">
        <f>IF($B201="","",IFERROR(IF($S201="Garis Lurus",$G201-($G201-$H201)*MIN($T201*12,MAX(0,TahunBuku*12+12-$Y201+1))/($T201*12),IF($S201="Saldo Menurun",IF(TahunBuku&lt;YEAR($F201),$G201,IF(TahunBuku&gt;=INT(($Y201+$T201*12-2)/12),$H201,MAX($H201,$G201*(1-2/$T201*(13-MONTH($F201))/12)*(1-2/$T201)^(TahunBuku-YEAR($F201))))),IF($S201="Unit Produksi",$G201-($G201-$H201)*MIN(1,(N($L201)+N($M201))/$K201),$G201))),$G201))</f>
        <v/>
      </c>
      <c r="AF201" s="20" t="str">
        <f>IF($B201="","",IF(OR($S201="Garis Lurus",$S201="Saldo Menurun",$S201="Unit Produksi"),MAX(0,IF($S201="Unit Produksi",TahunBuku*12+12,MIN(TahunBuku*12+12,$Y201+$T201*12-1))-MAX(TahunBuku*12+1,$Y201)+1),0))</f>
        <v/>
      </c>
      <c r="AG201" s="20" t="str">
        <f>IF($B201="","",IF(OR($S201="Garis Lurus",$S201="Saldo Menurun",$S201="Unit Produksi"),MAX(0,MIN($Z201,IF($S201="Unit Produksi",TahunBuku*12+12,MIN(TahunBuku*12+12,$Y201+$T201*12-1)))-MAX(TahunBuku*12+1,$Y201)+1),0))</f>
        <v/>
      </c>
      <c r="AH201" s="21" t="str">
        <f>IF($B201="","",IFERROR(IF($W201="Garis Lurus",$G201*(1-MIN($V201*12,MAX(0,TahunBuku*12-$Y201+1))/($V201*12)),IF($W201="Saldo Menurun",IF(TahunBuku-1&lt;YEAR($F201),$G201,IF(TahunBuku-1&gt;=INT(($Y201+$V201*12-2)/12),0,$G201*(1-2/$V201*(13-MONTH($F201))/12)*(1-2/$V201)^(TahunBuku-1-YEAR($F201)))),$G201)),$G201))</f>
        <v/>
      </c>
      <c r="AI201" s="21" t="str">
        <f>IF($B201="","",IFERROR(IF($W201="Garis Lurus",$G201*(1-MIN($V201*12,MAX(0,TahunBuku*12+12-$Y201+1))/($V201*12)),IF($W201="Saldo Menurun",IF(TahunBuku&lt;YEAR($F201),$G201,IF(TahunBuku&gt;=INT(($Y201+$V201*12-2)/12),0,$G201*(1-2/$V201*(13-MONTH($F201))/12)*(1-2/$V201)^(TahunBuku-YEAR($F201)))),$G201)),$G201))</f>
        <v/>
      </c>
      <c r="AJ201" s="20" t="str">
        <f>IF($B201="","",IF(OR($W201="Garis Lurus",$W201="Saldo Menurun"),MAX(0,MIN(TahunBuku*12+12,$Y201+$V201*12-1)-MAX(TahunBuku*12+1,$Y201)+1),0))</f>
        <v/>
      </c>
      <c r="AK201" s="20" t="str">
        <f>IF($B201="","",IF(OR($W201="Garis Lurus",$W201="Saldo Menurun"),MAX(0,MIN($Z201,TahunBuku*12+12,$Y201+$V201*12-1)-MAX(TahunBuku*12+1,$Y201)+1),0))</f>
        <v/>
      </c>
      <c r="AL201" s="22" t="str">
        <f>IF($B201="","",$G201*$AA201)</f>
        <v/>
      </c>
      <c r="AM201" s="22" t="str">
        <f>IF($B201="","",$G201*$AB201)</f>
        <v/>
      </c>
      <c r="AN201" s="22" t="str">
        <f>IF($B201="","",$G201*$AC201)</f>
        <v/>
      </c>
      <c r="AO201" s="22" t="str">
        <f>IF($B201="","",AL201+AM201-AN201)</f>
        <v/>
      </c>
      <c r="AP201" s="22" t="str">
        <f>IF($B201="","",($G201-$AD201)*$AA201)</f>
        <v/>
      </c>
      <c r="AQ201" s="22" t="str">
        <f>IF($B201="","",IF($AF201=0,0,($AD201-$AE201)*$AG201/$AF201)*MAX($AA201,$AB201))</f>
        <v/>
      </c>
      <c r="AR201" s="22" t="str">
        <f>IF($B201="","",(AP201+AQ201)*$AC201)</f>
        <v/>
      </c>
      <c r="AS201" s="22" t="str">
        <f>IF($B201="","",AP201+AQ201-AR201)</f>
        <v/>
      </c>
      <c r="AT201" s="22" t="str">
        <f>IF($B201="","",AO201-AS201)</f>
        <v/>
      </c>
      <c r="AU201" s="22" t="str">
        <f>IF($B201="","",IF($AC201=1,N($R201)-($G201-AR201),0))</f>
        <v/>
      </c>
      <c r="AV201" s="22" t="str">
        <f>IF($B201="","",($G201-$AH201)*$AA201)</f>
        <v/>
      </c>
      <c r="AW201" s="22" t="str">
        <f>IF($B201="","",IF($AJ201=0,0,($AH201-$AI201)*$AK201/$AJ201)*MAX($AA201,$AB201))</f>
        <v/>
      </c>
      <c r="AX201" s="22" t="str">
        <f>IF($B201="","",(AV201+AW201)*$AC201)</f>
        <v/>
      </c>
      <c r="AY201" s="22" t="str">
        <f>IF($B201="","",AV201+AW201-AX201)</f>
        <v/>
      </c>
      <c r="AZ201" s="22" t="str">
        <f>IF($B201="","",AO201-AY201)</f>
        <v/>
      </c>
      <c r="BA201" s="22" t="str">
        <f>IF($B201="","",IF($AC201=1,N($R201)-($G201-AX201),0))</f>
        <v/>
      </c>
      <c r="BB201" s="22" t="str">
        <f>IF($B201="","",ROUND(AQ201-AW201,0))</f>
        <v/>
      </c>
      <c r="BC201" s="22" t="str">
        <f>IF($B201="","",ROUND(BA201-AU201,0))</f>
        <v/>
      </c>
      <c r="BD201" s="22" t="str">
        <f>IF($B201="","",BB201+BC201)</f>
        <v/>
      </c>
      <c r="BE201" s="22" t="str">
        <f>IF($B201="","",ROUND(AV201-AP201,0))</f>
        <v/>
      </c>
      <c r="BF201" s="22" t="str">
        <f>IF($B201="","",ROUND(AT201-AZ201,0))</f>
        <v/>
      </c>
      <c r="BG201" s="22" t="str">
        <f>IF($B201="","",ROUND(BF201*TarifPPh,0))</f>
        <v/>
      </c>
      <c r="BH201" t="str">
        <f>IF($B201="","",IF($D201="","Kategori kosong",IF($F201="","Tgl perolehan kosong",IF(N($H201)&gt;$G201,"Residu &gt; harga perolehan",IF(AND(LEFT($U201,8)="Bangunan",$W201="Saldo Menurun"),"Bangunan wajib Garis Lurus (Ps.11 UU PPh)",IF(AND($S201="Unit Produksi",N($K201)=0),"Isi kapasitas unit",IF(AND(OR($S201="Garis Lurus",$S201="Saldo Menurun"),N($T201)&lt;=0),"Umur komersial kosong",IF(AND(OR($W201="Garis Lurus",$W201="Saldo Menurun"),N($V201)&lt;=0),"Masa manfaat fiskal kosong",IF(AND($Q201&lt;&gt;"",$Q201&lt;$F201),"Tgl pelepasan &lt; perolehan","OK")))))))))</f>
        <v/>
      </c>
    </row>
    <row r="202" spans="1:60" x14ac:dyDescent="0.25">
      <c r="A202" t="str">
        <f>IF($B202="","",ROW()-6)</f>
        <v/>
      </c>
      <c r="B202" s="9"/>
      <c r="C202" s="9"/>
      <c r="D202" s="9"/>
      <c r="E202" s="9"/>
      <c r="F202" s="17"/>
      <c r="G202" s="18"/>
      <c r="H202" s="18"/>
      <c r="I202" s="9"/>
      <c r="J202" s="9"/>
      <c r="K202" s="19"/>
      <c r="L202" s="19"/>
      <c r="M202" s="19"/>
      <c r="N202" s="9"/>
      <c r="O202" s="9"/>
      <c r="P202" s="9"/>
      <c r="Q202" s="17"/>
      <c r="R202" s="18"/>
      <c r="S202" t="str">
        <f>IF($B202="","",IF($I202&lt;&gt;"",$I202,IFERROR(INDEX(Kat_Metode,MATCH($D202,Kat_Nama,0)),"")))</f>
        <v/>
      </c>
      <c r="T202" t="str">
        <f>IF($B202="","",IF($J202&lt;&gt;"",$J202,IFERROR(INDEX(Kat_Umur,MATCH($D202,Kat_Nama,0)),0)))</f>
        <v/>
      </c>
      <c r="U202" t="str">
        <f>IF($B202="","",IF($N202&lt;&gt;"",$N202,IFERROR(INDEX(Kat_Kelompok,MATCH($D202,Kat_Nama,0)),"")))</f>
        <v/>
      </c>
      <c r="V202" t="str">
        <f>IF($B202="","",IF($U202="Masa Manfaat Sebenarnya",N($O202),IFERROR(INDEX(Kel_Masa,MATCH($U202,Kel_Nama,0)),0)))</f>
        <v/>
      </c>
      <c r="W202" t="str">
        <f>IF($B202="","",IF($P202&lt;&gt;"",$P202,IF(OR($U202="Tidak Disusutkan",$V202=0),"Tidak Disusutkan","Garis Lurus")))</f>
        <v/>
      </c>
      <c r="X202" t="str">
        <f>IF($B202="","",IF($Y202&gt;TahunBuku*12+12,"Belum Diperoleh",IF($Z202&lt;=TahunBuku*12,"Dilepas (thn lalu)",IF($AC202=1,"Dilepas thn ini",IF($AB202=1,"Perolehan baru","Aktif")))))</f>
        <v/>
      </c>
      <c r="Y202" s="20" t="str">
        <f>IF($B202="","",YEAR($F202)*12+MONTH($F202))</f>
        <v/>
      </c>
      <c r="Z202" s="20" t="str">
        <f>IF($B202="","",IF($Q202="",99999,YEAR($Q202)*12+MONTH($Q202)))</f>
        <v/>
      </c>
      <c r="AA202" s="20" t="str">
        <f>IF($B202="","",--AND($Y202&lt;=TahunBuku*12,$Z202&gt;TahunBuku*12))</f>
        <v/>
      </c>
      <c r="AB202" s="20" t="str">
        <f>IF($B202="","",--AND($Y202&gt;TahunBuku*12,$Y202&lt;=TahunBuku*12+12))</f>
        <v/>
      </c>
      <c r="AC202" s="20" t="str">
        <f>IF($B202="","",--AND($Z202&gt;TahunBuku*12,$Z202&lt;=TahunBuku*12+12,$Y202&lt;=$Z202))</f>
        <v/>
      </c>
      <c r="AD202" s="21" t="str">
        <f>IF($B202="","",IFERROR(IF($S202="Garis Lurus",$G202-($G202-$H202)*MIN($T202*12,MAX(0,TahunBuku*12-$Y202+1))/($T202*12),IF($S202="Saldo Menurun",IF(TahunBuku-1&lt;YEAR($F202),$G202,IF(TahunBuku-1&gt;=INT(($Y202+$T202*12-2)/12),$H202,MAX($H202,$G202*(1-2/$T202*(13-MONTH($F202))/12)*(1-2/$T202)^(TahunBuku-1-YEAR($F202))))),IF($S202="Unit Produksi",$G202-($G202-$H202)*MIN(1,N($L202)/$K202),$G202))),$G202))</f>
        <v/>
      </c>
      <c r="AE202" s="21" t="str">
        <f>IF($B202="","",IFERROR(IF($S202="Garis Lurus",$G202-($G202-$H202)*MIN($T202*12,MAX(0,TahunBuku*12+12-$Y202+1))/($T202*12),IF($S202="Saldo Menurun",IF(TahunBuku&lt;YEAR($F202),$G202,IF(TahunBuku&gt;=INT(($Y202+$T202*12-2)/12),$H202,MAX($H202,$G202*(1-2/$T202*(13-MONTH($F202))/12)*(1-2/$T202)^(TahunBuku-YEAR($F202))))),IF($S202="Unit Produksi",$G202-($G202-$H202)*MIN(1,(N($L202)+N($M202))/$K202),$G202))),$G202))</f>
        <v/>
      </c>
      <c r="AF202" s="20" t="str">
        <f>IF($B202="","",IF(OR($S202="Garis Lurus",$S202="Saldo Menurun",$S202="Unit Produksi"),MAX(0,IF($S202="Unit Produksi",TahunBuku*12+12,MIN(TahunBuku*12+12,$Y202+$T202*12-1))-MAX(TahunBuku*12+1,$Y202)+1),0))</f>
        <v/>
      </c>
      <c r="AG202" s="20" t="str">
        <f>IF($B202="","",IF(OR($S202="Garis Lurus",$S202="Saldo Menurun",$S202="Unit Produksi"),MAX(0,MIN($Z202,IF($S202="Unit Produksi",TahunBuku*12+12,MIN(TahunBuku*12+12,$Y202+$T202*12-1)))-MAX(TahunBuku*12+1,$Y202)+1),0))</f>
        <v/>
      </c>
      <c r="AH202" s="21" t="str">
        <f>IF($B202="","",IFERROR(IF($W202="Garis Lurus",$G202*(1-MIN($V202*12,MAX(0,TahunBuku*12-$Y202+1))/($V202*12)),IF($W202="Saldo Menurun",IF(TahunBuku-1&lt;YEAR($F202),$G202,IF(TahunBuku-1&gt;=INT(($Y202+$V202*12-2)/12),0,$G202*(1-2/$V202*(13-MONTH($F202))/12)*(1-2/$V202)^(TahunBuku-1-YEAR($F202)))),$G202)),$G202))</f>
        <v/>
      </c>
      <c r="AI202" s="21" t="str">
        <f>IF($B202="","",IFERROR(IF($W202="Garis Lurus",$G202*(1-MIN($V202*12,MAX(0,TahunBuku*12+12-$Y202+1))/($V202*12)),IF($W202="Saldo Menurun",IF(TahunBuku&lt;YEAR($F202),$G202,IF(TahunBuku&gt;=INT(($Y202+$V202*12-2)/12),0,$G202*(1-2/$V202*(13-MONTH($F202))/12)*(1-2/$V202)^(TahunBuku-YEAR($F202)))),$G202)),$G202))</f>
        <v/>
      </c>
      <c r="AJ202" s="20" t="str">
        <f>IF($B202="","",IF(OR($W202="Garis Lurus",$W202="Saldo Menurun"),MAX(0,MIN(TahunBuku*12+12,$Y202+$V202*12-1)-MAX(TahunBuku*12+1,$Y202)+1),0))</f>
        <v/>
      </c>
      <c r="AK202" s="20" t="str">
        <f>IF($B202="","",IF(OR($W202="Garis Lurus",$W202="Saldo Menurun"),MAX(0,MIN($Z202,TahunBuku*12+12,$Y202+$V202*12-1)-MAX(TahunBuku*12+1,$Y202)+1),0))</f>
        <v/>
      </c>
      <c r="AL202" s="22" t="str">
        <f>IF($B202="","",$G202*$AA202)</f>
        <v/>
      </c>
      <c r="AM202" s="22" t="str">
        <f>IF($B202="","",$G202*$AB202)</f>
        <v/>
      </c>
      <c r="AN202" s="22" t="str">
        <f>IF($B202="","",$G202*$AC202)</f>
        <v/>
      </c>
      <c r="AO202" s="22" t="str">
        <f>IF($B202="","",AL202+AM202-AN202)</f>
        <v/>
      </c>
      <c r="AP202" s="22" t="str">
        <f>IF($B202="","",($G202-$AD202)*$AA202)</f>
        <v/>
      </c>
      <c r="AQ202" s="22" t="str">
        <f>IF($B202="","",IF($AF202=0,0,($AD202-$AE202)*$AG202/$AF202)*MAX($AA202,$AB202))</f>
        <v/>
      </c>
      <c r="AR202" s="22" t="str">
        <f>IF($B202="","",(AP202+AQ202)*$AC202)</f>
        <v/>
      </c>
      <c r="AS202" s="22" t="str">
        <f>IF($B202="","",AP202+AQ202-AR202)</f>
        <v/>
      </c>
      <c r="AT202" s="22" t="str">
        <f>IF($B202="","",AO202-AS202)</f>
        <v/>
      </c>
      <c r="AU202" s="22" t="str">
        <f>IF($B202="","",IF($AC202=1,N($R202)-($G202-AR202),0))</f>
        <v/>
      </c>
      <c r="AV202" s="22" t="str">
        <f>IF($B202="","",($G202-$AH202)*$AA202)</f>
        <v/>
      </c>
      <c r="AW202" s="22" t="str">
        <f>IF($B202="","",IF($AJ202=0,0,($AH202-$AI202)*$AK202/$AJ202)*MAX($AA202,$AB202))</f>
        <v/>
      </c>
      <c r="AX202" s="22" t="str">
        <f>IF($B202="","",(AV202+AW202)*$AC202)</f>
        <v/>
      </c>
      <c r="AY202" s="22" t="str">
        <f>IF($B202="","",AV202+AW202-AX202)</f>
        <v/>
      </c>
      <c r="AZ202" s="22" t="str">
        <f>IF($B202="","",AO202-AY202)</f>
        <v/>
      </c>
      <c r="BA202" s="22" t="str">
        <f>IF($B202="","",IF($AC202=1,N($R202)-($G202-AX202),0))</f>
        <v/>
      </c>
      <c r="BB202" s="22" t="str">
        <f>IF($B202="","",ROUND(AQ202-AW202,0))</f>
        <v/>
      </c>
      <c r="BC202" s="22" t="str">
        <f>IF($B202="","",ROUND(BA202-AU202,0))</f>
        <v/>
      </c>
      <c r="BD202" s="22" t="str">
        <f>IF($B202="","",BB202+BC202)</f>
        <v/>
      </c>
      <c r="BE202" s="22" t="str">
        <f>IF($B202="","",ROUND(AV202-AP202,0))</f>
        <v/>
      </c>
      <c r="BF202" s="22" t="str">
        <f>IF($B202="","",ROUND(AT202-AZ202,0))</f>
        <v/>
      </c>
      <c r="BG202" s="22" t="str">
        <f>IF($B202="","",ROUND(BF202*TarifPPh,0))</f>
        <v/>
      </c>
      <c r="BH202" t="str">
        <f>IF($B202="","",IF($D202="","Kategori kosong",IF($F202="","Tgl perolehan kosong",IF(N($H202)&gt;$G202,"Residu &gt; harga perolehan",IF(AND(LEFT($U202,8)="Bangunan",$W202="Saldo Menurun"),"Bangunan wajib Garis Lurus (Ps.11 UU PPh)",IF(AND($S202="Unit Produksi",N($K202)=0),"Isi kapasitas unit",IF(AND(OR($S202="Garis Lurus",$S202="Saldo Menurun"),N($T202)&lt;=0),"Umur komersial kosong",IF(AND(OR($W202="Garis Lurus",$W202="Saldo Menurun"),N($V202)&lt;=0),"Masa manfaat fiskal kosong",IF(AND($Q202&lt;&gt;"",$Q202&lt;$F202),"Tgl pelepasan &lt; perolehan","OK")))))))))</f>
        <v/>
      </c>
    </row>
    <row r="203" spans="1:60" x14ac:dyDescent="0.25">
      <c r="A203" t="str">
        <f>IF($B203="","",ROW()-6)</f>
        <v/>
      </c>
      <c r="B203" s="9"/>
      <c r="C203" s="9"/>
      <c r="D203" s="9"/>
      <c r="E203" s="9"/>
      <c r="F203" s="17"/>
      <c r="G203" s="18"/>
      <c r="H203" s="18"/>
      <c r="I203" s="9"/>
      <c r="J203" s="9"/>
      <c r="K203" s="19"/>
      <c r="L203" s="19"/>
      <c r="M203" s="19"/>
      <c r="N203" s="9"/>
      <c r="O203" s="9"/>
      <c r="P203" s="9"/>
      <c r="Q203" s="17"/>
      <c r="R203" s="18"/>
      <c r="S203" t="str">
        <f>IF($B203="","",IF($I203&lt;&gt;"",$I203,IFERROR(INDEX(Kat_Metode,MATCH($D203,Kat_Nama,0)),"")))</f>
        <v/>
      </c>
      <c r="T203" t="str">
        <f>IF($B203="","",IF($J203&lt;&gt;"",$J203,IFERROR(INDEX(Kat_Umur,MATCH($D203,Kat_Nama,0)),0)))</f>
        <v/>
      </c>
      <c r="U203" t="str">
        <f>IF($B203="","",IF($N203&lt;&gt;"",$N203,IFERROR(INDEX(Kat_Kelompok,MATCH($D203,Kat_Nama,0)),"")))</f>
        <v/>
      </c>
      <c r="V203" t="str">
        <f>IF($B203="","",IF($U203="Masa Manfaat Sebenarnya",N($O203),IFERROR(INDEX(Kel_Masa,MATCH($U203,Kel_Nama,0)),0)))</f>
        <v/>
      </c>
      <c r="W203" t="str">
        <f>IF($B203="","",IF($P203&lt;&gt;"",$P203,IF(OR($U203="Tidak Disusutkan",$V203=0),"Tidak Disusutkan","Garis Lurus")))</f>
        <v/>
      </c>
      <c r="X203" t="str">
        <f>IF($B203="","",IF($Y203&gt;TahunBuku*12+12,"Belum Diperoleh",IF($Z203&lt;=TahunBuku*12,"Dilepas (thn lalu)",IF($AC203=1,"Dilepas thn ini",IF($AB203=1,"Perolehan baru","Aktif")))))</f>
        <v/>
      </c>
      <c r="Y203" s="20" t="str">
        <f>IF($B203="","",YEAR($F203)*12+MONTH($F203))</f>
        <v/>
      </c>
      <c r="Z203" s="20" t="str">
        <f>IF($B203="","",IF($Q203="",99999,YEAR($Q203)*12+MONTH($Q203)))</f>
        <v/>
      </c>
      <c r="AA203" s="20" t="str">
        <f>IF($B203="","",--AND($Y203&lt;=TahunBuku*12,$Z203&gt;TahunBuku*12))</f>
        <v/>
      </c>
      <c r="AB203" s="20" t="str">
        <f>IF($B203="","",--AND($Y203&gt;TahunBuku*12,$Y203&lt;=TahunBuku*12+12))</f>
        <v/>
      </c>
      <c r="AC203" s="20" t="str">
        <f>IF($B203="","",--AND($Z203&gt;TahunBuku*12,$Z203&lt;=TahunBuku*12+12,$Y203&lt;=$Z203))</f>
        <v/>
      </c>
      <c r="AD203" s="21" t="str">
        <f>IF($B203="","",IFERROR(IF($S203="Garis Lurus",$G203-($G203-$H203)*MIN($T203*12,MAX(0,TahunBuku*12-$Y203+1))/($T203*12),IF($S203="Saldo Menurun",IF(TahunBuku-1&lt;YEAR($F203),$G203,IF(TahunBuku-1&gt;=INT(($Y203+$T203*12-2)/12),$H203,MAX($H203,$G203*(1-2/$T203*(13-MONTH($F203))/12)*(1-2/$T203)^(TahunBuku-1-YEAR($F203))))),IF($S203="Unit Produksi",$G203-($G203-$H203)*MIN(1,N($L203)/$K203),$G203))),$G203))</f>
        <v/>
      </c>
      <c r="AE203" s="21" t="str">
        <f>IF($B203="","",IFERROR(IF($S203="Garis Lurus",$G203-($G203-$H203)*MIN($T203*12,MAX(0,TahunBuku*12+12-$Y203+1))/($T203*12),IF($S203="Saldo Menurun",IF(TahunBuku&lt;YEAR($F203),$G203,IF(TahunBuku&gt;=INT(($Y203+$T203*12-2)/12),$H203,MAX($H203,$G203*(1-2/$T203*(13-MONTH($F203))/12)*(1-2/$T203)^(TahunBuku-YEAR($F203))))),IF($S203="Unit Produksi",$G203-($G203-$H203)*MIN(1,(N($L203)+N($M203))/$K203),$G203))),$G203))</f>
        <v/>
      </c>
      <c r="AF203" s="20" t="str">
        <f>IF($B203="","",IF(OR($S203="Garis Lurus",$S203="Saldo Menurun",$S203="Unit Produksi"),MAX(0,IF($S203="Unit Produksi",TahunBuku*12+12,MIN(TahunBuku*12+12,$Y203+$T203*12-1))-MAX(TahunBuku*12+1,$Y203)+1),0))</f>
        <v/>
      </c>
      <c r="AG203" s="20" t="str">
        <f>IF($B203="","",IF(OR($S203="Garis Lurus",$S203="Saldo Menurun",$S203="Unit Produksi"),MAX(0,MIN($Z203,IF($S203="Unit Produksi",TahunBuku*12+12,MIN(TahunBuku*12+12,$Y203+$T203*12-1)))-MAX(TahunBuku*12+1,$Y203)+1),0))</f>
        <v/>
      </c>
      <c r="AH203" s="21" t="str">
        <f>IF($B203="","",IFERROR(IF($W203="Garis Lurus",$G203*(1-MIN($V203*12,MAX(0,TahunBuku*12-$Y203+1))/($V203*12)),IF($W203="Saldo Menurun",IF(TahunBuku-1&lt;YEAR($F203),$G203,IF(TahunBuku-1&gt;=INT(($Y203+$V203*12-2)/12),0,$G203*(1-2/$V203*(13-MONTH($F203))/12)*(1-2/$V203)^(TahunBuku-1-YEAR($F203)))),$G203)),$G203))</f>
        <v/>
      </c>
      <c r="AI203" s="21" t="str">
        <f>IF($B203="","",IFERROR(IF($W203="Garis Lurus",$G203*(1-MIN($V203*12,MAX(0,TahunBuku*12+12-$Y203+1))/($V203*12)),IF($W203="Saldo Menurun",IF(TahunBuku&lt;YEAR($F203),$G203,IF(TahunBuku&gt;=INT(($Y203+$V203*12-2)/12),0,$G203*(1-2/$V203*(13-MONTH($F203))/12)*(1-2/$V203)^(TahunBuku-YEAR($F203)))),$G203)),$G203))</f>
        <v/>
      </c>
      <c r="AJ203" s="20" t="str">
        <f>IF($B203="","",IF(OR($W203="Garis Lurus",$W203="Saldo Menurun"),MAX(0,MIN(TahunBuku*12+12,$Y203+$V203*12-1)-MAX(TahunBuku*12+1,$Y203)+1),0))</f>
        <v/>
      </c>
      <c r="AK203" s="20" t="str">
        <f>IF($B203="","",IF(OR($W203="Garis Lurus",$W203="Saldo Menurun"),MAX(0,MIN($Z203,TahunBuku*12+12,$Y203+$V203*12-1)-MAX(TahunBuku*12+1,$Y203)+1),0))</f>
        <v/>
      </c>
      <c r="AL203" s="22" t="str">
        <f>IF($B203="","",$G203*$AA203)</f>
        <v/>
      </c>
      <c r="AM203" s="22" t="str">
        <f>IF($B203="","",$G203*$AB203)</f>
        <v/>
      </c>
      <c r="AN203" s="22" t="str">
        <f>IF($B203="","",$G203*$AC203)</f>
        <v/>
      </c>
      <c r="AO203" s="22" t="str">
        <f>IF($B203="","",AL203+AM203-AN203)</f>
        <v/>
      </c>
      <c r="AP203" s="22" t="str">
        <f>IF($B203="","",($G203-$AD203)*$AA203)</f>
        <v/>
      </c>
      <c r="AQ203" s="22" t="str">
        <f>IF($B203="","",IF($AF203=0,0,($AD203-$AE203)*$AG203/$AF203)*MAX($AA203,$AB203))</f>
        <v/>
      </c>
      <c r="AR203" s="22" t="str">
        <f>IF($B203="","",(AP203+AQ203)*$AC203)</f>
        <v/>
      </c>
      <c r="AS203" s="22" t="str">
        <f>IF($B203="","",AP203+AQ203-AR203)</f>
        <v/>
      </c>
      <c r="AT203" s="22" t="str">
        <f>IF($B203="","",AO203-AS203)</f>
        <v/>
      </c>
      <c r="AU203" s="22" t="str">
        <f>IF($B203="","",IF($AC203=1,N($R203)-($G203-AR203),0))</f>
        <v/>
      </c>
      <c r="AV203" s="22" t="str">
        <f>IF($B203="","",($G203-$AH203)*$AA203)</f>
        <v/>
      </c>
      <c r="AW203" s="22" t="str">
        <f>IF($B203="","",IF($AJ203=0,0,($AH203-$AI203)*$AK203/$AJ203)*MAX($AA203,$AB203))</f>
        <v/>
      </c>
      <c r="AX203" s="22" t="str">
        <f>IF($B203="","",(AV203+AW203)*$AC203)</f>
        <v/>
      </c>
      <c r="AY203" s="22" t="str">
        <f>IF($B203="","",AV203+AW203-AX203)</f>
        <v/>
      </c>
      <c r="AZ203" s="22" t="str">
        <f>IF($B203="","",AO203-AY203)</f>
        <v/>
      </c>
      <c r="BA203" s="22" t="str">
        <f>IF($B203="","",IF($AC203=1,N($R203)-($G203-AX203),0))</f>
        <v/>
      </c>
      <c r="BB203" s="22" t="str">
        <f>IF($B203="","",ROUND(AQ203-AW203,0))</f>
        <v/>
      </c>
      <c r="BC203" s="22" t="str">
        <f>IF($B203="","",ROUND(BA203-AU203,0))</f>
        <v/>
      </c>
      <c r="BD203" s="22" t="str">
        <f>IF($B203="","",BB203+BC203)</f>
        <v/>
      </c>
      <c r="BE203" s="22" t="str">
        <f>IF($B203="","",ROUND(AV203-AP203,0))</f>
        <v/>
      </c>
      <c r="BF203" s="22" t="str">
        <f>IF($B203="","",ROUND(AT203-AZ203,0))</f>
        <v/>
      </c>
      <c r="BG203" s="22" t="str">
        <f>IF($B203="","",ROUND(BF203*TarifPPh,0))</f>
        <v/>
      </c>
      <c r="BH203" t="str">
        <f>IF($B203="","",IF($D203="","Kategori kosong",IF($F203="","Tgl perolehan kosong",IF(N($H203)&gt;$G203,"Residu &gt; harga perolehan",IF(AND(LEFT($U203,8)="Bangunan",$W203="Saldo Menurun"),"Bangunan wajib Garis Lurus (Ps.11 UU PPh)",IF(AND($S203="Unit Produksi",N($K203)=0),"Isi kapasitas unit",IF(AND(OR($S203="Garis Lurus",$S203="Saldo Menurun"),N($T203)&lt;=0),"Umur komersial kosong",IF(AND(OR($W203="Garis Lurus",$W203="Saldo Menurun"),N($V203)&lt;=0),"Masa manfaat fiskal kosong",IF(AND($Q203&lt;&gt;"",$Q203&lt;$F203),"Tgl pelepasan &lt; perolehan","OK")))))))))</f>
        <v/>
      </c>
    </row>
    <row r="204" spans="1:60" x14ac:dyDescent="0.25">
      <c r="A204" t="str">
        <f>IF($B204="","",ROW()-6)</f>
        <v/>
      </c>
      <c r="B204" s="9"/>
      <c r="C204" s="9"/>
      <c r="D204" s="9"/>
      <c r="E204" s="9"/>
      <c r="F204" s="17"/>
      <c r="G204" s="18"/>
      <c r="H204" s="18"/>
      <c r="I204" s="9"/>
      <c r="J204" s="9"/>
      <c r="K204" s="19"/>
      <c r="L204" s="19"/>
      <c r="M204" s="19"/>
      <c r="N204" s="9"/>
      <c r="O204" s="9"/>
      <c r="P204" s="9"/>
      <c r="Q204" s="17"/>
      <c r="R204" s="18"/>
      <c r="S204" t="str">
        <f>IF($B204="","",IF($I204&lt;&gt;"",$I204,IFERROR(INDEX(Kat_Metode,MATCH($D204,Kat_Nama,0)),"")))</f>
        <v/>
      </c>
      <c r="T204" t="str">
        <f>IF($B204="","",IF($J204&lt;&gt;"",$J204,IFERROR(INDEX(Kat_Umur,MATCH($D204,Kat_Nama,0)),0)))</f>
        <v/>
      </c>
      <c r="U204" t="str">
        <f>IF($B204="","",IF($N204&lt;&gt;"",$N204,IFERROR(INDEX(Kat_Kelompok,MATCH($D204,Kat_Nama,0)),"")))</f>
        <v/>
      </c>
      <c r="V204" t="str">
        <f>IF($B204="","",IF($U204="Masa Manfaat Sebenarnya",N($O204),IFERROR(INDEX(Kel_Masa,MATCH($U204,Kel_Nama,0)),0)))</f>
        <v/>
      </c>
      <c r="W204" t="str">
        <f>IF($B204="","",IF($P204&lt;&gt;"",$P204,IF(OR($U204="Tidak Disusutkan",$V204=0),"Tidak Disusutkan","Garis Lurus")))</f>
        <v/>
      </c>
      <c r="X204" t="str">
        <f>IF($B204="","",IF($Y204&gt;TahunBuku*12+12,"Belum Diperoleh",IF($Z204&lt;=TahunBuku*12,"Dilepas (thn lalu)",IF($AC204=1,"Dilepas thn ini",IF($AB204=1,"Perolehan baru","Aktif")))))</f>
        <v/>
      </c>
      <c r="Y204" s="20" t="str">
        <f>IF($B204="","",YEAR($F204)*12+MONTH($F204))</f>
        <v/>
      </c>
      <c r="Z204" s="20" t="str">
        <f>IF($B204="","",IF($Q204="",99999,YEAR($Q204)*12+MONTH($Q204)))</f>
        <v/>
      </c>
      <c r="AA204" s="20" t="str">
        <f>IF($B204="","",--AND($Y204&lt;=TahunBuku*12,$Z204&gt;TahunBuku*12))</f>
        <v/>
      </c>
      <c r="AB204" s="20" t="str">
        <f>IF($B204="","",--AND($Y204&gt;TahunBuku*12,$Y204&lt;=TahunBuku*12+12))</f>
        <v/>
      </c>
      <c r="AC204" s="20" t="str">
        <f>IF($B204="","",--AND($Z204&gt;TahunBuku*12,$Z204&lt;=TahunBuku*12+12,$Y204&lt;=$Z204))</f>
        <v/>
      </c>
      <c r="AD204" s="21" t="str">
        <f>IF($B204="","",IFERROR(IF($S204="Garis Lurus",$G204-($G204-$H204)*MIN($T204*12,MAX(0,TahunBuku*12-$Y204+1))/($T204*12),IF($S204="Saldo Menurun",IF(TahunBuku-1&lt;YEAR($F204),$G204,IF(TahunBuku-1&gt;=INT(($Y204+$T204*12-2)/12),$H204,MAX($H204,$G204*(1-2/$T204*(13-MONTH($F204))/12)*(1-2/$T204)^(TahunBuku-1-YEAR($F204))))),IF($S204="Unit Produksi",$G204-($G204-$H204)*MIN(1,N($L204)/$K204),$G204))),$G204))</f>
        <v/>
      </c>
      <c r="AE204" s="21" t="str">
        <f>IF($B204="","",IFERROR(IF($S204="Garis Lurus",$G204-($G204-$H204)*MIN($T204*12,MAX(0,TahunBuku*12+12-$Y204+1))/($T204*12),IF($S204="Saldo Menurun",IF(TahunBuku&lt;YEAR($F204),$G204,IF(TahunBuku&gt;=INT(($Y204+$T204*12-2)/12),$H204,MAX($H204,$G204*(1-2/$T204*(13-MONTH($F204))/12)*(1-2/$T204)^(TahunBuku-YEAR($F204))))),IF($S204="Unit Produksi",$G204-($G204-$H204)*MIN(1,(N($L204)+N($M204))/$K204),$G204))),$G204))</f>
        <v/>
      </c>
      <c r="AF204" s="20" t="str">
        <f>IF($B204="","",IF(OR($S204="Garis Lurus",$S204="Saldo Menurun",$S204="Unit Produksi"),MAX(0,IF($S204="Unit Produksi",TahunBuku*12+12,MIN(TahunBuku*12+12,$Y204+$T204*12-1))-MAX(TahunBuku*12+1,$Y204)+1),0))</f>
        <v/>
      </c>
      <c r="AG204" s="20" t="str">
        <f>IF($B204="","",IF(OR($S204="Garis Lurus",$S204="Saldo Menurun",$S204="Unit Produksi"),MAX(0,MIN($Z204,IF($S204="Unit Produksi",TahunBuku*12+12,MIN(TahunBuku*12+12,$Y204+$T204*12-1)))-MAX(TahunBuku*12+1,$Y204)+1),0))</f>
        <v/>
      </c>
      <c r="AH204" s="21" t="str">
        <f>IF($B204="","",IFERROR(IF($W204="Garis Lurus",$G204*(1-MIN($V204*12,MAX(0,TahunBuku*12-$Y204+1))/($V204*12)),IF($W204="Saldo Menurun",IF(TahunBuku-1&lt;YEAR($F204),$G204,IF(TahunBuku-1&gt;=INT(($Y204+$V204*12-2)/12),0,$G204*(1-2/$V204*(13-MONTH($F204))/12)*(1-2/$V204)^(TahunBuku-1-YEAR($F204)))),$G204)),$G204))</f>
        <v/>
      </c>
      <c r="AI204" s="21" t="str">
        <f>IF($B204="","",IFERROR(IF($W204="Garis Lurus",$G204*(1-MIN($V204*12,MAX(0,TahunBuku*12+12-$Y204+1))/($V204*12)),IF($W204="Saldo Menurun",IF(TahunBuku&lt;YEAR($F204),$G204,IF(TahunBuku&gt;=INT(($Y204+$V204*12-2)/12),0,$G204*(1-2/$V204*(13-MONTH($F204))/12)*(1-2/$V204)^(TahunBuku-YEAR($F204)))),$G204)),$G204))</f>
        <v/>
      </c>
      <c r="AJ204" s="20" t="str">
        <f>IF($B204="","",IF(OR($W204="Garis Lurus",$W204="Saldo Menurun"),MAX(0,MIN(TahunBuku*12+12,$Y204+$V204*12-1)-MAX(TahunBuku*12+1,$Y204)+1),0))</f>
        <v/>
      </c>
      <c r="AK204" s="20" t="str">
        <f>IF($B204="","",IF(OR($W204="Garis Lurus",$W204="Saldo Menurun"),MAX(0,MIN($Z204,TahunBuku*12+12,$Y204+$V204*12-1)-MAX(TahunBuku*12+1,$Y204)+1),0))</f>
        <v/>
      </c>
      <c r="AL204" s="22" t="str">
        <f>IF($B204="","",$G204*$AA204)</f>
        <v/>
      </c>
      <c r="AM204" s="22" t="str">
        <f>IF($B204="","",$G204*$AB204)</f>
        <v/>
      </c>
      <c r="AN204" s="22" t="str">
        <f>IF($B204="","",$G204*$AC204)</f>
        <v/>
      </c>
      <c r="AO204" s="22" t="str">
        <f>IF($B204="","",AL204+AM204-AN204)</f>
        <v/>
      </c>
      <c r="AP204" s="22" t="str">
        <f>IF($B204="","",($G204-$AD204)*$AA204)</f>
        <v/>
      </c>
      <c r="AQ204" s="22" t="str">
        <f>IF($B204="","",IF($AF204=0,0,($AD204-$AE204)*$AG204/$AF204)*MAX($AA204,$AB204))</f>
        <v/>
      </c>
      <c r="AR204" s="22" t="str">
        <f>IF($B204="","",(AP204+AQ204)*$AC204)</f>
        <v/>
      </c>
      <c r="AS204" s="22" t="str">
        <f>IF($B204="","",AP204+AQ204-AR204)</f>
        <v/>
      </c>
      <c r="AT204" s="22" t="str">
        <f>IF($B204="","",AO204-AS204)</f>
        <v/>
      </c>
      <c r="AU204" s="22" t="str">
        <f>IF($B204="","",IF($AC204=1,N($R204)-($G204-AR204),0))</f>
        <v/>
      </c>
      <c r="AV204" s="22" t="str">
        <f>IF($B204="","",($G204-$AH204)*$AA204)</f>
        <v/>
      </c>
      <c r="AW204" s="22" t="str">
        <f>IF($B204="","",IF($AJ204=0,0,($AH204-$AI204)*$AK204/$AJ204)*MAX($AA204,$AB204))</f>
        <v/>
      </c>
      <c r="AX204" s="22" t="str">
        <f>IF($B204="","",(AV204+AW204)*$AC204)</f>
        <v/>
      </c>
      <c r="AY204" s="22" t="str">
        <f>IF($B204="","",AV204+AW204-AX204)</f>
        <v/>
      </c>
      <c r="AZ204" s="22" t="str">
        <f>IF($B204="","",AO204-AY204)</f>
        <v/>
      </c>
      <c r="BA204" s="22" t="str">
        <f>IF($B204="","",IF($AC204=1,N($R204)-($G204-AX204),0))</f>
        <v/>
      </c>
      <c r="BB204" s="22" t="str">
        <f>IF($B204="","",ROUND(AQ204-AW204,0))</f>
        <v/>
      </c>
      <c r="BC204" s="22" t="str">
        <f>IF($B204="","",ROUND(BA204-AU204,0))</f>
        <v/>
      </c>
      <c r="BD204" s="22" t="str">
        <f>IF($B204="","",BB204+BC204)</f>
        <v/>
      </c>
      <c r="BE204" s="22" t="str">
        <f>IF($B204="","",ROUND(AV204-AP204,0))</f>
        <v/>
      </c>
      <c r="BF204" s="22" t="str">
        <f>IF($B204="","",ROUND(AT204-AZ204,0))</f>
        <v/>
      </c>
      <c r="BG204" s="22" t="str">
        <f>IF($B204="","",ROUND(BF204*TarifPPh,0))</f>
        <v/>
      </c>
      <c r="BH204" t="str">
        <f>IF($B204="","",IF($D204="","Kategori kosong",IF($F204="","Tgl perolehan kosong",IF(N($H204)&gt;$G204,"Residu &gt; harga perolehan",IF(AND(LEFT($U204,8)="Bangunan",$W204="Saldo Menurun"),"Bangunan wajib Garis Lurus (Ps.11 UU PPh)",IF(AND($S204="Unit Produksi",N($K204)=0),"Isi kapasitas unit",IF(AND(OR($S204="Garis Lurus",$S204="Saldo Menurun"),N($T204)&lt;=0),"Umur komersial kosong",IF(AND(OR($W204="Garis Lurus",$W204="Saldo Menurun"),N($V204)&lt;=0),"Masa manfaat fiskal kosong",IF(AND($Q204&lt;&gt;"",$Q204&lt;$F204),"Tgl pelepasan &lt; perolehan","OK")))))))))</f>
        <v/>
      </c>
    </row>
    <row r="205" spans="1:60" x14ac:dyDescent="0.25">
      <c r="A205" t="str">
        <f>IF($B205="","",ROW()-6)</f>
        <v/>
      </c>
      <c r="B205" s="9"/>
      <c r="C205" s="9"/>
      <c r="D205" s="9"/>
      <c r="E205" s="9"/>
      <c r="F205" s="17"/>
      <c r="G205" s="18"/>
      <c r="H205" s="18"/>
      <c r="I205" s="9"/>
      <c r="J205" s="9"/>
      <c r="K205" s="19"/>
      <c r="L205" s="19"/>
      <c r="M205" s="19"/>
      <c r="N205" s="9"/>
      <c r="O205" s="9"/>
      <c r="P205" s="9"/>
      <c r="Q205" s="17"/>
      <c r="R205" s="18"/>
      <c r="S205" t="str">
        <f>IF($B205="","",IF($I205&lt;&gt;"",$I205,IFERROR(INDEX(Kat_Metode,MATCH($D205,Kat_Nama,0)),"")))</f>
        <v/>
      </c>
      <c r="T205" t="str">
        <f>IF($B205="","",IF($J205&lt;&gt;"",$J205,IFERROR(INDEX(Kat_Umur,MATCH($D205,Kat_Nama,0)),0)))</f>
        <v/>
      </c>
      <c r="U205" t="str">
        <f>IF($B205="","",IF($N205&lt;&gt;"",$N205,IFERROR(INDEX(Kat_Kelompok,MATCH($D205,Kat_Nama,0)),"")))</f>
        <v/>
      </c>
      <c r="V205" t="str">
        <f>IF($B205="","",IF($U205="Masa Manfaat Sebenarnya",N($O205),IFERROR(INDEX(Kel_Masa,MATCH($U205,Kel_Nama,0)),0)))</f>
        <v/>
      </c>
      <c r="W205" t="str">
        <f>IF($B205="","",IF($P205&lt;&gt;"",$P205,IF(OR($U205="Tidak Disusutkan",$V205=0),"Tidak Disusutkan","Garis Lurus")))</f>
        <v/>
      </c>
      <c r="X205" t="str">
        <f>IF($B205="","",IF($Y205&gt;TahunBuku*12+12,"Belum Diperoleh",IF($Z205&lt;=TahunBuku*12,"Dilepas (thn lalu)",IF($AC205=1,"Dilepas thn ini",IF($AB205=1,"Perolehan baru","Aktif")))))</f>
        <v/>
      </c>
      <c r="Y205" s="20" t="str">
        <f>IF($B205="","",YEAR($F205)*12+MONTH($F205))</f>
        <v/>
      </c>
      <c r="Z205" s="20" t="str">
        <f>IF($B205="","",IF($Q205="",99999,YEAR($Q205)*12+MONTH($Q205)))</f>
        <v/>
      </c>
      <c r="AA205" s="20" t="str">
        <f>IF($B205="","",--AND($Y205&lt;=TahunBuku*12,$Z205&gt;TahunBuku*12))</f>
        <v/>
      </c>
      <c r="AB205" s="20" t="str">
        <f>IF($B205="","",--AND($Y205&gt;TahunBuku*12,$Y205&lt;=TahunBuku*12+12))</f>
        <v/>
      </c>
      <c r="AC205" s="20" t="str">
        <f>IF($B205="","",--AND($Z205&gt;TahunBuku*12,$Z205&lt;=TahunBuku*12+12,$Y205&lt;=$Z205))</f>
        <v/>
      </c>
      <c r="AD205" s="21" t="str">
        <f>IF($B205="","",IFERROR(IF($S205="Garis Lurus",$G205-($G205-$H205)*MIN($T205*12,MAX(0,TahunBuku*12-$Y205+1))/($T205*12),IF($S205="Saldo Menurun",IF(TahunBuku-1&lt;YEAR($F205),$G205,IF(TahunBuku-1&gt;=INT(($Y205+$T205*12-2)/12),$H205,MAX($H205,$G205*(1-2/$T205*(13-MONTH($F205))/12)*(1-2/$T205)^(TahunBuku-1-YEAR($F205))))),IF($S205="Unit Produksi",$G205-($G205-$H205)*MIN(1,N($L205)/$K205),$G205))),$G205))</f>
        <v/>
      </c>
      <c r="AE205" s="21" t="str">
        <f>IF($B205="","",IFERROR(IF($S205="Garis Lurus",$G205-($G205-$H205)*MIN($T205*12,MAX(0,TahunBuku*12+12-$Y205+1))/($T205*12),IF($S205="Saldo Menurun",IF(TahunBuku&lt;YEAR($F205),$G205,IF(TahunBuku&gt;=INT(($Y205+$T205*12-2)/12),$H205,MAX($H205,$G205*(1-2/$T205*(13-MONTH($F205))/12)*(1-2/$T205)^(TahunBuku-YEAR($F205))))),IF($S205="Unit Produksi",$G205-($G205-$H205)*MIN(1,(N($L205)+N($M205))/$K205),$G205))),$G205))</f>
        <v/>
      </c>
      <c r="AF205" s="20" t="str">
        <f>IF($B205="","",IF(OR($S205="Garis Lurus",$S205="Saldo Menurun",$S205="Unit Produksi"),MAX(0,IF($S205="Unit Produksi",TahunBuku*12+12,MIN(TahunBuku*12+12,$Y205+$T205*12-1))-MAX(TahunBuku*12+1,$Y205)+1),0))</f>
        <v/>
      </c>
      <c r="AG205" s="20" t="str">
        <f>IF($B205="","",IF(OR($S205="Garis Lurus",$S205="Saldo Menurun",$S205="Unit Produksi"),MAX(0,MIN($Z205,IF($S205="Unit Produksi",TahunBuku*12+12,MIN(TahunBuku*12+12,$Y205+$T205*12-1)))-MAX(TahunBuku*12+1,$Y205)+1),0))</f>
        <v/>
      </c>
      <c r="AH205" s="21" t="str">
        <f>IF($B205="","",IFERROR(IF($W205="Garis Lurus",$G205*(1-MIN($V205*12,MAX(0,TahunBuku*12-$Y205+1))/($V205*12)),IF($W205="Saldo Menurun",IF(TahunBuku-1&lt;YEAR($F205),$G205,IF(TahunBuku-1&gt;=INT(($Y205+$V205*12-2)/12),0,$G205*(1-2/$V205*(13-MONTH($F205))/12)*(1-2/$V205)^(TahunBuku-1-YEAR($F205)))),$G205)),$G205))</f>
        <v/>
      </c>
      <c r="AI205" s="21" t="str">
        <f>IF($B205="","",IFERROR(IF($W205="Garis Lurus",$G205*(1-MIN($V205*12,MAX(0,TahunBuku*12+12-$Y205+1))/($V205*12)),IF($W205="Saldo Menurun",IF(TahunBuku&lt;YEAR($F205),$G205,IF(TahunBuku&gt;=INT(($Y205+$V205*12-2)/12),0,$G205*(1-2/$V205*(13-MONTH($F205))/12)*(1-2/$V205)^(TahunBuku-YEAR($F205)))),$G205)),$G205))</f>
        <v/>
      </c>
      <c r="AJ205" s="20" t="str">
        <f>IF($B205="","",IF(OR($W205="Garis Lurus",$W205="Saldo Menurun"),MAX(0,MIN(TahunBuku*12+12,$Y205+$V205*12-1)-MAX(TahunBuku*12+1,$Y205)+1),0))</f>
        <v/>
      </c>
      <c r="AK205" s="20" t="str">
        <f>IF($B205="","",IF(OR($W205="Garis Lurus",$W205="Saldo Menurun"),MAX(0,MIN($Z205,TahunBuku*12+12,$Y205+$V205*12-1)-MAX(TahunBuku*12+1,$Y205)+1),0))</f>
        <v/>
      </c>
      <c r="AL205" s="22" t="str">
        <f>IF($B205="","",$G205*$AA205)</f>
        <v/>
      </c>
      <c r="AM205" s="22" t="str">
        <f>IF($B205="","",$G205*$AB205)</f>
        <v/>
      </c>
      <c r="AN205" s="22" t="str">
        <f>IF($B205="","",$G205*$AC205)</f>
        <v/>
      </c>
      <c r="AO205" s="22" t="str">
        <f>IF($B205="","",AL205+AM205-AN205)</f>
        <v/>
      </c>
      <c r="AP205" s="22" t="str">
        <f>IF($B205="","",($G205-$AD205)*$AA205)</f>
        <v/>
      </c>
      <c r="AQ205" s="22" t="str">
        <f>IF($B205="","",IF($AF205=0,0,($AD205-$AE205)*$AG205/$AF205)*MAX($AA205,$AB205))</f>
        <v/>
      </c>
      <c r="AR205" s="22" t="str">
        <f>IF($B205="","",(AP205+AQ205)*$AC205)</f>
        <v/>
      </c>
      <c r="AS205" s="22" t="str">
        <f>IF($B205="","",AP205+AQ205-AR205)</f>
        <v/>
      </c>
      <c r="AT205" s="22" t="str">
        <f>IF($B205="","",AO205-AS205)</f>
        <v/>
      </c>
      <c r="AU205" s="22" t="str">
        <f>IF($B205="","",IF($AC205=1,N($R205)-($G205-AR205),0))</f>
        <v/>
      </c>
      <c r="AV205" s="22" t="str">
        <f>IF($B205="","",($G205-$AH205)*$AA205)</f>
        <v/>
      </c>
      <c r="AW205" s="22" t="str">
        <f>IF($B205="","",IF($AJ205=0,0,($AH205-$AI205)*$AK205/$AJ205)*MAX($AA205,$AB205))</f>
        <v/>
      </c>
      <c r="AX205" s="22" t="str">
        <f>IF($B205="","",(AV205+AW205)*$AC205)</f>
        <v/>
      </c>
      <c r="AY205" s="22" t="str">
        <f>IF($B205="","",AV205+AW205-AX205)</f>
        <v/>
      </c>
      <c r="AZ205" s="22" t="str">
        <f>IF($B205="","",AO205-AY205)</f>
        <v/>
      </c>
      <c r="BA205" s="22" t="str">
        <f>IF($B205="","",IF($AC205=1,N($R205)-($G205-AX205),0))</f>
        <v/>
      </c>
      <c r="BB205" s="22" t="str">
        <f>IF($B205="","",ROUND(AQ205-AW205,0))</f>
        <v/>
      </c>
      <c r="BC205" s="22" t="str">
        <f>IF($B205="","",ROUND(BA205-AU205,0))</f>
        <v/>
      </c>
      <c r="BD205" s="22" t="str">
        <f>IF($B205="","",BB205+BC205)</f>
        <v/>
      </c>
      <c r="BE205" s="22" t="str">
        <f>IF($B205="","",ROUND(AV205-AP205,0))</f>
        <v/>
      </c>
      <c r="BF205" s="22" t="str">
        <f>IF($B205="","",ROUND(AT205-AZ205,0))</f>
        <v/>
      </c>
      <c r="BG205" s="22" t="str">
        <f>IF($B205="","",ROUND(BF205*TarifPPh,0))</f>
        <v/>
      </c>
      <c r="BH205" t="str">
        <f>IF($B205="","",IF($D205="","Kategori kosong",IF($F205="","Tgl perolehan kosong",IF(N($H205)&gt;$G205,"Residu &gt; harga perolehan",IF(AND(LEFT($U205,8)="Bangunan",$W205="Saldo Menurun"),"Bangunan wajib Garis Lurus (Ps.11 UU PPh)",IF(AND($S205="Unit Produksi",N($K205)=0),"Isi kapasitas unit",IF(AND(OR($S205="Garis Lurus",$S205="Saldo Menurun"),N($T205)&lt;=0),"Umur komersial kosong",IF(AND(OR($W205="Garis Lurus",$W205="Saldo Menurun"),N($V205)&lt;=0),"Masa manfaat fiskal kosong",IF(AND($Q205&lt;&gt;"",$Q205&lt;$F205),"Tgl pelepasan &lt; perolehan","OK")))))))))</f>
        <v/>
      </c>
    </row>
    <row r="206" spans="1:60" x14ac:dyDescent="0.25">
      <c r="A206" t="str">
        <f>IF($B206="","",ROW()-6)</f>
        <v/>
      </c>
      <c r="B206" s="9"/>
      <c r="C206" s="9"/>
      <c r="D206" s="9"/>
      <c r="E206" s="9"/>
      <c r="F206" s="17"/>
      <c r="G206" s="18"/>
      <c r="H206" s="18"/>
      <c r="I206" s="9"/>
      <c r="J206" s="9"/>
      <c r="K206" s="19"/>
      <c r="L206" s="19"/>
      <c r="M206" s="19"/>
      <c r="N206" s="9"/>
      <c r="O206" s="9"/>
      <c r="P206" s="9"/>
      <c r="Q206" s="17"/>
      <c r="R206" s="18"/>
      <c r="S206" t="str">
        <f>IF($B206="","",IF($I206&lt;&gt;"",$I206,IFERROR(INDEX(Kat_Metode,MATCH($D206,Kat_Nama,0)),"")))</f>
        <v/>
      </c>
      <c r="T206" t="str">
        <f>IF($B206="","",IF($J206&lt;&gt;"",$J206,IFERROR(INDEX(Kat_Umur,MATCH($D206,Kat_Nama,0)),0)))</f>
        <v/>
      </c>
      <c r="U206" t="str">
        <f>IF($B206="","",IF($N206&lt;&gt;"",$N206,IFERROR(INDEX(Kat_Kelompok,MATCH($D206,Kat_Nama,0)),"")))</f>
        <v/>
      </c>
      <c r="V206" t="str">
        <f>IF($B206="","",IF($U206="Masa Manfaat Sebenarnya",N($O206),IFERROR(INDEX(Kel_Masa,MATCH($U206,Kel_Nama,0)),0)))</f>
        <v/>
      </c>
      <c r="W206" t="str">
        <f>IF($B206="","",IF($P206&lt;&gt;"",$P206,IF(OR($U206="Tidak Disusutkan",$V206=0),"Tidak Disusutkan","Garis Lurus")))</f>
        <v/>
      </c>
      <c r="X206" t="str">
        <f>IF($B206="","",IF($Y206&gt;TahunBuku*12+12,"Belum Diperoleh",IF($Z206&lt;=TahunBuku*12,"Dilepas (thn lalu)",IF($AC206=1,"Dilepas thn ini",IF($AB206=1,"Perolehan baru","Aktif")))))</f>
        <v/>
      </c>
      <c r="Y206" s="20" t="str">
        <f>IF($B206="","",YEAR($F206)*12+MONTH($F206))</f>
        <v/>
      </c>
      <c r="Z206" s="20" t="str">
        <f>IF($B206="","",IF($Q206="",99999,YEAR($Q206)*12+MONTH($Q206)))</f>
        <v/>
      </c>
      <c r="AA206" s="20" t="str">
        <f>IF($B206="","",--AND($Y206&lt;=TahunBuku*12,$Z206&gt;TahunBuku*12))</f>
        <v/>
      </c>
      <c r="AB206" s="20" t="str">
        <f>IF($B206="","",--AND($Y206&gt;TahunBuku*12,$Y206&lt;=TahunBuku*12+12))</f>
        <v/>
      </c>
      <c r="AC206" s="20" t="str">
        <f>IF($B206="","",--AND($Z206&gt;TahunBuku*12,$Z206&lt;=TahunBuku*12+12,$Y206&lt;=$Z206))</f>
        <v/>
      </c>
      <c r="AD206" s="21" t="str">
        <f>IF($B206="","",IFERROR(IF($S206="Garis Lurus",$G206-($G206-$H206)*MIN($T206*12,MAX(0,TahunBuku*12-$Y206+1))/($T206*12),IF($S206="Saldo Menurun",IF(TahunBuku-1&lt;YEAR($F206),$G206,IF(TahunBuku-1&gt;=INT(($Y206+$T206*12-2)/12),$H206,MAX($H206,$G206*(1-2/$T206*(13-MONTH($F206))/12)*(1-2/$T206)^(TahunBuku-1-YEAR($F206))))),IF($S206="Unit Produksi",$G206-($G206-$H206)*MIN(1,N($L206)/$K206),$G206))),$G206))</f>
        <v/>
      </c>
      <c r="AE206" s="21" t="str">
        <f>IF($B206="","",IFERROR(IF($S206="Garis Lurus",$G206-($G206-$H206)*MIN($T206*12,MAX(0,TahunBuku*12+12-$Y206+1))/($T206*12),IF($S206="Saldo Menurun",IF(TahunBuku&lt;YEAR($F206),$G206,IF(TahunBuku&gt;=INT(($Y206+$T206*12-2)/12),$H206,MAX($H206,$G206*(1-2/$T206*(13-MONTH($F206))/12)*(1-2/$T206)^(TahunBuku-YEAR($F206))))),IF($S206="Unit Produksi",$G206-($G206-$H206)*MIN(1,(N($L206)+N($M206))/$K206),$G206))),$G206))</f>
        <v/>
      </c>
      <c r="AF206" s="20" t="str">
        <f>IF($B206="","",IF(OR($S206="Garis Lurus",$S206="Saldo Menurun",$S206="Unit Produksi"),MAX(0,IF($S206="Unit Produksi",TahunBuku*12+12,MIN(TahunBuku*12+12,$Y206+$T206*12-1))-MAX(TahunBuku*12+1,$Y206)+1),0))</f>
        <v/>
      </c>
      <c r="AG206" s="20" t="str">
        <f>IF($B206="","",IF(OR($S206="Garis Lurus",$S206="Saldo Menurun",$S206="Unit Produksi"),MAX(0,MIN($Z206,IF($S206="Unit Produksi",TahunBuku*12+12,MIN(TahunBuku*12+12,$Y206+$T206*12-1)))-MAX(TahunBuku*12+1,$Y206)+1),0))</f>
        <v/>
      </c>
      <c r="AH206" s="21" t="str">
        <f>IF($B206="","",IFERROR(IF($W206="Garis Lurus",$G206*(1-MIN($V206*12,MAX(0,TahunBuku*12-$Y206+1))/($V206*12)),IF($W206="Saldo Menurun",IF(TahunBuku-1&lt;YEAR($F206),$G206,IF(TahunBuku-1&gt;=INT(($Y206+$V206*12-2)/12),0,$G206*(1-2/$V206*(13-MONTH($F206))/12)*(1-2/$V206)^(TahunBuku-1-YEAR($F206)))),$G206)),$G206))</f>
        <v/>
      </c>
      <c r="AI206" s="21" t="str">
        <f>IF($B206="","",IFERROR(IF($W206="Garis Lurus",$G206*(1-MIN($V206*12,MAX(0,TahunBuku*12+12-$Y206+1))/($V206*12)),IF($W206="Saldo Menurun",IF(TahunBuku&lt;YEAR($F206),$G206,IF(TahunBuku&gt;=INT(($Y206+$V206*12-2)/12),0,$G206*(1-2/$V206*(13-MONTH($F206))/12)*(1-2/$V206)^(TahunBuku-YEAR($F206)))),$G206)),$G206))</f>
        <v/>
      </c>
      <c r="AJ206" s="20" t="str">
        <f>IF($B206="","",IF(OR($W206="Garis Lurus",$W206="Saldo Menurun"),MAX(0,MIN(TahunBuku*12+12,$Y206+$V206*12-1)-MAX(TahunBuku*12+1,$Y206)+1),0))</f>
        <v/>
      </c>
      <c r="AK206" s="20" t="str">
        <f>IF($B206="","",IF(OR($W206="Garis Lurus",$W206="Saldo Menurun"),MAX(0,MIN($Z206,TahunBuku*12+12,$Y206+$V206*12-1)-MAX(TahunBuku*12+1,$Y206)+1),0))</f>
        <v/>
      </c>
      <c r="AL206" s="22" t="str">
        <f>IF($B206="","",$G206*$AA206)</f>
        <v/>
      </c>
      <c r="AM206" s="22" t="str">
        <f>IF($B206="","",$G206*$AB206)</f>
        <v/>
      </c>
      <c r="AN206" s="22" t="str">
        <f>IF($B206="","",$G206*$AC206)</f>
        <v/>
      </c>
      <c r="AO206" s="22" t="str">
        <f>IF($B206="","",AL206+AM206-AN206)</f>
        <v/>
      </c>
      <c r="AP206" s="22" t="str">
        <f>IF($B206="","",($G206-$AD206)*$AA206)</f>
        <v/>
      </c>
      <c r="AQ206" s="22" t="str">
        <f>IF($B206="","",IF($AF206=0,0,($AD206-$AE206)*$AG206/$AF206)*MAX($AA206,$AB206))</f>
        <v/>
      </c>
      <c r="AR206" s="22" t="str">
        <f>IF($B206="","",(AP206+AQ206)*$AC206)</f>
        <v/>
      </c>
      <c r="AS206" s="22" t="str">
        <f>IF($B206="","",AP206+AQ206-AR206)</f>
        <v/>
      </c>
      <c r="AT206" s="22" t="str">
        <f>IF($B206="","",AO206-AS206)</f>
        <v/>
      </c>
      <c r="AU206" s="22" t="str">
        <f>IF($B206="","",IF($AC206=1,N($R206)-($G206-AR206),0))</f>
        <v/>
      </c>
      <c r="AV206" s="22" t="str">
        <f>IF($B206="","",($G206-$AH206)*$AA206)</f>
        <v/>
      </c>
      <c r="AW206" s="22" t="str">
        <f>IF($B206="","",IF($AJ206=0,0,($AH206-$AI206)*$AK206/$AJ206)*MAX($AA206,$AB206))</f>
        <v/>
      </c>
      <c r="AX206" s="22" t="str">
        <f>IF($B206="","",(AV206+AW206)*$AC206)</f>
        <v/>
      </c>
      <c r="AY206" s="22" t="str">
        <f>IF($B206="","",AV206+AW206-AX206)</f>
        <v/>
      </c>
      <c r="AZ206" s="22" t="str">
        <f>IF($B206="","",AO206-AY206)</f>
        <v/>
      </c>
      <c r="BA206" s="22" t="str">
        <f>IF($B206="","",IF($AC206=1,N($R206)-($G206-AX206),0))</f>
        <v/>
      </c>
      <c r="BB206" s="22" t="str">
        <f>IF($B206="","",ROUND(AQ206-AW206,0))</f>
        <v/>
      </c>
      <c r="BC206" s="22" t="str">
        <f>IF($B206="","",ROUND(BA206-AU206,0))</f>
        <v/>
      </c>
      <c r="BD206" s="22" t="str">
        <f>IF($B206="","",BB206+BC206)</f>
        <v/>
      </c>
      <c r="BE206" s="22" t="str">
        <f>IF($B206="","",ROUND(AV206-AP206,0))</f>
        <v/>
      </c>
      <c r="BF206" s="22" t="str">
        <f>IF($B206="","",ROUND(AT206-AZ206,0))</f>
        <v/>
      </c>
      <c r="BG206" s="22" t="str">
        <f>IF($B206="","",ROUND(BF206*TarifPPh,0))</f>
        <v/>
      </c>
      <c r="BH206" t="str">
        <f>IF($B206="","",IF($D206="","Kategori kosong",IF($F206="","Tgl perolehan kosong",IF(N($H206)&gt;$G206,"Residu &gt; harga perolehan",IF(AND(LEFT($U206,8)="Bangunan",$W206="Saldo Menurun"),"Bangunan wajib Garis Lurus (Ps.11 UU PPh)",IF(AND($S206="Unit Produksi",N($K206)=0),"Isi kapasitas unit",IF(AND(OR($S206="Garis Lurus",$S206="Saldo Menurun"),N($T206)&lt;=0),"Umur komersial kosong",IF(AND(OR($W206="Garis Lurus",$W206="Saldo Menurun"),N($V206)&lt;=0),"Masa manfaat fiskal kosong",IF(AND($Q206&lt;&gt;"",$Q206&lt;$F206),"Tgl pelepasan &lt; perolehan","OK")))))))))</f>
        <v/>
      </c>
    </row>
    <row r="207" spans="1:60" x14ac:dyDescent="0.25">
      <c r="A207" s="23"/>
      <c r="B207" s="23" t="s">
        <v>196</v>
      </c>
      <c r="C207" s="23"/>
      <c r="D207" s="23"/>
      <c r="E207" s="23"/>
      <c r="F207" s="23"/>
      <c r="G207" s="24">
        <f>SUBTOTAL(9,G7:G206)</f>
        <v>0</v>
      </c>
      <c r="H207" s="24">
        <f>SUBTOTAL(9,H7:H206)</f>
        <v>0</v>
      </c>
      <c r="I207" s="23"/>
      <c r="J207" s="23"/>
      <c r="K207" s="23"/>
      <c r="L207" s="23"/>
      <c r="M207" s="23"/>
      <c r="N207" s="23"/>
      <c r="O207" s="23"/>
      <c r="P207" s="23"/>
      <c r="Q207" s="23"/>
      <c r="R207" s="24">
        <f>SUBTOTAL(9,R7:R206)</f>
        <v>0</v>
      </c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4">
        <f>SUBTOTAL(9,AL7:AL206)</f>
        <v>0</v>
      </c>
      <c r="AM207" s="24">
        <f>SUBTOTAL(9,AM7:AM206)</f>
        <v>0</v>
      </c>
      <c r="AN207" s="24">
        <f>SUBTOTAL(9,AN7:AN206)</f>
        <v>0</v>
      </c>
      <c r="AO207" s="24">
        <f>SUBTOTAL(9,AO7:AO206)</f>
        <v>0</v>
      </c>
      <c r="AP207" s="24">
        <f>SUBTOTAL(9,AP7:AP206)</f>
        <v>0</v>
      </c>
      <c r="AQ207" s="24">
        <f>SUBTOTAL(9,AQ7:AQ206)</f>
        <v>0</v>
      </c>
      <c r="AR207" s="24">
        <f>SUBTOTAL(9,AR7:AR206)</f>
        <v>0</v>
      </c>
      <c r="AS207" s="24">
        <f>SUBTOTAL(9,AS7:AS206)</f>
        <v>0</v>
      </c>
      <c r="AT207" s="24">
        <f>SUBTOTAL(9,AT7:AT206)</f>
        <v>0</v>
      </c>
      <c r="AU207" s="24">
        <f>SUBTOTAL(9,AU7:AU206)</f>
        <v>0</v>
      </c>
      <c r="AV207" s="24">
        <f>SUBTOTAL(9,AV7:AV206)</f>
        <v>0</v>
      </c>
      <c r="AW207" s="24">
        <f>SUBTOTAL(9,AW7:AW206)</f>
        <v>0</v>
      </c>
      <c r="AX207" s="24">
        <f>SUBTOTAL(9,AX7:AX206)</f>
        <v>0</v>
      </c>
      <c r="AY207" s="24">
        <f>SUBTOTAL(9,AY7:AY206)</f>
        <v>0</v>
      </c>
      <c r="AZ207" s="24">
        <f>SUBTOTAL(9,AZ7:AZ206)</f>
        <v>0</v>
      </c>
      <c r="BA207" s="24">
        <f>SUBTOTAL(9,BA7:BA206)</f>
        <v>0</v>
      </c>
      <c r="BB207" s="24">
        <f>SUBTOTAL(9,BB7:BB206)</f>
        <v>0</v>
      </c>
      <c r="BC207" s="24">
        <f>SUBTOTAL(9,BC7:BC206)</f>
        <v>0</v>
      </c>
      <c r="BD207" s="24">
        <f>SUBTOTAL(9,BD7:BD206)</f>
        <v>0</v>
      </c>
      <c r="BE207" s="24">
        <f>SUBTOTAL(9,BE7:BE206)</f>
        <v>0</v>
      </c>
      <c r="BF207" s="24">
        <f>SUBTOTAL(9,BF7:BF206)</f>
        <v>0</v>
      </c>
      <c r="BG207" s="24">
        <f>SUBTOTAL(9,BG7:BG206)</f>
        <v>0</v>
      </c>
      <c r="BH207" s="23"/>
    </row>
  </sheetData>
  <mergeCells count="6">
    <mergeCell ref="A5:R5"/>
    <mergeCell ref="S5:X5"/>
    <mergeCell ref="Y5:AK5"/>
    <mergeCell ref="AL5:AU5"/>
    <mergeCell ref="AV5:BA5"/>
    <mergeCell ref="BB5:BH5"/>
  </mergeCells>
  <dataValidations count="4">
    <dataValidation type="list" allowBlank="1" sqref="D7:D206">
      <formula1>L_KatAT</formula1>
    </dataValidation>
    <dataValidation type="list" allowBlank="1" sqref="I7:I206">
      <formula1>L_MetodeAT</formula1>
    </dataValidation>
    <dataValidation type="list" allowBlank="1" sqref="N7:N206">
      <formula1>Kel_Nama</formula1>
    </dataValidation>
    <dataValidation type="list" allowBlank="1" sqref="P7:P206">
      <formula1>L_MetodeFis</formula1>
    </dataValidation>
  </dataValidations>
  <pageSetup paperSize="9" orientation="landscape" fitToWidth="1" fitToHeight="0"/>
  <headerFooter>
    <oddFooter>&amp;LKAP Sutrisno Hendrawanto Sukardi dan Rekan&amp;R&amp;P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207"/>
  <sheetViews>
    <sheetView workbookViewId="0">
      <pane xSplit="3" ySplit="6" topLeftCell="D7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11" customWidth="1"/>
    <col min="3" max="3" width="30" customWidth="1"/>
    <col min="4" max="4" width="18" customWidth="1"/>
    <col min="5" max="5" width="16" customWidth="1"/>
    <col min="6" max="6" width="12" customWidth="1"/>
    <col min="7" max="7" width="16" customWidth="1"/>
    <col min="8" max="8" width="14" customWidth="1"/>
    <col min="9" max="9" width="16" customWidth="1"/>
    <col min="10" max="13" width="11" customWidth="1"/>
    <col min="14" max="14" width="18" customWidth="1"/>
    <col min="15" max="15" width="11" customWidth="1"/>
    <col min="16" max="16" width="16" customWidth="1"/>
    <col min="17" max="17" width="12" customWidth="1"/>
    <col min="18" max="18" width="15" customWidth="1"/>
    <col min="19" max="19" width="16" customWidth="1"/>
    <col min="21" max="21" width="18" customWidth="1"/>
    <col min="23" max="24" width="16" customWidth="1"/>
    <col min="25" max="29" width="11" outlineLevel="1" collapsed="1" customWidth="1"/>
    <col min="30" max="37" width="15" outlineLevel="1" collapsed="1" customWidth="1"/>
    <col min="38" max="59" width="16" customWidth="1"/>
    <col min="60" max="60" width="30" customWidth="1"/>
  </cols>
  <sheetData>
    <row r="1" spans="1:1" x14ac:dyDescent="0.25">
      <c r="A1" s="1" t="s">
        <v>197</v>
      </c>
    </row>
    <row r="2" spans="1:1" x14ac:dyDescent="0.25">
      <c r="A2" s="8" t="str">
        <f>NamaPerusahaan</f>
        <v>Nama Perusahaan</v>
      </c>
    </row>
    <row r="3" spans="1:1" x14ac:dyDescent="0.25">
      <c r="A3" t="str">
        <f>"Tahun Buku "&amp;TahunBuku&amp;"  |  Komersial: PSAK 238  |  Fiskal: Pasal 11A UU PPh s.t.d.d. UU HPP &amp; PMK 72/2023"</f>
        <v>Tahun Buku 2026  |  Komersial: PSAK 238  |  Fiskal: Pasal 11A UU PPh s.t.d.d. UU HPP &amp; PMK 72/2023</v>
      </c>
    </row>
    <row r="4" spans="1:1" x14ac:dyDescent="0.25">
      <c r="A4" s="2" t="s">
        <v>131</v>
      </c>
    </row>
    <row r="5" spans="1:60" x14ac:dyDescent="0.25">
      <c r="A5" s="16" t="s">
        <v>132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 t="s">
        <v>133</v>
      </c>
      <c r="T5" s="16"/>
      <c r="U5" s="16"/>
      <c r="V5" s="16"/>
      <c r="W5" s="16"/>
      <c r="X5" s="16"/>
      <c r="Y5" s="16" t="s">
        <v>134</v>
      </c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 t="s">
        <v>198</v>
      </c>
      <c r="AM5" s="16"/>
      <c r="AN5" s="16"/>
      <c r="AO5" s="16"/>
      <c r="AP5" s="16"/>
      <c r="AQ5" s="16"/>
      <c r="AR5" s="16"/>
      <c r="AS5" s="16"/>
      <c r="AT5" s="16"/>
      <c r="AU5" s="16"/>
      <c r="AV5" s="16" t="s">
        <v>136</v>
      </c>
      <c r="AW5" s="16"/>
      <c r="AX5" s="16"/>
      <c r="AY5" s="16"/>
      <c r="AZ5" s="16"/>
      <c r="BA5" s="16"/>
      <c r="BB5" s="16" t="s">
        <v>137</v>
      </c>
      <c r="BC5" s="16"/>
      <c r="BD5" s="16"/>
      <c r="BE5" s="16"/>
      <c r="BF5" s="16"/>
      <c r="BG5" s="16"/>
      <c r="BH5" s="16"/>
    </row>
    <row r="6" ht="54" customHeight="1" spans="1:60" x14ac:dyDescent="0.25">
      <c r="A6" s="13" t="s">
        <v>138</v>
      </c>
      <c r="B6" s="13" t="s">
        <v>139</v>
      </c>
      <c r="C6" s="13" t="s">
        <v>140</v>
      </c>
      <c r="D6" s="13" t="s">
        <v>89</v>
      </c>
      <c r="E6" s="13" t="s">
        <v>141</v>
      </c>
      <c r="F6" s="13" t="s">
        <v>142</v>
      </c>
      <c r="G6" s="13" t="s">
        <v>143</v>
      </c>
      <c r="H6" s="13" t="s">
        <v>144</v>
      </c>
      <c r="I6" s="13" t="s">
        <v>145</v>
      </c>
      <c r="J6" s="13" t="s">
        <v>146</v>
      </c>
      <c r="K6" s="13" t="s">
        <v>147</v>
      </c>
      <c r="L6" s="13" t="s">
        <v>148</v>
      </c>
      <c r="M6" s="13" t="s">
        <v>149</v>
      </c>
      <c r="N6" s="13" t="s">
        <v>150</v>
      </c>
      <c r="O6" s="13" t="s">
        <v>151</v>
      </c>
      <c r="P6" s="13" t="s">
        <v>152</v>
      </c>
      <c r="Q6" s="13" t="s">
        <v>153</v>
      </c>
      <c r="R6" s="13" t="s">
        <v>154</v>
      </c>
      <c r="S6" s="13" t="s">
        <v>155</v>
      </c>
      <c r="T6" s="13" t="s">
        <v>156</v>
      </c>
      <c r="U6" s="13" t="s">
        <v>157</v>
      </c>
      <c r="V6" s="13" t="s">
        <v>158</v>
      </c>
      <c r="W6" s="13" t="s">
        <v>69</v>
      </c>
      <c r="X6" s="13" t="s">
        <v>159</v>
      </c>
      <c r="Y6" s="13" t="s">
        <v>160</v>
      </c>
      <c r="Z6" s="13" t="s">
        <v>161</v>
      </c>
      <c r="AA6" s="13" t="s">
        <v>162</v>
      </c>
      <c r="AB6" s="13" t="s">
        <v>163</v>
      </c>
      <c r="AC6" s="13" t="s">
        <v>164</v>
      </c>
      <c r="AD6" s="13" t="s">
        <v>165</v>
      </c>
      <c r="AE6" s="13" t="s">
        <v>166</v>
      </c>
      <c r="AF6" s="13" t="s">
        <v>167</v>
      </c>
      <c r="AG6" s="13" t="s">
        <v>168</v>
      </c>
      <c r="AH6" s="13" t="s">
        <v>169</v>
      </c>
      <c r="AI6" s="13" t="s">
        <v>170</v>
      </c>
      <c r="AJ6" s="13" t="s">
        <v>171</v>
      </c>
      <c r="AK6" s="13" t="s">
        <v>172</v>
      </c>
      <c r="AL6" s="13" t="s">
        <v>173</v>
      </c>
      <c r="AM6" s="13" t="s">
        <v>174</v>
      </c>
      <c r="AN6" s="13" t="s">
        <v>175</v>
      </c>
      <c r="AO6" s="13" t="s">
        <v>176</v>
      </c>
      <c r="AP6" s="13" t="s">
        <v>177</v>
      </c>
      <c r="AQ6" s="13" t="s">
        <v>178</v>
      </c>
      <c r="AR6" s="13" t="s">
        <v>179</v>
      </c>
      <c r="AS6" s="13" t="s">
        <v>180</v>
      </c>
      <c r="AT6" s="13" t="s">
        <v>181</v>
      </c>
      <c r="AU6" s="13" t="s">
        <v>182</v>
      </c>
      <c r="AV6" s="13" t="s">
        <v>183</v>
      </c>
      <c r="AW6" s="13" t="s">
        <v>184</v>
      </c>
      <c r="AX6" s="13" t="s">
        <v>185</v>
      </c>
      <c r="AY6" s="13" t="s">
        <v>186</v>
      </c>
      <c r="AZ6" s="13" t="s">
        <v>187</v>
      </c>
      <c r="BA6" s="13" t="s">
        <v>188</v>
      </c>
      <c r="BB6" s="13" t="s">
        <v>189</v>
      </c>
      <c r="BC6" s="13" t="s">
        <v>190</v>
      </c>
      <c r="BD6" s="13" t="s">
        <v>191</v>
      </c>
      <c r="BE6" s="13" t="s">
        <v>192</v>
      </c>
      <c r="BF6" s="13" t="s">
        <v>193</v>
      </c>
      <c r="BG6" s="13" t="s">
        <v>194</v>
      </c>
      <c r="BH6" s="13" t="s">
        <v>195</v>
      </c>
    </row>
    <row r="7" spans="1:60" x14ac:dyDescent="0.25">
      <c r="A7" t="str">
        <f>IF($B7="","",ROW()-6)</f>
        <v/>
      </c>
      <c r="B7" s="9"/>
      <c r="C7" s="9"/>
      <c r="D7" s="9"/>
      <c r="E7" s="9"/>
      <c r="F7" s="17"/>
      <c r="G7" s="18"/>
      <c r="H7" s="18"/>
      <c r="I7" s="9"/>
      <c r="J7" s="9"/>
      <c r="K7" s="19"/>
      <c r="L7" s="19"/>
      <c r="M7" s="19"/>
      <c r="N7" s="9"/>
      <c r="O7" s="9"/>
      <c r="P7" s="9"/>
      <c r="Q7" s="17"/>
      <c r="R7" s="18"/>
      <c r="S7" t="str">
        <f>IF($B7="","",IF($I7&lt;&gt;"",$I7,IFERROR(INDEX(Kat_Metode,MATCH($D7,Kat_Nama,0)),"")))</f>
        <v/>
      </c>
      <c r="T7" t="str">
        <f>IF($B7="","",IF($J7&lt;&gt;"",$J7,IFERROR(INDEX(Kat_Umur,MATCH($D7,Kat_Nama,0)),0)))</f>
        <v/>
      </c>
      <c r="U7" t="str">
        <f>IF($B7="","",IF($N7&lt;&gt;"",$N7,IFERROR(INDEX(Kat_Kelompok,MATCH($D7,Kat_Nama,0)),"")))</f>
        <v/>
      </c>
      <c r="V7" t="str">
        <f>IF($B7="","",IF($U7="Masa Manfaat Sebenarnya",N($O7),IFERROR(INDEX(Kel_Masa,MATCH($U7,Kel_Nama,0)),0)))</f>
        <v/>
      </c>
      <c r="W7" t="str">
        <f>IF($B7="","",IF($P7&lt;&gt;"",$P7,IF(OR($U7="Tidak Disusutkan",$V7=0),"Tidak Disusutkan","Garis Lurus")))</f>
        <v/>
      </c>
      <c r="X7" t="str">
        <f>IF($B7="","",IF($Y7&gt;TahunBuku*12+12,"Belum Diperoleh",IF($Z7&lt;=TahunBuku*12,"Dilepas (thn lalu)",IF($AC7=1,"Dilepas thn ini",IF($AB7=1,"Perolehan baru","Aktif")))))</f>
        <v/>
      </c>
      <c r="Y7" s="20" t="str">
        <f>IF($B7="","",YEAR($F7)*12+MONTH($F7))</f>
        <v/>
      </c>
      <c r="Z7" s="20" t="str">
        <f>IF($B7="","",IF($Q7="",99999,YEAR($Q7)*12+MONTH($Q7)))</f>
        <v/>
      </c>
      <c r="AA7" s="20" t="str">
        <f>IF($B7="","",--AND($Y7&lt;=TahunBuku*12,$Z7&gt;TahunBuku*12))</f>
        <v/>
      </c>
      <c r="AB7" s="20" t="str">
        <f>IF($B7="","",--AND($Y7&gt;TahunBuku*12,$Y7&lt;=TahunBuku*12+12))</f>
        <v/>
      </c>
      <c r="AC7" s="20" t="str">
        <f>IF($B7="","",--AND($Z7&gt;TahunBuku*12,$Z7&lt;=TahunBuku*12+12,$Y7&lt;=$Z7))</f>
        <v/>
      </c>
      <c r="AD7" s="21" t="str">
        <f>IF($B7="","",IFERROR(IF($S7="Garis Lurus",$G7-($G7-$H7)*MIN($T7*12,MAX(0,TahunBuku*12-$Y7+1))/($T7*12),IF($S7="Saldo Menurun",IF(TahunBuku-1&lt;YEAR($F7),$G7,IF(TahunBuku-1&gt;=INT(($Y7+$T7*12-2)/12),$H7,MAX($H7,$G7*(1-2/$T7*(13-MONTH($F7))/12)*(1-2/$T7)^(TahunBuku-1-YEAR($F7))))),IF($S7="Unit Produksi",$G7-($G7-$H7)*MIN(1,N($L7)/$K7),$G7))),$G7))</f>
        <v/>
      </c>
      <c r="AE7" s="21" t="str">
        <f>IF($B7="","",IFERROR(IF($S7="Garis Lurus",$G7-($G7-$H7)*MIN($T7*12,MAX(0,TahunBuku*12+12-$Y7+1))/($T7*12),IF($S7="Saldo Menurun",IF(TahunBuku&lt;YEAR($F7),$G7,IF(TahunBuku&gt;=INT(($Y7+$T7*12-2)/12),$H7,MAX($H7,$G7*(1-2/$T7*(13-MONTH($F7))/12)*(1-2/$T7)^(TahunBuku-YEAR($F7))))),IF($S7="Unit Produksi",$G7-($G7-$H7)*MIN(1,(N($L7)+N($M7))/$K7),$G7))),$G7))</f>
        <v/>
      </c>
      <c r="AF7" s="20" t="str">
        <f>IF($B7="","",IF(OR($S7="Garis Lurus",$S7="Saldo Menurun",$S7="Unit Produksi"),MAX(0,IF($S7="Unit Produksi",TahunBuku*12+12,MIN(TahunBuku*12+12,$Y7+$T7*12-1))-MAX(TahunBuku*12+1,$Y7)+1),0))</f>
        <v/>
      </c>
      <c r="AG7" s="20" t="str">
        <f>IF($B7="","",IF(OR($S7="Garis Lurus",$S7="Saldo Menurun",$S7="Unit Produksi"),MAX(0,MIN($Z7,IF($S7="Unit Produksi",TahunBuku*12+12,MIN(TahunBuku*12+12,$Y7+$T7*12-1)))-MAX(TahunBuku*12+1,$Y7)+1),0))</f>
        <v/>
      </c>
      <c r="AH7" s="21" t="str">
        <f>IF($B7="","",IFERROR(IF($W7="Garis Lurus",$G7*(1-MIN($V7*12,MAX(0,TahunBuku*12-$Y7+1))/($V7*12)),IF($W7="Saldo Menurun",IF(TahunBuku-1&lt;YEAR($F7),$G7,IF(TahunBuku-1&gt;=INT(($Y7+$V7*12-2)/12),0,$G7*(1-2/$V7*(13-MONTH($F7))/12)*(1-2/$V7)^(TahunBuku-1-YEAR($F7)))),$G7)),$G7))</f>
        <v/>
      </c>
      <c r="AI7" s="21" t="str">
        <f>IF($B7="","",IFERROR(IF($W7="Garis Lurus",$G7*(1-MIN($V7*12,MAX(0,TahunBuku*12+12-$Y7+1))/($V7*12)),IF($W7="Saldo Menurun",IF(TahunBuku&lt;YEAR($F7),$G7,IF(TahunBuku&gt;=INT(($Y7+$V7*12-2)/12),0,$G7*(1-2/$V7*(13-MONTH($F7))/12)*(1-2/$V7)^(TahunBuku-YEAR($F7)))),$G7)),$G7))</f>
        <v/>
      </c>
      <c r="AJ7" s="20" t="str">
        <f>IF($B7="","",IF(OR($W7="Garis Lurus",$W7="Saldo Menurun"),MAX(0,MIN(TahunBuku*12+12,$Y7+$V7*12-1)-MAX(TahunBuku*12+1,$Y7)+1),0))</f>
        <v/>
      </c>
      <c r="AK7" s="20" t="str">
        <f>IF($B7="","",IF(OR($W7="Garis Lurus",$W7="Saldo Menurun"),MAX(0,MIN($Z7,TahunBuku*12+12,$Y7+$V7*12-1)-MAX(TahunBuku*12+1,$Y7)+1),0))</f>
        <v/>
      </c>
      <c r="AL7" s="22" t="str">
        <f>IF($B7="","",$G7*$AA7)</f>
        <v/>
      </c>
      <c r="AM7" s="22" t="str">
        <f>IF($B7="","",$G7*$AB7)</f>
        <v/>
      </c>
      <c r="AN7" s="22" t="str">
        <f>IF($B7="","",$G7*$AC7)</f>
        <v/>
      </c>
      <c r="AO7" s="22" t="str">
        <f>IF($B7="","",AL7+AM7-AN7)</f>
        <v/>
      </c>
      <c r="AP7" s="22" t="str">
        <f>IF($B7="","",($G7-$AD7)*$AA7)</f>
        <v/>
      </c>
      <c r="AQ7" s="22" t="str">
        <f>IF($B7="","",IF($AF7=0,0,($AD7-$AE7)*$AG7/$AF7)*MAX($AA7,$AB7))</f>
        <v/>
      </c>
      <c r="AR7" s="22" t="str">
        <f>IF($B7="","",(AP7+AQ7)*$AC7)</f>
        <v/>
      </c>
      <c r="AS7" s="22" t="str">
        <f>IF($B7="","",AP7+AQ7-AR7)</f>
        <v/>
      </c>
      <c r="AT7" s="22" t="str">
        <f>IF($B7="","",AO7-AS7)</f>
        <v/>
      </c>
      <c r="AU7" s="22" t="str">
        <f>IF($B7="","",IF($AC7=1,N($R7)-($G7-AR7),0))</f>
        <v/>
      </c>
      <c r="AV7" s="22" t="str">
        <f>IF($B7="","",($G7-$AH7)*$AA7)</f>
        <v/>
      </c>
      <c r="AW7" s="22" t="str">
        <f>IF($B7="","",IF($AJ7=0,0,($AH7-$AI7)*$AK7/$AJ7)*MAX($AA7,$AB7))</f>
        <v/>
      </c>
      <c r="AX7" s="22" t="str">
        <f>IF($B7="","",(AV7+AW7)*$AC7)</f>
        <v/>
      </c>
      <c r="AY7" s="22" t="str">
        <f>IF($B7="","",AV7+AW7-AX7)</f>
        <v/>
      </c>
      <c r="AZ7" s="22" t="str">
        <f>IF($B7="","",AO7-AY7)</f>
        <v/>
      </c>
      <c r="BA7" s="22" t="str">
        <f>IF($B7="","",IF($AC7=1,N($R7)-($G7-AX7),0))</f>
        <v/>
      </c>
      <c r="BB7" s="22" t="str">
        <f>IF($B7="","",ROUND(AQ7-AW7,0))</f>
        <v/>
      </c>
      <c r="BC7" s="22" t="str">
        <f>IF($B7="","",ROUND(BA7-AU7,0))</f>
        <v/>
      </c>
      <c r="BD7" s="22" t="str">
        <f>IF($B7="","",BB7+BC7)</f>
        <v/>
      </c>
      <c r="BE7" s="22" t="str">
        <f>IF($B7="","",ROUND(AV7-AP7,0))</f>
        <v/>
      </c>
      <c r="BF7" s="22" t="str">
        <f>IF($B7="","",ROUND(AT7-AZ7,0))</f>
        <v/>
      </c>
      <c r="BG7" s="22" t="str">
        <f>IF($B7="","",ROUND(BF7*TarifPPh,0))</f>
        <v/>
      </c>
      <c r="BH7" t="str">
        <f>IF($B7="","",IF($D7="","Kategori kosong",IF($F7="","Tgl perolehan kosong",IF(N($H7)&gt;$G7,"Residu &gt; harga perolehan",IF(AND(LEFT($U7,8)="Bangunan",$W7="Saldo Menurun"),"Bangunan wajib Garis Lurus (Ps.11 UU PPh)",IF(AND($S7="Unit Produksi",N($K7)=0),"Isi kapasitas unit",IF(AND(OR($S7="Garis Lurus",$S7="Saldo Menurun"),N($T7)&lt;=0),"Umur komersial kosong",IF(AND(OR($W7="Garis Lurus",$W7="Saldo Menurun"),N($V7)&lt;=0),"Masa manfaat fiskal kosong",IF(AND($Q7&lt;&gt;"",$Q7&lt;$F7),"Tgl pelepasan &lt; perolehan","OK")))))))))</f>
        <v/>
      </c>
    </row>
    <row r="8" spans="1:60" x14ac:dyDescent="0.25">
      <c r="A8" t="str">
        <f>IF($B8="","",ROW()-6)</f>
        <v/>
      </c>
      <c r="B8" s="9"/>
      <c r="C8" s="9"/>
      <c r="D8" s="9"/>
      <c r="E8" s="9"/>
      <c r="F8" s="17"/>
      <c r="G8" s="18"/>
      <c r="H8" s="18"/>
      <c r="I8" s="9"/>
      <c r="J8" s="9"/>
      <c r="K8" s="19"/>
      <c r="L8" s="19"/>
      <c r="M8" s="19"/>
      <c r="N8" s="9"/>
      <c r="O8" s="9"/>
      <c r="P8" s="9"/>
      <c r="Q8" s="17"/>
      <c r="R8" s="18"/>
      <c r="S8" t="str">
        <f>IF($B8="","",IF($I8&lt;&gt;"",$I8,IFERROR(INDEX(Kat_Metode,MATCH($D8,Kat_Nama,0)),"")))</f>
        <v/>
      </c>
      <c r="T8" t="str">
        <f>IF($B8="","",IF($J8&lt;&gt;"",$J8,IFERROR(INDEX(Kat_Umur,MATCH($D8,Kat_Nama,0)),0)))</f>
        <v/>
      </c>
      <c r="U8" t="str">
        <f>IF($B8="","",IF($N8&lt;&gt;"",$N8,IFERROR(INDEX(Kat_Kelompok,MATCH($D8,Kat_Nama,0)),"")))</f>
        <v/>
      </c>
      <c r="V8" t="str">
        <f>IF($B8="","",IF($U8="Masa Manfaat Sebenarnya",N($O8),IFERROR(INDEX(Kel_Masa,MATCH($U8,Kel_Nama,0)),0)))</f>
        <v/>
      </c>
      <c r="W8" t="str">
        <f>IF($B8="","",IF($P8&lt;&gt;"",$P8,IF(OR($U8="Tidak Disusutkan",$V8=0),"Tidak Disusutkan","Garis Lurus")))</f>
        <v/>
      </c>
      <c r="X8" t="str">
        <f>IF($B8="","",IF($Y8&gt;TahunBuku*12+12,"Belum Diperoleh",IF($Z8&lt;=TahunBuku*12,"Dilepas (thn lalu)",IF($AC8=1,"Dilepas thn ini",IF($AB8=1,"Perolehan baru","Aktif")))))</f>
        <v/>
      </c>
      <c r="Y8" s="20" t="str">
        <f>IF($B8="","",YEAR($F8)*12+MONTH($F8))</f>
        <v/>
      </c>
      <c r="Z8" s="20" t="str">
        <f>IF($B8="","",IF($Q8="",99999,YEAR($Q8)*12+MONTH($Q8)))</f>
        <v/>
      </c>
      <c r="AA8" s="20" t="str">
        <f>IF($B8="","",--AND($Y8&lt;=TahunBuku*12,$Z8&gt;TahunBuku*12))</f>
        <v/>
      </c>
      <c r="AB8" s="20" t="str">
        <f>IF($B8="","",--AND($Y8&gt;TahunBuku*12,$Y8&lt;=TahunBuku*12+12))</f>
        <v/>
      </c>
      <c r="AC8" s="20" t="str">
        <f>IF($B8="","",--AND($Z8&gt;TahunBuku*12,$Z8&lt;=TahunBuku*12+12,$Y8&lt;=$Z8))</f>
        <v/>
      </c>
      <c r="AD8" s="21" t="str">
        <f>IF($B8="","",IFERROR(IF($S8="Garis Lurus",$G8-($G8-$H8)*MIN($T8*12,MAX(0,TahunBuku*12-$Y8+1))/($T8*12),IF($S8="Saldo Menurun",IF(TahunBuku-1&lt;YEAR($F8),$G8,IF(TahunBuku-1&gt;=INT(($Y8+$T8*12-2)/12),$H8,MAX($H8,$G8*(1-2/$T8*(13-MONTH($F8))/12)*(1-2/$T8)^(TahunBuku-1-YEAR($F8))))),IF($S8="Unit Produksi",$G8-($G8-$H8)*MIN(1,N($L8)/$K8),$G8))),$G8))</f>
        <v/>
      </c>
      <c r="AE8" s="21" t="str">
        <f>IF($B8="","",IFERROR(IF($S8="Garis Lurus",$G8-($G8-$H8)*MIN($T8*12,MAX(0,TahunBuku*12+12-$Y8+1))/($T8*12),IF($S8="Saldo Menurun",IF(TahunBuku&lt;YEAR($F8),$G8,IF(TahunBuku&gt;=INT(($Y8+$T8*12-2)/12),$H8,MAX($H8,$G8*(1-2/$T8*(13-MONTH($F8))/12)*(1-2/$T8)^(TahunBuku-YEAR($F8))))),IF($S8="Unit Produksi",$G8-($G8-$H8)*MIN(1,(N($L8)+N($M8))/$K8),$G8))),$G8))</f>
        <v/>
      </c>
      <c r="AF8" s="20" t="str">
        <f>IF($B8="","",IF(OR($S8="Garis Lurus",$S8="Saldo Menurun",$S8="Unit Produksi"),MAX(0,IF($S8="Unit Produksi",TahunBuku*12+12,MIN(TahunBuku*12+12,$Y8+$T8*12-1))-MAX(TahunBuku*12+1,$Y8)+1),0))</f>
        <v/>
      </c>
      <c r="AG8" s="20" t="str">
        <f>IF($B8="","",IF(OR($S8="Garis Lurus",$S8="Saldo Menurun",$S8="Unit Produksi"),MAX(0,MIN($Z8,IF($S8="Unit Produksi",TahunBuku*12+12,MIN(TahunBuku*12+12,$Y8+$T8*12-1)))-MAX(TahunBuku*12+1,$Y8)+1),0))</f>
        <v/>
      </c>
      <c r="AH8" s="21" t="str">
        <f>IF($B8="","",IFERROR(IF($W8="Garis Lurus",$G8*(1-MIN($V8*12,MAX(0,TahunBuku*12-$Y8+1))/($V8*12)),IF($W8="Saldo Menurun",IF(TahunBuku-1&lt;YEAR($F8),$G8,IF(TahunBuku-1&gt;=INT(($Y8+$V8*12-2)/12),0,$G8*(1-2/$V8*(13-MONTH($F8))/12)*(1-2/$V8)^(TahunBuku-1-YEAR($F8)))),$G8)),$G8))</f>
        <v/>
      </c>
      <c r="AI8" s="21" t="str">
        <f>IF($B8="","",IFERROR(IF($W8="Garis Lurus",$G8*(1-MIN($V8*12,MAX(0,TahunBuku*12+12-$Y8+1))/($V8*12)),IF($W8="Saldo Menurun",IF(TahunBuku&lt;YEAR($F8),$G8,IF(TahunBuku&gt;=INT(($Y8+$V8*12-2)/12),0,$G8*(1-2/$V8*(13-MONTH($F8))/12)*(1-2/$V8)^(TahunBuku-YEAR($F8)))),$G8)),$G8))</f>
        <v/>
      </c>
      <c r="AJ8" s="20" t="str">
        <f>IF($B8="","",IF(OR($W8="Garis Lurus",$W8="Saldo Menurun"),MAX(0,MIN(TahunBuku*12+12,$Y8+$V8*12-1)-MAX(TahunBuku*12+1,$Y8)+1),0))</f>
        <v/>
      </c>
      <c r="AK8" s="20" t="str">
        <f>IF($B8="","",IF(OR($W8="Garis Lurus",$W8="Saldo Menurun"),MAX(0,MIN($Z8,TahunBuku*12+12,$Y8+$V8*12-1)-MAX(TahunBuku*12+1,$Y8)+1),0))</f>
        <v/>
      </c>
      <c r="AL8" s="22" t="str">
        <f>IF($B8="","",$G8*$AA8)</f>
        <v/>
      </c>
      <c r="AM8" s="22" t="str">
        <f>IF($B8="","",$G8*$AB8)</f>
        <v/>
      </c>
      <c r="AN8" s="22" t="str">
        <f>IF($B8="","",$G8*$AC8)</f>
        <v/>
      </c>
      <c r="AO8" s="22" t="str">
        <f>IF($B8="","",AL8+AM8-AN8)</f>
        <v/>
      </c>
      <c r="AP8" s="22" t="str">
        <f>IF($B8="","",($G8-$AD8)*$AA8)</f>
        <v/>
      </c>
      <c r="AQ8" s="22" t="str">
        <f>IF($B8="","",IF($AF8=0,0,($AD8-$AE8)*$AG8/$AF8)*MAX($AA8,$AB8))</f>
        <v/>
      </c>
      <c r="AR8" s="22" t="str">
        <f>IF($B8="","",(AP8+AQ8)*$AC8)</f>
        <v/>
      </c>
      <c r="AS8" s="22" t="str">
        <f>IF($B8="","",AP8+AQ8-AR8)</f>
        <v/>
      </c>
      <c r="AT8" s="22" t="str">
        <f>IF($B8="","",AO8-AS8)</f>
        <v/>
      </c>
      <c r="AU8" s="22" t="str">
        <f>IF($B8="","",IF($AC8=1,N($R8)-($G8-AR8),0))</f>
        <v/>
      </c>
      <c r="AV8" s="22" t="str">
        <f>IF($B8="","",($G8-$AH8)*$AA8)</f>
        <v/>
      </c>
      <c r="AW8" s="22" t="str">
        <f>IF($B8="","",IF($AJ8=0,0,($AH8-$AI8)*$AK8/$AJ8)*MAX($AA8,$AB8))</f>
        <v/>
      </c>
      <c r="AX8" s="22" t="str">
        <f>IF($B8="","",(AV8+AW8)*$AC8)</f>
        <v/>
      </c>
      <c r="AY8" s="22" t="str">
        <f>IF($B8="","",AV8+AW8-AX8)</f>
        <v/>
      </c>
      <c r="AZ8" s="22" t="str">
        <f>IF($B8="","",AO8-AY8)</f>
        <v/>
      </c>
      <c r="BA8" s="22" t="str">
        <f>IF($B8="","",IF($AC8=1,N($R8)-($G8-AX8),0))</f>
        <v/>
      </c>
      <c r="BB8" s="22" t="str">
        <f>IF($B8="","",ROUND(AQ8-AW8,0))</f>
        <v/>
      </c>
      <c r="BC8" s="22" t="str">
        <f>IF($B8="","",ROUND(BA8-AU8,0))</f>
        <v/>
      </c>
      <c r="BD8" s="22" t="str">
        <f>IF($B8="","",BB8+BC8)</f>
        <v/>
      </c>
      <c r="BE8" s="22" t="str">
        <f>IF($B8="","",ROUND(AV8-AP8,0))</f>
        <v/>
      </c>
      <c r="BF8" s="22" t="str">
        <f>IF($B8="","",ROUND(AT8-AZ8,0))</f>
        <v/>
      </c>
      <c r="BG8" s="22" t="str">
        <f>IF($B8="","",ROUND(BF8*TarifPPh,0))</f>
        <v/>
      </c>
      <c r="BH8" t="str">
        <f>IF($B8="","",IF($D8="","Kategori kosong",IF($F8="","Tgl perolehan kosong",IF(N($H8)&gt;$G8,"Residu &gt; harga perolehan",IF(AND(LEFT($U8,8)="Bangunan",$W8="Saldo Menurun"),"Bangunan wajib Garis Lurus (Ps.11 UU PPh)",IF(AND($S8="Unit Produksi",N($K8)=0),"Isi kapasitas unit",IF(AND(OR($S8="Garis Lurus",$S8="Saldo Menurun"),N($T8)&lt;=0),"Umur komersial kosong",IF(AND(OR($W8="Garis Lurus",$W8="Saldo Menurun"),N($V8)&lt;=0),"Masa manfaat fiskal kosong",IF(AND($Q8&lt;&gt;"",$Q8&lt;$F8),"Tgl pelepasan &lt; perolehan","OK")))))))))</f>
        <v/>
      </c>
    </row>
    <row r="9" spans="1:60" x14ac:dyDescent="0.25">
      <c r="A9" t="str">
        <f>IF($B9="","",ROW()-6)</f>
        <v/>
      </c>
      <c r="B9" s="9"/>
      <c r="C9" s="9"/>
      <c r="D9" s="9"/>
      <c r="E9" s="9"/>
      <c r="F9" s="17"/>
      <c r="G9" s="18"/>
      <c r="H9" s="18"/>
      <c r="I9" s="9"/>
      <c r="J9" s="9"/>
      <c r="K9" s="19"/>
      <c r="L9" s="19"/>
      <c r="M9" s="19"/>
      <c r="N9" s="9"/>
      <c r="O9" s="9"/>
      <c r="P9" s="9"/>
      <c r="Q9" s="17"/>
      <c r="R9" s="18"/>
      <c r="S9" t="str">
        <f>IF($B9="","",IF($I9&lt;&gt;"",$I9,IFERROR(INDEX(Kat_Metode,MATCH($D9,Kat_Nama,0)),"")))</f>
        <v/>
      </c>
      <c r="T9" t="str">
        <f>IF($B9="","",IF($J9&lt;&gt;"",$J9,IFERROR(INDEX(Kat_Umur,MATCH($D9,Kat_Nama,0)),0)))</f>
        <v/>
      </c>
      <c r="U9" t="str">
        <f>IF($B9="","",IF($N9&lt;&gt;"",$N9,IFERROR(INDEX(Kat_Kelompok,MATCH($D9,Kat_Nama,0)),"")))</f>
        <v/>
      </c>
      <c r="V9" t="str">
        <f>IF($B9="","",IF($U9="Masa Manfaat Sebenarnya",N($O9),IFERROR(INDEX(Kel_Masa,MATCH($U9,Kel_Nama,0)),0)))</f>
        <v/>
      </c>
      <c r="W9" t="str">
        <f>IF($B9="","",IF($P9&lt;&gt;"",$P9,IF(OR($U9="Tidak Disusutkan",$V9=0),"Tidak Disusutkan","Garis Lurus")))</f>
        <v/>
      </c>
      <c r="X9" t="str">
        <f>IF($B9="","",IF($Y9&gt;TahunBuku*12+12,"Belum Diperoleh",IF($Z9&lt;=TahunBuku*12,"Dilepas (thn lalu)",IF($AC9=1,"Dilepas thn ini",IF($AB9=1,"Perolehan baru","Aktif")))))</f>
        <v/>
      </c>
      <c r="Y9" s="20" t="str">
        <f>IF($B9="","",YEAR($F9)*12+MONTH($F9))</f>
        <v/>
      </c>
      <c r="Z9" s="20" t="str">
        <f>IF($B9="","",IF($Q9="",99999,YEAR($Q9)*12+MONTH($Q9)))</f>
        <v/>
      </c>
      <c r="AA9" s="20" t="str">
        <f>IF($B9="","",--AND($Y9&lt;=TahunBuku*12,$Z9&gt;TahunBuku*12))</f>
        <v/>
      </c>
      <c r="AB9" s="20" t="str">
        <f>IF($B9="","",--AND($Y9&gt;TahunBuku*12,$Y9&lt;=TahunBuku*12+12))</f>
        <v/>
      </c>
      <c r="AC9" s="20" t="str">
        <f>IF($B9="","",--AND($Z9&gt;TahunBuku*12,$Z9&lt;=TahunBuku*12+12,$Y9&lt;=$Z9))</f>
        <v/>
      </c>
      <c r="AD9" s="21" t="str">
        <f>IF($B9="","",IFERROR(IF($S9="Garis Lurus",$G9-($G9-$H9)*MIN($T9*12,MAX(0,TahunBuku*12-$Y9+1))/($T9*12),IF($S9="Saldo Menurun",IF(TahunBuku-1&lt;YEAR($F9),$G9,IF(TahunBuku-1&gt;=INT(($Y9+$T9*12-2)/12),$H9,MAX($H9,$G9*(1-2/$T9*(13-MONTH($F9))/12)*(1-2/$T9)^(TahunBuku-1-YEAR($F9))))),IF($S9="Unit Produksi",$G9-($G9-$H9)*MIN(1,N($L9)/$K9),$G9))),$G9))</f>
        <v/>
      </c>
      <c r="AE9" s="21" t="str">
        <f>IF($B9="","",IFERROR(IF($S9="Garis Lurus",$G9-($G9-$H9)*MIN($T9*12,MAX(0,TahunBuku*12+12-$Y9+1))/($T9*12),IF($S9="Saldo Menurun",IF(TahunBuku&lt;YEAR($F9),$G9,IF(TahunBuku&gt;=INT(($Y9+$T9*12-2)/12),$H9,MAX($H9,$G9*(1-2/$T9*(13-MONTH($F9))/12)*(1-2/$T9)^(TahunBuku-YEAR($F9))))),IF($S9="Unit Produksi",$G9-($G9-$H9)*MIN(1,(N($L9)+N($M9))/$K9),$G9))),$G9))</f>
        <v/>
      </c>
      <c r="AF9" s="20" t="str">
        <f>IF($B9="","",IF(OR($S9="Garis Lurus",$S9="Saldo Menurun",$S9="Unit Produksi"),MAX(0,IF($S9="Unit Produksi",TahunBuku*12+12,MIN(TahunBuku*12+12,$Y9+$T9*12-1))-MAX(TahunBuku*12+1,$Y9)+1),0))</f>
        <v/>
      </c>
      <c r="AG9" s="20" t="str">
        <f>IF($B9="","",IF(OR($S9="Garis Lurus",$S9="Saldo Menurun",$S9="Unit Produksi"),MAX(0,MIN($Z9,IF($S9="Unit Produksi",TahunBuku*12+12,MIN(TahunBuku*12+12,$Y9+$T9*12-1)))-MAX(TahunBuku*12+1,$Y9)+1),0))</f>
        <v/>
      </c>
      <c r="AH9" s="21" t="str">
        <f>IF($B9="","",IFERROR(IF($W9="Garis Lurus",$G9*(1-MIN($V9*12,MAX(0,TahunBuku*12-$Y9+1))/($V9*12)),IF($W9="Saldo Menurun",IF(TahunBuku-1&lt;YEAR($F9),$G9,IF(TahunBuku-1&gt;=INT(($Y9+$V9*12-2)/12),0,$G9*(1-2/$V9*(13-MONTH($F9))/12)*(1-2/$V9)^(TahunBuku-1-YEAR($F9)))),$G9)),$G9))</f>
        <v/>
      </c>
      <c r="AI9" s="21" t="str">
        <f>IF($B9="","",IFERROR(IF($W9="Garis Lurus",$G9*(1-MIN($V9*12,MAX(0,TahunBuku*12+12-$Y9+1))/($V9*12)),IF($W9="Saldo Menurun",IF(TahunBuku&lt;YEAR($F9),$G9,IF(TahunBuku&gt;=INT(($Y9+$V9*12-2)/12),0,$G9*(1-2/$V9*(13-MONTH($F9))/12)*(1-2/$V9)^(TahunBuku-YEAR($F9)))),$G9)),$G9))</f>
        <v/>
      </c>
      <c r="AJ9" s="20" t="str">
        <f>IF($B9="","",IF(OR($W9="Garis Lurus",$W9="Saldo Menurun"),MAX(0,MIN(TahunBuku*12+12,$Y9+$V9*12-1)-MAX(TahunBuku*12+1,$Y9)+1),0))</f>
        <v/>
      </c>
      <c r="AK9" s="20" t="str">
        <f>IF($B9="","",IF(OR($W9="Garis Lurus",$W9="Saldo Menurun"),MAX(0,MIN($Z9,TahunBuku*12+12,$Y9+$V9*12-1)-MAX(TahunBuku*12+1,$Y9)+1),0))</f>
        <v/>
      </c>
      <c r="AL9" s="22" t="str">
        <f>IF($B9="","",$G9*$AA9)</f>
        <v/>
      </c>
      <c r="AM9" s="22" t="str">
        <f>IF($B9="","",$G9*$AB9)</f>
        <v/>
      </c>
      <c r="AN9" s="22" t="str">
        <f>IF($B9="","",$G9*$AC9)</f>
        <v/>
      </c>
      <c r="AO9" s="22" t="str">
        <f>IF($B9="","",AL9+AM9-AN9)</f>
        <v/>
      </c>
      <c r="AP9" s="22" t="str">
        <f>IF($B9="","",($G9-$AD9)*$AA9)</f>
        <v/>
      </c>
      <c r="AQ9" s="22" t="str">
        <f>IF($B9="","",IF($AF9=0,0,($AD9-$AE9)*$AG9/$AF9)*MAX($AA9,$AB9))</f>
        <v/>
      </c>
      <c r="AR9" s="22" t="str">
        <f>IF($B9="","",(AP9+AQ9)*$AC9)</f>
        <v/>
      </c>
      <c r="AS9" s="22" t="str">
        <f>IF($B9="","",AP9+AQ9-AR9)</f>
        <v/>
      </c>
      <c r="AT9" s="22" t="str">
        <f>IF($B9="","",AO9-AS9)</f>
        <v/>
      </c>
      <c r="AU9" s="22" t="str">
        <f>IF($B9="","",IF($AC9=1,N($R9)-($G9-AR9),0))</f>
        <v/>
      </c>
      <c r="AV9" s="22" t="str">
        <f>IF($B9="","",($G9-$AH9)*$AA9)</f>
        <v/>
      </c>
      <c r="AW9" s="22" t="str">
        <f>IF($B9="","",IF($AJ9=0,0,($AH9-$AI9)*$AK9/$AJ9)*MAX($AA9,$AB9))</f>
        <v/>
      </c>
      <c r="AX9" s="22" t="str">
        <f>IF($B9="","",(AV9+AW9)*$AC9)</f>
        <v/>
      </c>
      <c r="AY9" s="22" t="str">
        <f>IF($B9="","",AV9+AW9-AX9)</f>
        <v/>
      </c>
      <c r="AZ9" s="22" t="str">
        <f>IF($B9="","",AO9-AY9)</f>
        <v/>
      </c>
      <c r="BA9" s="22" t="str">
        <f>IF($B9="","",IF($AC9=1,N($R9)-($G9-AX9),0))</f>
        <v/>
      </c>
      <c r="BB9" s="22" t="str">
        <f>IF($B9="","",ROUND(AQ9-AW9,0))</f>
        <v/>
      </c>
      <c r="BC9" s="22" t="str">
        <f>IF($B9="","",ROUND(BA9-AU9,0))</f>
        <v/>
      </c>
      <c r="BD9" s="22" t="str">
        <f>IF($B9="","",BB9+BC9)</f>
        <v/>
      </c>
      <c r="BE9" s="22" t="str">
        <f>IF($B9="","",ROUND(AV9-AP9,0))</f>
        <v/>
      </c>
      <c r="BF9" s="22" t="str">
        <f>IF($B9="","",ROUND(AT9-AZ9,0))</f>
        <v/>
      </c>
      <c r="BG9" s="22" t="str">
        <f>IF($B9="","",ROUND(BF9*TarifPPh,0))</f>
        <v/>
      </c>
      <c r="BH9" t="str">
        <f>IF($B9="","",IF($D9="","Kategori kosong",IF($F9="","Tgl perolehan kosong",IF(N($H9)&gt;$G9,"Residu &gt; harga perolehan",IF(AND(LEFT($U9,8)="Bangunan",$W9="Saldo Menurun"),"Bangunan wajib Garis Lurus (Ps.11 UU PPh)",IF(AND($S9="Unit Produksi",N($K9)=0),"Isi kapasitas unit",IF(AND(OR($S9="Garis Lurus",$S9="Saldo Menurun"),N($T9)&lt;=0),"Umur komersial kosong",IF(AND(OR($W9="Garis Lurus",$W9="Saldo Menurun"),N($V9)&lt;=0),"Masa manfaat fiskal kosong",IF(AND($Q9&lt;&gt;"",$Q9&lt;$F9),"Tgl pelepasan &lt; perolehan","OK")))))))))</f>
        <v/>
      </c>
    </row>
    <row r="10" spans="1:60" x14ac:dyDescent="0.25">
      <c r="A10" t="str">
        <f>IF($B10="","",ROW()-6)</f>
        <v/>
      </c>
      <c r="B10" s="9"/>
      <c r="C10" s="9"/>
      <c r="D10" s="9"/>
      <c r="E10" s="9"/>
      <c r="F10" s="17"/>
      <c r="G10" s="18"/>
      <c r="H10" s="18"/>
      <c r="I10" s="9"/>
      <c r="J10" s="9"/>
      <c r="K10" s="19"/>
      <c r="L10" s="19"/>
      <c r="M10" s="19"/>
      <c r="N10" s="9"/>
      <c r="O10" s="9"/>
      <c r="P10" s="9"/>
      <c r="Q10" s="17"/>
      <c r="R10" s="18"/>
      <c r="S10" t="str">
        <f>IF($B10="","",IF($I10&lt;&gt;"",$I10,IFERROR(INDEX(Kat_Metode,MATCH($D10,Kat_Nama,0)),"")))</f>
        <v/>
      </c>
      <c r="T10" t="str">
        <f>IF($B10="","",IF($J10&lt;&gt;"",$J10,IFERROR(INDEX(Kat_Umur,MATCH($D10,Kat_Nama,0)),0)))</f>
        <v/>
      </c>
      <c r="U10" t="str">
        <f>IF($B10="","",IF($N10&lt;&gt;"",$N10,IFERROR(INDEX(Kat_Kelompok,MATCH($D10,Kat_Nama,0)),"")))</f>
        <v/>
      </c>
      <c r="V10" t="str">
        <f>IF($B10="","",IF($U10="Masa Manfaat Sebenarnya",N($O10),IFERROR(INDEX(Kel_Masa,MATCH($U10,Kel_Nama,0)),0)))</f>
        <v/>
      </c>
      <c r="W10" t="str">
        <f>IF($B10="","",IF($P10&lt;&gt;"",$P10,IF(OR($U10="Tidak Disusutkan",$V10=0),"Tidak Disusutkan","Garis Lurus")))</f>
        <v/>
      </c>
      <c r="X10" t="str">
        <f>IF($B10="","",IF($Y10&gt;TahunBuku*12+12,"Belum Diperoleh",IF($Z10&lt;=TahunBuku*12,"Dilepas (thn lalu)",IF($AC10=1,"Dilepas thn ini",IF($AB10=1,"Perolehan baru","Aktif")))))</f>
        <v/>
      </c>
      <c r="Y10" s="20" t="str">
        <f>IF($B10="","",YEAR($F10)*12+MONTH($F10))</f>
        <v/>
      </c>
      <c r="Z10" s="20" t="str">
        <f>IF($B10="","",IF($Q10="",99999,YEAR($Q10)*12+MONTH($Q10)))</f>
        <v/>
      </c>
      <c r="AA10" s="20" t="str">
        <f>IF($B10="","",--AND($Y10&lt;=TahunBuku*12,$Z10&gt;TahunBuku*12))</f>
        <v/>
      </c>
      <c r="AB10" s="20" t="str">
        <f>IF($B10="","",--AND($Y10&gt;TahunBuku*12,$Y10&lt;=TahunBuku*12+12))</f>
        <v/>
      </c>
      <c r="AC10" s="20" t="str">
        <f>IF($B10="","",--AND($Z10&gt;TahunBuku*12,$Z10&lt;=TahunBuku*12+12,$Y10&lt;=$Z10))</f>
        <v/>
      </c>
      <c r="AD10" s="21" t="str">
        <f>IF($B10="","",IFERROR(IF($S10="Garis Lurus",$G10-($G10-$H10)*MIN($T10*12,MAX(0,TahunBuku*12-$Y10+1))/($T10*12),IF($S10="Saldo Menurun",IF(TahunBuku-1&lt;YEAR($F10),$G10,IF(TahunBuku-1&gt;=INT(($Y10+$T10*12-2)/12),$H10,MAX($H10,$G10*(1-2/$T10*(13-MONTH($F10))/12)*(1-2/$T10)^(TahunBuku-1-YEAR($F10))))),IF($S10="Unit Produksi",$G10-($G10-$H10)*MIN(1,N($L10)/$K10),$G10))),$G10))</f>
        <v/>
      </c>
      <c r="AE10" s="21" t="str">
        <f>IF($B10="","",IFERROR(IF($S10="Garis Lurus",$G10-($G10-$H10)*MIN($T10*12,MAX(0,TahunBuku*12+12-$Y10+1))/($T10*12),IF($S10="Saldo Menurun",IF(TahunBuku&lt;YEAR($F10),$G10,IF(TahunBuku&gt;=INT(($Y10+$T10*12-2)/12),$H10,MAX($H10,$G10*(1-2/$T10*(13-MONTH($F10))/12)*(1-2/$T10)^(TahunBuku-YEAR($F10))))),IF($S10="Unit Produksi",$G10-($G10-$H10)*MIN(1,(N($L10)+N($M10))/$K10),$G10))),$G10))</f>
        <v/>
      </c>
      <c r="AF10" s="20" t="str">
        <f>IF($B10="","",IF(OR($S10="Garis Lurus",$S10="Saldo Menurun",$S10="Unit Produksi"),MAX(0,IF($S10="Unit Produksi",TahunBuku*12+12,MIN(TahunBuku*12+12,$Y10+$T10*12-1))-MAX(TahunBuku*12+1,$Y10)+1),0))</f>
        <v/>
      </c>
      <c r="AG10" s="20" t="str">
        <f>IF($B10="","",IF(OR($S10="Garis Lurus",$S10="Saldo Menurun",$S10="Unit Produksi"),MAX(0,MIN($Z10,IF($S10="Unit Produksi",TahunBuku*12+12,MIN(TahunBuku*12+12,$Y10+$T10*12-1)))-MAX(TahunBuku*12+1,$Y10)+1),0))</f>
        <v/>
      </c>
      <c r="AH10" s="21" t="str">
        <f>IF($B10="","",IFERROR(IF($W10="Garis Lurus",$G10*(1-MIN($V10*12,MAX(0,TahunBuku*12-$Y10+1))/($V10*12)),IF($W10="Saldo Menurun",IF(TahunBuku-1&lt;YEAR($F10),$G10,IF(TahunBuku-1&gt;=INT(($Y10+$V10*12-2)/12),0,$G10*(1-2/$V10*(13-MONTH($F10))/12)*(1-2/$V10)^(TahunBuku-1-YEAR($F10)))),$G10)),$G10))</f>
        <v/>
      </c>
      <c r="AI10" s="21" t="str">
        <f>IF($B10="","",IFERROR(IF($W10="Garis Lurus",$G10*(1-MIN($V10*12,MAX(0,TahunBuku*12+12-$Y10+1))/($V10*12)),IF($W10="Saldo Menurun",IF(TahunBuku&lt;YEAR($F10),$G10,IF(TahunBuku&gt;=INT(($Y10+$V10*12-2)/12),0,$G10*(1-2/$V10*(13-MONTH($F10))/12)*(1-2/$V10)^(TahunBuku-YEAR($F10)))),$G10)),$G10))</f>
        <v/>
      </c>
      <c r="AJ10" s="20" t="str">
        <f>IF($B10="","",IF(OR($W10="Garis Lurus",$W10="Saldo Menurun"),MAX(0,MIN(TahunBuku*12+12,$Y10+$V10*12-1)-MAX(TahunBuku*12+1,$Y10)+1),0))</f>
        <v/>
      </c>
      <c r="AK10" s="20" t="str">
        <f>IF($B10="","",IF(OR($W10="Garis Lurus",$W10="Saldo Menurun"),MAX(0,MIN($Z10,TahunBuku*12+12,$Y10+$V10*12-1)-MAX(TahunBuku*12+1,$Y10)+1),0))</f>
        <v/>
      </c>
      <c r="AL10" s="22" t="str">
        <f>IF($B10="","",$G10*$AA10)</f>
        <v/>
      </c>
      <c r="AM10" s="22" t="str">
        <f>IF($B10="","",$G10*$AB10)</f>
        <v/>
      </c>
      <c r="AN10" s="22" t="str">
        <f>IF($B10="","",$G10*$AC10)</f>
        <v/>
      </c>
      <c r="AO10" s="22" t="str">
        <f>IF($B10="","",AL10+AM10-AN10)</f>
        <v/>
      </c>
      <c r="AP10" s="22" t="str">
        <f>IF($B10="","",($G10-$AD10)*$AA10)</f>
        <v/>
      </c>
      <c r="AQ10" s="22" t="str">
        <f>IF($B10="","",IF($AF10=0,0,($AD10-$AE10)*$AG10/$AF10)*MAX($AA10,$AB10))</f>
        <v/>
      </c>
      <c r="AR10" s="22" t="str">
        <f>IF($B10="","",(AP10+AQ10)*$AC10)</f>
        <v/>
      </c>
      <c r="AS10" s="22" t="str">
        <f>IF($B10="","",AP10+AQ10-AR10)</f>
        <v/>
      </c>
      <c r="AT10" s="22" t="str">
        <f>IF($B10="","",AO10-AS10)</f>
        <v/>
      </c>
      <c r="AU10" s="22" t="str">
        <f>IF($B10="","",IF($AC10=1,N($R10)-($G10-AR10),0))</f>
        <v/>
      </c>
      <c r="AV10" s="22" t="str">
        <f>IF($B10="","",($G10-$AH10)*$AA10)</f>
        <v/>
      </c>
      <c r="AW10" s="22" t="str">
        <f>IF($B10="","",IF($AJ10=0,0,($AH10-$AI10)*$AK10/$AJ10)*MAX($AA10,$AB10))</f>
        <v/>
      </c>
      <c r="AX10" s="22" t="str">
        <f>IF($B10="","",(AV10+AW10)*$AC10)</f>
        <v/>
      </c>
      <c r="AY10" s="22" t="str">
        <f>IF($B10="","",AV10+AW10-AX10)</f>
        <v/>
      </c>
      <c r="AZ10" s="22" t="str">
        <f>IF($B10="","",AO10-AY10)</f>
        <v/>
      </c>
      <c r="BA10" s="22" t="str">
        <f>IF($B10="","",IF($AC10=1,N($R10)-($G10-AX10),0))</f>
        <v/>
      </c>
      <c r="BB10" s="22" t="str">
        <f>IF($B10="","",ROUND(AQ10-AW10,0))</f>
        <v/>
      </c>
      <c r="BC10" s="22" t="str">
        <f>IF($B10="","",ROUND(BA10-AU10,0))</f>
        <v/>
      </c>
      <c r="BD10" s="22" t="str">
        <f>IF($B10="","",BB10+BC10)</f>
        <v/>
      </c>
      <c r="BE10" s="22" t="str">
        <f>IF($B10="","",ROUND(AV10-AP10,0))</f>
        <v/>
      </c>
      <c r="BF10" s="22" t="str">
        <f>IF($B10="","",ROUND(AT10-AZ10,0))</f>
        <v/>
      </c>
      <c r="BG10" s="22" t="str">
        <f>IF($B10="","",ROUND(BF10*TarifPPh,0))</f>
        <v/>
      </c>
      <c r="BH10" t="str">
        <f>IF($B10="","",IF($D10="","Kategori kosong",IF($F10="","Tgl perolehan kosong",IF(N($H10)&gt;$G10,"Residu &gt; harga perolehan",IF(AND(LEFT($U10,8)="Bangunan",$W10="Saldo Menurun"),"Bangunan wajib Garis Lurus (Ps.11 UU PPh)",IF(AND($S10="Unit Produksi",N($K10)=0),"Isi kapasitas unit",IF(AND(OR($S10="Garis Lurus",$S10="Saldo Menurun"),N($T10)&lt;=0),"Umur komersial kosong",IF(AND(OR($W10="Garis Lurus",$W10="Saldo Menurun"),N($V10)&lt;=0),"Masa manfaat fiskal kosong",IF(AND($Q10&lt;&gt;"",$Q10&lt;$F10),"Tgl pelepasan &lt; perolehan","OK")))))))))</f>
        <v/>
      </c>
    </row>
    <row r="11" spans="1:60" x14ac:dyDescent="0.25">
      <c r="A11" t="str">
        <f>IF($B11="","",ROW()-6)</f>
        <v/>
      </c>
      <c r="B11" s="9"/>
      <c r="C11" s="9"/>
      <c r="D11" s="9"/>
      <c r="E11" s="9"/>
      <c r="F11" s="17"/>
      <c r="G11" s="18"/>
      <c r="H11" s="18"/>
      <c r="I11" s="9"/>
      <c r="J11" s="9"/>
      <c r="K11" s="19"/>
      <c r="L11" s="19"/>
      <c r="M11" s="19"/>
      <c r="N11" s="9"/>
      <c r="O11" s="9"/>
      <c r="P11" s="9"/>
      <c r="Q11" s="17"/>
      <c r="R11" s="18"/>
      <c r="S11" t="str">
        <f>IF($B11="","",IF($I11&lt;&gt;"",$I11,IFERROR(INDEX(Kat_Metode,MATCH($D11,Kat_Nama,0)),"")))</f>
        <v/>
      </c>
      <c r="T11" t="str">
        <f>IF($B11="","",IF($J11&lt;&gt;"",$J11,IFERROR(INDEX(Kat_Umur,MATCH($D11,Kat_Nama,0)),0)))</f>
        <v/>
      </c>
      <c r="U11" t="str">
        <f>IF($B11="","",IF($N11&lt;&gt;"",$N11,IFERROR(INDEX(Kat_Kelompok,MATCH($D11,Kat_Nama,0)),"")))</f>
        <v/>
      </c>
      <c r="V11" t="str">
        <f>IF($B11="","",IF($U11="Masa Manfaat Sebenarnya",N($O11),IFERROR(INDEX(Kel_Masa,MATCH($U11,Kel_Nama,0)),0)))</f>
        <v/>
      </c>
      <c r="W11" t="str">
        <f>IF($B11="","",IF($P11&lt;&gt;"",$P11,IF(OR($U11="Tidak Disusutkan",$V11=0),"Tidak Disusutkan","Garis Lurus")))</f>
        <v/>
      </c>
      <c r="X11" t="str">
        <f>IF($B11="","",IF($Y11&gt;TahunBuku*12+12,"Belum Diperoleh",IF($Z11&lt;=TahunBuku*12,"Dilepas (thn lalu)",IF($AC11=1,"Dilepas thn ini",IF($AB11=1,"Perolehan baru","Aktif")))))</f>
        <v/>
      </c>
      <c r="Y11" s="20" t="str">
        <f>IF($B11="","",YEAR($F11)*12+MONTH($F11))</f>
        <v/>
      </c>
      <c r="Z11" s="20" t="str">
        <f>IF($B11="","",IF($Q11="",99999,YEAR($Q11)*12+MONTH($Q11)))</f>
        <v/>
      </c>
      <c r="AA11" s="20" t="str">
        <f>IF($B11="","",--AND($Y11&lt;=TahunBuku*12,$Z11&gt;TahunBuku*12))</f>
        <v/>
      </c>
      <c r="AB11" s="20" t="str">
        <f>IF($B11="","",--AND($Y11&gt;TahunBuku*12,$Y11&lt;=TahunBuku*12+12))</f>
        <v/>
      </c>
      <c r="AC11" s="20" t="str">
        <f>IF($B11="","",--AND($Z11&gt;TahunBuku*12,$Z11&lt;=TahunBuku*12+12,$Y11&lt;=$Z11))</f>
        <v/>
      </c>
      <c r="AD11" s="21" t="str">
        <f>IF($B11="","",IFERROR(IF($S11="Garis Lurus",$G11-($G11-$H11)*MIN($T11*12,MAX(0,TahunBuku*12-$Y11+1))/($T11*12),IF($S11="Saldo Menurun",IF(TahunBuku-1&lt;YEAR($F11),$G11,IF(TahunBuku-1&gt;=INT(($Y11+$T11*12-2)/12),$H11,MAX($H11,$G11*(1-2/$T11*(13-MONTH($F11))/12)*(1-2/$T11)^(TahunBuku-1-YEAR($F11))))),IF($S11="Unit Produksi",$G11-($G11-$H11)*MIN(1,N($L11)/$K11),$G11))),$G11))</f>
        <v/>
      </c>
      <c r="AE11" s="21" t="str">
        <f>IF($B11="","",IFERROR(IF($S11="Garis Lurus",$G11-($G11-$H11)*MIN($T11*12,MAX(0,TahunBuku*12+12-$Y11+1))/($T11*12),IF($S11="Saldo Menurun",IF(TahunBuku&lt;YEAR($F11),$G11,IF(TahunBuku&gt;=INT(($Y11+$T11*12-2)/12),$H11,MAX($H11,$G11*(1-2/$T11*(13-MONTH($F11))/12)*(1-2/$T11)^(TahunBuku-YEAR($F11))))),IF($S11="Unit Produksi",$G11-($G11-$H11)*MIN(1,(N($L11)+N($M11))/$K11),$G11))),$G11))</f>
        <v/>
      </c>
      <c r="AF11" s="20" t="str">
        <f>IF($B11="","",IF(OR($S11="Garis Lurus",$S11="Saldo Menurun",$S11="Unit Produksi"),MAX(0,IF($S11="Unit Produksi",TahunBuku*12+12,MIN(TahunBuku*12+12,$Y11+$T11*12-1))-MAX(TahunBuku*12+1,$Y11)+1),0))</f>
        <v/>
      </c>
      <c r="AG11" s="20" t="str">
        <f>IF($B11="","",IF(OR($S11="Garis Lurus",$S11="Saldo Menurun",$S11="Unit Produksi"),MAX(0,MIN($Z11,IF($S11="Unit Produksi",TahunBuku*12+12,MIN(TahunBuku*12+12,$Y11+$T11*12-1)))-MAX(TahunBuku*12+1,$Y11)+1),0))</f>
        <v/>
      </c>
      <c r="AH11" s="21" t="str">
        <f>IF($B11="","",IFERROR(IF($W11="Garis Lurus",$G11*(1-MIN($V11*12,MAX(0,TahunBuku*12-$Y11+1))/($V11*12)),IF($W11="Saldo Menurun",IF(TahunBuku-1&lt;YEAR($F11),$G11,IF(TahunBuku-1&gt;=INT(($Y11+$V11*12-2)/12),0,$G11*(1-2/$V11*(13-MONTH($F11))/12)*(1-2/$V11)^(TahunBuku-1-YEAR($F11)))),$G11)),$G11))</f>
        <v/>
      </c>
      <c r="AI11" s="21" t="str">
        <f>IF($B11="","",IFERROR(IF($W11="Garis Lurus",$G11*(1-MIN($V11*12,MAX(0,TahunBuku*12+12-$Y11+1))/($V11*12)),IF($W11="Saldo Menurun",IF(TahunBuku&lt;YEAR($F11),$G11,IF(TahunBuku&gt;=INT(($Y11+$V11*12-2)/12),0,$G11*(1-2/$V11*(13-MONTH($F11))/12)*(1-2/$V11)^(TahunBuku-YEAR($F11)))),$G11)),$G11))</f>
        <v/>
      </c>
      <c r="AJ11" s="20" t="str">
        <f>IF($B11="","",IF(OR($W11="Garis Lurus",$W11="Saldo Menurun"),MAX(0,MIN(TahunBuku*12+12,$Y11+$V11*12-1)-MAX(TahunBuku*12+1,$Y11)+1),0))</f>
        <v/>
      </c>
      <c r="AK11" s="20" t="str">
        <f>IF($B11="","",IF(OR($W11="Garis Lurus",$W11="Saldo Menurun"),MAX(0,MIN($Z11,TahunBuku*12+12,$Y11+$V11*12-1)-MAX(TahunBuku*12+1,$Y11)+1),0))</f>
        <v/>
      </c>
      <c r="AL11" s="22" t="str">
        <f>IF($B11="","",$G11*$AA11)</f>
        <v/>
      </c>
      <c r="AM11" s="22" t="str">
        <f>IF($B11="","",$G11*$AB11)</f>
        <v/>
      </c>
      <c r="AN11" s="22" t="str">
        <f>IF($B11="","",$G11*$AC11)</f>
        <v/>
      </c>
      <c r="AO11" s="22" t="str">
        <f>IF($B11="","",AL11+AM11-AN11)</f>
        <v/>
      </c>
      <c r="AP11" s="22" t="str">
        <f>IF($B11="","",($G11-$AD11)*$AA11)</f>
        <v/>
      </c>
      <c r="AQ11" s="22" t="str">
        <f>IF($B11="","",IF($AF11=0,0,($AD11-$AE11)*$AG11/$AF11)*MAX($AA11,$AB11))</f>
        <v/>
      </c>
      <c r="AR11" s="22" t="str">
        <f>IF($B11="","",(AP11+AQ11)*$AC11)</f>
        <v/>
      </c>
      <c r="AS11" s="22" t="str">
        <f>IF($B11="","",AP11+AQ11-AR11)</f>
        <v/>
      </c>
      <c r="AT11" s="22" t="str">
        <f>IF($B11="","",AO11-AS11)</f>
        <v/>
      </c>
      <c r="AU11" s="22" t="str">
        <f>IF($B11="","",IF($AC11=1,N($R11)-($G11-AR11),0))</f>
        <v/>
      </c>
      <c r="AV11" s="22" t="str">
        <f>IF($B11="","",($G11-$AH11)*$AA11)</f>
        <v/>
      </c>
      <c r="AW11" s="22" t="str">
        <f>IF($B11="","",IF($AJ11=0,0,($AH11-$AI11)*$AK11/$AJ11)*MAX($AA11,$AB11))</f>
        <v/>
      </c>
      <c r="AX11" s="22" t="str">
        <f>IF($B11="","",(AV11+AW11)*$AC11)</f>
        <v/>
      </c>
      <c r="AY11" s="22" t="str">
        <f>IF($B11="","",AV11+AW11-AX11)</f>
        <v/>
      </c>
      <c r="AZ11" s="22" t="str">
        <f>IF($B11="","",AO11-AY11)</f>
        <v/>
      </c>
      <c r="BA11" s="22" t="str">
        <f>IF($B11="","",IF($AC11=1,N($R11)-($G11-AX11),0))</f>
        <v/>
      </c>
      <c r="BB11" s="22" t="str">
        <f>IF($B11="","",ROUND(AQ11-AW11,0))</f>
        <v/>
      </c>
      <c r="BC11" s="22" t="str">
        <f>IF($B11="","",ROUND(BA11-AU11,0))</f>
        <v/>
      </c>
      <c r="BD11" s="22" t="str">
        <f>IF($B11="","",BB11+BC11)</f>
        <v/>
      </c>
      <c r="BE11" s="22" t="str">
        <f>IF($B11="","",ROUND(AV11-AP11,0))</f>
        <v/>
      </c>
      <c r="BF11" s="22" t="str">
        <f>IF($B11="","",ROUND(AT11-AZ11,0))</f>
        <v/>
      </c>
      <c r="BG11" s="22" t="str">
        <f>IF($B11="","",ROUND(BF11*TarifPPh,0))</f>
        <v/>
      </c>
      <c r="BH11" t="str">
        <f>IF($B11="","",IF($D11="","Kategori kosong",IF($F11="","Tgl perolehan kosong",IF(N($H11)&gt;$G11,"Residu &gt; harga perolehan",IF(AND(LEFT($U11,8)="Bangunan",$W11="Saldo Menurun"),"Bangunan wajib Garis Lurus (Ps.11 UU PPh)",IF(AND($S11="Unit Produksi",N($K11)=0),"Isi kapasitas unit",IF(AND(OR($S11="Garis Lurus",$S11="Saldo Menurun"),N($T11)&lt;=0),"Umur komersial kosong",IF(AND(OR($W11="Garis Lurus",$W11="Saldo Menurun"),N($V11)&lt;=0),"Masa manfaat fiskal kosong",IF(AND($Q11&lt;&gt;"",$Q11&lt;$F11),"Tgl pelepasan &lt; perolehan","OK")))))))))</f>
        <v/>
      </c>
    </row>
    <row r="12" spans="1:60" x14ac:dyDescent="0.25">
      <c r="A12" t="str">
        <f>IF($B12="","",ROW()-6)</f>
        <v/>
      </c>
      <c r="B12" s="9"/>
      <c r="C12" s="9"/>
      <c r="D12" s="9"/>
      <c r="E12" s="9"/>
      <c r="F12" s="17"/>
      <c r="G12" s="18"/>
      <c r="H12" s="18"/>
      <c r="I12" s="9"/>
      <c r="J12" s="9"/>
      <c r="K12" s="19"/>
      <c r="L12" s="19"/>
      <c r="M12" s="19"/>
      <c r="N12" s="9"/>
      <c r="O12" s="9"/>
      <c r="P12" s="9"/>
      <c r="Q12" s="17"/>
      <c r="R12" s="18"/>
      <c r="S12" t="str">
        <f>IF($B12="","",IF($I12&lt;&gt;"",$I12,IFERROR(INDEX(Kat_Metode,MATCH($D12,Kat_Nama,0)),"")))</f>
        <v/>
      </c>
      <c r="T12" t="str">
        <f>IF($B12="","",IF($J12&lt;&gt;"",$J12,IFERROR(INDEX(Kat_Umur,MATCH($D12,Kat_Nama,0)),0)))</f>
        <v/>
      </c>
      <c r="U12" t="str">
        <f>IF($B12="","",IF($N12&lt;&gt;"",$N12,IFERROR(INDEX(Kat_Kelompok,MATCH($D12,Kat_Nama,0)),"")))</f>
        <v/>
      </c>
      <c r="V12" t="str">
        <f>IF($B12="","",IF($U12="Masa Manfaat Sebenarnya",N($O12),IFERROR(INDEX(Kel_Masa,MATCH($U12,Kel_Nama,0)),0)))</f>
        <v/>
      </c>
      <c r="W12" t="str">
        <f>IF($B12="","",IF($P12&lt;&gt;"",$P12,IF(OR($U12="Tidak Disusutkan",$V12=0),"Tidak Disusutkan","Garis Lurus")))</f>
        <v/>
      </c>
      <c r="X12" t="str">
        <f>IF($B12="","",IF($Y12&gt;TahunBuku*12+12,"Belum Diperoleh",IF($Z12&lt;=TahunBuku*12,"Dilepas (thn lalu)",IF($AC12=1,"Dilepas thn ini",IF($AB12=1,"Perolehan baru","Aktif")))))</f>
        <v/>
      </c>
      <c r="Y12" s="20" t="str">
        <f>IF($B12="","",YEAR($F12)*12+MONTH($F12))</f>
        <v/>
      </c>
      <c r="Z12" s="20" t="str">
        <f>IF($B12="","",IF($Q12="",99999,YEAR($Q12)*12+MONTH($Q12)))</f>
        <v/>
      </c>
      <c r="AA12" s="20" t="str">
        <f>IF($B12="","",--AND($Y12&lt;=TahunBuku*12,$Z12&gt;TahunBuku*12))</f>
        <v/>
      </c>
      <c r="AB12" s="20" t="str">
        <f>IF($B12="","",--AND($Y12&gt;TahunBuku*12,$Y12&lt;=TahunBuku*12+12))</f>
        <v/>
      </c>
      <c r="AC12" s="20" t="str">
        <f>IF($B12="","",--AND($Z12&gt;TahunBuku*12,$Z12&lt;=TahunBuku*12+12,$Y12&lt;=$Z12))</f>
        <v/>
      </c>
      <c r="AD12" s="21" t="str">
        <f>IF($B12="","",IFERROR(IF($S12="Garis Lurus",$G12-($G12-$H12)*MIN($T12*12,MAX(0,TahunBuku*12-$Y12+1))/($T12*12),IF($S12="Saldo Menurun",IF(TahunBuku-1&lt;YEAR($F12),$G12,IF(TahunBuku-1&gt;=INT(($Y12+$T12*12-2)/12),$H12,MAX($H12,$G12*(1-2/$T12*(13-MONTH($F12))/12)*(1-2/$T12)^(TahunBuku-1-YEAR($F12))))),IF($S12="Unit Produksi",$G12-($G12-$H12)*MIN(1,N($L12)/$K12),$G12))),$G12))</f>
        <v/>
      </c>
      <c r="AE12" s="21" t="str">
        <f>IF($B12="","",IFERROR(IF($S12="Garis Lurus",$G12-($G12-$H12)*MIN($T12*12,MAX(0,TahunBuku*12+12-$Y12+1))/($T12*12),IF($S12="Saldo Menurun",IF(TahunBuku&lt;YEAR($F12),$G12,IF(TahunBuku&gt;=INT(($Y12+$T12*12-2)/12),$H12,MAX($H12,$G12*(1-2/$T12*(13-MONTH($F12))/12)*(1-2/$T12)^(TahunBuku-YEAR($F12))))),IF($S12="Unit Produksi",$G12-($G12-$H12)*MIN(1,(N($L12)+N($M12))/$K12),$G12))),$G12))</f>
        <v/>
      </c>
      <c r="AF12" s="20" t="str">
        <f>IF($B12="","",IF(OR($S12="Garis Lurus",$S12="Saldo Menurun",$S12="Unit Produksi"),MAX(0,IF($S12="Unit Produksi",TahunBuku*12+12,MIN(TahunBuku*12+12,$Y12+$T12*12-1))-MAX(TahunBuku*12+1,$Y12)+1),0))</f>
        <v/>
      </c>
      <c r="AG12" s="20" t="str">
        <f>IF($B12="","",IF(OR($S12="Garis Lurus",$S12="Saldo Menurun",$S12="Unit Produksi"),MAX(0,MIN($Z12,IF($S12="Unit Produksi",TahunBuku*12+12,MIN(TahunBuku*12+12,$Y12+$T12*12-1)))-MAX(TahunBuku*12+1,$Y12)+1),0))</f>
        <v/>
      </c>
      <c r="AH12" s="21" t="str">
        <f>IF($B12="","",IFERROR(IF($W12="Garis Lurus",$G12*(1-MIN($V12*12,MAX(0,TahunBuku*12-$Y12+1))/($V12*12)),IF($W12="Saldo Menurun",IF(TahunBuku-1&lt;YEAR($F12),$G12,IF(TahunBuku-1&gt;=INT(($Y12+$V12*12-2)/12),0,$G12*(1-2/$V12*(13-MONTH($F12))/12)*(1-2/$V12)^(TahunBuku-1-YEAR($F12)))),$G12)),$G12))</f>
        <v/>
      </c>
      <c r="AI12" s="21" t="str">
        <f>IF($B12="","",IFERROR(IF($W12="Garis Lurus",$G12*(1-MIN($V12*12,MAX(0,TahunBuku*12+12-$Y12+1))/($V12*12)),IF($W12="Saldo Menurun",IF(TahunBuku&lt;YEAR($F12),$G12,IF(TahunBuku&gt;=INT(($Y12+$V12*12-2)/12),0,$G12*(1-2/$V12*(13-MONTH($F12))/12)*(1-2/$V12)^(TahunBuku-YEAR($F12)))),$G12)),$G12))</f>
        <v/>
      </c>
      <c r="AJ12" s="20" t="str">
        <f>IF($B12="","",IF(OR($W12="Garis Lurus",$W12="Saldo Menurun"),MAX(0,MIN(TahunBuku*12+12,$Y12+$V12*12-1)-MAX(TahunBuku*12+1,$Y12)+1),0))</f>
        <v/>
      </c>
      <c r="AK12" s="20" t="str">
        <f>IF($B12="","",IF(OR($W12="Garis Lurus",$W12="Saldo Menurun"),MAX(0,MIN($Z12,TahunBuku*12+12,$Y12+$V12*12-1)-MAX(TahunBuku*12+1,$Y12)+1),0))</f>
        <v/>
      </c>
      <c r="AL12" s="22" t="str">
        <f>IF($B12="","",$G12*$AA12)</f>
        <v/>
      </c>
      <c r="AM12" s="22" t="str">
        <f>IF($B12="","",$G12*$AB12)</f>
        <v/>
      </c>
      <c r="AN12" s="22" t="str">
        <f>IF($B12="","",$G12*$AC12)</f>
        <v/>
      </c>
      <c r="AO12" s="22" t="str">
        <f>IF($B12="","",AL12+AM12-AN12)</f>
        <v/>
      </c>
      <c r="AP12" s="22" t="str">
        <f>IF($B12="","",($G12-$AD12)*$AA12)</f>
        <v/>
      </c>
      <c r="AQ12" s="22" t="str">
        <f>IF($B12="","",IF($AF12=0,0,($AD12-$AE12)*$AG12/$AF12)*MAX($AA12,$AB12))</f>
        <v/>
      </c>
      <c r="AR12" s="22" t="str">
        <f>IF($B12="","",(AP12+AQ12)*$AC12)</f>
        <v/>
      </c>
      <c r="AS12" s="22" t="str">
        <f>IF($B12="","",AP12+AQ12-AR12)</f>
        <v/>
      </c>
      <c r="AT12" s="22" t="str">
        <f>IF($B12="","",AO12-AS12)</f>
        <v/>
      </c>
      <c r="AU12" s="22" t="str">
        <f>IF($B12="","",IF($AC12=1,N($R12)-($G12-AR12),0))</f>
        <v/>
      </c>
      <c r="AV12" s="22" t="str">
        <f>IF($B12="","",($G12-$AH12)*$AA12)</f>
        <v/>
      </c>
      <c r="AW12" s="22" t="str">
        <f>IF($B12="","",IF($AJ12=0,0,($AH12-$AI12)*$AK12/$AJ12)*MAX($AA12,$AB12))</f>
        <v/>
      </c>
      <c r="AX12" s="22" t="str">
        <f>IF($B12="","",(AV12+AW12)*$AC12)</f>
        <v/>
      </c>
      <c r="AY12" s="22" t="str">
        <f>IF($B12="","",AV12+AW12-AX12)</f>
        <v/>
      </c>
      <c r="AZ12" s="22" t="str">
        <f>IF($B12="","",AO12-AY12)</f>
        <v/>
      </c>
      <c r="BA12" s="22" t="str">
        <f>IF($B12="","",IF($AC12=1,N($R12)-($G12-AX12),0))</f>
        <v/>
      </c>
      <c r="BB12" s="22" t="str">
        <f>IF($B12="","",ROUND(AQ12-AW12,0))</f>
        <v/>
      </c>
      <c r="BC12" s="22" t="str">
        <f>IF($B12="","",ROUND(BA12-AU12,0))</f>
        <v/>
      </c>
      <c r="BD12" s="22" t="str">
        <f>IF($B12="","",BB12+BC12)</f>
        <v/>
      </c>
      <c r="BE12" s="22" t="str">
        <f>IF($B12="","",ROUND(AV12-AP12,0))</f>
        <v/>
      </c>
      <c r="BF12" s="22" t="str">
        <f>IF($B12="","",ROUND(AT12-AZ12,0))</f>
        <v/>
      </c>
      <c r="BG12" s="22" t="str">
        <f>IF($B12="","",ROUND(BF12*TarifPPh,0))</f>
        <v/>
      </c>
      <c r="BH12" t="str">
        <f>IF($B12="","",IF($D12="","Kategori kosong",IF($F12="","Tgl perolehan kosong",IF(N($H12)&gt;$G12,"Residu &gt; harga perolehan",IF(AND(LEFT($U12,8)="Bangunan",$W12="Saldo Menurun"),"Bangunan wajib Garis Lurus (Ps.11 UU PPh)",IF(AND($S12="Unit Produksi",N($K12)=0),"Isi kapasitas unit",IF(AND(OR($S12="Garis Lurus",$S12="Saldo Menurun"),N($T12)&lt;=0),"Umur komersial kosong",IF(AND(OR($W12="Garis Lurus",$W12="Saldo Menurun"),N($V12)&lt;=0),"Masa manfaat fiskal kosong",IF(AND($Q12&lt;&gt;"",$Q12&lt;$F12),"Tgl pelepasan &lt; perolehan","OK")))))))))</f>
        <v/>
      </c>
    </row>
    <row r="13" spans="1:60" x14ac:dyDescent="0.25">
      <c r="A13" t="str">
        <f>IF($B13="","",ROW()-6)</f>
        <v/>
      </c>
      <c r="B13" s="9"/>
      <c r="C13" s="9"/>
      <c r="D13" s="9"/>
      <c r="E13" s="9"/>
      <c r="F13" s="17"/>
      <c r="G13" s="18"/>
      <c r="H13" s="18"/>
      <c r="I13" s="9"/>
      <c r="J13" s="9"/>
      <c r="K13" s="19"/>
      <c r="L13" s="19"/>
      <c r="M13" s="19"/>
      <c r="N13" s="9"/>
      <c r="O13" s="9"/>
      <c r="P13" s="9"/>
      <c r="Q13" s="17"/>
      <c r="R13" s="18"/>
      <c r="S13" t="str">
        <f>IF($B13="","",IF($I13&lt;&gt;"",$I13,IFERROR(INDEX(Kat_Metode,MATCH($D13,Kat_Nama,0)),"")))</f>
        <v/>
      </c>
      <c r="T13" t="str">
        <f>IF($B13="","",IF($J13&lt;&gt;"",$J13,IFERROR(INDEX(Kat_Umur,MATCH($D13,Kat_Nama,0)),0)))</f>
        <v/>
      </c>
      <c r="U13" t="str">
        <f>IF($B13="","",IF($N13&lt;&gt;"",$N13,IFERROR(INDEX(Kat_Kelompok,MATCH($D13,Kat_Nama,0)),"")))</f>
        <v/>
      </c>
      <c r="V13" t="str">
        <f>IF($B13="","",IF($U13="Masa Manfaat Sebenarnya",N($O13),IFERROR(INDEX(Kel_Masa,MATCH($U13,Kel_Nama,0)),0)))</f>
        <v/>
      </c>
      <c r="W13" t="str">
        <f>IF($B13="","",IF($P13&lt;&gt;"",$P13,IF(OR($U13="Tidak Disusutkan",$V13=0),"Tidak Disusutkan","Garis Lurus")))</f>
        <v/>
      </c>
      <c r="X13" t="str">
        <f>IF($B13="","",IF($Y13&gt;TahunBuku*12+12,"Belum Diperoleh",IF($Z13&lt;=TahunBuku*12,"Dilepas (thn lalu)",IF($AC13=1,"Dilepas thn ini",IF($AB13=1,"Perolehan baru","Aktif")))))</f>
        <v/>
      </c>
      <c r="Y13" s="20" t="str">
        <f>IF($B13="","",YEAR($F13)*12+MONTH($F13))</f>
        <v/>
      </c>
      <c r="Z13" s="20" t="str">
        <f>IF($B13="","",IF($Q13="",99999,YEAR($Q13)*12+MONTH($Q13)))</f>
        <v/>
      </c>
      <c r="AA13" s="20" t="str">
        <f>IF($B13="","",--AND($Y13&lt;=TahunBuku*12,$Z13&gt;TahunBuku*12))</f>
        <v/>
      </c>
      <c r="AB13" s="20" t="str">
        <f>IF($B13="","",--AND($Y13&gt;TahunBuku*12,$Y13&lt;=TahunBuku*12+12))</f>
        <v/>
      </c>
      <c r="AC13" s="20" t="str">
        <f>IF($B13="","",--AND($Z13&gt;TahunBuku*12,$Z13&lt;=TahunBuku*12+12,$Y13&lt;=$Z13))</f>
        <v/>
      </c>
      <c r="AD13" s="21" t="str">
        <f>IF($B13="","",IFERROR(IF($S13="Garis Lurus",$G13-($G13-$H13)*MIN($T13*12,MAX(0,TahunBuku*12-$Y13+1))/($T13*12),IF($S13="Saldo Menurun",IF(TahunBuku-1&lt;YEAR($F13),$G13,IF(TahunBuku-1&gt;=INT(($Y13+$T13*12-2)/12),$H13,MAX($H13,$G13*(1-2/$T13*(13-MONTH($F13))/12)*(1-2/$T13)^(TahunBuku-1-YEAR($F13))))),IF($S13="Unit Produksi",$G13-($G13-$H13)*MIN(1,N($L13)/$K13),$G13))),$G13))</f>
        <v/>
      </c>
      <c r="AE13" s="21" t="str">
        <f>IF($B13="","",IFERROR(IF($S13="Garis Lurus",$G13-($G13-$H13)*MIN($T13*12,MAX(0,TahunBuku*12+12-$Y13+1))/($T13*12),IF($S13="Saldo Menurun",IF(TahunBuku&lt;YEAR($F13),$G13,IF(TahunBuku&gt;=INT(($Y13+$T13*12-2)/12),$H13,MAX($H13,$G13*(1-2/$T13*(13-MONTH($F13))/12)*(1-2/$T13)^(TahunBuku-YEAR($F13))))),IF($S13="Unit Produksi",$G13-($G13-$H13)*MIN(1,(N($L13)+N($M13))/$K13),$G13))),$G13))</f>
        <v/>
      </c>
      <c r="AF13" s="20" t="str">
        <f>IF($B13="","",IF(OR($S13="Garis Lurus",$S13="Saldo Menurun",$S13="Unit Produksi"),MAX(0,IF($S13="Unit Produksi",TahunBuku*12+12,MIN(TahunBuku*12+12,$Y13+$T13*12-1))-MAX(TahunBuku*12+1,$Y13)+1),0))</f>
        <v/>
      </c>
      <c r="AG13" s="20" t="str">
        <f>IF($B13="","",IF(OR($S13="Garis Lurus",$S13="Saldo Menurun",$S13="Unit Produksi"),MAX(0,MIN($Z13,IF($S13="Unit Produksi",TahunBuku*12+12,MIN(TahunBuku*12+12,$Y13+$T13*12-1)))-MAX(TahunBuku*12+1,$Y13)+1),0))</f>
        <v/>
      </c>
      <c r="AH13" s="21" t="str">
        <f>IF($B13="","",IFERROR(IF($W13="Garis Lurus",$G13*(1-MIN($V13*12,MAX(0,TahunBuku*12-$Y13+1))/($V13*12)),IF($W13="Saldo Menurun",IF(TahunBuku-1&lt;YEAR($F13),$G13,IF(TahunBuku-1&gt;=INT(($Y13+$V13*12-2)/12),0,$G13*(1-2/$V13*(13-MONTH($F13))/12)*(1-2/$V13)^(TahunBuku-1-YEAR($F13)))),$G13)),$G13))</f>
        <v/>
      </c>
      <c r="AI13" s="21" t="str">
        <f>IF($B13="","",IFERROR(IF($W13="Garis Lurus",$G13*(1-MIN($V13*12,MAX(0,TahunBuku*12+12-$Y13+1))/($V13*12)),IF($W13="Saldo Menurun",IF(TahunBuku&lt;YEAR($F13),$G13,IF(TahunBuku&gt;=INT(($Y13+$V13*12-2)/12),0,$G13*(1-2/$V13*(13-MONTH($F13))/12)*(1-2/$V13)^(TahunBuku-YEAR($F13)))),$G13)),$G13))</f>
        <v/>
      </c>
      <c r="AJ13" s="20" t="str">
        <f>IF($B13="","",IF(OR($W13="Garis Lurus",$W13="Saldo Menurun"),MAX(0,MIN(TahunBuku*12+12,$Y13+$V13*12-1)-MAX(TahunBuku*12+1,$Y13)+1),0))</f>
        <v/>
      </c>
      <c r="AK13" s="20" t="str">
        <f>IF($B13="","",IF(OR($W13="Garis Lurus",$W13="Saldo Menurun"),MAX(0,MIN($Z13,TahunBuku*12+12,$Y13+$V13*12-1)-MAX(TahunBuku*12+1,$Y13)+1),0))</f>
        <v/>
      </c>
      <c r="AL13" s="22" t="str">
        <f>IF($B13="","",$G13*$AA13)</f>
        <v/>
      </c>
      <c r="AM13" s="22" t="str">
        <f>IF($B13="","",$G13*$AB13)</f>
        <v/>
      </c>
      <c r="AN13" s="22" t="str">
        <f>IF($B13="","",$G13*$AC13)</f>
        <v/>
      </c>
      <c r="AO13" s="22" t="str">
        <f>IF($B13="","",AL13+AM13-AN13)</f>
        <v/>
      </c>
      <c r="AP13" s="22" t="str">
        <f>IF($B13="","",($G13-$AD13)*$AA13)</f>
        <v/>
      </c>
      <c r="AQ13" s="22" t="str">
        <f>IF($B13="","",IF($AF13=0,0,($AD13-$AE13)*$AG13/$AF13)*MAX($AA13,$AB13))</f>
        <v/>
      </c>
      <c r="AR13" s="22" t="str">
        <f>IF($B13="","",(AP13+AQ13)*$AC13)</f>
        <v/>
      </c>
      <c r="AS13" s="22" t="str">
        <f>IF($B13="","",AP13+AQ13-AR13)</f>
        <v/>
      </c>
      <c r="AT13" s="22" t="str">
        <f>IF($B13="","",AO13-AS13)</f>
        <v/>
      </c>
      <c r="AU13" s="22" t="str">
        <f>IF($B13="","",IF($AC13=1,N($R13)-($G13-AR13),0))</f>
        <v/>
      </c>
      <c r="AV13" s="22" t="str">
        <f>IF($B13="","",($G13-$AH13)*$AA13)</f>
        <v/>
      </c>
      <c r="AW13" s="22" t="str">
        <f>IF($B13="","",IF($AJ13=0,0,($AH13-$AI13)*$AK13/$AJ13)*MAX($AA13,$AB13))</f>
        <v/>
      </c>
      <c r="AX13" s="22" t="str">
        <f>IF($B13="","",(AV13+AW13)*$AC13)</f>
        <v/>
      </c>
      <c r="AY13" s="22" t="str">
        <f>IF($B13="","",AV13+AW13-AX13)</f>
        <v/>
      </c>
      <c r="AZ13" s="22" t="str">
        <f>IF($B13="","",AO13-AY13)</f>
        <v/>
      </c>
      <c r="BA13" s="22" t="str">
        <f>IF($B13="","",IF($AC13=1,N($R13)-($G13-AX13),0))</f>
        <v/>
      </c>
      <c r="BB13" s="22" t="str">
        <f>IF($B13="","",ROUND(AQ13-AW13,0))</f>
        <v/>
      </c>
      <c r="BC13" s="22" t="str">
        <f>IF($B13="","",ROUND(BA13-AU13,0))</f>
        <v/>
      </c>
      <c r="BD13" s="22" t="str">
        <f>IF($B13="","",BB13+BC13)</f>
        <v/>
      </c>
      <c r="BE13" s="22" t="str">
        <f>IF($B13="","",ROUND(AV13-AP13,0))</f>
        <v/>
      </c>
      <c r="BF13" s="22" t="str">
        <f>IF($B13="","",ROUND(AT13-AZ13,0))</f>
        <v/>
      </c>
      <c r="BG13" s="22" t="str">
        <f>IF($B13="","",ROUND(BF13*TarifPPh,0))</f>
        <v/>
      </c>
      <c r="BH13" t="str">
        <f>IF($B13="","",IF($D13="","Kategori kosong",IF($F13="","Tgl perolehan kosong",IF(N($H13)&gt;$G13,"Residu &gt; harga perolehan",IF(AND(LEFT($U13,8)="Bangunan",$W13="Saldo Menurun"),"Bangunan wajib Garis Lurus (Ps.11 UU PPh)",IF(AND($S13="Unit Produksi",N($K13)=0),"Isi kapasitas unit",IF(AND(OR($S13="Garis Lurus",$S13="Saldo Menurun"),N($T13)&lt;=0),"Umur komersial kosong",IF(AND(OR($W13="Garis Lurus",$W13="Saldo Menurun"),N($V13)&lt;=0),"Masa manfaat fiskal kosong",IF(AND($Q13&lt;&gt;"",$Q13&lt;$F13),"Tgl pelepasan &lt; perolehan","OK")))))))))</f>
        <v/>
      </c>
    </row>
    <row r="14" spans="1:60" x14ac:dyDescent="0.25">
      <c r="A14" t="str">
        <f>IF($B14="","",ROW()-6)</f>
        <v/>
      </c>
      <c r="B14" s="9"/>
      <c r="C14" s="9"/>
      <c r="D14" s="9"/>
      <c r="E14" s="9"/>
      <c r="F14" s="17"/>
      <c r="G14" s="18"/>
      <c r="H14" s="18"/>
      <c r="I14" s="9"/>
      <c r="J14" s="9"/>
      <c r="K14" s="19"/>
      <c r="L14" s="19"/>
      <c r="M14" s="19"/>
      <c r="N14" s="9"/>
      <c r="O14" s="9"/>
      <c r="P14" s="9"/>
      <c r="Q14" s="17"/>
      <c r="R14" s="18"/>
      <c r="S14" t="str">
        <f>IF($B14="","",IF($I14&lt;&gt;"",$I14,IFERROR(INDEX(Kat_Metode,MATCH($D14,Kat_Nama,0)),"")))</f>
        <v/>
      </c>
      <c r="T14" t="str">
        <f>IF($B14="","",IF($J14&lt;&gt;"",$J14,IFERROR(INDEX(Kat_Umur,MATCH($D14,Kat_Nama,0)),0)))</f>
        <v/>
      </c>
      <c r="U14" t="str">
        <f>IF($B14="","",IF($N14&lt;&gt;"",$N14,IFERROR(INDEX(Kat_Kelompok,MATCH($D14,Kat_Nama,0)),"")))</f>
        <v/>
      </c>
      <c r="V14" t="str">
        <f>IF($B14="","",IF($U14="Masa Manfaat Sebenarnya",N($O14),IFERROR(INDEX(Kel_Masa,MATCH($U14,Kel_Nama,0)),0)))</f>
        <v/>
      </c>
      <c r="W14" t="str">
        <f>IF($B14="","",IF($P14&lt;&gt;"",$P14,IF(OR($U14="Tidak Disusutkan",$V14=0),"Tidak Disusutkan","Garis Lurus")))</f>
        <v/>
      </c>
      <c r="X14" t="str">
        <f>IF($B14="","",IF($Y14&gt;TahunBuku*12+12,"Belum Diperoleh",IF($Z14&lt;=TahunBuku*12,"Dilepas (thn lalu)",IF($AC14=1,"Dilepas thn ini",IF($AB14=1,"Perolehan baru","Aktif")))))</f>
        <v/>
      </c>
      <c r="Y14" s="20" t="str">
        <f>IF($B14="","",YEAR($F14)*12+MONTH($F14))</f>
        <v/>
      </c>
      <c r="Z14" s="20" t="str">
        <f>IF($B14="","",IF($Q14="",99999,YEAR($Q14)*12+MONTH($Q14)))</f>
        <v/>
      </c>
      <c r="AA14" s="20" t="str">
        <f>IF($B14="","",--AND($Y14&lt;=TahunBuku*12,$Z14&gt;TahunBuku*12))</f>
        <v/>
      </c>
      <c r="AB14" s="20" t="str">
        <f>IF($B14="","",--AND($Y14&gt;TahunBuku*12,$Y14&lt;=TahunBuku*12+12))</f>
        <v/>
      </c>
      <c r="AC14" s="20" t="str">
        <f>IF($B14="","",--AND($Z14&gt;TahunBuku*12,$Z14&lt;=TahunBuku*12+12,$Y14&lt;=$Z14))</f>
        <v/>
      </c>
      <c r="AD14" s="21" t="str">
        <f>IF($B14="","",IFERROR(IF($S14="Garis Lurus",$G14-($G14-$H14)*MIN($T14*12,MAX(0,TahunBuku*12-$Y14+1))/($T14*12),IF($S14="Saldo Menurun",IF(TahunBuku-1&lt;YEAR($F14),$G14,IF(TahunBuku-1&gt;=INT(($Y14+$T14*12-2)/12),$H14,MAX($H14,$G14*(1-2/$T14*(13-MONTH($F14))/12)*(1-2/$T14)^(TahunBuku-1-YEAR($F14))))),IF($S14="Unit Produksi",$G14-($G14-$H14)*MIN(1,N($L14)/$K14),$G14))),$G14))</f>
        <v/>
      </c>
      <c r="AE14" s="21" t="str">
        <f>IF($B14="","",IFERROR(IF($S14="Garis Lurus",$G14-($G14-$H14)*MIN($T14*12,MAX(0,TahunBuku*12+12-$Y14+1))/($T14*12),IF($S14="Saldo Menurun",IF(TahunBuku&lt;YEAR($F14),$G14,IF(TahunBuku&gt;=INT(($Y14+$T14*12-2)/12),$H14,MAX($H14,$G14*(1-2/$T14*(13-MONTH($F14))/12)*(1-2/$T14)^(TahunBuku-YEAR($F14))))),IF($S14="Unit Produksi",$G14-($G14-$H14)*MIN(1,(N($L14)+N($M14))/$K14),$G14))),$G14))</f>
        <v/>
      </c>
      <c r="AF14" s="20" t="str">
        <f>IF($B14="","",IF(OR($S14="Garis Lurus",$S14="Saldo Menurun",$S14="Unit Produksi"),MAX(0,IF($S14="Unit Produksi",TahunBuku*12+12,MIN(TahunBuku*12+12,$Y14+$T14*12-1))-MAX(TahunBuku*12+1,$Y14)+1),0))</f>
        <v/>
      </c>
      <c r="AG14" s="20" t="str">
        <f>IF($B14="","",IF(OR($S14="Garis Lurus",$S14="Saldo Menurun",$S14="Unit Produksi"),MAX(0,MIN($Z14,IF($S14="Unit Produksi",TahunBuku*12+12,MIN(TahunBuku*12+12,$Y14+$T14*12-1)))-MAX(TahunBuku*12+1,$Y14)+1),0))</f>
        <v/>
      </c>
      <c r="AH14" s="21" t="str">
        <f>IF($B14="","",IFERROR(IF($W14="Garis Lurus",$G14*(1-MIN($V14*12,MAX(0,TahunBuku*12-$Y14+1))/($V14*12)),IF($W14="Saldo Menurun",IF(TahunBuku-1&lt;YEAR($F14),$G14,IF(TahunBuku-1&gt;=INT(($Y14+$V14*12-2)/12),0,$G14*(1-2/$V14*(13-MONTH($F14))/12)*(1-2/$V14)^(TahunBuku-1-YEAR($F14)))),$G14)),$G14))</f>
        <v/>
      </c>
      <c r="AI14" s="21" t="str">
        <f>IF($B14="","",IFERROR(IF($W14="Garis Lurus",$G14*(1-MIN($V14*12,MAX(0,TahunBuku*12+12-$Y14+1))/($V14*12)),IF($W14="Saldo Menurun",IF(TahunBuku&lt;YEAR($F14),$G14,IF(TahunBuku&gt;=INT(($Y14+$V14*12-2)/12),0,$G14*(1-2/$V14*(13-MONTH($F14))/12)*(1-2/$V14)^(TahunBuku-YEAR($F14)))),$G14)),$G14))</f>
        <v/>
      </c>
      <c r="AJ14" s="20" t="str">
        <f>IF($B14="","",IF(OR($W14="Garis Lurus",$W14="Saldo Menurun"),MAX(0,MIN(TahunBuku*12+12,$Y14+$V14*12-1)-MAX(TahunBuku*12+1,$Y14)+1),0))</f>
        <v/>
      </c>
      <c r="AK14" s="20" t="str">
        <f>IF($B14="","",IF(OR($W14="Garis Lurus",$W14="Saldo Menurun"),MAX(0,MIN($Z14,TahunBuku*12+12,$Y14+$V14*12-1)-MAX(TahunBuku*12+1,$Y14)+1),0))</f>
        <v/>
      </c>
      <c r="AL14" s="22" t="str">
        <f>IF($B14="","",$G14*$AA14)</f>
        <v/>
      </c>
      <c r="AM14" s="22" t="str">
        <f>IF($B14="","",$G14*$AB14)</f>
        <v/>
      </c>
      <c r="AN14" s="22" t="str">
        <f>IF($B14="","",$G14*$AC14)</f>
        <v/>
      </c>
      <c r="AO14" s="22" t="str">
        <f>IF($B14="","",AL14+AM14-AN14)</f>
        <v/>
      </c>
      <c r="AP14" s="22" t="str">
        <f>IF($B14="","",($G14-$AD14)*$AA14)</f>
        <v/>
      </c>
      <c r="AQ14" s="22" t="str">
        <f>IF($B14="","",IF($AF14=0,0,($AD14-$AE14)*$AG14/$AF14)*MAX($AA14,$AB14))</f>
        <v/>
      </c>
      <c r="AR14" s="22" t="str">
        <f>IF($B14="","",(AP14+AQ14)*$AC14)</f>
        <v/>
      </c>
      <c r="AS14" s="22" t="str">
        <f>IF($B14="","",AP14+AQ14-AR14)</f>
        <v/>
      </c>
      <c r="AT14" s="22" t="str">
        <f>IF($B14="","",AO14-AS14)</f>
        <v/>
      </c>
      <c r="AU14" s="22" t="str">
        <f>IF($B14="","",IF($AC14=1,N($R14)-($G14-AR14),0))</f>
        <v/>
      </c>
      <c r="AV14" s="22" t="str">
        <f>IF($B14="","",($G14-$AH14)*$AA14)</f>
        <v/>
      </c>
      <c r="AW14" s="22" t="str">
        <f>IF($B14="","",IF($AJ14=0,0,($AH14-$AI14)*$AK14/$AJ14)*MAX($AA14,$AB14))</f>
        <v/>
      </c>
      <c r="AX14" s="22" t="str">
        <f>IF($B14="","",(AV14+AW14)*$AC14)</f>
        <v/>
      </c>
      <c r="AY14" s="22" t="str">
        <f>IF($B14="","",AV14+AW14-AX14)</f>
        <v/>
      </c>
      <c r="AZ14" s="22" t="str">
        <f>IF($B14="","",AO14-AY14)</f>
        <v/>
      </c>
      <c r="BA14" s="22" t="str">
        <f>IF($B14="","",IF($AC14=1,N($R14)-($G14-AX14),0))</f>
        <v/>
      </c>
      <c r="BB14" s="22" t="str">
        <f>IF($B14="","",ROUND(AQ14-AW14,0))</f>
        <v/>
      </c>
      <c r="BC14" s="22" t="str">
        <f>IF($B14="","",ROUND(BA14-AU14,0))</f>
        <v/>
      </c>
      <c r="BD14" s="22" t="str">
        <f>IF($B14="","",BB14+BC14)</f>
        <v/>
      </c>
      <c r="BE14" s="22" t="str">
        <f>IF($B14="","",ROUND(AV14-AP14,0))</f>
        <v/>
      </c>
      <c r="BF14" s="22" t="str">
        <f>IF($B14="","",ROUND(AT14-AZ14,0))</f>
        <v/>
      </c>
      <c r="BG14" s="22" t="str">
        <f>IF($B14="","",ROUND(BF14*TarifPPh,0))</f>
        <v/>
      </c>
      <c r="BH14" t="str">
        <f>IF($B14="","",IF($D14="","Kategori kosong",IF($F14="","Tgl perolehan kosong",IF(N($H14)&gt;$G14,"Residu &gt; harga perolehan",IF(AND(LEFT($U14,8)="Bangunan",$W14="Saldo Menurun"),"Bangunan wajib Garis Lurus (Ps.11 UU PPh)",IF(AND($S14="Unit Produksi",N($K14)=0),"Isi kapasitas unit",IF(AND(OR($S14="Garis Lurus",$S14="Saldo Menurun"),N($T14)&lt;=0),"Umur komersial kosong",IF(AND(OR($W14="Garis Lurus",$W14="Saldo Menurun"),N($V14)&lt;=0),"Masa manfaat fiskal kosong",IF(AND($Q14&lt;&gt;"",$Q14&lt;$F14),"Tgl pelepasan &lt; perolehan","OK")))))))))</f>
        <v/>
      </c>
    </row>
    <row r="15" spans="1:60" x14ac:dyDescent="0.25">
      <c r="A15" t="str">
        <f>IF($B15="","",ROW()-6)</f>
        <v/>
      </c>
      <c r="B15" s="9"/>
      <c r="C15" s="9"/>
      <c r="D15" s="9"/>
      <c r="E15" s="9"/>
      <c r="F15" s="17"/>
      <c r="G15" s="18"/>
      <c r="H15" s="18"/>
      <c r="I15" s="9"/>
      <c r="J15" s="9"/>
      <c r="K15" s="19"/>
      <c r="L15" s="19"/>
      <c r="M15" s="19"/>
      <c r="N15" s="9"/>
      <c r="O15" s="9"/>
      <c r="P15" s="9"/>
      <c r="Q15" s="17"/>
      <c r="R15" s="18"/>
      <c r="S15" t="str">
        <f>IF($B15="","",IF($I15&lt;&gt;"",$I15,IFERROR(INDEX(Kat_Metode,MATCH($D15,Kat_Nama,0)),"")))</f>
        <v/>
      </c>
      <c r="T15" t="str">
        <f>IF($B15="","",IF($J15&lt;&gt;"",$J15,IFERROR(INDEX(Kat_Umur,MATCH($D15,Kat_Nama,0)),0)))</f>
        <v/>
      </c>
      <c r="U15" t="str">
        <f>IF($B15="","",IF($N15&lt;&gt;"",$N15,IFERROR(INDEX(Kat_Kelompok,MATCH($D15,Kat_Nama,0)),"")))</f>
        <v/>
      </c>
      <c r="V15" t="str">
        <f>IF($B15="","",IF($U15="Masa Manfaat Sebenarnya",N($O15),IFERROR(INDEX(Kel_Masa,MATCH($U15,Kel_Nama,0)),0)))</f>
        <v/>
      </c>
      <c r="W15" t="str">
        <f>IF($B15="","",IF($P15&lt;&gt;"",$P15,IF(OR($U15="Tidak Disusutkan",$V15=0),"Tidak Disusutkan","Garis Lurus")))</f>
        <v/>
      </c>
      <c r="X15" t="str">
        <f>IF($B15="","",IF($Y15&gt;TahunBuku*12+12,"Belum Diperoleh",IF($Z15&lt;=TahunBuku*12,"Dilepas (thn lalu)",IF($AC15=1,"Dilepas thn ini",IF($AB15=1,"Perolehan baru","Aktif")))))</f>
        <v/>
      </c>
      <c r="Y15" s="20" t="str">
        <f>IF($B15="","",YEAR($F15)*12+MONTH($F15))</f>
        <v/>
      </c>
      <c r="Z15" s="20" t="str">
        <f>IF($B15="","",IF($Q15="",99999,YEAR($Q15)*12+MONTH($Q15)))</f>
        <v/>
      </c>
      <c r="AA15" s="20" t="str">
        <f>IF($B15="","",--AND($Y15&lt;=TahunBuku*12,$Z15&gt;TahunBuku*12))</f>
        <v/>
      </c>
      <c r="AB15" s="20" t="str">
        <f>IF($B15="","",--AND($Y15&gt;TahunBuku*12,$Y15&lt;=TahunBuku*12+12))</f>
        <v/>
      </c>
      <c r="AC15" s="20" t="str">
        <f>IF($B15="","",--AND($Z15&gt;TahunBuku*12,$Z15&lt;=TahunBuku*12+12,$Y15&lt;=$Z15))</f>
        <v/>
      </c>
      <c r="AD15" s="21" t="str">
        <f>IF($B15="","",IFERROR(IF($S15="Garis Lurus",$G15-($G15-$H15)*MIN($T15*12,MAX(0,TahunBuku*12-$Y15+1))/($T15*12),IF($S15="Saldo Menurun",IF(TahunBuku-1&lt;YEAR($F15),$G15,IF(TahunBuku-1&gt;=INT(($Y15+$T15*12-2)/12),$H15,MAX($H15,$G15*(1-2/$T15*(13-MONTH($F15))/12)*(1-2/$T15)^(TahunBuku-1-YEAR($F15))))),IF($S15="Unit Produksi",$G15-($G15-$H15)*MIN(1,N($L15)/$K15),$G15))),$G15))</f>
        <v/>
      </c>
      <c r="AE15" s="21" t="str">
        <f>IF($B15="","",IFERROR(IF($S15="Garis Lurus",$G15-($G15-$H15)*MIN($T15*12,MAX(0,TahunBuku*12+12-$Y15+1))/($T15*12),IF($S15="Saldo Menurun",IF(TahunBuku&lt;YEAR($F15),$G15,IF(TahunBuku&gt;=INT(($Y15+$T15*12-2)/12),$H15,MAX($H15,$G15*(1-2/$T15*(13-MONTH($F15))/12)*(1-2/$T15)^(TahunBuku-YEAR($F15))))),IF($S15="Unit Produksi",$G15-($G15-$H15)*MIN(1,(N($L15)+N($M15))/$K15),$G15))),$G15))</f>
        <v/>
      </c>
      <c r="AF15" s="20" t="str">
        <f>IF($B15="","",IF(OR($S15="Garis Lurus",$S15="Saldo Menurun",$S15="Unit Produksi"),MAX(0,IF($S15="Unit Produksi",TahunBuku*12+12,MIN(TahunBuku*12+12,$Y15+$T15*12-1))-MAX(TahunBuku*12+1,$Y15)+1),0))</f>
        <v/>
      </c>
      <c r="AG15" s="20" t="str">
        <f>IF($B15="","",IF(OR($S15="Garis Lurus",$S15="Saldo Menurun",$S15="Unit Produksi"),MAX(0,MIN($Z15,IF($S15="Unit Produksi",TahunBuku*12+12,MIN(TahunBuku*12+12,$Y15+$T15*12-1)))-MAX(TahunBuku*12+1,$Y15)+1),0))</f>
        <v/>
      </c>
      <c r="AH15" s="21" t="str">
        <f>IF($B15="","",IFERROR(IF($W15="Garis Lurus",$G15*(1-MIN($V15*12,MAX(0,TahunBuku*12-$Y15+1))/($V15*12)),IF($W15="Saldo Menurun",IF(TahunBuku-1&lt;YEAR($F15),$G15,IF(TahunBuku-1&gt;=INT(($Y15+$V15*12-2)/12),0,$G15*(1-2/$V15*(13-MONTH($F15))/12)*(1-2/$V15)^(TahunBuku-1-YEAR($F15)))),$G15)),$G15))</f>
        <v/>
      </c>
      <c r="AI15" s="21" t="str">
        <f>IF($B15="","",IFERROR(IF($W15="Garis Lurus",$G15*(1-MIN($V15*12,MAX(0,TahunBuku*12+12-$Y15+1))/($V15*12)),IF($W15="Saldo Menurun",IF(TahunBuku&lt;YEAR($F15),$G15,IF(TahunBuku&gt;=INT(($Y15+$V15*12-2)/12),0,$G15*(1-2/$V15*(13-MONTH($F15))/12)*(1-2/$V15)^(TahunBuku-YEAR($F15)))),$G15)),$G15))</f>
        <v/>
      </c>
      <c r="AJ15" s="20" t="str">
        <f>IF($B15="","",IF(OR($W15="Garis Lurus",$W15="Saldo Menurun"),MAX(0,MIN(TahunBuku*12+12,$Y15+$V15*12-1)-MAX(TahunBuku*12+1,$Y15)+1),0))</f>
        <v/>
      </c>
      <c r="AK15" s="20" t="str">
        <f>IF($B15="","",IF(OR($W15="Garis Lurus",$W15="Saldo Menurun"),MAX(0,MIN($Z15,TahunBuku*12+12,$Y15+$V15*12-1)-MAX(TahunBuku*12+1,$Y15)+1),0))</f>
        <v/>
      </c>
      <c r="AL15" s="22" t="str">
        <f>IF($B15="","",$G15*$AA15)</f>
        <v/>
      </c>
      <c r="AM15" s="22" t="str">
        <f>IF($B15="","",$G15*$AB15)</f>
        <v/>
      </c>
      <c r="AN15" s="22" t="str">
        <f>IF($B15="","",$G15*$AC15)</f>
        <v/>
      </c>
      <c r="AO15" s="22" t="str">
        <f>IF($B15="","",AL15+AM15-AN15)</f>
        <v/>
      </c>
      <c r="AP15" s="22" t="str">
        <f>IF($B15="","",($G15-$AD15)*$AA15)</f>
        <v/>
      </c>
      <c r="AQ15" s="22" t="str">
        <f>IF($B15="","",IF($AF15=0,0,($AD15-$AE15)*$AG15/$AF15)*MAX($AA15,$AB15))</f>
        <v/>
      </c>
      <c r="AR15" s="22" t="str">
        <f>IF($B15="","",(AP15+AQ15)*$AC15)</f>
        <v/>
      </c>
      <c r="AS15" s="22" t="str">
        <f>IF($B15="","",AP15+AQ15-AR15)</f>
        <v/>
      </c>
      <c r="AT15" s="22" t="str">
        <f>IF($B15="","",AO15-AS15)</f>
        <v/>
      </c>
      <c r="AU15" s="22" t="str">
        <f>IF($B15="","",IF($AC15=1,N($R15)-($G15-AR15),0))</f>
        <v/>
      </c>
      <c r="AV15" s="22" t="str">
        <f>IF($B15="","",($G15-$AH15)*$AA15)</f>
        <v/>
      </c>
      <c r="AW15" s="22" t="str">
        <f>IF($B15="","",IF($AJ15=0,0,($AH15-$AI15)*$AK15/$AJ15)*MAX($AA15,$AB15))</f>
        <v/>
      </c>
      <c r="AX15" s="22" t="str">
        <f>IF($B15="","",(AV15+AW15)*$AC15)</f>
        <v/>
      </c>
      <c r="AY15" s="22" t="str">
        <f>IF($B15="","",AV15+AW15-AX15)</f>
        <v/>
      </c>
      <c r="AZ15" s="22" t="str">
        <f>IF($B15="","",AO15-AY15)</f>
        <v/>
      </c>
      <c r="BA15" s="22" t="str">
        <f>IF($B15="","",IF($AC15=1,N($R15)-($G15-AX15),0))</f>
        <v/>
      </c>
      <c r="BB15" s="22" t="str">
        <f>IF($B15="","",ROUND(AQ15-AW15,0))</f>
        <v/>
      </c>
      <c r="BC15" s="22" t="str">
        <f>IF($B15="","",ROUND(BA15-AU15,0))</f>
        <v/>
      </c>
      <c r="BD15" s="22" t="str">
        <f>IF($B15="","",BB15+BC15)</f>
        <v/>
      </c>
      <c r="BE15" s="22" t="str">
        <f>IF($B15="","",ROUND(AV15-AP15,0))</f>
        <v/>
      </c>
      <c r="BF15" s="22" t="str">
        <f>IF($B15="","",ROUND(AT15-AZ15,0))</f>
        <v/>
      </c>
      <c r="BG15" s="22" t="str">
        <f>IF($B15="","",ROUND(BF15*TarifPPh,0))</f>
        <v/>
      </c>
      <c r="BH15" t="str">
        <f>IF($B15="","",IF($D15="","Kategori kosong",IF($F15="","Tgl perolehan kosong",IF(N($H15)&gt;$G15,"Residu &gt; harga perolehan",IF(AND(LEFT($U15,8)="Bangunan",$W15="Saldo Menurun"),"Bangunan wajib Garis Lurus (Ps.11 UU PPh)",IF(AND($S15="Unit Produksi",N($K15)=0),"Isi kapasitas unit",IF(AND(OR($S15="Garis Lurus",$S15="Saldo Menurun"),N($T15)&lt;=0),"Umur komersial kosong",IF(AND(OR($W15="Garis Lurus",$W15="Saldo Menurun"),N($V15)&lt;=0),"Masa manfaat fiskal kosong",IF(AND($Q15&lt;&gt;"",$Q15&lt;$F15),"Tgl pelepasan &lt; perolehan","OK")))))))))</f>
        <v/>
      </c>
    </row>
    <row r="16" spans="1:60" x14ac:dyDescent="0.25">
      <c r="A16" t="str">
        <f>IF($B16="","",ROW()-6)</f>
        <v/>
      </c>
      <c r="B16" s="9"/>
      <c r="C16" s="9"/>
      <c r="D16" s="9"/>
      <c r="E16" s="9"/>
      <c r="F16" s="17"/>
      <c r="G16" s="18"/>
      <c r="H16" s="18"/>
      <c r="I16" s="9"/>
      <c r="J16" s="9"/>
      <c r="K16" s="19"/>
      <c r="L16" s="19"/>
      <c r="M16" s="19"/>
      <c r="N16" s="9"/>
      <c r="O16" s="9"/>
      <c r="P16" s="9"/>
      <c r="Q16" s="17"/>
      <c r="R16" s="18"/>
      <c r="S16" t="str">
        <f>IF($B16="","",IF($I16&lt;&gt;"",$I16,IFERROR(INDEX(Kat_Metode,MATCH($D16,Kat_Nama,0)),"")))</f>
        <v/>
      </c>
      <c r="T16" t="str">
        <f>IF($B16="","",IF($J16&lt;&gt;"",$J16,IFERROR(INDEX(Kat_Umur,MATCH($D16,Kat_Nama,0)),0)))</f>
        <v/>
      </c>
      <c r="U16" t="str">
        <f>IF($B16="","",IF($N16&lt;&gt;"",$N16,IFERROR(INDEX(Kat_Kelompok,MATCH($D16,Kat_Nama,0)),"")))</f>
        <v/>
      </c>
      <c r="V16" t="str">
        <f>IF($B16="","",IF($U16="Masa Manfaat Sebenarnya",N($O16),IFERROR(INDEX(Kel_Masa,MATCH($U16,Kel_Nama,0)),0)))</f>
        <v/>
      </c>
      <c r="W16" t="str">
        <f>IF($B16="","",IF($P16&lt;&gt;"",$P16,IF(OR($U16="Tidak Disusutkan",$V16=0),"Tidak Disusutkan","Garis Lurus")))</f>
        <v/>
      </c>
      <c r="X16" t="str">
        <f>IF($B16="","",IF($Y16&gt;TahunBuku*12+12,"Belum Diperoleh",IF($Z16&lt;=TahunBuku*12,"Dilepas (thn lalu)",IF($AC16=1,"Dilepas thn ini",IF($AB16=1,"Perolehan baru","Aktif")))))</f>
        <v/>
      </c>
      <c r="Y16" s="20" t="str">
        <f>IF($B16="","",YEAR($F16)*12+MONTH($F16))</f>
        <v/>
      </c>
      <c r="Z16" s="20" t="str">
        <f>IF($B16="","",IF($Q16="",99999,YEAR($Q16)*12+MONTH($Q16)))</f>
        <v/>
      </c>
      <c r="AA16" s="20" t="str">
        <f>IF($B16="","",--AND($Y16&lt;=TahunBuku*12,$Z16&gt;TahunBuku*12))</f>
        <v/>
      </c>
      <c r="AB16" s="20" t="str">
        <f>IF($B16="","",--AND($Y16&gt;TahunBuku*12,$Y16&lt;=TahunBuku*12+12))</f>
        <v/>
      </c>
      <c r="AC16" s="20" t="str">
        <f>IF($B16="","",--AND($Z16&gt;TahunBuku*12,$Z16&lt;=TahunBuku*12+12,$Y16&lt;=$Z16))</f>
        <v/>
      </c>
      <c r="AD16" s="21" t="str">
        <f>IF($B16="","",IFERROR(IF($S16="Garis Lurus",$G16-($G16-$H16)*MIN($T16*12,MAX(0,TahunBuku*12-$Y16+1))/($T16*12),IF($S16="Saldo Menurun",IF(TahunBuku-1&lt;YEAR($F16),$G16,IF(TahunBuku-1&gt;=INT(($Y16+$T16*12-2)/12),$H16,MAX($H16,$G16*(1-2/$T16*(13-MONTH($F16))/12)*(1-2/$T16)^(TahunBuku-1-YEAR($F16))))),IF($S16="Unit Produksi",$G16-($G16-$H16)*MIN(1,N($L16)/$K16),$G16))),$G16))</f>
        <v/>
      </c>
      <c r="AE16" s="21" t="str">
        <f>IF($B16="","",IFERROR(IF($S16="Garis Lurus",$G16-($G16-$H16)*MIN($T16*12,MAX(0,TahunBuku*12+12-$Y16+1))/($T16*12),IF($S16="Saldo Menurun",IF(TahunBuku&lt;YEAR($F16),$G16,IF(TahunBuku&gt;=INT(($Y16+$T16*12-2)/12),$H16,MAX($H16,$G16*(1-2/$T16*(13-MONTH($F16))/12)*(1-2/$T16)^(TahunBuku-YEAR($F16))))),IF($S16="Unit Produksi",$G16-($G16-$H16)*MIN(1,(N($L16)+N($M16))/$K16),$G16))),$G16))</f>
        <v/>
      </c>
      <c r="AF16" s="20" t="str">
        <f>IF($B16="","",IF(OR($S16="Garis Lurus",$S16="Saldo Menurun",$S16="Unit Produksi"),MAX(0,IF($S16="Unit Produksi",TahunBuku*12+12,MIN(TahunBuku*12+12,$Y16+$T16*12-1))-MAX(TahunBuku*12+1,$Y16)+1),0))</f>
        <v/>
      </c>
      <c r="AG16" s="20" t="str">
        <f>IF($B16="","",IF(OR($S16="Garis Lurus",$S16="Saldo Menurun",$S16="Unit Produksi"),MAX(0,MIN($Z16,IF($S16="Unit Produksi",TahunBuku*12+12,MIN(TahunBuku*12+12,$Y16+$T16*12-1)))-MAX(TahunBuku*12+1,$Y16)+1),0))</f>
        <v/>
      </c>
      <c r="AH16" s="21" t="str">
        <f>IF($B16="","",IFERROR(IF($W16="Garis Lurus",$G16*(1-MIN($V16*12,MAX(0,TahunBuku*12-$Y16+1))/($V16*12)),IF($W16="Saldo Menurun",IF(TahunBuku-1&lt;YEAR($F16),$G16,IF(TahunBuku-1&gt;=INT(($Y16+$V16*12-2)/12),0,$G16*(1-2/$V16*(13-MONTH($F16))/12)*(1-2/$V16)^(TahunBuku-1-YEAR($F16)))),$G16)),$G16))</f>
        <v/>
      </c>
      <c r="AI16" s="21" t="str">
        <f>IF($B16="","",IFERROR(IF($W16="Garis Lurus",$G16*(1-MIN($V16*12,MAX(0,TahunBuku*12+12-$Y16+1))/($V16*12)),IF($W16="Saldo Menurun",IF(TahunBuku&lt;YEAR($F16),$G16,IF(TahunBuku&gt;=INT(($Y16+$V16*12-2)/12),0,$G16*(1-2/$V16*(13-MONTH($F16))/12)*(1-2/$V16)^(TahunBuku-YEAR($F16)))),$G16)),$G16))</f>
        <v/>
      </c>
      <c r="AJ16" s="20" t="str">
        <f>IF($B16="","",IF(OR($W16="Garis Lurus",$W16="Saldo Menurun"),MAX(0,MIN(TahunBuku*12+12,$Y16+$V16*12-1)-MAX(TahunBuku*12+1,$Y16)+1),0))</f>
        <v/>
      </c>
      <c r="AK16" s="20" t="str">
        <f>IF($B16="","",IF(OR($W16="Garis Lurus",$W16="Saldo Menurun"),MAX(0,MIN($Z16,TahunBuku*12+12,$Y16+$V16*12-1)-MAX(TahunBuku*12+1,$Y16)+1),0))</f>
        <v/>
      </c>
      <c r="AL16" s="22" t="str">
        <f>IF($B16="","",$G16*$AA16)</f>
        <v/>
      </c>
      <c r="AM16" s="22" t="str">
        <f>IF($B16="","",$G16*$AB16)</f>
        <v/>
      </c>
      <c r="AN16" s="22" t="str">
        <f>IF($B16="","",$G16*$AC16)</f>
        <v/>
      </c>
      <c r="AO16" s="22" t="str">
        <f>IF($B16="","",AL16+AM16-AN16)</f>
        <v/>
      </c>
      <c r="AP16" s="22" t="str">
        <f>IF($B16="","",($G16-$AD16)*$AA16)</f>
        <v/>
      </c>
      <c r="AQ16" s="22" t="str">
        <f>IF($B16="","",IF($AF16=0,0,($AD16-$AE16)*$AG16/$AF16)*MAX($AA16,$AB16))</f>
        <v/>
      </c>
      <c r="AR16" s="22" t="str">
        <f>IF($B16="","",(AP16+AQ16)*$AC16)</f>
        <v/>
      </c>
      <c r="AS16" s="22" t="str">
        <f>IF($B16="","",AP16+AQ16-AR16)</f>
        <v/>
      </c>
      <c r="AT16" s="22" t="str">
        <f>IF($B16="","",AO16-AS16)</f>
        <v/>
      </c>
      <c r="AU16" s="22" t="str">
        <f>IF($B16="","",IF($AC16=1,N($R16)-($G16-AR16),0))</f>
        <v/>
      </c>
      <c r="AV16" s="22" t="str">
        <f>IF($B16="","",($G16-$AH16)*$AA16)</f>
        <v/>
      </c>
      <c r="AW16" s="22" t="str">
        <f>IF($B16="","",IF($AJ16=0,0,($AH16-$AI16)*$AK16/$AJ16)*MAX($AA16,$AB16))</f>
        <v/>
      </c>
      <c r="AX16" s="22" t="str">
        <f>IF($B16="","",(AV16+AW16)*$AC16)</f>
        <v/>
      </c>
      <c r="AY16" s="22" t="str">
        <f>IF($B16="","",AV16+AW16-AX16)</f>
        <v/>
      </c>
      <c r="AZ16" s="22" t="str">
        <f>IF($B16="","",AO16-AY16)</f>
        <v/>
      </c>
      <c r="BA16" s="22" t="str">
        <f>IF($B16="","",IF($AC16=1,N($R16)-($G16-AX16),0))</f>
        <v/>
      </c>
      <c r="BB16" s="22" t="str">
        <f>IF($B16="","",ROUND(AQ16-AW16,0))</f>
        <v/>
      </c>
      <c r="BC16" s="22" t="str">
        <f>IF($B16="","",ROUND(BA16-AU16,0))</f>
        <v/>
      </c>
      <c r="BD16" s="22" t="str">
        <f>IF($B16="","",BB16+BC16)</f>
        <v/>
      </c>
      <c r="BE16" s="22" t="str">
        <f>IF($B16="","",ROUND(AV16-AP16,0))</f>
        <v/>
      </c>
      <c r="BF16" s="22" t="str">
        <f>IF($B16="","",ROUND(AT16-AZ16,0))</f>
        <v/>
      </c>
      <c r="BG16" s="22" t="str">
        <f>IF($B16="","",ROUND(BF16*TarifPPh,0))</f>
        <v/>
      </c>
      <c r="BH16" t="str">
        <f>IF($B16="","",IF($D16="","Kategori kosong",IF($F16="","Tgl perolehan kosong",IF(N($H16)&gt;$G16,"Residu &gt; harga perolehan",IF(AND(LEFT($U16,8)="Bangunan",$W16="Saldo Menurun"),"Bangunan wajib Garis Lurus (Ps.11 UU PPh)",IF(AND($S16="Unit Produksi",N($K16)=0),"Isi kapasitas unit",IF(AND(OR($S16="Garis Lurus",$S16="Saldo Menurun"),N($T16)&lt;=0),"Umur komersial kosong",IF(AND(OR($W16="Garis Lurus",$W16="Saldo Menurun"),N($V16)&lt;=0),"Masa manfaat fiskal kosong",IF(AND($Q16&lt;&gt;"",$Q16&lt;$F16),"Tgl pelepasan &lt; perolehan","OK")))))))))</f>
        <v/>
      </c>
    </row>
    <row r="17" spans="1:60" x14ac:dyDescent="0.25">
      <c r="A17" t="str">
        <f>IF($B17="","",ROW()-6)</f>
        <v/>
      </c>
      <c r="B17" s="9"/>
      <c r="C17" s="9"/>
      <c r="D17" s="9"/>
      <c r="E17" s="9"/>
      <c r="F17" s="17"/>
      <c r="G17" s="18"/>
      <c r="H17" s="18"/>
      <c r="I17" s="9"/>
      <c r="J17" s="9"/>
      <c r="K17" s="19"/>
      <c r="L17" s="19"/>
      <c r="M17" s="19"/>
      <c r="N17" s="9"/>
      <c r="O17" s="9"/>
      <c r="P17" s="9"/>
      <c r="Q17" s="17"/>
      <c r="R17" s="18"/>
      <c r="S17" t="str">
        <f>IF($B17="","",IF($I17&lt;&gt;"",$I17,IFERROR(INDEX(Kat_Metode,MATCH($D17,Kat_Nama,0)),"")))</f>
        <v/>
      </c>
      <c r="T17" t="str">
        <f>IF($B17="","",IF($J17&lt;&gt;"",$J17,IFERROR(INDEX(Kat_Umur,MATCH($D17,Kat_Nama,0)),0)))</f>
        <v/>
      </c>
      <c r="U17" t="str">
        <f>IF($B17="","",IF($N17&lt;&gt;"",$N17,IFERROR(INDEX(Kat_Kelompok,MATCH($D17,Kat_Nama,0)),"")))</f>
        <v/>
      </c>
      <c r="V17" t="str">
        <f>IF($B17="","",IF($U17="Masa Manfaat Sebenarnya",N($O17),IFERROR(INDEX(Kel_Masa,MATCH($U17,Kel_Nama,0)),0)))</f>
        <v/>
      </c>
      <c r="W17" t="str">
        <f>IF($B17="","",IF($P17&lt;&gt;"",$P17,IF(OR($U17="Tidak Disusutkan",$V17=0),"Tidak Disusutkan","Garis Lurus")))</f>
        <v/>
      </c>
      <c r="X17" t="str">
        <f>IF($B17="","",IF($Y17&gt;TahunBuku*12+12,"Belum Diperoleh",IF($Z17&lt;=TahunBuku*12,"Dilepas (thn lalu)",IF($AC17=1,"Dilepas thn ini",IF($AB17=1,"Perolehan baru","Aktif")))))</f>
        <v/>
      </c>
      <c r="Y17" s="20" t="str">
        <f>IF($B17="","",YEAR($F17)*12+MONTH($F17))</f>
        <v/>
      </c>
      <c r="Z17" s="20" t="str">
        <f>IF($B17="","",IF($Q17="",99999,YEAR($Q17)*12+MONTH($Q17)))</f>
        <v/>
      </c>
      <c r="AA17" s="20" t="str">
        <f>IF($B17="","",--AND($Y17&lt;=TahunBuku*12,$Z17&gt;TahunBuku*12))</f>
        <v/>
      </c>
      <c r="AB17" s="20" t="str">
        <f>IF($B17="","",--AND($Y17&gt;TahunBuku*12,$Y17&lt;=TahunBuku*12+12))</f>
        <v/>
      </c>
      <c r="AC17" s="20" t="str">
        <f>IF($B17="","",--AND($Z17&gt;TahunBuku*12,$Z17&lt;=TahunBuku*12+12,$Y17&lt;=$Z17))</f>
        <v/>
      </c>
      <c r="AD17" s="21" t="str">
        <f>IF($B17="","",IFERROR(IF($S17="Garis Lurus",$G17-($G17-$H17)*MIN($T17*12,MAX(0,TahunBuku*12-$Y17+1))/($T17*12),IF($S17="Saldo Menurun",IF(TahunBuku-1&lt;YEAR($F17),$G17,IF(TahunBuku-1&gt;=INT(($Y17+$T17*12-2)/12),$H17,MAX($H17,$G17*(1-2/$T17*(13-MONTH($F17))/12)*(1-2/$T17)^(TahunBuku-1-YEAR($F17))))),IF($S17="Unit Produksi",$G17-($G17-$H17)*MIN(1,N($L17)/$K17),$G17))),$G17))</f>
        <v/>
      </c>
      <c r="AE17" s="21" t="str">
        <f>IF($B17="","",IFERROR(IF($S17="Garis Lurus",$G17-($G17-$H17)*MIN($T17*12,MAX(0,TahunBuku*12+12-$Y17+1))/($T17*12),IF($S17="Saldo Menurun",IF(TahunBuku&lt;YEAR($F17),$G17,IF(TahunBuku&gt;=INT(($Y17+$T17*12-2)/12),$H17,MAX($H17,$G17*(1-2/$T17*(13-MONTH($F17))/12)*(1-2/$T17)^(TahunBuku-YEAR($F17))))),IF($S17="Unit Produksi",$G17-($G17-$H17)*MIN(1,(N($L17)+N($M17))/$K17),$G17))),$G17))</f>
        <v/>
      </c>
      <c r="AF17" s="20" t="str">
        <f>IF($B17="","",IF(OR($S17="Garis Lurus",$S17="Saldo Menurun",$S17="Unit Produksi"),MAX(0,IF($S17="Unit Produksi",TahunBuku*12+12,MIN(TahunBuku*12+12,$Y17+$T17*12-1))-MAX(TahunBuku*12+1,$Y17)+1),0))</f>
        <v/>
      </c>
      <c r="AG17" s="20" t="str">
        <f>IF($B17="","",IF(OR($S17="Garis Lurus",$S17="Saldo Menurun",$S17="Unit Produksi"),MAX(0,MIN($Z17,IF($S17="Unit Produksi",TahunBuku*12+12,MIN(TahunBuku*12+12,$Y17+$T17*12-1)))-MAX(TahunBuku*12+1,$Y17)+1),0))</f>
        <v/>
      </c>
      <c r="AH17" s="21" t="str">
        <f>IF($B17="","",IFERROR(IF($W17="Garis Lurus",$G17*(1-MIN($V17*12,MAX(0,TahunBuku*12-$Y17+1))/($V17*12)),IF($W17="Saldo Menurun",IF(TahunBuku-1&lt;YEAR($F17),$G17,IF(TahunBuku-1&gt;=INT(($Y17+$V17*12-2)/12),0,$G17*(1-2/$V17*(13-MONTH($F17))/12)*(1-2/$V17)^(TahunBuku-1-YEAR($F17)))),$G17)),$G17))</f>
        <v/>
      </c>
      <c r="AI17" s="21" t="str">
        <f>IF($B17="","",IFERROR(IF($W17="Garis Lurus",$G17*(1-MIN($V17*12,MAX(0,TahunBuku*12+12-$Y17+1))/($V17*12)),IF($W17="Saldo Menurun",IF(TahunBuku&lt;YEAR($F17),$G17,IF(TahunBuku&gt;=INT(($Y17+$V17*12-2)/12),0,$G17*(1-2/$V17*(13-MONTH($F17))/12)*(1-2/$V17)^(TahunBuku-YEAR($F17)))),$G17)),$G17))</f>
        <v/>
      </c>
      <c r="AJ17" s="20" t="str">
        <f>IF($B17="","",IF(OR($W17="Garis Lurus",$W17="Saldo Menurun"),MAX(0,MIN(TahunBuku*12+12,$Y17+$V17*12-1)-MAX(TahunBuku*12+1,$Y17)+1),0))</f>
        <v/>
      </c>
      <c r="AK17" s="20" t="str">
        <f>IF($B17="","",IF(OR($W17="Garis Lurus",$W17="Saldo Menurun"),MAX(0,MIN($Z17,TahunBuku*12+12,$Y17+$V17*12-1)-MAX(TahunBuku*12+1,$Y17)+1),0))</f>
        <v/>
      </c>
      <c r="AL17" s="22" t="str">
        <f>IF($B17="","",$G17*$AA17)</f>
        <v/>
      </c>
      <c r="AM17" s="22" t="str">
        <f>IF($B17="","",$G17*$AB17)</f>
        <v/>
      </c>
      <c r="AN17" s="22" t="str">
        <f>IF($B17="","",$G17*$AC17)</f>
        <v/>
      </c>
      <c r="AO17" s="22" t="str">
        <f>IF($B17="","",AL17+AM17-AN17)</f>
        <v/>
      </c>
      <c r="AP17" s="22" t="str">
        <f>IF($B17="","",($G17-$AD17)*$AA17)</f>
        <v/>
      </c>
      <c r="AQ17" s="22" t="str">
        <f>IF($B17="","",IF($AF17=0,0,($AD17-$AE17)*$AG17/$AF17)*MAX($AA17,$AB17))</f>
        <v/>
      </c>
      <c r="AR17" s="22" t="str">
        <f>IF($B17="","",(AP17+AQ17)*$AC17)</f>
        <v/>
      </c>
      <c r="AS17" s="22" t="str">
        <f>IF($B17="","",AP17+AQ17-AR17)</f>
        <v/>
      </c>
      <c r="AT17" s="22" t="str">
        <f>IF($B17="","",AO17-AS17)</f>
        <v/>
      </c>
      <c r="AU17" s="22" t="str">
        <f>IF($B17="","",IF($AC17=1,N($R17)-($G17-AR17),0))</f>
        <v/>
      </c>
      <c r="AV17" s="22" t="str">
        <f>IF($B17="","",($G17-$AH17)*$AA17)</f>
        <v/>
      </c>
      <c r="AW17" s="22" t="str">
        <f>IF($B17="","",IF($AJ17=0,0,($AH17-$AI17)*$AK17/$AJ17)*MAX($AA17,$AB17))</f>
        <v/>
      </c>
      <c r="AX17" s="22" t="str">
        <f>IF($B17="","",(AV17+AW17)*$AC17)</f>
        <v/>
      </c>
      <c r="AY17" s="22" t="str">
        <f>IF($B17="","",AV17+AW17-AX17)</f>
        <v/>
      </c>
      <c r="AZ17" s="22" t="str">
        <f>IF($B17="","",AO17-AY17)</f>
        <v/>
      </c>
      <c r="BA17" s="22" t="str">
        <f>IF($B17="","",IF($AC17=1,N($R17)-($G17-AX17),0))</f>
        <v/>
      </c>
      <c r="BB17" s="22" t="str">
        <f>IF($B17="","",ROUND(AQ17-AW17,0))</f>
        <v/>
      </c>
      <c r="BC17" s="22" t="str">
        <f>IF($B17="","",ROUND(BA17-AU17,0))</f>
        <v/>
      </c>
      <c r="BD17" s="22" t="str">
        <f>IF($B17="","",BB17+BC17)</f>
        <v/>
      </c>
      <c r="BE17" s="22" t="str">
        <f>IF($B17="","",ROUND(AV17-AP17,0))</f>
        <v/>
      </c>
      <c r="BF17" s="22" t="str">
        <f>IF($B17="","",ROUND(AT17-AZ17,0))</f>
        <v/>
      </c>
      <c r="BG17" s="22" t="str">
        <f>IF($B17="","",ROUND(BF17*TarifPPh,0))</f>
        <v/>
      </c>
      <c r="BH17" t="str">
        <f>IF($B17="","",IF($D17="","Kategori kosong",IF($F17="","Tgl perolehan kosong",IF(N($H17)&gt;$G17,"Residu &gt; harga perolehan",IF(AND(LEFT($U17,8)="Bangunan",$W17="Saldo Menurun"),"Bangunan wajib Garis Lurus (Ps.11 UU PPh)",IF(AND($S17="Unit Produksi",N($K17)=0),"Isi kapasitas unit",IF(AND(OR($S17="Garis Lurus",$S17="Saldo Menurun"),N($T17)&lt;=0),"Umur komersial kosong",IF(AND(OR($W17="Garis Lurus",$W17="Saldo Menurun"),N($V17)&lt;=0),"Masa manfaat fiskal kosong",IF(AND($Q17&lt;&gt;"",$Q17&lt;$F17),"Tgl pelepasan &lt; perolehan","OK")))))))))</f>
        <v/>
      </c>
    </row>
    <row r="18" spans="1:60" x14ac:dyDescent="0.25">
      <c r="A18" t="str">
        <f>IF($B18="","",ROW()-6)</f>
        <v/>
      </c>
      <c r="B18" s="9"/>
      <c r="C18" s="9"/>
      <c r="D18" s="9"/>
      <c r="E18" s="9"/>
      <c r="F18" s="17"/>
      <c r="G18" s="18"/>
      <c r="H18" s="18"/>
      <c r="I18" s="9"/>
      <c r="J18" s="9"/>
      <c r="K18" s="19"/>
      <c r="L18" s="19"/>
      <c r="M18" s="19"/>
      <c r="N18" s="9"/>
      <c r="O18" s="9"/>
      <c r="P18" s="9"/>
      <c r="Q18" s="17"/>
      <c r="R18" s="18"/>
      <c r="S18" t="str">
        <f>IF($B18="","",IF($I18&lt;&gt;"",$I18,IFERROR(INDEX(Kat_Metode,MATCH($D18,Kat_Nama,0)),"")))</f>
        <v/>
      </c>
      <c r="T18" t="str">
        <f>IF($B18="","",IF($J18&lt;&gt;"",$J18,IFERROR(INDEX(Kat_Umur,MATCH($D18,Kat_Nama,0)),0)))</f>
        <v/>
      </c>
      <c r="U18" t="str">
        <f>IF($B18="","",IF($N18&lt;&gt;"",$N18,IFERROR(INDEX(Kat_Kelompok,MATCH($D18,Kat_Nama,0)),"")))</f>
        <v/>
      </c>
      <c r="V18" t="str">
        <f>IF($B18="","",IF($U18="Masa Manfaat Sebenarnya",N($O18),IFERROR(INDEX(Kel_Masa,MATCH($U18,Kel_Nama,0)),0)))</f>
        <v/>
      </c>
      <c r="W18" t="str">
        <f>IF($B18="","",IF($P18&lt;&gt;"",$P18,IF(OR($U18="Tidak Disusutkan",$V18=0),"Tidak Disusutkan","Garis Lurus")))</f>
        <v/>
      </c>
      <c r="X18" t="str">
        <f>IF($B18="","",IF($Y18&gt;TahunBuku*12+12,"Belum Diperoleh",IF($Z18&lt;=TahunBuku*12,"Dilepas (thn lalu)",IF($AC18=1,"Dilepas thn ini",IF($AB18=1,"Perolehan baru","Aktif")))))</f>
        <v/>
      </c>
      <c r="Y18" s="20" t="str">
        <f>IF($B18="","",YEAR($F18)*12+MONTH($F18))</f>
        <v/>
      </c>
      <c r="Z18" s="20" t="str">
        <f>IF($B18="","",IF($Q18="",99999,YEAR($Q18)*12+MONTH($Q18)))</f>
        <v/>
      </c>
      <c r="AA18" s="20" t="str">
        <f>IF($B18="","",--AND($Y18&lt;=TahunBuku*12,$Z18&gt;TahunBuku*12))</f>
        <v/>
      </c>
      <c r="AB18" s="20" t="str">
        <f>IF($B18="","",--AND($Y18&gt;TahunBuku*12,$Y18&lt;=TahunBuku*12+12))</f>
        <v/>
      </c>
      <c r="AC18" s="20" t="str">
        <f>IF($B18="","",--AND($Z18&gt;TahunBuku*12,$Z18&lt;=TahunBuku*12+12,$Y18&lt;=$Z18))</f>
        <v/>
      </c>
      <c r="AD18" s="21" t="str">
        <f>IF($B18="","",IFERROR(IF($S18="Garis Lurus",$G18-($G18-$H18)*MIN($T18*12,MAX(0,TahunBuku*12-$Y18+1))/($T18*12),IF($S18="Saldo Menurun",IF(TahunBuku-1&lt;YEAR($F18),$G18,IF(TahunBuku-1&gt;=INT(($Y18+$T18*12-2)/12),$H18,MAX($H18,$G18*(1-2/$T18*(13-MONTH($F18))/12)*(1-2/$T18)^(TahunBuku-1-YEAR($F18))))),IF($S18="Unit Produksi",$G18-($G18-$H18)*MIN(1,N($L18)/$K18),$G18))),$G18))</f>
        <v/>
      </c>
      <c r="AE18" s="21" t="str">
        <f>IF($B18="","",IFERROR(IF($S18="Garis Lurus",$G18-($G18-$H18)*MIN($T18*12,MAX(0,TahunBuku*12+12-$Y18+1))/($T18*12),IF($S18="Saldo Menurun",IF(TahunBuku&lt;YEAR($F18),$G18,IF(TahunBuku&gt;=INT(($Y18+$T18*12-2)/12),$H18,MAX($H18,$G18*(1-2/$T18*(13-MONTH($F18))/12)*(1-2/$T18)^(TahunBuku-YEAR($F18))))),IF($S18="Unit Produksi",$G18-($G18-$H18)*MIN(1,(N($L18)+N($M18))/$K18),$G18))),$G18))</f>
        <v/>
      </c>
      <c r="AF18" s="20" t="str">
        <f>IF($B18="","",IF(OR($S18="Garis Lurus",$S18="Saldo Menurun",$S18="Unit Produksi"),MAX(0,IF($S18="Unit Produksi",TahunBuku*12+12,MIN(TahunBuku*12+12,$Y18+$T18*12-1))-MAX(TahunBuku*12+1,$Y18)+1),0))</f>
        <v/>
      </c>
      <c r="AG18" s="20" t="str">
        <f>IF($B18="","",IF(OR($S18="Garis Lurus",$S18="Saldo Menurun",$S18="Unit Produksi"),MAX(0,MIN($Z18,IF($S18="Unit Produksi",TahunBuku*12+12,MIN(TahunBuku*12+12,$Y18+$T18*12-1)))-MAX(TahunBuku*12+1,$Y18)+1),0))</f>
        <v/>
      </c>
      <c r="AH18" s="21" t="str">
        <f>IF($B18="","",IFERROR(IF($W18="Garis Lurus",$G18*(1-MIN($V18*12,MAX(0,TahunBuku*12-$Y18+1))/($V18*12)),IF($W18="Saldo Menurun",IF(TahunBuku-1&lt;YEAR($F18),$G18,IF(TahunBuku-1&gt;=INT(($Y18+$V18*12-2)/12),0,$G18*(1-2/$V18*(13-MONTH($F18))/12)*(1-2/$V18)^(TahunBuku-1-YEAR($F18)))),$G18)),$G18))</f>
        <v/>
      </c>
      <c r="AI18" s="21" t="str">
        <f>IF($B18="","",IFERROR(IF($W18="Garis Lurus",$G18*(1-MIN($V18*12,MAX(0,TahunBuku*12+12-$Y18+1))/($V18*12)),IF($W18="Saldo Menurun",IF(TahunBuku&lt;YEAR($F18),$G18,IF(TahunBuku&gt;=INT(($Y18+$V18*12-2)/12),0,$G18*(1-2/$V18*(13-MONTH($F18))/12)*(1-2/$V18)^(TahunBuku-YEAR($F18)))),$G18)),$G18))</f>
        <v/>
      </c>
      <c r="AJ18" s="20" t="str">
        <f>IF($B18="","",IF(OR($W18="Garis Lurus",$W18="Saldo Menurun"),MAX(0,MIN(TahunBuku*12+12,$Y18+$V18*12-1)-MAX(TahunBuku*12+1,$Y18)+1),0))</f>
        <v/>
      </c>
      <c r="AK18" s="20" t="str">
        <f>IF($B18="","",IF(OR($W18="Garis Lurus",$W18="Saldo Menurun"),MAX(0,MIN($Z18,TahunBuku*12+12,$Y18+$V18*12-1)-MAX(TahunBuku*12+1,$Y18)+1),0))</f>
        <v/>
      </c>
      <c r="AL18" s="22" t="str">
        <f>IF($B18="","",$G18*$AA18)</f>
        <v/>
      </c>
      <c r="AM18" s="22" t="str">
        <f>IF($B18="","",$G18*$AB18)</f>
        <v/>
      </c>
      <c r="AN18" s="22" t="str">
        <f>IF($B18="","",$G18*$AC18)</f>
        <v/>
      </c>
      <c r="AO18" s="22" t="str">
        <f>IF($B18="","",AL18+AM18-AN18)</f>
        <v/>
      </c>
      <c r="AP18" s="22" t="str">
        <f>IF($B18="","",($G18-$AD18)*$AA18)</f>
        <v/>
      </c>
      <c r="AQ18" s="22" t="str">
        <f>IF($B18="","",IF($AF18=0,0,($AD18-$AE18)*$AG18/$AF18)*MAX($AA18,$AB18))</f>
        <v/>
      </c>
      <c r="AR18" s="22" t="str">
        <f>IF($B18="","",(AP18+AQ18)*$AC18)</f>
        <v/>
      </c>
      <c r="AS18" s="22" t="str">
        <f>IF($B18="","",AP18+AQ18-AR18)</f>
        <v/>
      </c>
      <c r="AT18" s="22" t="str">
        <f>IF($B18="","",AO18-AS18)</f>
        <v/>
      </c>
      <c r="AU18" s="22" t="str">
        <f>IF($B18="","",IF($AC18=1,N($R18)-($G18-AR18),0))</f>
        <v/>
      </c>
      <c r="AV18" s="22" t="str">
        <f>IF($B18="","",($G18-$AH18)*$AA18)</f>
        <v/>
      </c>
      <c r="AW18" s="22" t="str">
        <f>IF($B18="","",IF($AJ18=0,0,($AH18-$AI18)*$AK18/$AJ18)*MAX($AA18,$AB18))</f>
        <v/>
      </c>
      <c r="AX18" s="22" t="str">
        <f>IF($B18="","",(AV18+AW18)*$AC18)</f>
        <v/>
      </c>
      <c r="AY18" s="22" t="str">
        <f>IF($B18="","",AV18+AW18-AX18)</f>
        <v/>
      </c>
      <c r="AZ18" s="22" t="str">
        <f>IF($B18="","",AO18-AY18)</f>
        <v/>
      </c>
      <c r="BA18" s="22" t="str">
        <f>IF($B18="","",IF($AC18=1,N($R18)-($G18-AX18),0))</f>
        <v/>
      </c>
      <c r="BB18" s="22" t="str">
        <f>IF($B18="","",ROUND(AQ18-AW18,0))</f>
        <v/>
      </c>
      <c r="BC18" s="22" t="str">
        <f>IF($B18="","",ROUND(BA18-AU18,0))</f>
        <v/>
      </c>
      <c r="BD18" s="22" t="str">
        <f>IF($B18="","",BB18+BC18)</f>
        <v/>
      </c>
      <c r="BE18" s="22" t="str">
        <f>IF($B18="","",ROUND(AV18-AP18,0))</f>
        <v/>
      </c>
      <c r="BF18" s="22" t="str">
        <f>IF($B18="","",ROUND(AT18-AZ18,0))</f>
        <v/>
      </c>
      <c r="BG18" s="22" t="str">
        <f>IF($B18="","",ROUND(BF18*TarifPPh,0))</f>
        <v/>
      </c>
      <c r="BH18" t="str">
        <f>IF($B18="","",IF($D18="","Kategori kosong",IF($F18="","Tgl perolehan kosong",IF(N($H18)&gt;$G18,"Residu &gt; harga perolehan",IF(AND(LEFT($U18,8)="Bangunan",$W18="Saldo Menurun"),"Bangunan wajib Garis Lurus (Ps.11 UU PPh)",IF(AND($S18="Unit Produksi",N($K18)=0),"Isi kapasitas unit",IF(AND(OR($S18="Garis Lurus",$S18="Saldo Menurun"),N($T18)&lt;=0),"Umur komersial kosong",IF(AND(OR($W18="Garis Lurus",$W18="Saldo Menurun"),N($V18)&lt;=0),"Masa manfaat fiskal kosong",IF(AND($Q18&lt;&gt;"",$Q18&lt;$F18),"Tgl pelepasan &lt; perolehan","OK")))))))))</f>
        <v/>
      </c>
    </row>
    <row r="19" spans="1:60" x14ac:dyDescent="0.25">
      <c r="A19" t="str">
        <f>IF($B19="","",ROW()-6)</f>
        <v/>
      </c>
      <c r="B19" s="9"/>
      <c r="C19" s="9"/>
      <c r="D19" s="9"/>
      <c r="E19" s="9"/>
      <c r="F19" s="17"/>
      <c r="G19" s="18"/>
      <c r="H19" s="18"/>
      <c r="I19" s="9"/>
      <c r="J19" s="9"/>
      <c r="K19" s="19"/>
      <c r="L19" s="19"/>
      <c r="M19" s="19"/>
      <c r="N19" s="9"/>
      <c r="O19" s="9"/>
      <c r="P19" s="9"/>
      <c r="Q19" s="17"/>
      <c r="R19" s="18"/>
      <c r="S19" t="str">
        <f>IF($B19="","",IF($I19&lt;&gt;"",$I19,IFERROR(INDEX(Kat_Metode,MATCH($D19,Kat_Nama,0)),"")))</f>
        <v/>
      </c>
      <c r="T19" t="str">
        <f>IF($B19="","",IF($J19&lt;&gt;"",$J19,IFERROR(INDEX(Kat_Umur,MATCH($D19,Kat_Nama,0)),0)))</f>
        <v/>
      </c>
      <c r="U19" t="str">
        <f>IF($B19="","",IF($N19&lt;&gt;"",$N19,IFERROR(INDEX(Kat_Kelompok,MATCH($D19,Kat_Nama,0)),"")))</f>
        <v/>
      </c>
      <c r="V19" t="str">
        <f>IF($B19="","",IF($U19="Masa Manfaat Sebenarnya",N($O19),IFERROR(INDEX(Kel_Masa,MATCH($U19,Kel_Nama,0)),0)))</f>
        <v/>
      </c>
      <c r="W19" t="str">
        <f>IF($B19="","",IF($P19&lt;&gt;"",$P19,IF(OR($U19="Tidak Disusutkan",$V19=0),"Tidak Disusutkan","Garis Lurus")))</f>
        <v/>
      </c>
      <c r="X19" t="str">
        <f>IF($B19="","",IF($Y19&gt;TahunBuku*12+12,"Belum Diperoleh",IF($Z19&lt;=TahunBuku*12,"Dilepas (thn lalu)",IF($AC19=1,"Dilepas thn ini",IF($AB19=1,"Perolehan baru","Aktif")))))</f>
        <v/>
      </c>
      <c r="Y19" s="20" t="str">
        <f>IF($B19="","",YEAR($F19)*12+MONTH($F19))</f>
        <v/>
      </c>
      <c r="Z19" s="20" t="str">
        <f>IF($B19="","",IF($Q19="",99999,YEAR($Q19)*12+MONTH($Q19)))</f>
        <v/>
      </c>
      <c r="AA19" s="20" t="str">
        <f>IF($B19="","",--AND($Y19&lt;=TahunBuku*12,$Z19&gt;TahunBuku*12))</f>
        <v/>
      </c>
      <c r="AB19" s="20" t="str">
        <f>IF($B19="","",--AND($Y19&gt;TahunBuku*12,$Y19&lt;=TahunBuku*12+12))</f>
        <v/>
      </c>
      <c r="AC19" s="20" t="str">
        <f>IF($B19="","",--AND($Z19&gt;TahunBuku*12,$Z19&lt;=TahunBuku*12+12,$Y19&lt;=$Z19))</f>
        <v/>
      </c>
      <c r="AD19" s="21" t="str">
        <f>IF($B19="","",IFERROR(IF($S19="Garis Lurus",$G19-($G19-$H19)*MIN($T19*12,MAX(0,TahunBuku*12-$Y19+1))/($T19*12),IF($S19="Saldo Menurun",IF(TahunBuku-1&lt;YEAR($F19),$G19,IF(TahunBuku-1&gt;=INT(($Y19+$T19*12-2)/12),$H19,MAX($H19,$G19*(1-2/$T19*(13-MONTH($F19))/12)*(1-2/$T19)^(TahunBuku-1-YEAR($F19))))),IF($S19="Unit Produksi",$G19-($G19-$H19)*MIN(1,N($L19)/$K19),$G19))),$G19))</f>
        <v/>
      </c>
      <c r="AE19" s="21" t="str">
        <f>IF($B19="","",IFERROR(IF($S19="Garis Lurus",$G19-($G19-$H19)*MIN($T19*12,MAX(0,TahunBuku*12+12-$Y19+1))/($T19*12),IF($S19="Saldo Menurun",IF(TahunBuku&lt;YEAR($F19),$G19,IF(TahunBuku&gt;=INT(($Y19+$T19*12-2)/12),$H19,MAX($H19,$G19*(1-2/$T19*(13-MONTH($F19))/12)*(1-2/$T19)^(TahunBuku-YEAR($F19))))),IF($S19="Unit Produksi",$G19-($G19-$H19)*MIN(1,(N($L19)+N($M19))/$K19),$G19))),$G19))</f>
        <v/>
      </c>
      <c r="AF19" s="20" t="str">
        <f>IF($B19="","",IF(OR($S19="Garis Lurus",$S19="Saldo Menurun",$S19="Unit Produksi"),MAX(0,IF($S19="Unit Produksi",TahunBuku*12+12,MIN(TahunBuku*12+12,$Y19+$T19*12-1))-MAX(TahunBuku*12+1,$Y19)+1),0))</f>
        <v/>
      </c>
      <c r="AG19" s="20" t="str">
        <f>IF($B19="","",IF(OR($S19="Garis Lurus",$S19="Saldo Menurun",$S19="Unit Produksi"),MAX(0,MIN($Z19,IF($S19="Unit Produksi",TahunBuku*12+12,MIN(TahunBuku*12+12,$Y19+$T19*12-1)))-MAX(TahunBuku*12+1,$Y19)+1),0))</f>
        <v/>
      </c>
      <c r="AH19" s="21" t="str">
        <f>IF($B19="","",IFERROR(IF($W19="Garis Lurus",$G19*(1-MIN($V19*12,MAX(0,TahunBuku*12-$Y19+1))/($V19*12)),IF($W19="Saldo Menurun",IF(TahunBuku-1&lt;YEAR($F19),$G19,IF(TahunBuku-1&gt;=INT(($Y19+$V19*12-2)/12),0,$G19*(1-2/$V19*(13-MONTH($F19))/12)*(1-2/$V19)^(TahunBuku-1-YEAR($F19)))),$G19)),$G19))</f>
        <v/>
      </c>
      <c r="AI19" s="21" t="str">
        <f>IF($B19="","",IFERROR(IF($W19="Garis Lurus",$G19*(1-MIN($V19*12,MAX(0,TahunBuku*12+12-$Y19+1))/($V19*12)),IF($W19="Saldo Menurun",IF(TahunBuku&lt;YEAR($F19),$G19,IF(TahunBuku&gt;=INT(($Y19+$V19*12-2)/12),0,$G19*(1-2/$V19*(13-MONTH($F19))/12)*(1-2/$V19)^(TahunBuku-YEAR($F19)))),$G19)),$G19))</f>
        <v/>
      </c>
      <c r="AJ19" s="20" t="str">
        <f>IF($B19="","",IF(OR($W19="Garis Lurus",$W19="Saldo Menurun"),MAX(0,MIN(TahunBuku*12+12,$Y19+$V19*12-1)-MAX(TahunBuku*12+1,$Y19)+1),0))</f>
        <v/>
      </c>
      <c r="AK19" s="20" t="str">
        <f>IF($B19="","",IF(OR($W19="Garis Lurus",$W19="Saldo Menurun"),MAX(0,MIN($Z19,TahunBuku*12+12,$Y19+$V19*12-1)-MAX(TahunBuku*12+1,$Y19)+1),0))</f>
        <v/>
      </c>
      <c r="AL19" s="22" t="str">
        <f>IF($B19="","",$G19*$AA19)</f>
        <v/>
      </c>
      <c r="AM19" s="22" t="str">
        <f>IF($B19="","",$G19*$AB19)</f>
        <v/>
      </c>
      <c r="AN19" s="22" t="str">
        <f>IF($B19="","",$G19*$AC19)</f>
        <v/>
      </c>
      <c r="AO19" s="22" t="str">
        <f>IF($B19="","",AL19+AM19-AN19)</f>
        <v/>
      </c>
      <c r="AP19" s="22" t="str">
        <f>IF($B19="","",($G19-$AD19)*$AA19)</f>
        <v/>
      </c>
      <c r="AQ19" s="22" t="str">
        <f>IF($B19="","",IF($AF19=0,0,($AD19-$AE19)*$AG19/$AF19)*MAX($AA19,$AB19))</f>
        <v/>
      </c>
      <c r="AR19" s="22" t="str">
        <f>IF($B19="","",(AP19+AQ19)*$AC19)</f>
        <v/>
      </c>
      <c r="AS19" s="22" t="str">
        <f>IF($B19="","",AP19+AQ19-AR19)</f>
        <v/>
      </c>
      <c r="AT19" s="22" t="str">
        <f>IF($B19="","",AO19-AS19)</f>
        <v/>
      </c>
      <c r="AU19" s="22" t="str">
        <f>IF($B19="","",IF($AC19=1,N($R19)-($G19-AR19),0))</f>
        <v/>
      </c>
      <c r="AV19" s="22" t="str">
        <f>IF($B19="","",($G19-$AH19)*$AA19)</f>
        <v/>
      </c>
      <c r="AW19" s="22" t="str">
        <f>IF($B19="","",IF($AJ19=0,0,($AH19-$AI19)*$AK19/$AJ19)*MAX($AA19,$AB19))</f>
        <v/>
      </c>
      <c r="AX19" s="22" t="str">
        <f>IF($B19="","",(AV19+AW19)*$AC19)</f>
        <v/>
      </c>
      <c r="AY19" s="22" t="str">
        <f>IF($B19="","",AV19+AW19-AX19)</f>
        <v/>
      </c>
      <c r="AZ19" s="22" t="str">
        <f>IF($B19="","",AO19-AY19)</f>
        <v/>
      </c>
      <c r="BA19" s="22" t="str">
        <f>IF($B19="","",IF($AC19=1,N($R19)-($G19-AX19),0))</f>
        <v/>
      </c>
      <c r="BB19" s="22" t="str">
        <f>IF($B19="","",ROUND(AQ19-AW19,0))</f>
        <v/>
      </c>
      <c r="BC19" s="22" t="str">
        <f>IF($B19="","",ROUND(BA19-AU19,0))</f>
        <v/>
      </c>
      <c r="BD19" s="22" t="str">
        <f>IF($B19="","",BB19+BC19)</f>
        <v/>
      </c>
      <c r="BE19" s="22" t="str">
        <f>IF($B19="","",ROUND(AV19-AP19,0))</f>
        <v/>
      </c>
      <c r="BF19" s="22" t="str">
        <f>IF($B19="","",ROUND(AT19-AZ19,0))</f>
        <v/>
      </c>
      <c r="BG19" s="22" t="str">
        <f>IF($B19="","",ROUND(BF19*TarifPPh,0))</f>
        <v/>
      </c>
      <c r="BH19" t="str">
        <f>IF($B19="","",IF($D19="","Kategori kosong",IF($F19="","Tgl perolehan kosong",IF(N($H19)&gt;$G19,"Residu &gt; harga perolehan",IF(AND(LEFT($U19,8)="Bangunan",$W19="Saldo Menurun"),"Bangunan wajib Garis Lurus (Ps.11 UU PPh)",IF(AND($S19="Unit Produksi",N($K19)=0),"Isi kapasitas unit",IF(AND(OR($S19="Garis Lurus",$S19="Saldo Menurun"),N($T19)&lt;=0),"Umur komersial kosong",IF(AND(OR($W19="Garis Lurus",$W19="Saldo Menurun"),N($V19)&lt;=0),"Masa manfaat fiskal kosong",IF(AND($Q19&lt;&gt;"",$Q19&lt;$F19),"Tgl pelepasan &lt; perolehan","OK")))))))))</f>
        <v/>
      </c>
    </row>
    <row r="20" spans="1:60" x14ac:dyDescent="0.25">
      <c r="A20" t="str">
        <f>IF($B20="","",ROW()-6)</f>
        <v/>
      </c>
      <c r="B20" s="9"/>
      <c r="C20" s="9"/>
      <c r="D20" s="9"/>
      <c r="E20" s="9"/>
      <c r="F20" s="17"/>
      <c r="G20" s="18"/>
      <c r="H20" s="18"/>
      <c r="I20" s="9"/>
      <c r="J20" s="9"/>
      <c r="K20" s="19"/>
      <c r="L20" s="19"/>
      <c r="M20" s="19"/>
      <c r="N20" s="9"/>
      <c r="O20" s="9"/>
      <c r="P20" s="9"/>
      <c r="Q20" s="17"/>
      <c r="R20" s="18"/>
      <c r="S20" t="str">
        <f>IF($B20="","",IF($I20&lt;&gt;"",$I20,IFERROR(INDEX(Kat_Metode,MATCH($D20,Kat_Nama,0)),"")))</f>
        <v/>
      </c>
      <c r="T20" t="str">
        <f>IF($B20="","",IF($J20&lt;&gt;"",$J20,IFERROR(INDEX(Kat_Umur,MATCH($D20,Kat_Nama,0)),0)))</f>
        <v/>
      </c>
      <c r="U20" t="str">
        <f>IF($B20="","",IF($N20&lt;&gt;"",$N20,IFERROR(INDEX(Kat_Kelompok,MATCH($D20,Kat_Nama,0)),"")))</f>
        <v/>
      </c>
      <c r="V20" t="str">
        <f>IF($B20="","",IF($U20="Masa Manfaat Sebenarnya",N($O20),IFERROR(INDEX(Kel_Masa,MATCH($U20,Kel_Nama,0)),0)))</f>
        <v/>
      </c>
      <c r="W20" t="str">
        <f>IF($B20="","",IF($P20&lt;&gt;"",$P20,IF(OR($U20="Tidak Disusutkan",$V20=0),"Tidak Disusutkan","Garis Lurus")))</f>
        <v/>
      </c>
      <c r="X20" t="str">
        <f>IF($B20="","",IF($Y20&gt;TahunBuku*12+12,"Belum Diperoleh",IF($Z20&lt;=TahunBuku*12,"Dilepas (thn lalu)",IF($AC20=1,"Dilepas thn ini",IF($AB20=1,"Perolehan baru","Aktif")))))</f>
        <v/>
      </c>
      <c r="Y20" s="20" t="str">
        <f>IF($B20="","",YEAR($F20)*12+MONTH($F20))</f>
        <v/>
      </c>
      <c r="Z20" s="20" t="str">
        <f>IF($B20="","",IF($Q20="",99999,YEAR($Q20)*12+MONTH($Q20)))</f>
        <v/>
      </c>
      <c r="AA20" s="20" t="str">
        <f>IF($B20="","",--AND($Y20&lt;=TahunBuku*12,$Z20&gt;TahunBuku*12))</f>
        <v/>
      </c>
      <c r="AB20" s="20" t="str">
        <f>IF($B20="","",--AND($Y20&gt;TahunBuku*12,$Y20&lt;=TahunBuku*12+12))</f>
        <v/>
      </c>
      <c r="AC20" s="20" t="str">
        <f>IF($B20="","",--AND($Z20&gt;TahunBuku*12,$Z20&lt;=TahunBuku*12+12,$Y20&lt;=$Z20))</f>
        <v/>
      </c>
      <c r="AD20" s="21" t="str">
        <f>IF($B20="","",IFERROR(IF($S20="Garis Lurus",$G20-($G20-$H20)*MIN($T20*12,MAX(0,TahunBuku*12-$Y20+1))/($T20*12),IF($S20="Saldo Menurun",IF(TahunBuku-1&lt;YEAR($F20),$G20,IF(TahunBuku-1&gt;=INT(($Y20+$T20*12-2)/12),$H20,MAX($H20,$G20*(1-2/$T20*(13-MONTH($F20))/12)*(1-2/$T20)^(TahunBuku-1-YEAR($F20))))),IF($S20="Unit Produksi",$G20-($G20-$H20)*MIN(1,N($L20)/$K20),$G20))),$G20))</f>
        <v/>
      </c>
      <c r="AE20" s="21" t="str">
        <f>IF($B20="","",IFERROR(IF($S20="Garis Lurus",$G20-($G20-$H20)*MIN($T20*12,MAX(0,TahunBuku*12+12-$Y20+1))/($T20*12),IF($S20="Saldo Menurun",IF(TahunBuku&lt;YEAR($F20),$G20,IF(TahunBuku&gt;=INT(($Y20+$T20*12-2)/12),$H20,MAX($H20,$G20*(1-2/$T20*(13-MONTH($F20))/12)*(1-2/$T20)^(TahunBuku-YEAR($F20))))),IF($S20="Unit Produksi",$G20-($G20-$H20)*MIN(1,(N($L20)+N($M20))/$K20),$G20))),$G20))</f>
        <v/>
      </c>
      <c r="AF20" s="20" t="str">
        <f>IF($B20="","",IF(OR($S20="Garis Lurus",$S20="Saldo Menurun",$S20="Unit Produksi"),MAX(0,IF($S20="Unit Produksi",TahunBuku*12+12,MIN(TahunBuku*12+12,$Y20+$T20*12-1))-MAX(TahunBuku*12+1,$Y20)+1),0))</f>
        <v/>
      </c>
      <c r="AG20" s="20" t="str">
        <f>IF($B20="","",IF(OR($S20="Garis Lurus",$S20="Saldo Menurun",$S20="Unit Produksi"),MAX(0,MIN($Z20,IF($S20="Unit Produksi",TahunBuku*12+12,MIN(TahunBuku*12+12,$Y20+$T20*12-1)))-MAX(TahunBuku*12+1,$Y20)+1),0))</f>
        <v/>
      </c>
      <c r="AH20" s="21" t="str">
        <f>IF($B20="","",IFERROR(IF($W20="Garis Lurus",$G20*(1-MIN($V20*12,MAX(0,TahunBuku*12-$Y20+1))/($V20*12)),IF($W20="Saldo Menurun",IF(TahunBuku-1&lt;YEAR($F20),$G20,IF(TahunBuku-1&gt;=INT(($Y20+$V20*12-2)/12),0,$G20*(1-2/$V20*(13-MONTH($F20))/12)*(1-2/$V20)^(TahunBuku-1-YEAR($F20)))),$G20)),$G20))</f>
        <v/>
      </c>
      <c r="AI20" s="21" t="str">
        <f>IF($B20="","",IFERROR(IF($W20="Garis Lurus",$G20*(1-MIN($V20*12,MAX(0,TahunBuku*12+12-$Y20+1))/($V20*12)),IF($W20="Saldo Menurun",IF(TahunBuku&lt;YEAR($F20),$G20,IF(TahunBuku&gt;=INT(($Y20+$V20*12-2)/12),0,$G20*(1-2/$V20*(13-MONTH($F20))/12)*(1-2/$V20)^(TahunBuku-YEAR($F20)))),$G20)),$G20))</f>
        <v/>
      </c>
      <c r="AJ20" s="20" t="str">
        <f>IF($B20="","",IF(OR($W20="Garis Lurus",$W20="Saldo Menurun"),MAX(0,MIN(TahunBuku*12+12,$Y20+$V20*12-1)-MAX(TahunBuku*12+1,$Y20)+1),0))</f>
        <v/>
      </c>
      <c r="AK20" s="20" t="str">
        <f>IF($B20="","",IF(OR($W20="Garis Lurus",$W20="Saldo Menurun"),MAX(0,MIN($Z20,TahunBuku*12+12,$Y20+$V20*12-1)-MAX(TahunBuku*12+1,$Y20)+1),0))</f>
        <v/>
      </c>
      <c r="AL20" s="22" t="str">
        <f>IF($B20="","",$G20*$AA20)</f>
        <v/>
      </c>
      <c r="AM20" s="22" t="str">
        <f>IF($B20="","",$G20*$AB20)</f>
        <v/>
      </c>
      <c r="AN20" s="22" t="str">
        <f>IF($B20="","",$G20*$AC20)</f>
        <v/>
      </c>
      <c r="AO20" s="22" t="str">
        <f>IF($B20="","",AL20+AM20-AN20)</f>
        <v/>
      </c>
      <c r="AP20" s="22" t="str">
        <f>IF($B20="","",($G20-$AD20)*$AA20)</f>
        <v/>
      </c>
      <c r="AQ20" s="22" t="str">
        <f>IF($B20="","",IF($AF20=0,0,($AD20-$AE20)*$AG20/$AF20)*MAX($AA20,$AB20))</f>
        <v/>
      </c>
      <c r="AR20" s="22" t="str">
        <f>IF($B20="","",(AP20+AQ20)*$AC20)</f>
        <v/>
      </c>
      <c r="AS20" s="22" t="str">
        <f>IF($B20="","",AP20+AQ20-AR20)</f>
        <v/>
      </c>
      <c r="AT20" s="22" t="str">
        <f>IF($B20="","",AO20-AS20)</f>
        <v/>
      </c>
      <c r="AU20" s="22" t="str">
        <f>IF($B20="","",IF($AC20=1,N($R20)-($G20-AR20),0))</f>
        <v/>
      </c>
      <c r="AV20" s="22" t="str">
        <f>IF($B20="","",($G20-$AH20)*$AA20)</f>
        <v/>
      </c>
      <c r="AW20" s="22" t="str">
        <f>IF($B20="","",IF($AJ20=0,0,($AH20-$AI20)*$AK20/$AJ20)*MAX($AA20,$AB20))</f>
        <v/>
      </c>
      <c r="AX20" s="22" t="str">
        <f>IF($B20="","",(AV20+AW20)*$AC20)</f>
        <v/>
      </c>
      <c r="AY20" s="22" t="str">
        <f>IF($B20="","",AV20+AW20-AX20)</f>
        <v/>
      </c>
      <c r="AZ20" s="22" t="str">
        <f>IF($B20="","",AO20-AY20)</f>
        <v/>
      </c>
      <c r="BA20" s="22" t="str">
        <f>IF($B20="","",IF($AC20=1,N($R20)-($G20-AX20),0))</f>
        <v/>
      </c>
      <c r="BB20" s="22" t="str">
        <f>IF($B20="","",ROUND(AQ20-AW20,0))</f>
        <v/>
      </c>
      <c r="BC20" s="22" t="str">
        <f>IF($B20="","",ROUND(BA20-AU20,0))</f>
        <v/>
      </c>
      <c r="BD20" s="22" t="str">
        <f>IF($B20="","",BB20+BC20)</f>
        <v/>
      </c>
      <c r="BE20" s="22" t="str">
        <f>IF($B20="","",ROUND(AV20-AP20,0))</f>
        <v/>
      </c>
      <c r="BF20" s="22" t="str">
        <f>IF($B20="","",ROUND(AT20-AZ20,0))</f>
        <v/>
      </c>
      <c r="BG20" s="22" t="str">
        <f>IF($B20="","",ROUND(BF20*TarifPPh,0))</f>
        <v/>
      </c>
      <c r="BH20" t="str">
        <f>IF($B20="","",IF($D20="","Kategori kosong",IF($F20="","Tgl perolehan kosong",IF(N($H20)&gt;$G20,"Residu &gt; harga perolehan",IF(AND(LEFT($U20,8)="Bangunan",$W20="Saldo Menurun"),"Bangunan wajib Garis Lurus (Ps.11 UU PPh)",IF(AND($S20="Unit Produksi",N($K20)=0),"Isi kapasitas unit",IF(AND(OR($S20="Garis Lurus",$S20="Saldo Menurun"),N($T20)&lt;=0),"Umur komersial kosong",IF(AND(OR($W20="Garis Lurus",$W20="Saldo Menurun"),N($V20)&lt;=0),"Masa manfaat fiskal kosong",IF(AND($Q20&lt;&gt;"",$Q20&lt;$F20),"Tgl pelepasan &lt; perolehan","OK")))))))))</f>
        <v/>
      </c>
    </row>
    <row r="21" spans="1:60" x14ac:dyDescent="0.25">
      <c r="A21" t="str">
        <f>IF($B21="","",ROW()-6)</f>
        <v/>
      </c>
      <c r="B21" s="9"/>
      <c r="C21" s="9"/>
      <c r="D21" s="9"/>
      <c r="E21" s="9"/>
      <c r="F21" s="17"/>
      <c r="G21" s="18"/>
      <c r="H21" s="18"/>
      <c r="I21" s="9"/>
      <c r="J21" s="9"/>
      <c r="K21" s="19"/>
      <c r="L21" s="19"/>
      <c r="M21" s="19"/>
      <c r="N21" s="9"/>
      <c r="O21" s="9"/>
      <c r="P21" s="9"/>
      <c r="Q21" s="17"/>
      <c r="R21" s="18"/>
      <c r="S21" t="str">
        <f>IF($B21="","",IF($I21&lt;&gt;"",$I21,IFERROR(INDEX(Kat_Metode,MATCH($D21,Kat_Nama,0)),"")))</f>
        <v/>
      </c>
      <c r="T21" t="str">
        <f>IF($B21="","",IF($J21&lt;&gt;"",$J21,IFERROR(INDEX(Kat_Umur,MATCH($D21,Kat_Nama,0)),0)))</f>
        <v/>
      </c>
      <c r="U21" t="str">
        <f>IF($B21="","",IF($N21&lt;&gt;"",$N21,IFERROR(INDEX(Kat_Kelompok,MATCH($D21,Kat_Nama,0)),"")))</f>
        <v/>
      </c>
      <c r="V21" t="str">
        <f>IF($B21="","",IF($U21="Masa Manfaat Sebenarnya",N($O21),IFERROR(INDEX(Kel_Masa,MATCH($U21,Kel_Nama,0)),0)))</f>
        <v/>
      </c>
      <c r="W21" t="str">
        <f>IF($B21="","",IF($P21&lt;&gt;"",$P21,IF(OR($U21="Tidak Disusutkan",$V21=0),"Tidak Disusutkan","Garis Lurus")))</f>
        <v/>
      </c>
      <c r="X21" t="str">
        <f>IF($B21="","",IF($Y21&gt;TahunBuku*12+12,"Belum Diperoleh",IF($Z21&lt;=TahunBuku*12,"Dilepas (thn lalu)",IF($AC21=1,"Dilepas thn ini",IF($AB21=1,"Perolehan baru","Aktif")))))</f>
        <v/>
      </c>
      <c r="Y21" s="20" t="str">
        <f>IF($B21="","",YEAR($F21)*12+MONTH($F21))</f>
        <v/>
      </c>
      <c r="Z21" s="20" t="str">
        <f>IF($B21="","",IF($Q21="",99999,YEAR($Q21)*12+MONTH($Q21)))</f>
        <v/>
      </c>
      <c r="AA21" s="20" t="str">
        <f>IF($B21="","",--AND($Y21&lt;=TahunBuku*12,$Z21&gt;TahunBuku*12))</f>
        <v/>
      </c>
      <c r="AB21" s="20" t="str">
        <f>IF($B21="","",--AND($Y21&gt;TahunBuku*12,$Y21&lt;=TahunBuku*12+12))</f>
        <v/>
      </c>
      <c r="AC21" s="20" t="str">
        <f>IF($B21="","",--AND($Z21&gt;TahunBuku*12,$Z21&lt;=TahunBuku*12+12,$Y21&lt;=$Z21))</f>
        <v/>
      </c>
      <c r="AD21" s="21" t="str">
        <f>IF($B21="","",IFERROR(IF($S21="Garis Lurus",$G21-($G21-$H21)*MIN($T21*12,MAX(0,TahunBuku*12-$Y21+1))/($T21*12),IF($S21="Saldo Menurun",IF(TahunBuku-1&lt;YEAR($F21),$G21,IF(TahunBuku-1&gt;=INT(($Y21+$T21*12-2)/12),$H21,MAX($H21,$G21*(1-2/$T21*(13-MONTH($F21))/12)*(1-2/$T21)^(TahunBuku-1-YEAR($F21))))),IF($S21="Unit Produksi",$G21-($G21-$H21)*MIN(1,N($L21)/$K21),$G21))),$G21))</f>
        <v/>
      </c>
      <c r="AE21" s="21" t="str">
        <f>IF($B21="","",IFERROR(IF($S21="Garis Lurus",$G21-($G21-$H21)*MIN($T21*12,MAX(0,TahunBuku*12+12-$Y21+1))/($T21*12),IF($S21="Saldo Menurun",IF(TahunBuku&lt;YEAR($F21),$G21,IF(TahunBuku&gt;=INT(($Y21+$T21*12-2)/12),$H21,MAX($H21,$G21*(1-2/$T21*(13-MONTH($F21))/12)*(1-2/$T21)^(TahunBuku-YEAR($F21))))),IF($S21="Unit Produksi",$G21-($G21-$H21)*MIN(1,(N($L21)+N($M21))/$K21),$G21))),$G21))</f>
        <v/>
      </c>
      <c r="AF21" s="20" t="str">
        <f>IF($B21="","",IF(OR($S21="Garis Lurus",$S21="Saldo Menurun",$S21="Unit Produksi"),MAX(0,IF($S21="Unit Produksi",TahunBuku*12+12,MIN(TahunBuku*12+12,$Y21+$T21*12-1))-MAX(TahunBuku*12+1,$Y21)+1),0))</f>
        <v/>
      </c>
      <c r="AG21" s="20" t="str">
        <f>IF($B21="","",IF(OR($S21="Garis Lurus",$S21="Saldo Menurun",$S21="Unit Produksi"),MAX(0,MIN($Z21,IF($S21="Unit Produksi",TahunBuku*12+12,MIN(TahunBuku*12+12,$Y21+$T21*12-1)))-MAX(TahunBuku*12+1,$Y21)+1),0))</f>
        <v/>
      </c>
      <c r="AH21" s="21" t="str">
        <f>IF($B21="","",IFERROR(IF($W21="Garis Lurus",$G21*(1-MIN($V21*12,MAX(0,TahunBuku*12-$Y21+1))/($V21*12)),IF($W21="Saldo Menurun",IF(TahunBuku-1&lt;YEAR($F21),$G21,IF(TahunBuku-1&gt;=INT(($Y21+$V21*12-2)/12),0,$G21*(1-2/$V21*(13-MONTH($F21))/12)*(1-2/$V21)^(TahunBuku-1-YEAR($F21)))),$G21)),$G21))</f>
        <v/>
      </c>
      <c r="AI21" s="21" t="str">
        <f>IF($B21="","",IFERROR(IF($W21="Garis Lurus",$G21*(1-MIN($V21*12,MAX(0,TahunBuku*12+12-$Y21+1))/($V21*12)),IF($W21="Saldo Menurun",IF(TahunBuku&lt;YEAR($F21),$G21,IF(TahunBuku&gt;=INT(($Y21+$V21*12-2)/12),0,$G21*(1-2/$V21*(13-MONTH($F21))/12)*(1-2/$V21)^(TahunBuku-YEAR($F21)))),$G21)),$G21))</f>
        <v/>
      </c>
      <c r="AJ21" s="20" t="str">
        <f>IF($B21="","",IF(OR($W21="Garis Lurus",$W21="Saldo Menurun"),MAX(0,MIN(TahunBuku*12+12,$Y21+$V21*12-1)-MAX(TahunBuku*12+1,$Y21)+1),0))</f>
        <v/>
      </c>
      <c r="AK21" s="20" t="str">
        <f>IF($B21="","",IF(OR($W21="Garis Lurus",$W21="Saldo Menurun"),MAX(0,MIN($Z21,TahunBuku*12+12,$Y21+$V21*12-1)-MAX(TahunBuku*12+1,$Y21)+1),0))</f>
        <v/>
      </c>
      <c r="AL21" s="22" t="str">
        <f>IF($B21="","",$G21*$AA21)</f>
        <v/>
      </c>
      <c r="AM21" s="22" t="str">
        <f>IF($B21="","",$G21*$AB21)</f>
        <v/>
      </c>
      <c r="AN21" s="22" t="str">
        <f>IF($B21="","",$G21*$AC21)</f>
        <v/>
      </c>
      <c r="AO21" s="22" t="str">
        <f>IF($B21="","",AL21+AM21-AN21)</f>
        <v/>
      </c>
      <c r="AP21" s="22" t="str">
        <f>IF($B21="","",($G21-$AD21)*$AA21)</f>
        <v/>
      </c>
      <c r="AQ21" s="22" t="str">
        <f>IF($B21="","",IF($AF21=0,0,($AD21-$AE21)*$AG21/$AF21)*MAX($AA21,$AB21))</f>
        <v/>
      </c>
      <c r="AR21" s="22" t="str">
        <f>IF($B21="","",(AP21+AQ21)*$AC21)</f>
        <v/>
      </c>
      <c r="AS21" s="22" t="str">
        <f>IF($B21="","",AP21+AQ21-AR21)</f>
        <v/>
      </c>
      <c r="AT21" s="22" t="str">
        <f>IF($B21="","",AO21-AS21)</f>
        <v/>
      </c>
      <c r="AU21" s="22" t="str">
        <f>IF($B21="","",IF($AC21=1,N($R21)-($G21-AR21),0))</f>
        <v/>
      </c>
      <c r="AV21" s="22" t="str">
        <f>IF($B21="","",($G21-$AH21)*$AA21)</f>
        <v/>
      </c>
      <c r="AW21" s="22" t="str">
        <f>IF($B21="","",IF($AJ21=0,0,($AH21-$AI21)*$AK21/$AJ21)*MAX($AA21,$AB21))</f>
        <v/>
      </c>
      <c r="AX21" s="22" t="str">
        <f>IF($B21="","",(AV21+AW21)*$AC21)</f>
        <v/>
      </c>
      <c r="AY21" s="22" t="str">
        <f>IF($B21="","",AV21+AW21-AX21)</f>
        <v/>
      </c>
      <c r="AZ21" s="22" t="str">
        <f>IF($B21="","",AO21-AY21)</f>
        <v/>
      </c>
      <c r="BA21" s="22" t="str">
        <f>IF($B21="","",IF($AC21=1,N($R21)-($G21-AX21),0))</f>
        <v/>
      </c>
      <c r="BB21" s="22" t="str">
        <f>IF($B21="","",ROUND(AQ21-AW21,0))</f>
        <v/>
      </c>
      <c r="BC21" s="22" t="str">
        <f>IF($B21="","",ROUND(BA21-AU21,0))</f>
        <v/>
      </c>
      <c r="BD21" s="22" t="str">
        <f>IF($B21="","",BB21+BC21)</f>
        <v/>
      </c>
      <c r="BE21" s="22" t="str">
        <f>IF($B21="","",ROUND(AV21-AP21,0))</f>
        <v/>
      </c>
      <c r="BF21" s="22" t="str">
        <f>IF($B21="","",ROUND(AT21-AZ21,0))</f>
        <v/>
      </c>
      <c r="BG21" s="22" t="str">
        <f>IF($B21="","",ROUND(BF21*TarifPPh,0))</f>
        <v/>
      </c>
      <c r="BH21" t="str">
        <f>IF($B21="","",IF($D21="","Kategori kosong",IF($F21="","Tgl perolehan kosong",IF(N($H21)&gt;$G21,"Residu &gt; harga perolehan",IF(AND(LEFT($U21,8)="Bangunan",$W21="Saldo Menurun"),"Bangunan wajib Garis Lurus (Ps.11 UU PPh)",IF(AND($S21="Unit Produksi",N($K21)=0),"Isi kapasitas unit",IF(AND(OR($S21="Garis Lurus",$S21="Saldo Menurun"),N($T21)&lt;=0),"Umur komersial kosong",IF(AND(OR($W21="Garis Lurus",$W21="Saldo Menurun"),N($V21)&lt;=0),"Masa manfaat fiskal kosong",IF(AND($Q21&lt;&gt;"",$Q21&lt;$F21),"Tgl pelepasan &lt; perolehan","OK")))))))))</f>
        <v/>
      </c>
    </row>
    <row r="22" spans="1:60" x14ac:dyDescent="0.25">
      <c r="A22" t="str">
        <f>IF($B22="","",ROW()-6)</f>
        <v/>
      </c>
      <c r="B22" s="9"/>
      <c r="C22" s="9"/>
      <c r="D22" s="9"/>
      <c r="E22" s="9"/>
      <c r="F22" s="17"/>
      <c r="G22" s="18"/>
      <c r="H22" s="18"/>
      <c r="I22" s="9"/>
      <c r="J22" s="9"/>
      <c r="K22" s="19"/>
      <c r="L22" s="19"/>
      <c r="M22" s="19"/>
      <c r="N22" s="9"/>
      <c r="O22" s="9"/>
      <c r="P22" s="9"/>
      <c r="Q22" s="17"/>
      <c r="R22" s="18"/>
      <c r="S22" t="str">
        <f>IF($B22="","",IF($I22&lt;&gt;"",$I22,IFERROR(INDEX(Kat_Metode,MATCH($D22,Kat_Nama,0)),"")))</f>
        <v/>
      </c>
      <c r="T22" t="str">
        <f>IF($B22="","",IF($J22&lt;&gt;"",$J22,IFERROR(INDEX(Kat_Umur,MATCH($D22,Kat_Nama,0)),0)))</f>
        <v/>
      </c>
      <c r="U22" t="str">
        <f>IF($B22="","",IF($N22&lt;&gt;"",$N22,IFERROR(INDEX(Kat_Kelompok,MATCH($D22,Kat_Nama,0)),"")))</f>
        <v/>
      </c>
      <c r="V22" t="str">
        <f>IF($B22="","",IF($U22="Masa Manfaat Sebenarnya",N($O22),IFERROR(INDEX(Kel_Masa,MATCH($U22,Kel_Nama,0)),0)))</f>
        <v/>
      </c>
      <c r="W22" t="str">
        <f>IF($B22="","",IF($P22&lt;&gt;"",$P22,IF(OR($U22="Tidak Disusutkan",$V22=0),"Tidak Disusutkan","Garis Lurus")))</f>
        <v/>
      </c>
      <c r="X22" t="str">
        <f>IF($B22="","",IF($Y22&gt;TahunBuku*12+12,"Belum Diperoleh",IF($Z22&lt;=TahunBuku*12,"Dilepas (thn lalu)",IF($AC22=1,"Dilepas thn ini",IF($AB22=1,"Perolehan baru","Aktif")))))</f>
        <v/>
      </c>
      <c r="Y22" s="20" t="str">
        <f>IF($B22="","",YEAR($F22)*12+MONTH($F22))</f>
        <v/>
      </c>
      <c r="Z22" s="20" t="str">
        <f>IF($B22="","",IF($Q22="",99999,YEAR($Q22)*12+MONTH($Q22)))</f>
        <v/>
      </c>
      <c r="AA22" s="20" t="str">
        <f>IF($B22="","",--AND($Y22&lt;=TahunBuku*12,$Z22&gt;TahunBuku*12))</f>
        <v/>
      </c>
      <c r="AB22" s="20" t="str">
        <f>IF($B22="","",--AND($Y22&gt;TahunBuku*12,$Y22&lt;=TahunBuku*12+12))</f>
        <v/>
      </c>
      <c r="AC22" s="20" t="str">
        <f>IF($B22="","",--AND($Z22&gt;TahunBuku*12,$Z22&lt;=TahunBuku*12+12,$Y22&lt;=$Z22))</f>
        <v/>
      </c>
      <c r="AD22" s="21" t="str">
        <f>IF($B22="","",IFERROR(IF($S22="Garis Lurus",$G22-($G22-$H22)*MIN($T22*12,MAX(0,TahunBuku*12-$Y22+1))/($T22*12),IF($S22="Saldo Menurun",IF(TahunBuku-1&lt;YEAR($F22),$G22,IF(TahunBuku-1&gt;=INT(($Y22+$T22*12-2)/12),$H22,MAX($H22,$G22*(1-2/$T22*(13-MONTH($F22))/12)*(1-2/$T22)^(TahunBuku-1-YEAR($F22))))),IF($S22="Unit Produksi",$G22-($G22-$H22)*MIN(1,N($L22)/$K22),$G22))),$G22))</f>
        <v/>
      </c>
      <c r="AE22" s="21" t="str">
        <f>IF($B22="","",IFERROR(IF($S22="Garis Lurus",$G22-($G22-$H22)*MIN($T22*12,MAX(0,TahunBuku*12+12-$Y22+1))/($T22*12),IF($S22="Saldo Menurun",IF(TahunBuku&lt;YEAR($F22),$G22,IF(TahunBuku&gt;=INT(($Y22+$T22*12-2)/12),$H22,MAX($H22,$G22*(1-2/$T22*(13-MONTH($F22))/12)*(1-2/$T22)^(TahunBuku-YEAR($F22))))),IF($S22="Unit Produksi",$G22-($G22-$H22)*MIN(1,(N($L22)+N($M22))/$K22),$G22))),$G22))</f>
        <v/>
      </c>
      <c r="AF22" s="20" t="str">
        <f>IF($B22="","",IF(OR($S22="Garis Lurus",$S22="Saldo Menurun",$S22="Unit Produksi"),MAX(0,IF($S22="Unit Produksi",TahunBuku*12+12,MIN(TahunBuku*12+12,$Y22+$T22*12-1))-MAX(TahunBuku*12+1,$Y22)+1),0))</f>
        <v/>
      </c>
      <c r="AG22" s="20" t="str">
        <f>IF($B22="","",IF(OR($S22="Garis Lurus",$S22="Saldo Menurun",$S22="Unit Produksi"),MAX(0,MIN($Z22,IF($S22="Unit Produksi",TahunBuku*12+12,MIN(TahunBuku*12+12,$Y22+$T22*12-1)))-MAX(TahunBuku*12+1,$Y22)+1),0))</f>
        <v/>
      </c>
      <c r="AH22" s="21" t="str">
        <f>IF($B22="","",IFERROR(IF($W22="Garis Lurus",$G22*(1-MIN($V22*12,MAX(0,TahunBuku*12-$Y22+1))/($V22*12)),IF($W22="Saldo Menurun",IF(TahunBuku-1&lt;YEAR($F22),$G22,IF(TahunBuku-1&gt;=INT(($Y22+$V22*12-2)/12),0,$G22*(1-2/$V22*(13-MONTH($F22))/12)*(1-2/$V22)^(TahunBuku-1-YEAR($F22)))),$G22)),$G22))</f>
        <v/>
      </c>
      <c r="AI22" s="21" t="str">
        <f>IF($B22="","",IFERROR(IF($W22="Garis Lurus",$G22*(1-MIN($V22*12,MAX(0,TahunBuku*12+12-$Y22+1))/($V22*12)),IF($W22="Saldo Menurun",IF(TahunBuku&lt;YEAR($F22),$G22,IF(TahunBuku&gt;=INT(($Y22+$V22*12-2)/12),0,$G22*(1-2/$V22*(13-MONTH($F22))/12)*(1-2/$V22)^(TahunBuku-YEAR($F22)))),$G22)),$G22))</f>
        <v/>
      </c>
      <c r="AJ22" s="20" t="str">
        <f>IF($B22="","",IF(OR($W22="Garis Lurus",$W22="Saldo Menurun"),MAX(0,MIN(TahunBuku*12+12,$Y22+$V22*12-1)-MAX(TahunBuku*12+1,$Y22)+1),0))</f>
        <v/>
      </c>
      <c r="AK22" s="20" t="str">
        <f>IF($B22="","",IF(OR($W22="Garis Lurus",$W22="Saldo Menurun"),MAX(0,MIN($Z22,TahunBuku*12+12,$Y22+$V22*12-1)-MAX(TahunBuku*12+1,$Y22)+1),0))</f>
        <v/>
      </c>
      <c r="AL22" s="22" t="str">
        <f>IF($B22="","",$G22*$AA22)</f>
        <v/>
      </c>
      <c r="AM22" s="22" t="str">
        <f>IF($B22="","",$G22*$AB22)</f>
        <v/>
      </c>
      <c r="AN22" s="22" t="str">
        <f>IF($B22="","",$G22*$AC22)</f>
        <v/>
      </c>
      <c r="AO22" s="22" t="str">
        <f>IF($B22="","",AL22+AM22-AN22)</f>
        <v/>
      </c>
      <c r="AP22" s="22" t="str">
        <f>IF($B22="","",($G22-$AD22)*$AA22)</f>
        <v/>
      </c>
      <c r="AQ22" s="22" t="str">
        <f>IF($B22="","",IF($AF22=0,0,($AD22-$AE22)*$AG22/$AF22)*MAX($AA22,$AB22))</f>
        <v/>
      </c>
      <c r="AR22" s="22" t="str">
        <f>IF($B22="","",(AP22+AQ22)*$AC22)</f>
        <v/>
      </c>
      <c r="AS22" s="22" t="str">
        <f>IF($B22="","",AP22+AQ22-AR22)</f>
        <v/>
      </c>
      <c r="AT22" s="22" t="str">
        <f>IF($B22="","",AO22-AS22)</f>
        <v/>
      </c>
      <c r="AU22" s="22" t="str">
        <f>IF($B22="","",IF($AC22=1,N($R22)-($G22-AR22),0))</f>
        <v/>
      </c>
      <c r="AV22" s="22" t="str">
        <f>IF($B22="","",($G22-$AH22)*$AA22)</f>
        <v/>
      </c>
      <c r="AW22" s="22" t="str">
        <f>IF($B22="","",IF($AJ22=0,0,($AH22-$AI22)*$AK22/$AJ22)*MAX($AA22,$AB22))</f>
        <v/>
      </c>
      <c r="AX22" s="22" t="str">
        <f>IF($B22="","",(AV22+AW22)*$AC22)</f>
        <v/>
      </c>
      <c r="AY22" s="22" t="str">
        <f>IF($B22="","",AV22+AW22-AX22)</f>
        <v/>
      </c>
      <c r="AZ22" s="22" t="str">
        <f>IF($B22="","",AO22-AY22)</f>
        <v/>
      </c>
      <c r="BA22" s="22" t="str">
        <f>IF($B22="","",IF($AC22=1,N($R22)-($G22-AX22),0))</f>
        <v/>
      </c>
      <c r="BB22" s="22" t="str">
        <f>IF($B22="","",ROUND(AQ22-AW22,0))</f>
        <v/>
      </c>
      <c r="BC22" s="22" t="str">
        <f>IF($B22="","",ROUND(BA22-AU22,0))</f>
        <v/>
      </c>
      <c r="BD22" s="22" t="str">
        <f>IF($B22="","",BB22+BC22)</f>
        <v/>
      </c>
      <c r="BE22" s="22" t="str">
        <f>IF($B22="","",ROUND(AV22-AP22,0))</f>
        <v/>
      </c>
      <c r="BF22" s="22" t="str">
        <f>IF($B22="","",ROUND(AT22-AZ22,0))</f>
        <v/>
      </c>
      <c r="BG22" s="22" t="str">
        <f>IF($B22="","",ROUND(BF22*TarifPPh,0))</f>
        <v/>
      </c>
      <c r="BH22" t="str">
        <f>IF($B22="","",IF($D22="","Kategori kosong",IF($F22="","Tgl perolehan kosong",IF(N($H22)&gt;$G22,"Residu &gt; harga perolehan",IF(AND(LEFT($U22,8)="Bangunan",$W22="Saldo Menurun"),"Bangunan wajib Garis Lurus (Ps.11 UU PPh)",IF(AND($S22="Unit Produksi",N($K22)=0),"Isi kapasitas unit",IF(AND(OR($S22="Garis Lurus",$S22="Saldo Menurun"),N($T22)&lt;=0),"Umur komersial kosong",IF(AND(OR($W22="Garis Lurus",$W22="Saldo Menurun"),N($V22)&lt;=0),"Masa manfaat fiskal kosong",IF(AND($Q22&lt;&gt;"",$Q22&lt;$F22),"Tgl pelepasan &lt; perolehan","OK")))))))))</f>
        <v/>
      </c>
    </row>
    <row r="23" spans="1:60" x14ac:dyDescent="0.25">
      <c r="A23" t="str">
        <f>IF($B23="","",ROW()-6)</f>
        <v/>
      </c>
      <c r="B23" s="9"/>
      <c r="C23" s="9"/>
      <c r="D23" s="9"/>
      <c r="E23" s="9"/>
      <c r="F23" s="17"/>
      <c r="G23" s="18"/>
      <c r="H23" s="18"/>
      <c r="I23" s="9"/>
      <c r="J23" s="9"/>
      <c r="K23" s="19"/>
      <c r="L23" s="19"/>
      <c r="M23" s="19"/>
      <c r="N23" s="9"/>
      <c r="O23" s="9"/>
      <c r="P23" s="9"/>
      <c r="Q23" s="17"/>
      <c r="R23" s="18"/>
      <c r="S23" t="str">
        <f>IF($B23="","",IF($I23&lt;&gt;"",$I23,IFERROR(INDEX(Kat_Metode,MATCH($D23,Kat_Nama,0)),"")))</f>
        <v/>
      </c>
      <c r="T23" t="str">
        <f>IF($B23="","",IF($J23&lt;&gt;"",$J23,IFERROR(INDEX(Kat_Umur,MATCH($D23,Kat_Nama,0)),0)))</f>
        <v/>
      </c>
      <c r="U23" t="str">
        <f>IF($B23="","",IF($N23&lt;&gt;"",$N23,IFERROR(INDEX(Kat_Kelompok,MATCH($D23,Kat_Nama,0)),"")))</f>
        <v/>
      </c>
      <c r="V23" t="str">
        <f>IF($B23="","",IF($U23="Masa Manfaat Sebenarnya",N($O23),IFERROR(INDEX(Kel_Masa,MATCH($U23,Kel_Nama,0)),0)))</f>
        <v/>
      </c>
      <c r="W23" t="str">
        <f>IF($B23="","",IF($P23&lt;&gt;"",$P23,IF(OR($U23="Tidak Disusutkan",$V23=0),"Tidak Disusutkan","Garis Lurus")))</f>
        <v/>
      </c>
      <c r="X23" t="str">
        <f>IF($B23="","",IF($Y23&gt;TahunBuku*12+12,"Belum Diperoleh",IF($Z23&lt;=TahunBuku*12,"Dilepas (thn lalu)",IF($AC23=1,"Dilepas thn ini",IF($AB23=1,"Perolehan baru","Aktif")))))</f>
        <v/>
      </c>
      <c r="Y23" s="20" t="str">
        <f>IF($B23="","",YEAR($F23)*12+MONTH($F23))</f>
        <v/>
      </c>
      <c r="Z23" s="20" t="str">
        <f>IF($B23="","",IF($Q23="",99999,YEAR($Q23)*12+MONTH($Q23)))</f>
        <v/>
      </c>
      <c r="AA23" s="20" t="str">
        <f>IF($B23="","",--AND($Y23&lt;=TahunBuku*12,$Z23&gt;TahunBuku*12))</f>
        <v/>
      </c>
      <c r="AB23" s="20" t="str">
        <f>IF($B23="","",--AND($Y23&gt;TahunBuku*12,$Y23&lt;=TahunBuku*12+12))</f>
        <v/>
      </c>
      <c r="AC23" s="20" t="str">
        <f>IF($B23="","",--AND($Z23&gt;TahunBuku*12,$Z23&lt;=TahunBuku*12+12,$Y23&lt;=$Z23))</f>
        <v/>
      </c>
      <c r="AD23" s="21" t="str">
        <f>IF($B23="","",IFERROR(IF($S23="Garis Lurus",$G23-($G23-$H23)*MIN($T23*12,MAX(0,TahunBuku*12-$Y23+1))/($T23*12),IF($S23="Saldo Menurun",IF(TahunBuku-1&lt;YEAR($F23),$G23,IF(TahunBuku-1&gt;=INT(($Y23+$T23*12-2)/12),$H23,MAX($H23,$G23*(1-2/$T23*(13-MONTH($F23))/12)*(1-2/$T23)^(TahunBuku-1-YEAR($F23))))),IF($S23="Unit Produksi",$G23-($G23-$H23)*MIN(1,N($L23)/$K23),$G23))),$G23))</f>
        <v/>
      </c>
      <c r="AE23" s="21" t="str">
        <f>IF($B23="","",IFERROR(IF($S23="Garis Lurus",$G23-($G23-$H23)*MIN($T23*12,MAX(0,TahunBuku*12+12-$Y23+1))/($T23*12),IF($S23="Saldo Menurun",IF(TahunBuku&lt;YEAR($F23),$G23,IF(TahunBuku&gt;=INT(($Y23+$T23*12-2)/12),$H23,MAX($H23,$G23*(1-2/$T23*(13-MONTH($F23))/12)*(1-2/$T23)^(TahunBuku-YEAR($F23))))),IF($S23="Unit Produksi",$G23-($G23-$H23)*MIN(1,(N($L23)+N($M23))/$K23),$G23))),$G23))</f>
        <v/>
      </c>
      <c r="AF23" s="20" t="str">
        <f>IF($B23="","",IF(OR($S23="Garis Lurus",$S23="Saldo Menurun",$S23="Unit Produksi"),MAX(0,IF($S23="Unit Produksi",TahunBuku*12+12,MIN(TahunBuku*12+12,$Y23+$T23*12-1))-MAX(TahunBuku*12+1,$Y23)+1),0))</f>
        <v/>
      </c>
      <c r="AG23" s="20" t="str">
        <f>IF($B23="","",IF(OR($S23="Garis Lurus",$S23="Saldo Menurun",$S23="Unit Produksi"),MAX(0,MIN($Z23,IF($S23="Unit Produksi",TahunBuku*12+12,MIN(TahunBuku*12+12,$Y23+$T23*12-1)))-MAX(TahunBuku*12+1,$Y23)+1),0))</f>
        <v/>
      </c>
      <c r="AH23" s="21" t="str">
        <f>IF($B23="","",IFERROR(IF($W23="Garis Lurus",$G23*(1-MIN($V23*12,MAX(0,TahunBuku*12-$Y23+1))/($V23*12)),IF($W23="Saldo Menurun",IF(TahunBuku-1&lt;YEAR($F23),$G23,IF(TahunBuku-1&gt;=INT(($Y23+$V23*12-2)/12),0,$G23*(1-2/$V23*(13-MONTH($F23))/12)*(1-2/$V23)^(TahunBuku-1-YEAR($F23)))),$G23)),$G23))</f>
        <v/>
      </c>
      <c r="AI23" s="21" t="str">
        <f>IF($B23="","",IFERROR(IF($W23="Garis Lurus",$G23*(1-MIN($V23*12,MAX(0,TahunBuku*12+12-$Y23+1))/($V23*12)),IF($W23="Saldo Menurun",IF(TahunBuku&lt;YEAR($F23),$G23,IF(TahunBuku&gt;=INT(($Y23+$V23*12-2)/12),0,$G23*(1-2/$V23*(13-MONTH($F23))/12)*(1-2/$V23)^(TahunBuku-YEAR($F23)))),$G23)),$G23))</f>
        <v/>
      </c>
      <c r="AJ23" s="20" t="str">
        <f>IF($B23="","",IF(OR($W23="Garis Lurus",$W23="Saldo Menurun"),MAX(0,MIN(TahunBuku*12+12,$Y23+$V23*12-1)-MAX(TahunBuku*12+1,$Y23)+1),0))</f>
        <v/>
      </c>
      <c r="AK23" s="20" t="str">
        <f>IF($B23="","",IF(OR($W23="Garis Lurus",$W23="Saldo Menurun"),MAX(0,MIN($Z23,TahunBuku*12+12,$Y23+$V23*12-1)-MAX(TahunBuku*12+1,$Y23)+1),0))</f>
        <v/>
      </c>
      <c r="AL23" s="22" t="str">
        <f>IF($B23="","",$G23*$AA23)</f>
        <v/>
      </c>
      <c r="AM23" s="22" t="str">
        <f>IF($B23="","",$G23*$AB23)</f>
        <v/>
      </c>
      <c r="AN23" s="22" t="str">
        <f>IF($B23="","",$G23*$AC23)</f>
        <v/>
      </c>
      <c r="AO23" s="22" t="str">
        <f>IF($B23="","",AL23+AM23-AN23)</f>
        <v/>
      </c>
      <c r="AP23" s="22" t="str">
        <f>IF($B23="","",($G23-$AD23)*$AA23)</f>
        <v/>
      </c>
      <c r="AQ23" s="22" t="str">
        <f>IF($B23="","",IF($AF23=0,0,($AD23-$AE23)*$AG23/$AF23)*MAX($AA23,$AB23))</f>
        <v/>
      </c>
      <c r="AR23" s="22" t="str">
        <f>IF($B23="","",(AP23+AQ23)*$AC23)</f>
        <v/>
      </c>
      <c r="AS23" s="22" t="str">
        <f>IF($B23="","",AP23+AQ23-AR23)</f>
        <v/>
      </c>
      <c r="AT23" s="22" t="str">
        <f>IF($B23="","",AO23-AS23)</f>
        <v/>
      </c>
      <c r="AU23" s="22" t="str">
        <f>IF($B23="","",IF($AC23=1,N($R23)-($G23-AR23),0))</f>
        <v/>
      </c>
      <c r="AV23" s="22" t="str">
        <f>IF($B23="","",($G23-$AH23)*$AA23)</f>
        <v/>
      </c>
      <c r="AW23" s="22" t="str">
        <f>IF($B23="","",IF($AJ23=0,0,($AH23-$AI23)*$AK23/$AJ23)*MAX($AA23,$AB23))</f>
        <v/>
      </c>
      <c r="AX23" s="22" t="str">
        <f>IF($B23="","",(AV23+AW23)*$AC23)</f>
        <v/>
      </c>
      <c r="AY23" s="22" t="str">
        <f>IF($B23="","",AV23+AW23-AX23)</f>
        <v/>
      </c>
      <c r="AZ23" s="22" t="str">
        <f>IF($B23="","",AO23-AY23)</f>
        <v/>
      </c>
      <c r="BA23" s="22" t="str">
        <f>IF($B23="","",IF($AC23=1,N($R23)-($G23-AX23),0))</f>
        <v/>
      </c>
      <c r="BB23" s="22" t="str">
        <f>IF($B23="","",ROUND(AQ23-AW23,0))</f>
        <v/>
      </c>
      <c r="BC23" s="22" t="str">
        <f>IF($B23="","",ROUND(BA23-AU23,0))</f>
        <v/>
      </c>
      <c r="BD23" s="22" t="str">
        <f>IF($B23="","",BB23+BC23)</f>
        <v/>
      </c>
      <c r="BE23" s="22" t="str">
        <f>IF($B23="","",ROUND(AV23-AP23,0))</f>
        <v/>
      </c>
      <c r="BF23" s="22" t="str">
        <f>IF($B23="","",ROUND(AT23-AZ23,0))</f>
        <v/>
      </c>
      <c r="BG23" s="22" t="str">
        <f>IF($B23="","",ROUND(BF23*TarifPPh,0))</f>
        <v/>
      </c>
      <c r="BH23" t="str">
        <f>IF($B23="","",IF($D23="","Kategori kosong",IF($F23="","Tgl perolehan kosong",IF(N($H23)&gt;$G23,"Residu &gt; harga perolehan",IF(AND(LEFT($U23,8)="Bangunan",$W23="Saldo Menurun"),"Bangunan wajib Garis Lurus (Ps.11 UU PPh)",IF(AND($S23="Unit Produksi",N($K23)=0),"Isi kapasitas unit",IF(AND(OR($S23="Garis Lurus",$S23="Saldo Menurun"),N($T23)&lt;=0),"Umur komersial kosong",IF(AND(OR($W23="Garis Lurus",$W23="Saldo Menurun"),N($V23)&lt;=0),"Masa manfaat fiskal kosong",IF(AND($Q23&lt;&gt;"",$Q23&lt;$F23),"Tgl pelepasan &lt; perolehan","OK")))))))))</f>
        <v/>
      </c>
    </row>
    <row r="24" spans="1:60" x14ac:dyDescent="0.25">
      <c r="A24" t="str">
        <f>IF($B24="","",ROW()-6)</f>
        <v/>
      </c>
      <c r="B24" s="9"/>
      <c r="C24" s="9"/>
      <c r="D24" s="9"/>
      <c r="E24" s="9"/>
      <c r="F24" s="17"/>
      <c r="G24" s="18"/>
      <c r="H24" s="18"/>
      <c r="I24" s="9"/>
      <c r="J24" s="9"/>
      <c r="K24" s="19"/>
      <c r="L24" s="19"/>
      <c r="M24" s="19"/>
      <c r="N24" s="9"/>
      <c r="O24" s="9"/>
      <c r="P24" s="9"/>
      <c r="Q24" s="17"/>
      <c r="R24" s="18"/>
      <c r="S24" t="str">
        <f>IF($B24="","",IF($I24&lt;&gt;"",$I24,IFERROR(INDEX(Kat_Metode,MATCH($D24,Kat_Nama,0)),"")))</f>
        <v/>
      </c>
      <c r="T24" t="str">
        <f>IF($B24="","",IF($J24&lt;&gt;"",$J24,IFERROR(INDEX(Kat_Umur,MATCH($D24,Kat_Nama,0)),0)))</f>
        <v/>
      </c>
      <c r="U24" t="str">
        <f>IF($B24="","",IF($N24&lt;&gt;"",$N24,IFERROR(INDEX(Kat_Kelompok,MATCH($D24,Kat_Nama,0)),"")))</f>
        <v/>
      </c>
      <c r="V24" t="str">
        <f>IF($B24="","",IF($U24="Masa Manfaat Sebenarnya",N($O24),IFERROR(INDEX(Kel_Masa,MATCH($U24,Kel_Nama,0)),0)))</f>
        <v/>
      </c>
      <c r="W24" t="str">
        <f>IF($B24="","",IF($P24&lt;&gt;"",$P24,IF(OR($U24="Tidak Disusutkan",$V24=0),"Tidak Disusutkan","Garis Lurus")))</f>
        <v/>
      </c>
      <c r="X24" t="str">
        <f>IF($B24="","",IF($Y24&gt;TahunBuku*12+12,"Belum Diperoleh",IF($Z24&lt;=TahunBuku*12,"Dilepas (thn lalu)",IF($AC24=1,"Dilepas thn ini",IF($AB24=1,"Perolehan baru","Aktif")))))</f>
        <v/>
      </c>
      <c r="Y24" s="20" t="str">
        <f>IF($B24="","",YEAR($F24)*12+MONTH($F24))</f>
        <v/>
      </c>
      <c r="Z24" s="20" t="str">
        <f>IF($B24="","",IF($Q24="",99999,YEAR($Q24)*12+MONTH($Q24)))</f>
        <v/>
      </c>
      <c r="AA24" s="20" t="str">
        <f>IF($B24="","",--AND($Y24&lt;=TahunBuku*12,$Z24&gt;TahunBuku*12))</f>
        <v/>
      </c>
      <c r="AB24" s="20" t="str">
        <f>IF($B24="","",--AND($Y24&gt;TahunBuku*12,$Y24&lt;=TahunBuku*12+12))</f>
        <v/>
      </c>
      <c r="AC24" s="20" t="str">
        <f>IF($B24="","",--AND($Z24&gt;TahunBuku*12,$Z24&lt;=TahunBuku*12+12,$Y24&lt;=$Z24))</f>
        <v/>
      </c>
      <c r="AD24" s="21" t="str">
        <f>IF($B24="","",IFERROR(IF($S24="Garis Lurus",$G24-($G24-$H24)*MIN($T24*12,MAX(0,TahunBuku*12-$Y24+1))/($T24*12),IF($S24="Saldo Menurun",IF(TahunBuku-1&lt;YEAR($F24),$G24,IF(TahunBuku-1&gt;=INT(($Y24+$T24*12-2)/12),$H24,MAX($H24,$G24*(1-2/$T24*(13-MONTH($F24))/12)*(1-2/$T24)^(TahunBuku-1-YEAR($F24))))),IF($S24="Unit Produksi",$G24-($G24-$H24)*MIN(1,N($L24)/$K24),$G24))),$G24))</f>
        <v/>
      </c>
      <c r="AE24" s="21" t="str">
        <f>IF($B24="","",IFERROR(IF($S24="Garis Lurus",$G24-($G24-$H24)*MIN($T24*12,MAX(0,TahunBuku*12+12-$Y24+1))/($T24*12),IF($S24="Saldo Menurun",IF(TahunBuku&lt;YEAR($F24),$G24,IF(TahunBuku&gt;=INT(($Y24+$T24*12-2)/12),$H24,MAX($H24,$G24*(1-2/$T24*(13-MONTH($F24))/12)*(1-2/$T24)^(TahunBuku-YEAR($F24))))),IF($S24="Unit Produksi",$G24-($G24-$H24)*MIN(1,(N($L24)+N($M24))/$K24),$G24))),$G24))</f>
        <v/>
      </c>
      <c r="AF24" s="20" t="str">
        <f>IF($B24="","",IF(OR($S24="Garis Lurus",$S24="Saldo Menurun",$S24="Unit Produksi"),MAX(0,IF($S24="Unit Produksi",TahunBuku*12+12,MIN(TahunBuku*12+12,$Y24+$T24*12-1))-MAX(TahunBuku*12+1,$Y24)+1),0))</f>
        <v/>
      </c>
      <c r="AG24" s="20" t="str">
        <f>IF($B24="","",IF(OR($S24="Garis Lurus",$S24="Saldo Menurun",$S24="Unit Produksi"),MAX(0,MIN($Z24,IF($S24="Unit Produksi",TahunBuku*12+12,MIN(TahunBuku*12+12,$Y24+$T24*12-1)))-MAX(TahunBuku*12+1,$Y24)+1),0))</f>
        <v/>
      </c>
      <c r="AH24" s="21" t="str">
        <f>IF($B24="","",IFERROR(IF($W24="Garis Lurus",$G24*(1-MIN($V24*12,MAX(0,TahunBuku*12-$Y24+1))/($V24*12)),IF($W24="Saldo Menurun",IF(TahunBuku-1&lt;YEAR($F24),$G24,IF(TahunBuku-1&gt;=INT(($Y24+$V24*12-2)/12),0,$G24*(1-2/$V24*(13-MONTH($F24))/12)*(1-2/$V24)^(TahunBuku-1-YEAR($F24)))),$G24)),$G24))</f>
        <v/>
      </c>
      <c r="AI24" s="21" t="str">
        <f>IF($B24="","",IFERROR(IF($W24="Garis Lurus",$G24*(1-MIN($V24*12,MAX(0,TahunBuku*12+12-$Y24+1))/($V24*12)),IF($W24="Saldo Menurun",IF(TahunBuku&lt;YEAR($F24),$G24,IF(TahunBuku&gt;=INT(($Y24+$V24*12-2)/12),0,$G24*(1-2/$V24*(13-MONTH($F24))/12)*(1-2/$V24)^(TahunBuku-YEAR($F24)))),$G24)),$G24))</f>
        <v/>
      </c>
      <c r="AJ24" s="20" t="str">
        <f>IF($B24="","",IF(OR($W24="Garis Lurus",$W24="Saldo Menurun"),MAX(0,MIN(TahunBuku*12+12,$Y24+$V24*12-1)-MAX(TahunBuku*12+1,$Y24)+1),0))</f>
        <v/>
      </c>
      <c r="AK24" s="20" t="str">
        <f>IF($B24="","",IF(OR($W24="Garis Lurus",$W24="Saldo Menurun"),MAX(0,MIN($Z24,TahunBuku*12+12,$Y24+$V24*12-1)-MAX(TahunBuku*12+1,$Y24)+1),0))</f>
        <v/>
      </c>
      <c r="AL24" s="22" t="str">
        <f>IF($B24="","",$G24*$AA24)</f>
        <v/>
      </c>
      <c r="AM24" s="22" t="str">
        <f>IF($B24="","",$G24*$AB24)</f>
        <v/>
      </c>
      <c r="AN24" s="22" t="str">
        <f>IF($B24="","",$G24*$AC24)</f>
        <v/>
      </c>
      <c r="AO24" s="22" t="str">
        <f>IF($B24="","",AL24+AM24-AN24)</f>
        <v/>
      </c>
      <c r="AP24" s="22" t="str">
        <f>IF($B24="","",($G24-$AD24)*$AA24)</f>
        <v/>
      </c>
      <c r="AQ24" s="22" t="str">
        <f>IF($B24="","",IF($AF24=0,0,($AD24-$AE24)*$AG24/$AF24)*MAX($AA24,$AB24))</f>
        <v/>
      </c>
      <c r="AR24" s="22" t="str">
        <f>IF($B24="","",(AP24+AQ24)*$AC24)</f>
        <v/>
      </c>
      <c r="AS24" s="22" t="str">
        <f>IF($B24="","",AP24+AQ24-AR24)</f>
        <v/>
      </c>
      <c r="AT24" s="22" t="str">
        <f>IF($B24="","",AO24-AS24)</f>
        <v/>
      </c>
      <c r="AU24" s="22" t="str">
        <f>IF($B24="","",IF($AC24=1,N($R24)-($G24-AR24),0))</f>
        <v/>
      </c>
      <c r="AV24" s="22" t="str">
        <f>IF($B24="","",($G24-$AH24)*$AA24)</f>
        <v/>
      </c>
      <c r="AW24" s="22" t="str">
        <f>IF($B24="","",IF($AJ24=0,0,($AH24-$AI24)*$AK24/$AJ24)*MAX($AA24,$AB24))</f>
        <v/>
      </c>
      <c r="AX24" s="22" t="str">
        <f>IF($B24="","",(AV24+AW24)*$AC24)</f>
        <v/>
      </c>
      <c r="AY24" s="22" t="str">
        <f>IF($B24="","",AV24+AW24-AX24)</f>
        <v/>
      </c>
      <c r="AZ24" s="22" t="str">
        <f>IF($B24="","",AO24-AY24)</f>
        <v/>
      </c>
      <c r="BA24" s="22" t="str">
        <f>IF($B24="","",IF($AC24=1,N($R24)-($G24-AX24),0))</f>
        <v/>
      </c>
      <c r="BB24" s="22" t="str">
        <f>IF($B24="","",ROUND(AQ24-AW24,0))</f>
        <v/>
      </c>
      <c r="BC24" s="22" t="str">
        <f>IF($B24="","",ROUND(BA24-AU24,0))</f>
        <v/>
      </c>
      <c r="BD24" s="22" t="str">
        <f>IF($B24="","",BB24+BC24)</f>
        <v/>
      </c>
      <c r="BE24" s="22" t="str">
        <f>IF($B24="","",ROUND(AV24-AP24,0))</f>
        <v/>
      </c>
      <c r="BF24" s="22" t="str">
        <f>IF($B24="","",ROUND(AT24-AZ24,0))</f>
        <v/>
      </c>
      <c r="BG24" s="22" t="str">
        <f>IF($B24="","",ROUND(BF24*TarifPPh,0))</f>
        <v/>
      </c>
      <c r="BH24" t="str">
        <f>IF($B24="","",IF($D24="","Kategori kosong",IF($F24="","Tgl perolehan kosong",IF(N($H24)&gt;$G24,"Residu &gt; harga perolehan",IF(AND(LEFT($U24,8)="Bangunan",$W24="Saldo Menurun"),"Bangunan wajib Garis Lurus (Ps.11 UU PPh)",IF(AND($S24="Unit Produksi",N($K24)=0),"Isi kapasitas unit",IF(AND(OR($S24="Garis Lurus",$S24="Saldo Menurun"),N($T24)&lt;=0),"Umur komersial kosong",IF(AND(OR($W24="Garis Lurus",$W24="Saldo Menurun"),N($V24)&lt;=0),"Masa manfaat fiskal kosong",IF(AND($Q24&lt;&gt;"",$Q24&lt;$F24),"Tgl pelepasan &lt; perolehan","OK")))))))))</f>
        <v/>
      </c>
    </row>
    <row r="25" spans="1:60" x14ac:dyDescent="0.25">
      <c r="A25" t="str">
        <f>IF($B25="","",ROW()-6)</f>
        <v/>
      </c>
      <c r="B25" s="9"/>
      <c r="C25" s="9"/>
      <c r="D25" s="9"/>
      <c r="E25" s="9"/>
      <c r="F25" s="17"/>
      <c r="G25" s="18"/>
      <c r="H25" s="18"/>
      <c r="I25" s="9"/>
      <c r="J25" s="9"/>
      <c r="K25" s="19"/>
      <c r="L25" s="19"/>
      <c r="M25" s="19"/>
      <c r="N25" s="9"/>
      <c r="O25" s="9"/>
      <c r="P25" s="9"/>
      <c r="Q25" s="17"/>
      <c r="R25" s="18"/>
      <c r="S25" t="str">
        <f>IF($B25="","",IF($I25&lt;&gt;"",$I25,IFERROR(INDEX(Kat_Metode,MATCH($D25,Kat_Nama,0)),"")))</f>
        <v/>
      </c>
      <c r="T25" t="str">
        <f>IF($B25="","",IF($J25&lt;&gt;"",$J25,IFERROR(INDEX(Kat_Umur,MATCH($D25,Kat_Nama,0)),0)))</f>
        <v/>
      </c>
      <c r="U25" t="str">
        <f>IF($B25="","",IF($N25&lt;&gt;"",$N25,IFERROR(INDEX(Kat_Kelompok,MATCH($D25,Kat_Nama,0)),"")))</f>
        <v/>
      </c>
      <c r="V25" t="str">
        <f>IF($B25="","",IF($U25="Masa Manfaat Sebenarnya",N($O25),IFERROR(INDEX(Kel_Masa,MATCH($U25,Kel_Nama,0)),0)))</f>
        <v/>
      </c>
      <c r="W25" t="str">
        <f>IF($B25="","",IF($P25&lt;&gt;"",$P25,IF(OR($U25="Tidak Disusutkan",$V25=0),"Tidak Disusutkan","Garis Lurus")))</f>
        <v/>
      </c>
      <c r="X25" t="str">
        <f>IF($B25="","",IF($Y25&gt;TahunBuku*12+12,"Belum Diperoleh",IF($Z25&lt;=TahunBuku*12,"Dilepas (thn lalu)",IF($AC25=1,"Dilepas thn ini",IF($AB25=1,"Perolehan baru","Aktif")))))</f>
        <v/>
      </c>
      <c r="Y25" s="20" t="str">
        <f>IF($B25="","",YEAR($F25)*12+MONTH($F25))</f>
        <v/>
      </c>
      <c r="Z25" s="20" t="str">
        <f>IF($B25="","",IF($Q25="",99999,YEAR($Q25)*12+MONTH($Q25)))</f>
        <v/>
      </c>
      <c r="AA25" s="20" t="str">
        <f>IF($B25="","",--AND($Y25&lt;=TahunBuku*12,$Z25&gt;TahunBuku*12))</f>
        <v/>
      </c>
      <c r="AB25" s="20" t="str">
        <f>IF($B25="","",--AND($Y25&gt;TahunBuku*12,$Y25&lt;=TahunBuku*12+12))</f>
        <v/>
      </c>
      <c r="AC25" s="20" t="str">
        <f>IF($B25="","",--AND($Z25&gt;TahunBuku*12,$Z25&lt;=TahunBuku*12+12,$Y25&lt;=$Z25))</f>
        <v/>
      </c>
      <c r="AD25" s="21" t="str">
        <f>IF($B25="","",IFERROR(IF($S25="Garis Lurus",$G25-($G25-$H25)*MIN($T25*12,MAX(0,TahunBuku*12-$Y25+1))/($T25*12),IF($S25="Saldo Menurun",IF(TahunBuku-1&lt;YEAR($F25),$G25,IF(TahunBuku-1&gt;=INT(($Y25+$T25*12-2)/12),$H25,MAX($H25,$G25*(1-2/$T25*(13-MONTH($F25))/12)*(1-2/$T25)^(TahunBuku-1-YEAR($F25))))),IF($S25="Unit Produksi",$G25-($G25-$H25)*MIN(1,N($L25)/$K25),$G25))),$G25))</f>
        <v/>
      </c>
      <c r="AE25" s="21" t="str">
        <f>IF($B25="","",IFERROR(IF($S25="Garis Lurus",$G25-($G25-$H25)*MIN($T25*12,MAX(0,TahunBuku*12+12-$Y25+1))/($T25*12),IF($S25="Saldo Menurun",IF(TahunBuku&lt;YEAR($F25),$G25,IF(TahunBuku&gt;=INT(($Y25+$T25*12-2)/12),$H25,MAX($H25,$G25*(1-2/$T25*(13-MONTH($F25))/12)*(1-2/$T25)^(TahunBuku-YEAR($F25))))),IF($S25="Unit Produksi",$G25-($G25-$H25)*MIN(1,(N($L25)+N($M25))/$K25),$G25))),$G25))</f>
        <v/>
      </c>
      <c r="AF25" s="20" t="str">
        <f>IF($B25="","",IF(OR($S25="Garis Lurus",$S25="Saldo Menurun",$S25="Unit Produksi"),MAX(0,IF($S25="Unit Produksi",TahunBuku*12+12,MIN(TahunBuku*12+12,$Y25+$T25*12-1))-MAX(TahunBuku*12+1,$Y25)+1),0))</f>
        <v/>
      </c>
      <c r="AG25" s="20" t="str">
        <f>IF($B25="","",IF(OR($S25="Garis Lurus",$S25="Saldo Menurun",$S25="Unit Produksi"),MAX(0,MIN($Z25,IF($S25="Unit Produksi",TahunBuku*12+12,MIN(TahunBuku*12+12,$Y25+$T25*12-1)))-MAX(TahunBuku*12+1,$Y25)+1),0))</f>
        <v/>
      </c>
      <c r="AH25" s="21" t="str">
        <f>IF($B25="","",IFERROR(IF($W25="Garis Lurus",$G25*(1-MIN($V25*12,MAX(0,TahunBuku*12-$Y25+1))/($V25*12)),IF($W25="Saldo Menurun",IF(TahunBuku-1&lt;YEAR($F25),$G25,IF(TahunBuku-1&gt;=INT(($Y25+$V25*12-2)/12),0,$G25*(1-2/$V25*(13-MONTH($F25))/12)*(1-2/$V25)^(TahunBuku-1-YEAR($F25)))),$G25)),$G25))</f>
        <v/>
      </c>
      <c r="AI25" s="21" t="str">
        <f>IF($B25="","",IFERROR(IF($W25="Garis Lurus",$G25*(1-MIN($V25*12,MAX(0,TahunBuku*12+12-$Y25+1))/($V25*12)),IF($W25="Saldo Menurun",IF(TahunBuku&lt;YEAR($F25),$G25,IF(TahunBuku&gt;=INT(($Y25+$V25*12-2)/12),0,$G25*(1-2/$V25*(13-MONTH($F25))/12)*(1-2/$V25)^(TahunBuku-YEAR($F25)))),$G25)),$G25))</f>
        <v/>
      </c>
      <c r="AJ25" s="20" t="str">
        <f>IF($B25="","",IF(OR($W25="Garis Lurus",$W25="Saldo Menurun"),MAX(0,MIN(TahunBuku*12+12,$Y25+$V25*12-1)-MAX(TahunBuku*12+1,$Y25)+1),0))</f>
        <v/>
      </c>
      <c r="AK25" s="20" t="str">
        <f>IF($B25="","",IF(OR($W25="Garis Lurus",$W25="Saldo Menurun"),MAX(0,MIN($Z25,TahunBuku*12+12,$Y25+$V25*12-1)-MAX(TahunBuku*12+1,$Y25)+1),0))</f>
        <v/>
      </c>
      <c r="AL25" s="22" t="str">
        <f>IF($B25="","",$G25*$AA25)</f>
        <v/>
      </c>
      <c r="AM25" s="22" t="str">
        <f>IF($B25="","",$G25*$AB25)</f>
        <v/>
      </c>
      <c r="AN25" s="22" t="str">
        <f>IF($B25="","",$G25*$AC25)</f>
        <v/>
      </c>
      <c r="AO25" s="22" t="str">
        <f>IF($B25="","",AL25+AM25-AN25)</f>
        <v/>
      </c>
      <c r="AP25" s="22" t="str">
        <f>IF($B25="","",($G25-$AD25)*$AA25)</f>
        <v/>
      </c>
      <c r="AQ25" s="22" t="str">
        <f>IF($B25="","",IF($AF25=0,0,($AD25-$AE25)*$AG25/$AF25)*MAX($AA25,$AB25))</f>
        <v/>
      </c>
      <c r="AR25" s="22" t="str">
        <f>IF($B25="","",(AP25+AQ25)*$AC25)</f>
        <v/>
      </c>
      <c r="AS25" s="22" t="str">
        <f>IF($B25="","",AP25+AQ25-AR25)</f>
        <v/>
      </c>
      <c r="AT25" s="22" t="str">
        <f>IF($B25="","",AO25-AS25)</f>
        <v/>
      </c>
      <c r="AU25" s="22" t="str">
        <f>IF($B25="","",IF($AC25=1,N($R25)-($G25-AR25),0))</f>
        <v/>
      </c>
      <c r="AV25" s="22" t="str">
        <f>IF($B25="","",($G25-$AH25)*$AA25)</f>
        <v/>
      </c>
      <c r="AW25" s="22" t="str">
        <f>IF($B25="","",IF($AJ25=0,0,($AH25-$AI25)*$AK25/$AJ25)*MAX($AA25,$AB25))</f>
        <v/>
      </c>
      <c r="AX25" s="22" t="str">
        <f>IF($B25="","",(AV25+AW25)*$AC25)</f>
        <v/>
      </c>
      <c r="AY25" s="22" t="str">
        <f>IF($B25="","",AV25+AW25-AX25)</f>
        <v/>
      </c>
      <c r="AZ25" s="22" t="str">
        <f>IF($B25="","",AO25-AY25)</f>
        <v/>
      </c>
      <c r="BA25" s="22" t="str">
        <f>IF($B25="","",IF($AC25=1,N($R25)-($G25-AX25),0))</f>
        <v/>
      </c>
      <c r="BB25" s="22" t="str">
        <f>IF($B25="","",ROUND(AQ25-AW25,0))</f>
        <v/>
      </c>
      <c r="BC25" s="22" t="str">
        <f>IF($B25="","",ROUND(BA25-AU25,0))</f>
        <v/>
      </c>
      <c r="BD25" s="22" t="str">
        <f>IF($B25="","",BB25+BC25)</f>
        <v/>
      </c>
      <c r="BE25" s="22" t="str">
        <f>IF($B25="","",ROUND(AV25-AP25,0))</f>
        <v/>
      </c>
      <c r="BF25" s="22" t="str">
        <f>IF($B25="","",ROUND(AT25-AZ25,0))</f>
        <v/>
      </c>
      <c r="BG25" s="22" t="str">
        <f>IF($B25="","",ROUND(BF25*TarifPPh,0))</f>
        <v/>
      </c>
      <c r="BH25" t="str">
        <f>IF($B25="","",IF($D25="","Kategori kosong",IF($F25="","Tgl perolehan kosong",IF(N($H25)&gt;$G25,"Residu &gt; harga perolehan",IF(AND(LEFT($U25,8)="Bangunan",$W25="Saldo Menurun"),"Bangunan wajib Garis Lurus (Ps.11 UU PPh)",IF(AND($S25="Unit Produksi",N($K25)=0),"Isi kapasitas unit",IF(AND(OR($S25="Garis Lurus",$S25="Saldo Menurun"),N($T25)&lt;=0),"Umur komersial kosong",IF(AND(OR($W25="Garis Lurus",$W25="Saldo Menurun"),N($V25)&lt;=0),"Masa manfaat fiskal kosong",IF(AND($Q25&lt;&gt;"",$Q25&lt;$F25),"Tgl pelepasan &lt; perolehan","OK")))))))))</f>
        <v/>
      </c>
    </row>
    <row r="26" spans="1:60" x14ac:dyDescent="0.25">
      <c r="A26" t="str">
        <f>IF($B26="","",ROW()-6)</f>
        <v/>
      </c>
      <c r="B26" s="9"/>
      <c r="C26" s="9"/>
      <c r="D26" s="9"/>
      <c r="E26" s="9"/>
      <c r="F26" s="17"/>
      <c r="G26" s="18"/>
      <c r="H26" s="18"/>
      <c r="I26" s="9"/>
      <c r="J26" s="9"/>
      <c r="K26" s="19"/>
      <c r="L26" s="19"/>
      <c r="M26" s="19"/>
      <c r="N26" s="9"/>
      <c r="O26" s="9"/>
      <c r="P26" s="9"/>
      <c r="Q26" s="17"/>
      <c r="R26" s="18"/>
      <c r="S26" t="str">
        <f>IF($B26="","",IF($I26&lt;&gt;"",$I26,IFERROR(INDEX(Kat_Metode,MATCH($D26,Kat_Nama,0)),"")))</f>
        <v/>
      </c>
      <c r="T26" t="str">
        <f>IF($B26="","",IF($J26&lt;&gt;"",$J26,IFERROR(INDEX(Kat_Umur,MATCH($D26,Kat_Nama,0)),0)))</f>
        <v/>
      </c>
      <c r="U26" t="str">
        <f>IF($B26="","",IF($N26&lt;&gt;"",$N26,IFERROR(INDEX(Kat_Kelompok,MATCH($D26,Kat_Nama,0)),"")))</f>
        <v/>
      </c>
      <c r="V26" t="str">
        <f>IF($B26="","",IF($U26="Masa Manfaat Sebenarnya",N($O26),IFERROR(INDEX(Kel_Masa,MATCH($U26,Kel_Nama,0)),0)))</f>
        <v/>
      </c>
      <c r="W26" t="str">
        <f>IF($B26="","",IF($P26&lt;&gt;"",$P26,IF(OR($U26="Tidak Disusutkan",$V26=0),"Tidak Disusutkan","Garis Lurus")))</f>
        <v/>
      </c>
      <c r="X26" t="str">
        <f>IF($B26="","",IF($Y26&gt;TahunBuku*12+12,"Belum Diperoleh",IF($Z26&lt;=TahunBuku*12,"Dilepas (thn lalu)",IF($AC26=1,"Dilepas thn ini",IF($AB26=1,"Perolehan baru","Aktif")))))</f>
        <v/>
      </c>
      <c r="Y26" s="20" t="str">
        <f>IF($B26="","",YEAR($F26)*12+MONTH($F26))</f>
        <v/>
      </c>
      <c r="Z26" s="20" t="str">
        <f>IF($B26="","",IF($Q26="",99999,YEAR($Q26)*12+MONTH($Q26)))</f>
        <v/>
      </c>
      <c r="AA26" s="20" t="str">
        <f>IF($B26="","",--AND($Y26&lt;=TahunBuku*12,$Z26&gt;TahunBuku*12))</f>
        <v/>
      </c>
      <c r="AB26" s="20" t="str">
        <f>IF($B26="","",--AND($Y26&gt;TahunBuku*12,$Y26&lt;=TahunBuku*12+12))</f>
        <v/>
      </c>
      <c r="AC26" s="20" t="str">
        <f>IF($B26="","",--AND($Z26&gt;TahunBuku*12,$Z26&lt;=TahunBuku*12+12,$Y26&lt;=$Z26))</f>
        <v/>
      </c>
      <c r="AD26" s="21" t="str">
        <f>IF($B26="","",IFERROR(IF($S26="Garis Lurus",$G26-($G26-$H26)*MIN($T26*12,MAX(0,TahunBuku*12-$Y26+1))/($T26*12),IF($S26="Saldo Menurun",IF(TahunBuku-1&lt;YEAR($F26),$G26,IF(TahunBuku-1&gt;=INT(($Y26+$T26*12-2)/12),$H26,MAX($H26,$G26*(1-2/$T26*(13-MONTH($F26))/12)*(1-2/$T26)^(TahunBuku-1-YEAR($F26))))),IF($S26="Unit Produksi",$G26-($G26-$H26)*MIN(1,N($L26)/$K26),$G26))),$G26))</f>
        <v/>
      </c>
      <c r="AE26" s="21" t="str">
        <f>IF($B26="","",IFERROR(IF($S26="Garis Lurus",$G26-($G26-$H26)*MIN($T26*12,MAX(0,TahunBuku*12+12-$Y26+1))/($T26*12),IF($S26="Saldo Menurun",IF(TahunBuku&lt;YEAR($F26),$G26,IF(TahunBuku&gt;=INT(($Y26+$T26*12-2)/12),$H26,MAX($H26,$G26*(1-2/$T26*(13-MONTH($F26))/12)*(1-2/$T26)^(TahunBuku-YEAR($F26))))),IF($S26="Unit Produksi",$G26-($G26-$H26)*MIN(1,(N($L26)+N($M26))/$K26),$G26))),$G26))</f>
        <v/>
      </c>
      <c r="AF26" s="20" t="str">
        <f>IF($B26="","",IF(OR($S26="Garis Lurus",$S26="Saldo Menurun",$S26="Unit Produksi"),MAX(0,IF($S26="Unit Produksi",TahunBuku*12+12,MIN(TahunBuku*12+12,$Y26+$T26*12-1))-MAX(TahunBuku*12+1,$Y26)+1),0))</f>
        <v/>
      </c>
      <c r="AG26" s="20" t="str">
        <f>IF($B26="","",IF(OR($S26="Garis Lurus",$S26="Saldo Menurun",$S26="Unit Produksi"),MAX(0,MIN($Z26,IF($S26="Unit Produksi",TahunBuku*12+12,MIN(TahunBuku*12+12,$Y26+$T26*12-1)))-MAX(TahunBuku*12+1,$Y26)+1),0))</f>
        <v/>
      </c>
      <c r="AH26" s="21" t="str">
        <f>IF($B26="","",IFERROR(IF($W26="Garis Lurus",$G26*(1-MIN($V26*12,MAX(0,TahunBuku*12-$Y26+1))/($V26*12)),IF($W26="Saldo Menurun",IF(TahunBuku-1&lt;YEAR($F26),$G26,IF(TahunBuku-1&gt;=INT(($Y26+$V26*12-2)/12),0,$G26*(1-2/$V26*(13-MONTH($F26))/12)*(1-2/$V26)^(TahunBuku-1-YEAR($F26)))),$G26)),$G26))</f>
        <v/>
      </c>
      <c r="AI26" s="21" t="str">
        <f>IF($B26="","",IFERROR(IF($W26="Garis Lurus",$G26*(1-MIN($V26*12,MAX(0,TahunBuku*12+12-$Y26+1))/($V26*12)),IF($W26="Saldo Menurun",IF(TahunBuku&lt;YEAR($F26),$G26,IF(TahunBuku&gt;=INT(($Y26+$V26*12-2)/12),0,$G26*(1-2/$V26*(13-MONTH($F26))/12)*(1-2/$V26)^(TahunBuku-YEAR($F26)))),$G26)),$G26))</f>
        <v/>
      </c>
      <c r="AJ26" s="20" t="str">
        <f>IF($B26="","",IF(OR($W26="Garis Lurus",$W26="Saldo Menurun"),MAX(0,MIN(TahunBuku*12+12,$Y26+$V26*12-1)-MAX(TahunBuku*12+1,$Y26)+1),0))</f>
        <v/>
      </c>
      <c r="AK26" s="20" t="str">
        <f>IF($B26="","",IF(OR($W26="Garis Lurus",$W26="Saldo Menurun"),MAX(0,MIN($Z26,TahunBuku*12+12,$Y26+$V26*12-1)-MAX(TahunBuku*12+1,$Y26)+1),0))</f>
        <v/>
      </c>
      <c r="AL26" s="22" t="str">
        <f>IF($B26="","",$G26*$AA26)</f>
        <v/>
      </c>
      <c r="AM26" s="22" t="str">
        <f>IF($B26="","",$G26*$AB26)</f>
        <v/>
      </c>
      <c r="AN26" s="22" t="str">
        <f>IF($B26="","",$G26*$AC26)</f>
        <v/>
      </c>
      <c r="AO26" s="22" t="str">
        <f>IF($B26="","",AL26+AM26-AN26)</f>
        <v/>
      </c>
      <c r="AP26" s="22" t="str">
        <f>IF($B26="","",($G26-$AD26)*$AA26)</f>
        <v/>
      </c>
      <c r="AQ26" s="22" t="str">
        <f>IF($B26="","",IF($AF26=0,0,($AD26-$AE26)*$AG26/$AF26)*MAX($AA26,$AB26))</f>
        <v/>
      </c>
      <c r="AR26" s="22" t="str">
        <f>IF($B26="","",(AP26+AQ26)*$AC26)</f>
        <v/>
      </c>
      <c r="AS26" s="22" t="str">
        <f>IF($B26="","",AP26+AQ26-AR26)</f>
        <v/>
      </c>
      <c r="AT26" s="22" t="str">
        <f>IF($B26="","",AO26-AS26)</f>
        <v/>
      </c>
      <c r="AU26" s="22" t="str">
        <f>IF($B26="","",IF($AC26=1,N($R26)-($G26-AR26),0))</f>
        <v/>
      </c>
      <c r="AV26" s="22" t="str">
        <f>IF($B26="","",($G26-$AH26)*$AA26)</f>
        <v/>
      </c>
      <c r="AW26" s="22" t="str">
        <f>IF($B26="","",IF($AJ26=0,0,($AH26-$AI26)*$AK26/$AJ26)*MAX($AA26,$AB26))</f>
        <v/>
      </c>
      <c r="AX26" s="22" t="str">
        <f>IF($B26="","",(AV26+AW26)*$AC26)</f>
        <v/>
      </c>
      <c r="AY26" s="22" t="str">
        <f>IF($B26="","",AV26+AW26-AX26)</f>
        <v/>
      </c>
      <c r="AZ26" s="22" t="str">
        <f>IF($B26="","",AO26-AY26)</f>
        <v/>
      </c>
      <c r="BA26" s="22" t="str">
        <f>IF($B26="","",IF($AC26=1,N($R26)-($G26-AX26),0))</f>
        <v/>
      </c>
      <c r="BB26" s="22" t="str">
        <f>IF($B26="","",ROUND(AQ26-AW26,0))</f>
        <v/>
      </c>
      <c r="BC26" s="22" t="str">
        <f>IF($B26="","",ROUND(BA26-AU26,0))</f>
        <v/>
      </c>
      <c r="BD26" s="22" t="str">
        <f>IF($B26="","",BB26+BC26)</f>
        <v/>
      </c>
      <c r="BE26" s="22" t="str">
        <f>IF($B26="","",ROUND(AV26-AP26,0))</f>
        <v/>
      </c>
      <c r="BF26" s="22" t="str">
        <f>IF($B26="","",ROUND(AT26-AZ26,0))</f>
        <v/>
      </c>
      <c r="BG26" s="22" t="str">
        <f>IF($B26="","",ROUND(BF26*TarifPPh,0))</f>
        <v/>
      </c>
      <c r="BH26" t="str">
        <f>IF($B26="","",IF($D26="","Kategori kosong",IF($F26="","Tgl perolehan kosong",IF(N($H26)&gt;$G26,"Residu &gt; harga perolehan",IF(AND(LEFT($U26,8)="Bangunan",$W26="Saldo Menurun"),"Bangunan wajib Garis Lurus (Ps.11 UU PPh)",IF(AND($S26="Unit Produksi",N($K26)=0),"Isi kapasitas unit",IF(AND(OR($S26="Garis Lurus",$S26="Saldo Menurun"),N($T26)&lt;=0),"Umur komersial kosong",IF(AND(OR($W26="Garis Lurus",$W26="Saldo Menurun"),N($V26)&lt;=0),"Masa manfaat fiskal kosong",IF(AND($Q26&lt;&gt;"",$Q26&lt;$F26),"Tgl pelepasan &lt; perolehan","OK")))))))))</f>
        <v/>
      </c>
    </row>
    <row r="27" spans="1:60" x14ac:dyDescent="0.25">
      <c r="A27" t="str">
        <f>IF($B27="","",ROW()-6)</f>
        <v/>
      </c>
      <c r="B27" s="9"/>
      <c r="C27" s="9"/>
      <c r="D27" s="9"/>
      <c r="E27" s="9"/>
      <c r="F27" s="17"/>
      <c r="G27" s="18"/>
      <c r="H27" s="18"/>
      <c r="I27" s="9"/>
      <c r="J27" s="9"/>
      <c r="K27" s="19"/>
      <c r="L27" s="19"/>
      <c r="M27" s="19"/>
      <c r="N27" s="9"/>
      <c r="O27" s="9"/>
      <c r="P27" s="9"/>
      <c r="Q27" s="17"/>
      <c r="R27" s="18"/>
      <c r="S27" t="str">
        <f>IF($B27="","",IF($I27&lt;&gt;"",$I27,IFERROR(INDEX(Kat_Metode,MATCH($D27,Kat_Nama,0)),"")))</f>
        <v/>
      </c>
      <c r="T27" t="str">
        <f>IF($B27="","",IF($J27&lt;&gt;"",$J27,IFERROR(INDEX(Kat_Umur,MATCH($D27,Kat_Nama,0)),0)))</f>
        <v/>
      </c>
      <c r="U27" t="str">
        <f>IF($B27="","",IF($N27&lt;&gt;"",$N27,IFERROR(INDEX(Kat_Kelompok,MATCH($D27,Kat_Nama,0)),"")))</f>
        <v/>
      </c>
      <c r="V27" t="str">
        <f>IF($B27="","",IF($U27="Masa Manfaat Sebenarnya",N($O27),IFERROR(INDEX(Kel_Masa,MATCH($U27,Kel_Nama,0)),0)))</f>
        <v/>
      </c>
      <c r="W27" t="str">
        <f>IF($B27="","",IF($P27&lt;&gt;"",$P27,IF(OR($U27="Tidak Disusutkan",$V27=0),"Tidak Disusutkan","Garis Lurus")))</f>
        <v/>
      </c>
      <c r="X27" t="str">
        <f>IF($B27="","",IF($Y27&gt;TahunBuku*12+12,"Belum Diperoleh",IF($Z27&lt;=TahunBuku*12,"Dilepas (thn lalu)",IF($AC27=1,"Dilepas thn ini",IF($AB27=1,"Perolehan baru","Aktif")))))</f>
        <v/>
      </c>
      <c r="Y27" s="20" t="str">
        <f>IF($B27="","",YEAR($F27)*12+MONTH($F27))</f>
        <v/>
      </c>
      <c r="Z27" s="20" t="str">
        <f>IF($B27="","",IF($Q27="",99999,YEAR($Q27)*12+MONTH($Q27)))</f>
        <v/>
      </c>
      <c r="AA27" s="20" t="str">
        <f>IF($B27="","",--AND($Y27&lt;=TahunBuku*12,$Z27&gt;TahunBuku*12))</f>
        <v/>
      </c>
      <c r="AB27" s="20" t="str">
        <f>IF($B27="","",--AND($Y27&gt;TahunBuku*12,$Y27&lt;=TahunBuku*12+12))</f>
        <v/>
      </c>
      <c r="AC27" s="20" t="str">
        <f>IF($B27="","",--AND($Z27&gt;TahunBuku*12,$Z27&lt;=TahunBuku*12+12,$Y27&lt;=$Z27))</f>
        <v/>
      </c>
      <c r="AD27" s="21" t="str">
        <f>IF($B27="","",IFERROR(IF($S27="Garis Lurus",$G27-($G27-$H27)*MIN($T27*12,MAX(0,TahunBuku*12-$Y27+1))/($T27*12),IF($S27="Saldo Menurun",IF(TahunBuku-1&lt;YEAR($F27),$G27,IF(TahunBuku-1&gt;=INT(($Y27+$T27*12-2)/12),$H27,MAX($H27,$G27*(1-2/$T27*(13-MONTH($F27))/12)*(1-2/$T27)^(TahunBuku-1-YEAR($F27))))),IF($S27="Unit Produksi",$G27-($G27-$H27)*MIN(1,N($L27)/$K27),$G27))),$G27))</f>
        <v/>
      </c>
      <c r="AE27" s="21" t="str">
        <f>IF($B27="","",IFERROR(IF($S27="Garis Lurus",$G27-($G27-$H27)*MIN($T27*12,MAX(0,TahunBuku*12+12-$Y27+1))/($T27*12),IF($S27="Saldo Menurun",IF(TahunBuku&lt;YEAR($F27),$G27,IF(TahunBuku&gt;=INT(($Y27+$T27*12-2)/12),$H27,MAX($H27,$G27*(1-2/$T27*(13-MONTH($F27))/12)*(1-2/$T27)^(TahunBuku-YEAR($F27))))),IF($S27="Unit Produksi",$G27-($G27-$H27)*MIN(1,(N($L27)+N($M27))/$K27),$G27))),$G27))</f>
        <v/>
      </c>
      <c r="AF27" s="20" t="str">
        <f>IF($B27="","",IF(OR($S27="Garis Lurus",$S27="Saldo Menurun",$S27="Unit Produksi"),MAX(0,IF($S27="Unit Produksi",TahunBuku*12+12,MIN(TahunBuku*12+12,$Y27+$T27*12-1))-MAX(TahunBuku*12+1,$Y27)+1),0))</f>
        <v/>
      </c>
      <c r="AG27" s="20" t="str">
        <f>IF($B27="","",IF(OR($S27="Garis Lurus",$S27="Saldo Menurun",$S27="Unit Produksi"),MAX(0,MIN($Z27,IF($S27="Unit Produksi",TahunBuku*12+12,MIN(TahunBuku*12+12,$Y27+$T27*12-1)))-MAX(TahunBuku*12+1,$Y27)+1),0))</f>
        <v/>
      </c>
      <c r="AH27" s="21" t="str">
        <f>IF($B27="","",IFERROR(IF($W27="Garis Lurus",$G27*(1-MIN($V27*12,MAX(0,TahunBuku*12-$Y27+1))/($V27*12)),IF($W27="Saldo Menurun",IF(TahunBuku-1&lt;YEAR($F27),$G27,IF(TahunBuku-1&gt;=INT(($Y27+$V27*12-2)/12),0,$G27*(1-2/$V27*(13-MONTH($F27))/12)*(1-2/$V27)^(TahunBuku-1-YEAR($F27)))),$G27)),$G27))</f>
        <v/>
      </c>
      <c r="AI27" s="21" t="str">
        <f>IF($B27="","",IFERROR(IF($W27="Garis Lurus",$G27*(1-MIN($V27*12,MAX(0,TahunBuku*12+12-$Y27+1))/($V27*12)),IF($W27="Saldo Menurun",IF(TahunBuku&lt;YEAR($F27),$G27,IF(TahunBuku&gt;=INT(($Y27+$V27*12-2)/12),0,$G27*(1-2/$V27*(13-MONTH($F27))/12)*(1-2/$V27)^(TahunBuku-YEAR($F27)))),$G27)),$G27))</f>
        <v/>
      </c>
      <c r="AJ27" s="20" t="str">
        <f>IF($B27="","",IF(OR($W27="Garis Lurus",$W27="Saldo Menurun"),MAX(0,MIN(TahunBuku*12+12,$Y27+$V27*12-1)-MAX(TahunBuku*12+1,$Y27)+1),0))</f>
        <v/>
      </c>
      <c r="AK27" s="20" t="str">
        <f>IF($B27="","",IF(OR($W27="Garis Lurus",$W27="Saldo Menurun"),MAX(0,MIN($Z27,TahunBuku*12+12,$Y27+$V27*12-1)-MAX(TahunBuku*12+1,$Y27)+1),0))</f>
        <v/>
      </c>
      <c r="AL27" s="22" t="str">
        <f>IF($B27="","",$G27*$AA27)</f>
        <v/>
      </c>
      <c r="AM27" s="22" t="str">
        <f>IF($B27="","",$G27*$AB27)</f>
        <v/>
      </c>
      <c r="AN27" s="22" t="str">
        <f>IF($B27="","",$G27*$AC27)</f>
        <v/>
      </c>
      <c r="AO27" s="22" t="str">
        <f>IF($B27="","",AL27+AM27-AN27)</f>
        <v/>
      </c>
      <c r="AP27" s="22" t="str">
        <f>IF($B27="","",($G27-$AD27)*$AA27)</f>
        <v/>
      </c>
      <c r="AQ27" s="22" t="str">
        <f>IF($B27="","",IF($AF27=0,0,($AD27-$AE27)*$AG27/$AF27)*MAX($AA27,$AB27))</f>
        <v/>
      </c>
      <c r="AR27" s="22" t="str">
        <f>IF($B27="","",(AP27+AQ27)*$AC27)</f>
        <v/>
      </c>
      <c r="AS27" s="22" t="str">
        <f>IF($B27="","",AP27+AQ27-AR27)</f>
        <v/>
      </c>
      <c r="AT27" s="22" t="str">
        <f>IF($B27="","",AO27-AS27)</f>
        <v/>
      </c>
      <c r="AU27" s="22" t="str">
        <f>IF($B27="","",IF($AC27=1,N($R27)-($G27-AR27),0))</f>
        <v/>
      </c>
      <c r="AV27" s="22" t="str">
        <f>IF($B27="","",($G27-$AH27)*$AA27)</f>
        <v/>
      </c>
      <c r="AW27" s="22" t="str">
        <f>IF($B27="","",IF($AJ27=0,0,($AH27-$AI27)*$AK27/$AJ27)*MAX($AA27,$AB27))</f>
        <v/>
      </c>
      <c r="AX27" s="22" t="str">
        <f>IF($B27="","",(AV27+AW27)*$AC27)</f>
        <v/>
      </c>
      <c r="AY27" s="22" t="str">
        <f>IF($B27="","",AV27+AW27-AX27)</f>
        <v/>
      </c>
      <c r="AZ27" s="22" t="str">
        <f>IF($B27="","",AO27-AY27)</f>
        <v/>
      </c>
      <c r="BA27" s="22" t="str">
        <f>IF($B27="","",IF($AC27=1,N($R27)-($G27-AX27),0))</f>
        <v/>
      </c>
      <c r="BB27" s="22" t="str">
        <f>IF($B27="","",ROUND(AQ27-AW27,0))</f>
        <v/>
      </c>
      <c r="BC27" s="22" t="str">
        <f>IF($B27="","",ROUND(BA27-AU27,0))</f>
        <v/>
      </c>
      <c r="BD27" s="22" t="str">
        <f>IF($B27="","",BB27+BC27)</f>
        <v/>
      </c>
      <c r="BE27" s="22" t="str">
        <f>IF($B27="","",ROUND(AV27-AP27,0))</f>
        <v/>
      </c>
      <c r="BF27" s="22" t="str">
        <f>IF($B27="","",ROUND(AT27-AZ27,0))</f>
        <v/>
      </c>
      <c r="BG27" s="22" t="str">
        <f>IF($B27="","",ROUND(BF27*TarifPPh,0))</f>
        <v/>
      </c>
      <c r="BH27" t="str">
        <f>IF($B27="","",IF($D27="","Kategori kosong",IF($F27="","Tgl perolehan kosong",IF(N($H27)&gt;$G27,"Residu &gt; harga perolehan",IF(AND(LEFT($U27,8)="Bangunan",$W27="Saldo Menurun"),"Bangunan wajib Garis Lurus (Ps.11 UU PPh)",IF(AND($S27="Unit Produksi",N($K27)=0),"Isi kapasitas unit",IF(AND(OR($S27="Garis Lurus",$S27="Saldo Menurun"),N($T27)&lt;=0),"Umur komersial kosong",IF(AND(OR($W27="Garis Lurus",$W27="Saldo Menurun"),N($V27)&lt;=0),"Masa manfaat fiskal kosong",IF(AND($Q27&lt;&gt;"",$Q27&lt;$F27),"Tgl pelepasan &lt; perolehan","OK")))))))))</f>
        <v/>
      </c>
    </row>
    <row r="28" spans="1:60" x14ac:dyDescent="0.25">
      <c r="A28" t="str">
        <f>IF($B28="","",ROW()-6)</f>
        <v/>
      </c>
      <c r="B28" s="9"/>
      <c r="C28" s="9"/>
      <c r="D28" s="9"/>
      <c r="E28" s="9"/>
      <c r="F28" s="17"/>
      <c r="G28" s="18"/>
      <c r="H28" s="18"/>
      <c r="I28" s="9"/>
      <c r="J28" s="9"/>
      <c r="K28" s="19"/>
      <c r="L28" s="19"/>
      <c r="M28" s="19"/>
      <c r="N28" s="9"/>
      <c r="O28" s="9"/>
      <c r="P28" s="9"/>
      <c r="Q28" s="17"/>
      <c r="R28" s="18"/>
      <c r="S28" t="str">
        <f>IF($B28="","",IF($I28&lt;&gt;"",$I28,IFERROR(INDEX(Kat_Metode,MATCH($D28,Kat_Nama,0)),"")))</f>
        <v/>
      </c>
      <c r="T28" t="str">
        <f>IF($B28="","",IF($J28&lt;&gt;"",$J28,IFERROR(INDEX(Kat_Umur,MATCH($D28,Kat_Nama,0)),0)))</f>
        <v/>
      </c>
      <c r="U28" t="str">
        <f>IF($B28="","",IF($N28&lt;&gt;"",$N28,IFERROR(INDEX(Kat_Kelompok,MATCH($D28,Kat_Nama,0)),"")))</f>
        <v/>
      </c>
      <c r="V28" t="str">
        <f>IF($B28="","",IF($U28="Masa Manfaat Sebenarnya",N($O28),IFERROR(INDEX(Kel_Masa,MATCH($U28,Kel_Nama,0)),0)))</f>
        <v/>
      </c>
      <c r="W28" t="str">
        <f>IF($B28="","",IF($P28&lt;&gt;"",$P28,IF(OR($U28="Tidak Disusutkan",$V28=0),"Tidak Disusutkan","Garis Lurus")))</f>
        <v/>
      </c>
      <c r="X28" t="str">
        <f>IF($B28="","",IF($Y28&gt;TahunBuku*12+12,"Belum Diperoleh",IF($Z28&lt;=TahunBuku*12,"Dilepas (thn lalu)",IF($AC28=1,"Dilepas thn ini",IF($AB28=1,"Perolehan baru","Aktif")))))</f>
        <v/>
      </c>
      <c r="Y28" s="20" t="str">
        <f>IF($B28="","",YEAR($F28)*12+MONTH($F28))</f>
        <v/>
      </c>
      <c r="Z28" s="20" t="str">
        <f>IF($B28="","",IF($Q28="",99999,YEAR($Q28)*12+MONTH($Q28)))</f>
        <v/>
      </c>
      <c r="AA28" s="20" t="str">
        <f>IF($B28="","",--AND($Y28&lt;=TahunBuku*12,$Z28&gt;TahunBuku*12))</f>
        <v/>
      </c>
      <c r="AB28" s="20" t="str">
        <f>IF($B28="","",--AND($Y28&gt;TahunBuku*12,$Y28&lt;=TahunBuku*12+12))</f>
        <v/>
      </c>
      <c r="AC28" s="20" t="str">
        <f>IF($B28="","",--AND($Z28&gt;TahunBuku*12,$Z28&lt;=TahunBuku*12+12,$Y28&lt;=$Z28))</f>
        <v/>
      </c>
      <c r="AD28" s="21" t="str">
        <f>IF($B28="","",IFERROR(IF($S28="Garis Lurus",$G28-($G28-$H28)*MIN($T28*12,MAX(0,TahunBuku*12-$Y28+1))/($T28*12),IF($S28="Saldo Menurun",IF(TahunBuku-1&lt;YEAR($F28),$G28,IF(TahunBuku-1&gt;=INT(($Y28+$T28*12-2)/12),$H28,MAX($H28,$G28*(1-2/$T28*(13-MONTH($F28))/12)*(1-2/$T28)^(TahunBuku-1-YEAR($F28))))),IF($S28="Unit Produksi",$G28-($G28-$H28)*MIN(1,N($L28)/$K28),$G28))),$G28))</f>
        <v/>
      </c>
      <c r="AE28" s="21" t="str">
        <f>IF($B28="","",IFERROR(IF($S28="Garis Lurus",$G28-($G28-$H28)*MIN($T28*12,MAX(0,TahunBuku*12+12-$Y28+1))/($T28*12),IF($S28="Saldo Menurun",IF(TahunBuku&lt;YEAR($F28),$G28,IF(TahunBuku&gt;=INT(($Y28+$T28*12-2)/12),$H28,MAX($H28,$G28*(1-2/$T28*(13-MONTH($F28))/12)*(1-2/$T28)^(TahunBuku-YEAR($F28))))),IF($S28="Unit Produksi",$G28-($G28-$H28)*MIN(1,(N($L28)+N($M28))/$K28),$G28))),$G28))</f>
        <v/>
      </c>
      <c r="AF28" s="20" t="str">
        <f>IF($B28="","",IF(OR($S28="Garis Lurus",$S28="Saldo Menurun",$S28="Unit Produksi"),MAX(0,IF($S28="Unit Produksi",TahunBuku*12+12,MIN(TahunBuku*12+12,$Y28+$T28*12-1))-MAX(TahunBuku*12+1,$Y28)+1),0))</f>
        <v/>
      </c>
      <c r="AG28" s="20" t="str">
        <f>IF($B28="","",IF(OR($S28="Garis Lurus",$S28="Saldo Menurun",$S28="Unit Produksi"),MAX(0,MIN($Z28,IF($S28="Unit Produksi",TahunBuku*12+12,MIN(TahunBuku*12+12,$Y28+$T28*12-1)))-MAX(TahunBuku*12+1,$Y28)+1),0))</f>
        <v/>
      </c>
      <c r="AH28" s="21" t="str">
        <f>IF($B28="","",IFERROR(IF($W28="Garis Lurus",$G28*(1-MIN($V28*12,MAX(0,TahunBuku*12-$Y28+1))/($V28*12)),IF($W28="Saldo Menurun",IF(TahunBuku-1&lt;YEAR($F28),$G28,IF(TahunBuku-1&gt;=INT(($Y28+$V28*12-2)/12),0,$G28*(1-2/$V28*(13-MONTH($F28))/12)*(1-2/$V28)^(TahunBuku-1-YEAR($F28)))),$G28)),$G28))</f>
        <v/>
      </c>
      <c r="AI28" s="21" t="str">
        <f>IF($B28="","",IFERROR(IF($W28="Garis Lurus",$G28*(1-MIN($V28*12,MAX(0,TahunBuku*12+12-$Y28+1))/($V28*12)),IF($W28="Saldo Menurun",IF(TahunBuku&lt;YEAR($F28),$G28,IF(TahunBuku&gt;=INT(($Y28+$V28*12-2)/12),0,$G28*(1-2/$V28*(13-MONTH($F28))/12)*(1-2/$V28)^(TahunBuku-YEAR($F28)))),$G28)),$G28))</f>
        <v/>
      </c>
      <c r="AJ28" s="20" t="str">
        <f>IF($B28="","",IF(OR($W28="Garis Lurus",$W28="Saldo Menurun"),MAX(0,MIN(TahunBuku*12+12,$Y28+$V28*12-1)-MAX(TahunBuku*12+1,$Y28)+1),0))</f>
        <v/>
      </c>
      <c r="AK28" s="20" t="str">
        <f>IF($B28="","",IF(OR($W28="Garis Lurus",$W28="Saldo Menurun"),MAX(0,MIN($Z28,TahunBuku*12+12,$Y28+$V28*12-1)-MAX(TahunBuku*12+1,$Y28)+1),0))</f>
        <v/>
      </c>
      <c r="AL28" s="22" t="str">
        <f>IF($B28="","",$G28*$AA28)</f>
        <v/>
      </c>
      <c r="AM28" s="22" t="str">
        <f>IF($B28="","",$G28*$AB28)</f>
        <v/>
      </c>
      <c r="AN28" s="22" t="str">
        <f>IF($B28="","",$G28*$AC28)</f>
        <v/>
      </c>
      <c r="AO28" s="22" t="str">
        <f>IF($B28="","",AL28+AM28-AN28)</f>
        <v/>
      </c>
      <c r="AP28" s="22" t="str">
        <f>IF($B28="","",($G28-$AD28)*$AA28)</f>
        <v/>
      </c>
      <c r="AQ28" s="22" t="str">
        <f>IF($B28="","",IF($AF28=0,0,($AD28-$AE28)*$AG28/$AF28)*MAX($AA28,$AB28))</f>
        <v/>
      </c>
      <c r="AR28" s="22" t="str">
        <f>IF($B28="","",(AP28+AQ28)*$AC28)</f>
        <v/>
      </c>
      <c r="AS28" s="22" t="str">
        <f>IF($B28="","",AP28+AQ28-AR28)</f>
        <v/>
      </c>
      <c r="AT28" s="22" t="str">
        <f>IF($B28="","",AO28-AS28)</f>
        <v/>
      </c>
      <c r="AU28" s="22" t="str">
        <f>IF($B28="","",IF($AC28=1,N($R28)-($G28-AR28),0))</f>
        <v/>
      </c>
      <c r="AV28" s="22" t="str">
        <f>IF($B28="","",($G28-$AH28)*$AA28)</f>
        <v/>
      </c>
      <c r="AW28" s="22" t="str">
        <f>IF($B28="","",IF($AJ28=0,0,($AH28-$AI28)*$AK28/$AJ28)*MAX($AA28,$AB28))</f>
        <v/>
      </c>
      <c r="AX28" s="22" t="str">
        <f>IF($B28="","",(AV28+AW28)*$AC28)</f>
        <v/>
      </c>
      <c r="AY28" s="22" t="str">
        <f>IF($B28="","",AV28+AW28-AX28)</f>
        <v/>
      </c>
      <c r="AZ28" s="22" t="str">
        <f>IF($B28="","",AO28-AY28)</f>
        <v/>
      </c>
      <c r="BA28" s="22" t="str">
        <f>IF($B28="","",IF($AC28=1,N($R28)-($G28-AX28),0))</f>
        <v/>
      </c>
      <c r="BB28" s="22" t="str">
        <f>IF($B28="","",ROUND(AQ28-AW28,0))</f>
        <v/>
      </c>
      <c r="BC28" s="22" t="str">
        <f>IF($B28="","",ROUND(BA28-AU28,0))</f>
        <v/>
      </c>
      <c r="BD28" s="22" t="str">
        <f>IF($B28="","",BB28+BC28)</f>
        <v/>
      </c>
      <c r="BE28" s="22" t="str">
        <f>IF($B28="","",ROUND(AV28-AP28,0))</f>
        <v/>
      </c>
      <c r="BF28" s="22" t="str">
        <f>IF($B28="","",ROUND(AT28-AZ28,0))</f>
        <v/>
      </c>
      <c r="BG28" s="22" t="str">
        <f>IF($B28="","",ROUND(BF28*TarifPPh,0))</f>
        <v/>
      </c>
      <c r="BH28" t="str">
        <f>IF($B28="","",IF($D28="","Kategori kosong",IF($F28="","Tgl perolehan kosong",IF(N($H28)&gt;$G28,"Residu &gt; harga perolehan",IF(AND(LEFT($U28,8)="Bangunan",$W28="Saldo Menurun"),"Bangunan wajib Garis Lurus (Ps.11 UU PPh)",IF(AND($S28="Unit Produksi",N($K28)=0),"Isi kapasitas unit",IF(AND(OR($S28="Garis Lurus",$S28="Saldo Menurun"),N($T28)&lt;=0),"Umur komersial kosong",IF(AND(OR($W28="Garis Lurus",$W28="Saldo Menurun"),N($V28)&lt;=0),"Masa manfaat fiskal kosong",IF(AND($Q28&lt;&gt;"",$Q28&lt;$F28),"Tgl pelepasan &lt; perolehan","OK")))))))))</f>
        <v/>
      </c>
    </row>
    <row r="29" spans="1:60" x14ac:dyDescent="0.25">
      <c r="A29" t="str">
        <f>IF($B29="","",ROW()-6)</f>
        <v/>
      </c>
      <c r="B29" s="9"/>
      <c r="C29" s="9"/>
      <c r="D29" s="9"/>
      <c r="E29" s="9"/>
      <c r="F29" s="17"/>
      <c r="G29" s="18"/>
      <c r="H29" s="18"/>
      <c r="I29" s="9"/>
      <c r="J29" s="9"/>
      <c r="K29" s="19"/>
      <c r="L29" s="19"/>
      <c r="M29" s="19"/>
      <c r="N29" s="9"/>
      <c r="O29" s="9"/>
      <c r="P29" s="9"/>
      <c r="Q29" s="17"/>
      <c r="R29" s="18"/>
      <c r="S29" t="str">
        <f>IF($B29="","",IF($I29&lt;&gt;"",$I29,IFERROR(INDEX(Kat_Metode,MATCH($D29,Kat_Nama,0)),"")))</f>
        <v/>
      </c>
      <c r="T29" t="str">
        <f>IF($B29="","",IF($J29&lt;&gt;"",$J29,IFERROR(INDEX(Kat_Umur,MATCH($D29,Kat_Nama,0)),0)))</f>
        <v/>
      </c>
      <c r="U29" t="str">
        <f>IF($B29="","",IF($N29&lt;&gt;"",$N29,IFERROR(INDEX(Kat_Kelompok,MATCH($D29,Kat_Nama,0)),"")))</f>
        <v/>
      </c>
      <c r="V29" t="str">
        <f>IF($B29="","",IF($U29="Masa Manfaat Sebenarnya",N($O29),IFERROR(INDEX(Kel_Masa,MATCH($U29,Kel_Nama,0)),0)))</f>
        <v/>
      </c>
      <c r="W29" t="str">
        <f>IF($B29="","",IF($P29&lt;&gt;"",$P29,IF(OR($U29="Tidak Disusutkan",$V29=0),"Tidak Disusutkan","Garis Lurus")))</f>
        <v/>
      </c>
      <c r="X29" t="str">
        <f>IF($B29="","",IF($Y29&gt;TahunBuku*12+12,"Belum Diperoleh",IF($Z29&lt;=TahunBuku*12,"Dilepas (thn lalu)",IF($AC29=1,"Dilepas thn ini",IF($AB29=1,"Perolehan baru","Aktif")))))</f>
        <v/>
      </c>
      <c r="Y29" s="20" t="str">
        <f>IF($B29="","",YEAR($F29)*12+MONTH($F29))</f>
        <v/>
      </c>
      <c r="Z29" s="20" t="str">
        <f>IF($B29="","",IF($Q29="",99999,YEAR($Q29)*12+MONTH($Q29)))</f>
        <v/>
      </c>
      <c r="AA29" s="20" t="str">
        <f>IF($B29="","",--AND($Y29&lt;=TahunBuku*12,$Z29&gt;TahunBuku*12))</f>
        <v/>
      </c>
      <c r="AB29" s="20" t="str">
        <f>IF($B29="","",--AND($Y29&gt;TahunBuku*12,$Y29&lt;=TahunBuku*12+12))</f>
        <v/>
      </c>
      <c r="AC29" s="20" t="str">
        <f>IF($B29="","",--AND($Z29&gt;TahunBuku*12,$Z29&lt;=TahunBuku*12+12,$Y29&lt;=$Z29))</f>
        <v/>
      </c>
      <c r="AD29" s="21" t="str">
        <f>IF($B29="","",IFERROR(IF($S29="Garis Lurus",$G29-($G29-$H29)*MIN($T29*12,MAX(0,TahunBuku*12-$Y29+1))/($T29*12),IF($S29="Saldo Menurun",IF(TahunBuku-1&lt;YEAR($F29),$G29,IF(TahunBuku-1&gt;=INT(($Y29+$T29*12-2)/12),$H29,MAX($H29,$G29*(1-2/$T29*(13-MONTH($F29))/12)*(1-2/$T29)^(TahunBuku-1-YEAR($F29))))),IF($S29="Unit Produksi",$G29-($G29-$H29)*MIN(1,N($L29)/$K29),$G29))),$G29))</f>
        <v/>
      </c>
      <c r="AE29" s="21" t="str">
        <f>IF($B29="","",IFERROR(IF($S29="Garis Lurus",$G29-($G29-$H29)*MIN($T29*12,MAX(0,TahunBuku*12+12-$Y29+1))/($T29*12),IF($S29="Saldo Menurun",IF(TahunBuku&lt;YEAR($F29),$G29,IF(TahunBuku&gt;=INT(($Y29+$T29*12-2)/12),$H29,MAX($H29,$G29*(1-2/$T29*(13-MONTH($F29))/12)*(1-2/$T29)^(TahunBuku-YEAR($F29))))),IF($S29="Unit Produksi",$G29-($G29-$H29)*MIN(1,(N($L29)+N($M29))/$K29),$G29))),$G29))</f>
        <v/>
      </c>
      <c r="AF29" s="20" t="str">
        <f>IF($B29="","",IF(OR($S29="Garis Lurus",$S29="Saldo Menurun",$S29="Unit Produksi"),MAX(0,IF($S29="Unit Produksi",TahunBuku*12+12,MIN(TahunBuku*12+12,$Y29+$T29*12-1))-MAX(TahunBuku*12+1,$Y29)+1),0))</f>
        <v/>
      </c>
      <c r="AG29" s="20" t="str">
        <f>IF($B29="","",IF(OR($S29="Garis Lurus",$S29="Saldo Menurun",$S29="Unit Produksi"),MAX(0,MIN($Z29,IF($S29="Unit Produksi",TahunBuku*12+12,MIN(TahunBuku*12+12,$Y29+$T29*12-1)))-MAX(TahunBuku*12+1,$Y29)+1),0))</f>
        <v/>
      </c>
      <c r="AH29" s="21" t="str">
        <f>IF($B29="","",IFERROR(IF($W29="Garis Lurus",$G29*(1-MIN($V29*12,MAX(0,TahunBuku*12-$Y29+1))/($V29*12)),IF($W29="Saldo Menurun",IF(TahunBuku-1&lt;YEAR($F29),$G29,IF(TahunBuku-1&gt;=INT(($Y29+$V29*12-2)/12),0,$G29*(1-2/$V29*(13-MONTH($F29))/12)*(1-2/$V29)^(TahunBuku-1-YEAR($F29)))),$G29)),$G29))</f>
        <v/>
      </c>
      <c r="AI29" s="21" t="str">
        <f>IF($B29="","",IFERROR(IF($W29="Garis Lurus",$G29*(1-MIN($V29*12,MAX(0,TahunBuku*12+12-$Y29+1))/($V29*12)),IF($W29="Saldo Menurun",IF(TahunBuku&lt;YEAR($F29),$G29,IF(TahunBuku&gt;=INT(($Y29+$V29*12-2)/12),0,$G29*(1-2/$V29*(13-MONTH($F29))/12)*(1-2/$V29)^(TahunBuku-YEAR($F29)))),$G29)),$G29))</f>
        <v/>
      </c>
      <c r="AJ29" s="20" t="str">
        <f>IF($B29="","",IF(OR($W29="Garis Lurus",$W29="Saldo Menurun"),MAX(0,MIN(TahunBuku*12+12,$Y29+$V29*12-1)-MAX(TahunBuku*12+1,$Y29)+1),0))</f>
        <v/>
      </c>
      <c r="AK29" s="20" t="str">
        <f>IF($B29="","",IF(OR($W29="Garis Lurus",$W29="Saldo Menurun"),MAX(0,MIN($Z29,TahunBuku*12+12,$Y29+$V29*12-1)-MAX(TahunBuku*12+1,$Y29)+1),0))</f>
        <v/>
      </c>
      <c r="AL29" s="22" t="str">
        <f>IF($B29="","",$G29*$AA29)</f>
        <v/>
      </c>
      <c r="AM29" s="22" t="str">
        <f>IF($B29="","",$G29*$AB29)</f>
        <v/>
      </c>
      <c r="AN29" s="22" t="str">
        <f>IF($B29="","",$G29*$AC29)</f>
        <v/>
      </c>
      <c r="AO29" s="22" t="str">
        <f>IF($B29="","",AL29+AM29-AN29)</f>
        <v/>
      </c>
      <c r="AP29" s="22" t="str">
        <f>IF($B29="","",($G29-$AD29)*$AA29)</f>
        <v/>
      </c>
      <c r="AQ29" s="22" t="str">
        <f>IF($B29="","",IF($AF29=0,0,($AD29-$AE29)*$AG29/$AF29)*MAX($AA29,$AB29))</f>
        <v/>
      </c>
      <c r="AR29" s="22" t="str">
        <f>IF($B29="","",(AP29+AQ29)*$AC29)</f>
        <v/>
      </c>
      <c r="AS29" s="22" t="str">
        <f>IF($B29="","",AP29+AQ29-AR29)</f>
        <v/>
      </c>
      <c r="AT29" s="22" t="str">
        <f>IF($B29="","",AO29-AS29)</f>
        <v/>
      </c>
      <c r="AU29" s="22" t="str">
        <f>IF($B29="","",IF($AC29=1,N($R29)-($G29-AR29),0))</f>
        <v/>
      </c>
      <c r="AV29" s="22" t="str">
        <f>IF($B29="","",($G29-$AH29)*$AA29)</f>
        <v/>
      </c>
      <c r="AW29" s="22" t="str">
        <f>IF($B29="","",IF($AJ29=0,0,($AH29-$AI29)*$AK29/$AJ29)*MAX($AA29,$AB29))</f>
        <v/>
      </c>
      <c r="AX29" s="22" t="str">
        <f>IF($B29="","",(AV29+AW29)*$AC29)</f>
        <v/>
      </c>
      <c r="AY29" s="22" t="str">
        <f>IF($B29="","",AV29+AW29-AX29)</f>
        <v/>
      </c>
      <c r="AZ29" s="22" t="str">
        <f>IF($B29="","",AO29-AY29)</f>
        <v/>
      </c>
      <c r="BA29" s="22" t="str">
        <f>IF($B29="","",IF($AC29=1,N($R29)-($G29-AX29),0))</f>
        <v/>
      </c>
      <c r="BB29" s="22" t="str">
        <f>IF($B29="","",ROUND(AQ29-AW29,0))</f>
        <v/>
      </c>
      <c r="BC29" s="22" t="str">
        <f>IF($B29="","",ROUND(BA29-AU29,0))</f>
        <v/>
      </c>
      <c r="BD29" s="22" t="str">
        <f>IF($B29="","",BB29+BC29)</f>
        <v/>
      </c>
      <c r="BE29" s="22" t="str">
        <f>IF($B29="","",ROUND(AV29-AP29,0))</f>
        <v/>
      </c>
      <c r="BF29" s="22" t="str">
        <f>IF($B29="","",ROUND(AT29-AZ29,0))</f>
        <v/>
      </c>
      <c r="BG29" s="22" t="str">
        <f>IF($B29="","",ROUND(BF29*TarifPPh,0))</f>
        <v/>
      </c>
      <c r="BH29" t="str">
        <f>IF($B29="","",IF($D29="","Kategori kosong",IF($F29="","Tgl perolehan kosong",IF(N($H29)&gt;$G29,"Residu &gt; harga perolehan",IF(AND(LEFT($U29,8)="Bangunan",$W29="Saldo Menurun"),"Bangunan wajib Garis Lurus (Ps.11 UU PPh)",IF(AND($S29="Unit Produksi",N($K29)=0),"Isi kapasitas unit",IF(AND(OR($S29="Garis Lurus",$S29="Saldo Menurun"),N($T29)&lt;=0),"Umur komersial kosong",IF(AND(OR($W29="Garis Lurus",$W29="Saldo Menurun"),N($V29)&lt;=0),"Masa manfaat fiskal kosong",IF(AND($Q29&lt;&gt;"",$Q29&lt;$F29),"Tgl pelepasan &lt; perolehan","OK")))))))))</f>
        <v/>
      </c>
    </row>
    <row r="30" spans="1:60" x14ac:dyDescent="0.25">
      <c r="A30" t="str">
        <f>IF($B30="","",ROW()-6)</f>
        <v/>
      </c>
      <c r="B30" s="9"/>
      <c r="C30" s="9"/>
      <c r="D30" s="9"/>
      <c r="E30" s="9"/>
      <c r="F30" s="17"/>
      <c r="G30" s="18"/>
      <c r="H30" s="18"/>
      <c r="I30" s="9"/>
      <c r="J30" s="9"/>
      <c r="K30" s="19"/>
      <c r="L30" s="19"/>
      <c r="M30" s="19"/>
      <c r="N30" s="9"/>
      <c r="O30" s="9"/>
      <c r="P30" s="9"/>
      <c r="Q30" s="17"/>
      <c r="R30" s="18"/>
      <c r="S30" t="str">
        <f>IF($B30="","",IF($I30&lt;&gt;"",$I30,IFERROR(INDEX(Kat_Metode,MATCH($D30,Kat_Nama,0)),"")))</f>
        <v/>
      </c>
      <c r="T30" t="str">
        <f>IF($B30="","",IF($J30&lt;&gt;"",$J30,IFERROR(INDEX(Kat_Umur,MATCH($D30,Kat_Nama,0)),0)))</f>
        <v/>
      </c>
      <c r="U30" t="str">
        <f>IF($B30="","",IF($N30&lt;&gt;"",$N30,IFERROR(INDEX(Kat_Kelompok,MATCH($D30,Kat_Nama,0)),"")))</f>
        <v/>
      </c>
      <c r="V30" t="str">
        <f>IF($B30="","",IF($U30="Masa Manfaat Sebenarnya",N($O30),IFERROR(INDEX(Kel_Masa,MATCH($U30,Kel_Nama,0)),0)))</f>
        <v/>
      </c>
      <c r="W30" t="str">
        <f>IF($B30="","",IF($P30&lt;&gt;"",$P30,IF(OR($U30="Tidak Disusutkan",$V30=0),"Tidak Disusutkan","Garis Lurus")))</f>
        <v/>
      </c>
      <c r="X30" t="str">
        <f>IF($B30="","",IF($Y30&gt;TahunBuku*12+12,"Belum Diperoleh",IF($Z30&lt;=TahunBuku*12,"Dilepas (thn lalu)",IF($AC30=1,"Dilepas thn ini",IF($AB30=1,"Perolehan baru","Aktif")))))</f>
        <v/>
      </c>
      <c r="Y30" s="20" t="str">
        <f>IF($B30="","",YEAR($F30)*12+MONTH($F30))</f>
        <v/>
      </c>
      <c r="Z30" s="20" t="str">
        <f>IF($B30="","",IF($Q30="",99999,YEAR($Q30)*12+MONTH($Q30)))</f>
        <v/>
      </c>
      <c r="AA30" s="20" t="str">
        <f>IF($B30="","",--AND($Y30&lt;=TahunBuku*12,$Z30&gt;TahunBuku*12))</f>
        <v/>
      </c>
      <c r="AB30" s="20" t="str">
        <f>IF($B30="","",--AND($Y30&gt;TahunBuku*12,$Y30&lt;=TahunBuku*12+12))</f>
        <v/>
      </c>
      <c r="AC30" s="20" t="str">
        <f>IF($B30="","",--AND($Z30&gt;TahunBuku*12,$Z30&lt;=TahunBuku*12+12,$Y30&lt;=$Z30))</f>
        <v/>
      </c>
      <c r="AD30" s="21" t="str">
        <f>IF($B30="","",IFERROR(IF($S30="Garis Lurus",$G30-($G30-$H30)*MIN($T30*12,MAX(0,TahunBuku*12-$Y30+1))/($T30*12),IF($S30="Saldo Menurun",IF(TahunBuku-1&lt;YEAR($F30),$G30,IF(TahunBuku-1&gt;=INT(($Y30+$T30*12-2)/12),$H30,MAX($H30,$G30*(1-2/$T30*(13-MONTH($F30))/12)*(1-2/$T30)^(TahunBuku-1-YEAR($F30))))),IF($S30="Unit Produksi",$G30-($G30-$H30)*MIN(1,N($L30)/$K30),$G30))),$G30))</f>
        <v/>
      </c>
      <c r="AE30" s="21" t="str">
        <f>IF($B30="","",IFERROR(IF($S30="Garis Lurus",$G30-($G30-$H30)*MIN($T30*12,MAX(0,TahunBuku*12+12-$Y30+1))/($T30*12),IF($S30="Saldo Menurun",IF(TahunBuku&lt;YEAR($F30),$G30,IF(TahunBuku&gt;=INT(($Y30+$T30*12-2)/12),$H30,MAX($H30,$G30*(1-2/$T30*(13-MONTH($F30))/12)*(1-2/$T30)^(TahunBuku-YEAR($F30))))),IF($S30="Unit Produksi",$G30-($G30-$H30)*MIN(1,(N($L30)+N($M30))/$K30),$G30))),$G30))</f>
        <v/>
      </c>
      <c r="AF30" s="20" t="str">
        <f>IF($B30="","",IF(OR($S30="Garis Lurus",$S30="Saldo Menurun",$S30="Unit Produksi"),MAX(0,IF($S30="Unit Produksi",TahunBuku*12+12,MIN(TahunBuku*12+12,$Y30+$T30*12-1))-MAX(TahunBuku*12+1,$Y30)+1),0))</f>
        <v/>
      </c>
      <c r="AG30" s="20" t="str">
        <f>IF($B30="","",IF(OR($S30="Garis Lurus",$S30="Saldo Menurun",$S30="Unit Produksi"),MAX(0,MIN($Z30,IF($S30="Unit Produksi",TahunBuku*12+12,MIN(TahunBuku*12+12,$Y30+$T30*12-1)))-MAX(TahunBuku*12+1,$Y30)+1),0))</f>
        <v/>
      </c>
      <c r="AH30" s="21" t="str">
        <f>IF($B30="","",IFERROR(IF($W30="Garis Lurus",$G30*(1-MIN($V30*12,MAX(0,TahunBuku*12-$Y30+1))/($V30*12)),IF($W30="Saldo Menurun",IF(TahunBuku-1&lt;YEAR($F30),$G30,IF(TahunBuku-1&gt;=INT(($Y30+$V30*12-2)/12),0,$G30*(1-2/$V30*(13-MONTH($F30))/12)*(1-2/$V30)^(TahunBuku-1-YEAR($F30)))),$G30)),$G30))</f>
        <v/>
      </c>
      <c r="AI30" s="21" t="str">
        <f>IF($B30="","",IFERROR(IF($W30="Garis Lurus",$G30*(1-MIN($V30*12,MAX(0,TahunBuku*12+12-$Y30+1))/($V30*12)),IF($W30="Saldo Menurun",IF(TahunBuku&lt;YEAR($F30),$G30,IF(TahunBuku&gt;=INT(($Y30+$V30*12-2)/12),0,$G30*(1-2/$V30*(13-MONTH($F30))/12)*(1-2/$V30)^(TahunBuku-YEAR($F30)))),$G30)),$G30))</f>
        <v/>
      </c>
      <c r="AJ30" s="20" t="str">
        <f>IF($B30="","",IF(OR($W30="Garis Lurus",$W30="Saldo Menurun"),MAX(0,MIN(TahunBuku*12+12,$Y30+$V30*12-1)-MAX(TahunBuku*12+1,$Y30)+1),0))</f>
        <v/>
      </c>
      <c r="AK30" s="20" t="str">
        <f>IF($B30="","",IF(OR($W30="Garis Lurus",$W30="Saldo Menurun"),MAX(0,MIN($Z30,TahunBuku*12+12,$Y30+$V30*12-1)-MAX(TahunBuku*12+1,$Y30)+1),0))</f>
        <v/>
      </c>
      <c r="AL30" s="22" t="str">
        <f>IF($B30="","",$G30*$AA30)</f>
        <v/>
      </c>
      <c r="AM30" s="22" t="str">
        <f>IF($B30="","",$G30*$AB30)</f>
        <v/>
      </c>
      <c r="AN30" s="22" t="str">
        <f>IF($B30="","",$G30*$AC30)</f>
        <v/>
      </c>
      <c r="AO30" s="22" t="str">
        <f>IF($B30="","",AL30+AM30-AN30)</f>
        <v/>
      </c>
      <c r="AP30" s="22" t="str">
        <f>IF($B30="","",($G30-$AD30)*$AA30)</f>
        <v/>
      </c>
      <c r="AQ30" s="22" t="str">
        <f>IF($B30="","",IF($AF30=0,0,($AD30-$AE30)*$AG30/$AF30)*MAX($AA30,$AB30))</f>
        <v/>
      </c>
      <c r="AR30" s="22" t="str">
        <f>IF($B30="","",(AP30+AQ30)*$AC30)</f>
        <v/>
      </c>
      <c r="AS30" s="22" t="str">
        <f>IF($B30="","",AP30+AQ30-AR30)</f>
        <v/>
      </c>
      <c r="AT30" s="22" t="str">
        <f>IF($B30="","",AO30-AS30)</f>
        <v/>
      </c>
      <c r="AU30" s="22" t="str">
        <f>IF($B30="","",IF($AC30=1,N($R30)-($G30-AR30),0))</f>
        <v/>
      </c>
      <c r="AV30" s="22" t="str">
        <f>IF($B30="","",($G30-$AH30)*$AA30)</f>
        <v/>
      </c>
      <c r="AW30" s="22" t="str">
        <f>IF($B30="","",IF($AJ30=0,0,($AH30-$AI30)*$AK30/$AJ30)*MAX($AA30,$AB30))</f>
        <v/>
      </c>
      <c r="AX30" s="22" t="str">
        <f>IF($B30="","",(AV30+AW30)*$AC30)</f>
        <v/>
      </c>
      <c r="AY30" s="22" t="str">
        <f>IF($B30="","",AV30+AW30-AX30)</f>
        <v/>
      </c>
      <c r="AZ30" s="22" t="str">
        <f>IF($B30="","",AO30-AY30)</f>
        <v/>
      </c>
      <c r="BA30" s="22" t="str">
        <f>IF($B30="","",IF($AC30=1,N($R30)-($G30-AX30),0))</f>
        <v/>
      </c>
      <c r="BB30" s="22" t="str">
        <f>IF($B30="","",ROUND(AQ30-AW30,0))</f>
        <v/>
      </c>
      <c r="BC30" s="22" t="str">
        <f>IF($B30="","",ROUND(BA30-AU30,0))</f>
        <v/>
      </c>
      <c r="BD30" s="22" t="str">
        <f>IF($B30="","",BB30+BC30)</f>
        <v/>
      </c>
      <c r="BE30" s="22" t="str">
        <f>IF($B30="","",ROUND(AV30-AP30,0))</f>
        <v/>
      </c>
      <c r="BF30" s="22" t="str">
        <f>IF($B30="","",ROUND(AT30-AZ30,0))</f>
        <v/>
      </c>
      <c r="BG30" s="22" t="str">
        <f>IF($B30="","",ROUND(BF30*TarifPPh,0))</f>
        <v/>
      </c>
      <c r="BH30" t="str">
        <f>IF($B30="","",IF($D30="","Kategori kosong",IF($F30="","Tgl perolehan kosong",IF(N($H30)&gt;$G30,"Residu &gt; harga perolehan",IF(AND(LEFT($U30,8)="Bangunan",$W30="Saldo Menurun"),"Bangunan wajib Garis Lurus (Ps.11 UU PPh)",IF(AND($S30="Unit Produksi",N($K30)=0),"Isi kapasitas unit",IF(AND(OR($S30="Garis Lurus",$S30="Saldo Menurun"),N($T30)&lt;=0),"Umur komersial kosong",IF(AND(OR($W30="Garis Lurus",$W30="Saldo Menurun"),N($V30)&lt;=0),"Masa manfaat fiskal kosong",IF(AND($Q30&lt;&gt;"",$Q30&lt;$F30),"Tgl pelepasan &lt; perolehan","OK")))))))))</f>
        <v/>
      </c>
    </row>
    <row r="31" spans="1:60" x14ac:dyDescent="0.25">
      <c r="A31" t="str">
        <f>IF($B31="","",ROW()-6)</f>
        <v/>
      </c>
      <c r="B31" s="9"/>
      <c r="C31" s="9"/>
      <c r="D31" s="9"/>
      <c r="E31" s="9"/>
      <c r="F31" s="17"/>
      <c r="G31" s="18"/>
      <c r="H31" s="18"/>
      <c r="I31" s="9"/>
      <c r="J31" s="9"/>
      <c r="K31" s="19"/>
      <c r="L31" s="19"/>
      <c r="M31" s="19"/>
      <c r="N31" s="9"/>
      <c r="O31" s="9"/>
      <c r="P31" s="9"/>
      <c r="Q31" s="17"/>
      <c r="R31" s="18"/>
      <c r="S31" t="str">
        <f>IF($B31="","",IF($I31&lt;&gt;"",$I31,IFERROR(INDEX(Kat_Metode,MATCH($D31,Kat_Nama,0)),"")))</f>
        <v/>
      </c>
      <c r="T31" t="str">
        <f>IF($B31="","",IF($J31&lt;&gt;"",$J31,IFERROR(INDEX(Kat_Umur,MATCH($D31,Kat_Nama,0)),0)))</f>
        <v/>
      </c>
      <c r="U31" t="str">
        <f>IF($B31="","",IF($N31&lt;&gt;"",$N31,IFERROR(INDEX(Kat_Kelompok,MATCH($D31,Kat_Nama,0)),"")))</f>
        <v/>
      </c>
      <c r="V31" t="str">
        <f>IF($B31="","",IF($U31="Masa Manfaat Sebenarnya",N($O31),IFERROR(INDEX(Kel_Masa,MATCH($U31,Kel_Nama,0)),0)))</f>
        <v/>
      </c>
      <c r="W31" t="str">
        <f>IF($B31="","",IF($P31&lt;&gt;"",$P31,IF(OR($U31="Tidak Disusutkan",$V31=0),"Tidak Disusutkan","Garis Lurus")))</f>
        <v/>
      </c>
      <c r="X31" t="str">
        <f>IF($B31="","",IF($Y31&gt;TahunBuku*12+12,"Belum Diperoleh",IF($Z31&lt;=TahunBuku*12,"Dilepas (thn lalu)",IF($AC31=1,"Dilepas thn ini",IF($AB31=1,"Perolehan baru","Aktif")))))</f>
        <v/>
      </c>
      <c r="Y31" s="20" t="str">
        <f>IF($B31="","",YEAR($F31)*12+MONTH($F31))</f>
        <v/>
      </c>
      <c r="Z31" s="20" t="str">
        <f>IF($B31="","",IF($Q31="",99999,YEAR($Q31)*12+MONTH($Q31)))</f>
        <v/>
      </c>
      <c r="AA31" s="20" t="str">
        <f>IF($B31="","",--AND($Y31&lt;=TahunBuku*12,$Z31&gt;TahunBuku*12))</f>
        <v/>
      </c>
      <c r="AB31" s="20" t="str">
        <f>IF($B31="","",--AND($Y31&gt;TahunBuku*12,$Y31&lt;=TahunBuku*12+12))</f>
        <v/>
      </c>
      <c r="AC31" s="20" t="str">
        <f>IF($B31="","",--AND($Z31&gt;TahunBuku*12,$Z31&lt;=TahunBuku*12+12,$Y31&lt;=$Z31))</f>
        <v/>
      </c>
      <c r="AD31" s="21" t="str">
        <f>IF($B31="","",IFERROR(IF($S31="Garis Lurus",$G31-($G31-$H31)*MIN($T31*12,MAX(0,TahunBuku*12-$Y31+1))/($T31*12),IF($S31="Saldo Menurun",IF(TahunBuku-1&lt;YEAR($F31),$G31,IF(TahunBuku-1&gt;=INT(($Y31+$T31*12-2)/12),$H31,MAX($H31,$G31*(1-2/$T31*(13-MONTH($F31))/12)*(1-2/$T31)^(TahunBuku-1-YEAR($F31))))),IF($S31="Unit Produksi",$G31-($G31-$H31)*MIN(1,N($L31)/$K31),$G31))),$G31))</f>
        <v/>
      </c>
      <c r="AE31" s="21" t="str">
        <f>IF($B31="","",IFERROR(IF($S31="Garis Lurus",$G31-($G31-$H31)*MIN($T31*12,MAX(0,TahunBuku*12+12-$Y31+1))/($T31*12),IF($S31="Saldo Menurun",IF(TahunBuku&lt;YEAR($F31),$G31,IF(TahunBuku&gt;=INT(($Y31+$T31*12-2)/12),$H31,MAX($H31,$G31*(1-2/$T31*(13-MONTH($F31))/12)*(1-2/$T31)^(TahunBuku-YEAR($F31))))),IF($S31="Unit Produksi",$G31-($G31-$H31)*MIN(1,(N($L31)+N($M31))/$K31),$G31))),$G31))</f>
        <v/>
      </c>
      <c r="AF31" s="20" t="str">
        <f>IF($B31="","",IF(OR($S31="Garis Lurus",$S31="Saldo Menurun",$S31="Unit Produksi"),MAX(0,IF($S31="Unit Produksi",TahunBuku*12+12,MIN(TahunBuku*12+12,$Y31+$T31*12-1))-MAX(TahunBuku*12+1,$Y31)+1),0))</f>
        <v/>
      </c>
      <c r="AG31" s="20" t="str">
        <f>IF($B31="","",IF(OR($S31="Garis Lurus",$S31="Saldo Menurun",$S31="Unit Produksi"),MAX(0,MIN($Z31,IF($S31="Unit Produksi",TahunBuku*12+12,MIN(TahunBuku*12+12,$Y31+$T31*12-1)))-MAX(TahunBuku*12+1,$Y31)+1),0))</f>
        <v/>
      </c>
      <c r="AH31" s="21" t="str">
        <f>IF($B31="","",IFERROR(IF($W31="Garis Lurus",$G31*(1-MIN($V31*12,MAX(0,TahunBuku*12-$Y31+1))/($V31*12)),IF($W31="Saldo Menurun",IF(TahunBuku-1&lt;YEAR($F31),$G31,IF(TahunBuku-1&gt;=INT(($Y31+$V31*12-2)/12),0,$G31*(1-2/$V31*(13-MONTH($F31))/12)*(1-2/$V31)^(TahunBuku-1-YEAR($F31)))),$G31)),$G31))</f>
        <v/>
      </c>
      <c r="AI31" s="21" t="str">
        <f>IF($B31="","",IFERROR(IF($W31="Garis Lurus",$G31*(1-MIN($V31*12,MAX(0,TahunBuku*12+12-$Y31+1))/($V31*12)),IF($W31="Saldo Menurun",IF(TahunBuku&lt;YEAR($F31),$G31,IF(TahunBuku&gt;=INT(($Y31+$V31*12-2)/12),0,$G31*(1-2/$V31*(13-MONTH($F31))/12)*(1-2/$V31)^(TahunBuku-YEAR($F31)))),$G31)),$G31))</f>
        <v/>
      </c>
      <c r="AJ31" s="20" t="str">
        <f>IF($B31="","",IF(OR($W31="Garis Lurus",$W31="Saldo Menurun"),MAX(0,MIN(TahunBuku*12+12,$Y31+$V31*12-1)-MAX(TahunBuku*12+1,$Y31)+1),0))</f>
        <v/>
      </c>
      <c r="AK31" s="20" t="str">
        <f>IF($B31="","",IF(OR($W31="Garis Lurus",$W31="Saldo Menurun"),MAX(0,MIN($Z31,TahunBuku*12+12,$Y31+$V31*12-1)-MAX(TahunBuku*12+1,$Y31)+1),0))</f>
        <v/>
      </c>
      <c r="AL31" s="22" t="str">
        <f>IF($B31="","",$G31*$AA31)</f>
        <v/>
      </c>
      <c r="AM31" s="22" t="str">
        <f>IF($B31="","",$G31*$AB31)</f>
        <v/>
      </c>
      <c r="AN31" s="22" t="str">
        <f>IF($B31="","",$G31*$AC31)</f>
        <v/>
      </c>
      <c r="AO31" s="22" t="str">
        <f>IF($B31="","",AL31+AM31-AN31)</f>
        <v/>
      </c>
      <c r="AP31" s="22" t="str">
        <f>IF($B31="","",($G31-$AD31)*$AA31)</f>
        <v/>
      </c>
      <c r="AQ31" s="22" t="str">
        <f>IF($B31="","",IF($AF31=0,0,($AD31-$AE31)*$AG31/$AF31)*MAX($AA31,$AB31))</f>
        <v/>
      </c>
      <c r="AR31" s="22" t="str">
        <f>IF($B31="","",(AP31+AQ31)*$AC31)</f>
        <v/>
      </c>
      <c r="AS31" s="22" t="str">
        <f>IF($B31="","",AP31+AQ31-AR31)</f>
        <v/>
      </c>
      <c r="AT31" s="22" t="str">
        <f>IF($B31="","",AO31-AS31)</f>
        <v/>
      </c>
      <c r="AU31" s="22" t="str">
        <f>IF($B31="","",IF($AC31=1,N($R31)-($G31-AR31),0))</f>
        <v/>
      </c>
      <c r="AV31" s="22" t="str">
        <f>IF($B31="","",($G31-$AH31)*$AA31)</f>
        <v/>
      </c>
      <c r="AW31" s="22" t="str">
        <f>IF($B31="","",IF($AJ31=0,0,($AH31-$AI31)*$AK31/$AJ31)*MAX($AA31,$AB31))</f>
        <v/>
      </c>
      <c r="AX31" s="22" t="str">
        <f>IF($B31="","",(AV31+AW31)*$AC31)</f>
        <v/>
      </c>
      <c r="AY31" s="22" t="str">
        <f>IF($B31="","",AV31+AW31-AX31)</f>
        <v/>
      </c>
      <c r="AZ31" s="22" t="str">
        <f>IF($B31="","",AO31-AY31)</f>
        <v/>
      </c>
      <c r="BA31" s="22" t="str">
        <f>IF($B31="","",IF($AC31=1,N($R31)-($G31-AX31),0))</f>
        <v/>
      </c>
      <c r="BB31" s="22" t="str">
        <f>IF($B31="","",ROUND(AQ31-AW31,0))</f>
        <v/>
      </c>
      <c r="BC31" s="22" t="str">
        <f>IF($B31="","",ROUND(BA31-AU31,0))</f>
        <v/>
      </c>
      <c r="BD31" s="22" t="str">
        <f>IF($B31="","",BB31+BC31)</f>
        <v/>
      </c>
      <c r="BE31" s="22" t="str">
        <f>IF($B31="","",ROUND(AV31-AP31,0))</f>
        <v/>
      </c>
      <c r="BF31" s="22" t="str">
        <f>IF($B31="","",ROUND(AT31-AZ31,0))</f>
        <v/>
      </c>
      <c r="BG31" s="22" t="str">
        <f>IF($B31="","",ROUND(BF31*TarifPPh,0))</f>
        <v/>
      </c>
      <c r="BH31" t="str">
        <f>IF($B31="","",IF($D31="","Kategori kosong",IF($F31="","Tgl perolehan kosong",IF(N($H31)&gt;$G31,"Residu &gt; harga perolehan",IF(AND(LEFT($U31,8)="Bangunan",$W31="Saldo Menurun"),"Bangunan wajib Garis Lurus (Ps.11 UU PPh)",IF(AND($S31="Unit Produksi",N($K31)=0),"Isi kapasitas unit",IF(AND(OR($S31="Garis Lurus",$S31="Saldo Menurun"),N($T31)&lt;=0),"Umur komersial kosong",IF(AND(OR($W31="Garis Lurus",$W31="Saldo Menurun"),N($V31)&lt;=0),"Masa manfaat fiskal kosong",IF(AND($Q31&lt;&gt;"",$Q31&lt;$F31),"Tgl pelepasan &lt; perolehan","OK")))))))))</f>
        <v/>
      </c>
    </row>
    <row r="32" spans="1:60" x14ac:dyDescent="0.25">
      <c r="A32" t="str">
        <f>IF($B32="","",ROW()-6)</f>
        <v/>
      </c>
      <c r="B32" s="9"/>
      <c r="C32" s="9"/>
      <c r="D32" s="9"/>
      <c r="E32" s="9"/>
      <c r="F32" s="17"/>
      <c r="G32" s="18"/>
      <c r="H32" s="18"/>
      <c r="I32" s="9"/>
      <c r="J32" s="9"/>
      <c r="K32" s="19"/>
      <c r="L32" s="19"/>
      <c r="M32" s="19"/>
      <c r="N32" s="9"/>
      <c r="O32" s="9"/>
      <c r="P32" s="9"/>
      <c r="Q32" s="17"/>
      <c r="R32" s="18"/>
      <c r="S32" t="str">
        <f>IF($B32="","",IF($I32&lt;&gt;"",$I32,IFERROR(INDEX(Kat_Metode,MATCH($D32,Kat_Nama,0)),"")))</f>
        <v/>
      </c>
      <c r="T32" t="str">
        <f>IF($B32="","",IF($J32&lt;&gt;"",$J32,IFERROR(INDEX(Kat_Umur,MATCH($D32,Kat_Nama,0)),0)))</f>
        <v/>
      </c>
      <c r="U32" t="str">
        <f>IF($B32="","",IF($N32&lt;&gt;"",$N32,IFERROR(INDEX(Kat_Kelompok,MATCH($D32,Kat_Nama,0)),"")))</f>
        <v/>
      </c>
      <c r="V32" t="str">
        <f>IF($B32="","",IF($U32="Masa Manfaat Sebenarnya",N($O32),IFERROR(INDEX(Kel_Masa,MATCH($U32,Kel_Nama,0)),0)))</f>
        <v/>
      </c>
      <c r="W32" t="str">
        <f>IF($B32="","",IF($P32&lt;&gt;"",$P32,IF(OR($U32="Tidak Disusutkan",$V32=0),"Tidak Disusutkan","Garis Lurus")))</f>
        <v/>
      </c>
      <c r="X32" t="str">
        <f>IF($B32="","",IF($Y32&gt;TahunBuku*12+12,"Belum Diperoleh",IF($Z32&lt;=TahunBuku*12,"Dilepas (thn lalu)",IF($AC32=1,"Dilepas thn ini",IF($AB32=1,"Perolehan baru","Aktif")))))</f>
        <v/>
      </c>
      <c r="Y32" s="20" t="str">
        <f>IF($B32="","",YEAR($F32)*12+MONTH($F32))</f>
        <v/>
      </c>
      <c r="Z32" s="20" t="str">
        <f>IF($B32="","",IF($Q32="",99999,YEAR($Q32)*12+MONTH($Q32)))</f>
        <v/>
      </c>
      <c r="AA32" s="20" t="str">
        <f>IF($B32="","",--AND($Y32&lt;=TahunBuku*12,$Z32&gt;TahunBuku*12))</f>
        <v/>
      </c>
      <c r="AB32" s="20" t="str">
        <f>IF($B32="","",--AND($Y32&gt;TahunBuku*12,$Y32&lt;=TahunBuku*12+12))</f>
        <v/>
      </c>
      <c r="AC32" s="20" t="str">
        <f>IF($B32="","",--AND($Z32&gt;TahunBuku*12,$Z32&lt;=TahunBuku*12+12,$Y32&lt;=$Z32))</f>
        <v/>
      </c>
      <c r="AD32" s="21" t="str">
        <f>IF($B32="","",IFERROR(IF($S32="Garis Lurus",$G32-($G32-$H32)*MIN($T32*12,MAX(0,TahunBuku*12-$Y32+1))/($T32*12),IF($S32="Saldo Menurun",IF(TahunBuku-1&lt;YEAR($F32),$G32,IF(TahunBuku-1&gt;=INT(($Y32+$T32*12-2)/12),$H32,MAX($H32,$G32*(1-2/$T32*(13-MONTH($F32))/12)*(1-2/$T32)^(TahunBuku-1-YEAR($F32))))),IF($S32="Unit Produksi",$G32-($G32-$H32)*MIN(1,N($L32)/$K32),$G32))),$G32))</f>
        <v/>
      </c>
      <c r="AE32" s="21" t="str">
        <f>IF($B32="","",IFERROR(IF($S32="Garis Lurus",$G32-($G32-$H32)*MIN($T32*12,MAX(0,TahunBuku*12+12-$Y32+1))/($T32*12),IF($S32="Saldo Menurun",IF(TahunBuku&lt;YEAR($F32),$G32,IF(TahunBuku&gt;=INT(($Y32+$T32*12-2)/12),$H32,MAX($H32,$G32*(1-2/$T32*(13-MONTH($F32))/12)*(1-2/$T32)^(TahunBuku-YEAR($F32))))),IF($S32="Unit Produksi",$G32-($G32-$H32)*MIN(1,(N($L32)+N($M32))/$K32),$G32))),$G32))</f>
        <v/>
      </c>
      <c r="AF32" s="20" t="str">
        <f>IF($B32="","",IF(OR($S32="Garis Lurus",$S32="Saldo Menurun",$S32="Unit Produksi"),MAX(0,IF($S32="Unit Produksi",TahunBuku*12+12,MIN(TahunBuku*12+12,$Y32+$T32*12-1))-MAX(TahunBuku*12+1,$Y32)+1),0))</f>
        <v/>
      </c>
      <c r="AG32" s="20" t="str">
        <f>IF($B32="","",IF(OR($S32="Garis Lurus",$S32="Saldo Menurun",$S32="Unit Produksi"),MAX(0,MIN($Z32,IF($S32="Unit Produksi",TahunBuku*12+12,MIN(TahunBuku*12+12,$Y32+$T32*12-1)))-MAX(TahunBuku*12+1,$Y32)+1),0))</f>
        <v/>
      </c>
      <c r="AH32" s="21" t="str">
        <f>IF($B32="","",IFERROR(IF($W32="Garis Lurus",$G32*(1-MIN($V32*12,MAX(0,TahunBuku*12-$Y32+1))/($V32*12)),IF($W32="Saldo Menurun",IF(TahunBuku-1&lt;YEAR($F32),$G32,IF(TahunBuku-1&gt;=INT(($Y32+$V32*12-2)/12),0,$G32*(1-2/$V32*(13-MONTH($F32))/12)*(1-2/$V32)^(TahunBuku-1-YEAR($F32)))),$G32)),$G32))</f>
        <v/>
      </c>
      <c r="AI32" s="21" t="str">
        <f>IF($B32="","",IFERROR(IF($W32="Garis Lurus",$G32*(1-MIN($V32*12,MAX(0,TahunBuku*12+12-$Y32+1))/($V32*12)),IF($W32="Saldo Menurun",IF(TahunBuku&lt;YEAR($F32),$G32,IF(TahunBuku&gt;=INT(($Y32+$V32*12-2)/12),0,$G32*(1-2/$V32*(13-MONTH($F32))/12)*(1-2/$V32)^(TahunBuku-YEAR($F32)))),$G32)),$G32))</f>
        <v/>
      </c>
      <c r="AJ32" s="20" t="str">
        <f>IF($B32="","",IF(OR($W32="Garis Lurus",$W32="Saldo Menurun"),MAX(0,MIN(TahunBuku*12+12,$Y32+$V32*12-1)-MAX(TahunBuku*12+1,$Y32)+1),0))</f>
        <v/>
      </c>
      <c r="AK32" s="20" t="str">
        <f>IF($B32="","",IF(OR($W32="Garis Lurus",$W32="Saldo Menurun"),MAX(0,MIN($Z32,TahunBuku*12+12,$Y32+$V32*12-1)-MAX(TahunBuku*12+1,$Y32)+1),0))</f>
        <v/>
      </c>
      <c r="AL32" s="22" t="str">
        <f>IF($B32="","",$G32*$AA32)</f>
        <v/>
      </c>
      <c r="AM32" s="22" t="str">
        <f>IF($B32="","",$G32*$AB32)</f>
        <v/>
      </c>
      <c r="AN32" s="22" t="str">
        <f>IF($B32="","",$G32*$AC32)</f>
        <v/>
      </c>
      <c r="AO32" s="22" t="str">
        <f>IF($B32="","",AL32+AM32-AN32)</f>
        <v/>
      </c>
      <c r="AP32" s="22" t="str">
        <f>IF($B32="","",($G32-$AD32)*$AA32)</f>
        <v/>
      </c>
      <c r="AQ32" s="22" t="str">
        <f>IF($B32="","",IF($AF32=0,0,($AD32-$AE32)*$AG32/$AF32)*MAX($AA32,$AB32))</f>
        <v/>
      </c>
      <c r="AR32" s="22" t="str">
        <f>IF($B32="","",(AP32+AQ32)*$AC32)</f>
        <v/>
      </c>
      <c r="AS32" s="22" t="str">
        <f>IF($B32="","",AP32+AQ32-AR32)</f>
        <v/>
      </c>
      <c r="AT32" s="22" t="str">
        <f>IF($B32="","",AO32-AS32)</f>
        <v/>
      </c>
      <c r="AU32" s="22" t="str">
        <f>IF($B32="","",IF($AC32=1,N($R32)-($G32-AR32),0))</f>
        <v/>
      </c>
      <c r="AV32" s="22" t="str">
        <f>IF($B32="","",($G32-$AH32)*$AA32)</f>
        <v/>
      </c>
      <c r="AW32" s="22" t="str">
        <f>IF($B32="","",IF($AJ32=0,0,($AH32-$AI32)*$AK32/$AJ32)*MAX($AA32,$AB32))</f>
        <v/>
      </c>
      <c r="AX32" s="22" t="str">
        <f>IF($B32="","",(AV32+AW32)*$AC32)</f>
        <v/>
      </c>
      <c r="AY32" s="22" t="str">
        <f>IF($B32="","",AV32+AW32-AX32)</f>
        <v/>
      </c>
      <c r="AZ32" s="22" t="str">
        <f>IF($B32="","",AO32-AY32)</f>
        <v/>
      </c>
      <c r="BA32" s="22" t="str">
        <f>IF($B32="","",IF($AC32=1,N($R32)-($G32-AX32),0))</f>
        <v/>
      </c>
      <c r="BB32" s="22" t="str">
        <f>IF($B32="","",ROUND(AQ32-AW32,0))</f>
        <v/>
      </c>
      <c r="BC32" s="22" t="str">
        <f>IF($B32="","",ROUND(BA32-AU32,0))</f>
        <v/>
      </c>
      <c r="BD32" s="22" t="str">
        <f>IF($B32="","",BB32+BC32)</f>
        <v/>
      </c>
      <c r="BE32" s="22" t="str">
        <f>IF($B32="","",ROUND(AV32-AP32,0))</f>
        <v/>
      </c>
      <c r="BF32" s="22" t="str">
        <f>IF($B32="","",ROUND(AT32-AZ32,0))</f>
        <v/>
      </c>
      <c r="BG32" s="22" t="str">
        <f>IF($B32="","",ROUND(BF32*TarifPPh,0))</f>
        <v/>
      </c>
      <c r="BH32" t="str">
        <f>IF($B32="","",IF($D32="","Kategori kosong",IF($F32="","Tgl perolehan kosong",IF(N($H32)&gt;$G32,"Residu &gt; harga perolehan",IF(AND(LEFT($U32,8)="Bangunan",$W32="Saldo Menurun"),"Bangunan wajib Garis Lurus (Ps.11 UU PPh)",IF(AND($S32="Unit Produksi",N($K32)=0),"Isi kapasitas unit",IF(AND(OR($S32="Garis Lurus",$S32="Saldo Menurun"),N($T32)&lt;=0),"Umur komersial kosong",IF(AND(OR($W32="Garis Lurus",$W32="Saldo Menurun"),N($V32)&lt;=0),"Masa manfaat fiskal kosong",IF(AND($Q32&lt;&gt;"",$Q32&lt;$F32),"Tgl pelepasan &lt; perolehan","OK")))))))))</f>
        <v/>
      </c>
    </row>
    <row r="33" spans="1:60" x14ac:dyDescent="0.25">
      <c r="A33" t="str">
        <f>IF($B33="","",ROW()-6)</f>
        <v/>
      </c>
      <c r="B33" s="9"/>
      <c r="C33" s="9"/>
      <c r="D33" s="9"/>
      <c r="E33" s="9"/>
      <c r="F33" s="17"/>
      <c r="G33" s="18"/>
      <c r="H33" s="18"/>
      <c r="I33" s="9"/>
      <c r="J33" s="9"/>
      <c r="K33" s="19"/>
      <c r="L33" s="19"/>
      <c r="M33" s="19"/>
      <c r="N33" s="9"/>
      <c r="O33" s="9"/>
      <c r="P33" s="9"/>
      <c r="Q33" s="17"/>
      <c r="R33" s="18"/>
      <c r="S33" t="str">
        <f>IF($B33="","",IF($I33&lt;&gt;"",$I33,IFERROR(INDEX(Kat_Metode,MATCH($D33,Kat_Nama,0)),"")))</f>
        <v/>
      </c>
      <c r="T33" t="str">
        <f>IF($B33="","",IF($J33&lt;&gt;"",$J33,IFERROR(INDEX(Kat_Umur,MATCH($D33,Kat_Nama,0)),0)))</f>
        <v/>
      </c>
      <c r="U33" t="str">
        <f>IF($B33="","",IF($N33&lt;&gt;"",$N33,IFERROR(INDEX(Kat_Kelompok,MATCH($D33,Kat_Nama,0)),"")))</f>
        <v/>
      </c>
      <c r="V33" t="str">
        <f>IF($B33="","",IF($U33="Masa Manfaat Sebenarnya",N($O33),IFERROR(INDEX(Kel_Masa,MATCH($U33,Kel_Nama,0)),0)))</f>
        <v/>
      </c>
      <c r="W33" t="str">
        <f>IF($B33="","",IF($P33&lt;&gt;"",$P33,IF(OR($U33="Tidak Disusutkan",$V33=0),"Tidak Disusutkan","Garis Lurus")))</f>
        <v/>
      </c>
      <c r="X33" t="str">
        <f>IF($B33="","",IF($Y33&gt;TahunBuku*12+12,"Belum Diperoleh",IF($Z33&lt;=TahunBuku*12,"Dilepas (thn lalu)",IF($AC33=1,"Dilepas thn ini",IF($AB33=1,"Perolehan baru","Aktif")))))</f>
        <v/>
      </c>
      <c r="Y33" s="20" t="str">
        <f>IF($B33="","",YEAR($F33)*12+MONTH($F33))</f>
        <v/>
      </c>
      <c r="Z33" s="20" t="str">
        <f>IF($B33="","",IF($Q33="",99999,YEAR($Q33)*12+MONTH($Q33)))</f>
        <v/>
      </c>
      <c r="AA33" s="20" t="str">
        <f>IF($B33="","",--AND($Y33&lt;=TahunBuku*12,$Z33&gt;TahunBuku*12))</f>
        <v/>
      </c>
      <c r="AB33" s="20" t="str">
        <f>IF($B33="","",--AND($Y33&gt;TahunBuku*12,$Y33&lt;=TahunBuku*12+12))</f>
        <v/>
      </c>
      <c r="AC33" s="20" t="str">
        <f>IF($B33="","",--AND($Z33&gt;TahunBuku*12,$Z33&lt;=TahunBuku*12+12,$Y33&lt;=$Z33))</f>
        <v/>
      </c>
      <c r="AD33" s="21" t="str">
        <f>IF($B33="","",IFERROR(IF($S33="Garis Lurus",$G33-($G33-$H33)*MIN($T33*12,MAX(0,TahunBuku*12-$Y33+1))/($T33*12),IF($S33="Saldo Menurun",IF(TahunBuku-1&lt;YEAR($F33),$G33,IF(TahunBuku-1&gt;=INT(($Y33+$T33*12-2)/12),$H33,MAX($H33,$G33*(1-2/$T33*(13-MONTH($F33))/12)*(1-2/$T33)^(TahunBuku-1-YEAR($F33))))),IF($S33="Unit Produksi",$G33-($G33-$H33)*MIN(1,N($L33)/$K33),$G33))),$G33))</f>
        <v/>
      </c>
      <c r="AE33" s="21" t="str">
        <f>IF($B33="","",IFERROR(IF($S33="Garis Lurus",$G33-($G33-$H33)*MIN($T33*12,MAX(0,TahunBuku*12+12-$Y33+1))/($T33*12),IF($S33="Saldo Menurun",IF(TahunBuku&lt;YEAR($F33),$G33,IF(TahunBuku&gt;=INT(($Y33+$T33*12-2)/12),$H33,MAX($H33,$G33*(1-2/$T33*(13-MONTH($F33))/12)*(1-2/$T33)^(TahunBuku-YEAR($F33))))),IF($S33="Unit Produksi",$G33-($G33-$H33)*MIN(1,(N($L33)+N($M33))/$K33),$G33))),$G33))</f>
        <v/>
      </c>
      <c r="AF33" s="20" t="str">
        <f>IF($B33="","",IF(OR($S33="Garis Lurus",$S33="Saldo Menurun",$S33="Unit Produksi"),MAX(0,IF($S33="Unit Produksi",TahunBuku*12+12,MIN(TahunBuku*12+12,$Y33+$T33*12-1))-MAX(TahunBuku*12+1,$Y33)+1),0))</f>
        <v/>
      </c>
      <c r="AG33" s="20" t="str">
        <f>IF($B33="","",IF(OR($S33="Garis Lurus",$S33="Saldo Menurun",$S33="Unit Produksi"),MAX(0,MIN($Z33,IF($S33="Unit Produksi",TahunBuku*12+12,MIN(TahunBuku*12+12,$Y33+$T33*12-1)))-MAX(TahunBuku*12+1,$Y33)+1),0))</f>
        <v/>
      </c>
      <c r="AH33" s="21" t="str">
        <f>IF($B33="","",IFERROR(IF($W33="Garis Lurus",$G33*(1-MIN($V33*12,MAX(0,TahunBuku*12-$Y33+1))/($V33*12)),IF($W33="Saldo Menurun",IF(TahunBuku-1&lt;YEAR($F33),$G33,IF(TahunBuku-1&gt;=INT(($Y33+$V33*12-2)/12),0,$G33*(1-2/$V33*(13-MONTH($F33))/12)*(1-2/$V33)^(TahunBuku-1-YEAR($F33)))),$G33)),$G33))</f>
        <v/>
      </c>
      <c r="AI33" s="21" t="str">
        <f>IF($B33="","",IFERROR(IF($W33="Garis Lurus",$G33*(1-MIN($V33*12,MAX(0,TahunBuku*12+12-$Y33+1))/($V33*12)),IF($W33="Saldo Menurun",IF(TahunBuku&lt;YEAR($F33),$G33,IF(TahunBuku&gt;=INT(($Y33+$V33*12-2)/12),0,$G33*(1-2/$V33*(13-MONTH($F33))/12)*(1-2/$V33)^(TahunBuku-YEAR($F33)))),$G33)),$G33))</f>
        <v/>
      </c>
      <c r="AJ33" s="20" t="str">
        <f>IF($B33="","",IF(OR($W33="Garis Lurus",$W33="Saldo Menurun"),MAX(0,MIN(TahunBuku*12+12,$Y33+$V33*12-1)-MAX(TahunBuku*12+1,$Y33)+1),0))</f>
        <v/>
      </c>
      <c r="AK33" s="20" t="str">
        <f>IF($B33="","",IF(OR($W33="Garis Lurus",$W33="Saldo Menurun"),MAX(0,MIN($Z33,TahunBuku*12+12,$Y33+$V33*12-1)-MAX(TahunBuku*12+1,$Y33)+1),0))</f>
        <v/>
      </c>
      <c r="AL33" s="22" t="str">
        <f>IF($B33="","",$G33*$AA33)</f>
        <v/>
      </c>
      <c r="AM33" s="22" t="str">
        <f>IF($B33="","",$G33*$AB33)</f>
        <v/>
      </c>
      <c r="AN33" s="22" t="str">
        <f>IF($B33="","",$G33*$AC33)</f>
        <v/>
      </c>
      <c r="AO33" s="22" t="str">
        <f>IF($B33="","",AL33+AM33-AN33)</f>
        <v/>
      </c>
      <c r="AP33" s="22" t="str">
        <f>IF($B33="","",($G33-$AD33)*$AA33)</f>
        <v/>
      </c>
      <c r="AQ33" s="22" t="str">
        <f>IF($B33="","",IF($AF33=0,0,($AD33-$AE33)*$AG33/$AF33)*MAX($AA33,$AB33))</f>
        <v/>
      </c>
      <c r="AR33" s="22" t="str">
        <f>IF($B33="","",(AP33+AQ33)*$AC33)</f>
        <v/>
      </c>
      <c r="AS33" s="22" t="str">
        <f>IF($B33="","",AP33+AQ33-AR33)</f>
        <v/>
      </c>
      <c r="AT33" s="22" t="str">
        <f>IF($B33="","",AO33-AS33)</f>
        <v/>
      </c>
      <c r="AU33" s="22" t="str">
        <f>IF($B33="","",IF($AC33=1,N($R33)-($G33-AR33),0))</f>
        <v/>
      </c>
      <c r="AV33" s="22" t="str">
        <f>IF($B33="","",($G33-$AH33)*$AA33)</f>
        <v/>
      </c>
      <c r="AW33" s="22" t="str">
        <f>IF($B33="","",IF($AJ33=0,0,($AH33-$AI33)*$AK33/$AJ33)*MAX($AA33,$AB33))</f>
        <v/>
      </c>
      <c r="AX33" s="22" t="str">
        <f>IF($B33="","",(AV33+AW33)*$AC33)</f>
        <v/>
      </c>
      <c r="AY33" s="22" t="str">
        <f>IF($B33="","",AV33+AW33-AX33)</f>
        <v/>
      </c>
      <c r="AZ33" s="22" t="str">
        <f>IF($B33="","",AO33-AY33)</f>
        <v/>
      </c>
      <c r="BA33" s="22" t="str">
        <f>IF($B33="","",IF($AC33=1,N($R33)-($G33-AX33),0))</f>
        <v/>
      </c>
      <c r="BB33" s="22" t="str">
        <f>IF($B33="","",ROUND(AQ33-AW33,0))</f>
        <v/>
      </c>
      <c r="BC33" s="22" t="str">
        <f>IF($B33="","",ROUND(BA33-AU33,0))</f>
        <v/>
      </c>
      <c r="BD33" s="22" t="str">
        <f>IF($B33="","",BB33+BC33)</f>
        <v/>
      </c>
      <c r="BE33" s="22" t="str">
        <f>IF($B33="","",ROUND(AV33-AP33,0))</f>
        <v/>
      </c>
      <c r="BF33" s="22" t="str">
        <f>IF($B33="","",ROUND(AT33-AZ33,0))</f>
        <v/>
      </c>
      <c r="BG33" s="22" t="str">
        <f>IF($B33="","",ROUND(BF33*TarifPPh,0))</f>
        <v/>
      </c>
      <c r="BH33" t="str">
        <f>IF($B33="","",IF($D33="","Kategori kosong",IF($F33="","Tgl perolehan kosong",IF(N($H33)&gt;$G33,"Residu &gt; harga perolehan",IF(AND(LEFT($U33,8)="Bangunan",$W33="Saldo Menurun"),"Bangunan wajib Garis Lurus (Ps.11 UU PPh)",IF(AND($S33="Unit Produksi",N($K33)=0),"Isi kapasitas unit",IF(AND(OR($S33="Garis Lurus",$S33="Saldo Menurun"),N($T33)&lt;=0),"Umur komersial kosong",IF(AND(OR($W33="Garis Lurus",$W33="Saldo Menurun"),N($V33)&lt;=0),"Masa manfaat fiskal kosong",IF(AND($Q33&lt;&gt;"",$Q33&lt;$F33),"Tgl pelepasan &lt; perolehan","OK")))))))))</f>
        <v/>
      </c>
    </row>
    <row r="34" spans="1:60" x14ac:dyDescent="0.25">
      <c r="A34" t="str">
        <f>IF($B34="","",ROW()-6)</f>
        <v/>
      </c>
      <c r="B34" s="9"/>
      <c r="C34" s="9"/>
      <c r="D34" s="9"/>
      <c r="E34" s="9"/>
      <c r="F34" s="17"/>
      <c r="G34" s="18"/>
      <c r="H34" s="18"/>
      <c r="I34" s="9"/>
      <c r="J34" s="9"/>
      <c r="K34" s="19"/>
      <c r="L34" s="19"/>
      <c r="M34" s="19"/>
      <c r="N34" s="9"/>
      <c r="O34" s="9"/>
      <c r="P34" s="9"/>
      <c r="Q34" s="17"/>
      <c r="R34" s="18"/>
      <c r="S34" t="str">
        <f>IF($B34="","",IF($I34&lt;&gt;"",$I34,IFERROR(INDEX(Kat_Metode,MATCH($D34,Kat_Nama,0)),"")))</f>
        <v/>
      </c>
      <c r="T34" t="str">
        <f>IF($B34="","",IF($J34&lt;&gt;"",$J34,IFERROR(INDEX(Kat_Umur,MATCH($D34,Kat_Nama,0)),0)))</f>
        <v/>
      </c>
      <c r="U34" t="str">
        <f>IF($B34="","",IF($N34&lt;&gt;"",$N34,IFERROR(INDEX(Kat_Kelompok,MATCH($D34,Kat_Nama,0)),"")))</f>
        <v/>
      </c>
      <c r="V34" t="str">
        <f>IF($B34="","",IF($U34="Masa Manfaat Sebenarnya",N($O34),IFERROR(INDEX(Kel_Masa,MATCH($U34,Kel_Nama,0)),0)))</f>
        <v/>
      </c>
      <c r="W34" t="str">
        <f>IF($B34="","",IF($P34&lt;&gt;"",$P34,IF(OR($U34="Tidak Disusutkan",$V34=0),"Tidak Disusutkan","Garis Lurus")))</f>
        <v/>
      </c>
      <c r="X34" t="str">
        <f>IF($B34="","",IF($Y34&gt;TahunBuku*12+12,"Belum Diperoleh",IF($Z34&lt;=TahunBuku*12,"Dilepas (thn lalu)",IF($AC34=1,"Dilepas thn ini",IF($AB34=1,"Perolehan baru","Aktif")))))</f>
        <v/>
      </c>
      <c r="Y34" s="20" t="str">
        <f>IF($B34="","",YEAR($F34)*12+MONTH($F34))</f>
        <v/>
      </c>
      <c r="Z34" s="20" t="str">
        <f>IF($B34="","",IF($Q34="",99999,YEAR($Q34)*12+MONTH($Q34)))</f>
        <v/>
      </c>
      <c r="AA34" s="20" t="str">
        <f>IF($B34="","",--AND($Y34&lt;=TahunBuku*12,$Z34&gt;TahunBuku*12))</f>
        <v/>
      </c>
      <c r="AB34" s="20" t="str">
        <f>IF($B34="","",--AND($Y34&gt;TahunBuku*12,$Y34&lt;=TahunBuku*12+12))</f>
        <v/>
      </c>
      <c r="AC34" s="20" t="str">
        <f>IF($B34="","",--AND($Z34&gt;TahunBuku*12,$Z34&lt;=TahunBuku*12+12,$Y34&lt;=$Z34))</f>
        <v/>
      </c>
      <c r="AD34" s="21" t="str">
        <f>IF($B34="","",IFERROR(IF($S34="Garis Lurus",$G34-($G34-$H34)*MIN($T34*12,MAX(0,TahunBuku*12-$Y34+1))/($T34*12),IF($S34="Saldo Menurun",IF(TahunBuku-1&lt;YEAR($F34),$G34,IF(TahunBuku-1&gt;=INT(($Y34+$T34*12-2)/12),$H34,MAX($H34,$G34*(1-2/$T34*(13-MONTH($F34))/12)*(1-2/$T34)^(TahunBuku-1-YEAR($F34))))),IF($S34="Unit Produksi",$G34-($G34-$H34)*MIN(1,N($L34)/$K34),$G34))),$G34))</f>
        <v/>
      </c>
      <c r="AE34" s="21" t="str">
        <f>IF($B34="","",IFERROR(IF($S34="Garis Lurus",$G34-($G34-$H34)*MIN($T34*12,MAX(0,TahunBuku*12+12-$Y34+1))/($T34*12),IF($S34="Saldo Menurun",IF(TahunBuku&lt;YEAR($F34),$G34,IF(TahunBuku&gt;=INT(($Y34+$T34*12-2)/12),$H34,MAX($H34,$G34*(1-2/$T34*(13-MONTH($F34))/12)*(1-2/$T34)^(TahunBuku-YEAR($F34))))),IF($S34="Unit Produksi",$G34-($G34-$H34)*MIN(1,(N($L34)+N($M34))/$K34),$G34))),$G34))</f>
        <v/>
      </c>
      <c r="AF34" s="20" t="str">
        <f>IF($B34="","",IF(OR($S34="Garis Lurus",$S34="Saldo Menurun",$S34="Unit Produksi"),MAX(0,IF($S34="Unit Produksi",TahunBuku*12+12,MIN(TahunBuku*12+12,$Y34+$T34*12-1))-MAX(TahunBuku*12+1,$Y34)+1),0))</f>
        <v/>
      </c>
      <c r="AG34" s="20" t="str">
        <f>IF($B34="","",IF(OR($S34="Garis Lurus",$S34="Saldo Menurun",$S34="Unit Produksi"),MAX(0,MIN($Z34,IF($S34="Unit Produksi",TahunBuku*12+12,MIN(TahunBuku*12+12,$Y34+$T34*12-1)))-MAX(TahunBuku*12+1,$Y34)+1),0))</f>
        <v/>
      </c>
      <c r="AH34" s="21" t="str">
        <f>IF($B34="","",IFERROR(IF($W34="Garis Lurus",$G34*(1-MIN($V34*12,MAX(0,TahunBuku*12-$Y34+1))/($V34*12)),IF($W34="Saldo Menurun",IF(TahunBuku-1&lt;YEAR($F34),$G34,IF(TahunBuku-1&gt;=INT(($Y34+$V34*12-2)/12),0,$G34*(1-2/$V34*(13-MONTH($F34))/12)*(1-2/$V34)^(TahunBuku-1-YEAR($F34)))),$G34)),$G34))</f>
        <v/>
      </c>
      <c r="AI34" s="21" t="str">
        <f>IF($B34="","",IFERROR(IF($W34="Garis Lurus",$G34*(1-MIN($V34*12,MAX(0,TahunBuku*12+12-$Y34+1))/($V34*12)),IF($W34="Saldo Menurun",IF(TahunBuku&lt;YEAR($F34),$G34,IF(TahunBuku&gt;=INT(($Y34+$V34*12-2)/12),0,$G34*(1-2/$V34*(13-MONTH($F34))/12)*(1-2/$V34)^(TahunBuku-YEAR($F34)))),$G34)),$G34))</f>
        <v/>
      </c>
      <c r="AJ34" s="20" t="str">
        <f>IF($B34="","",IF(OR($W34="Garis Lurus",$W34="Saldo Menurun"),MAX(0,MIN(TahunBuku*12+12,$Y34+$V34*12-1)-MAX(TahunBuku*12+1,$Y34)+1),0))</f>
        <v/>
      </c>
      <c r="AK34" s="20" t="str">
        <f>IF($B34="","",IF(OR($W34="Garis Lurus",$W34="Saldo Menurun"),MAX(0,MIN($Z34,TahunBuku*12+12,$Y34+$V34*12-1)-MAX(TahunBuku*12+1,$Y34)+1),0))</f>
        <v/>
      </c>
      <c r="AL34" s="22" t="str">
        <f>IF($B34="","",$G34*$AA34)</f>
        <v/>
      </c>
      <c r="AM34" s="22" t="str">
        <f>IF($B34="","",$G34*$AB34)</f>
        <v/>
      </c>
      <c r="AN34" s="22" t="str">
        <f>IF($B34="","",$G34*$AC34)</f>
        <v/>
      </c>
      <c r="AO34" s="22" t="str">
        <f>IF($B34="","",AL34+AM34-AN34)</f>
        <v/>
      </c>
      <c r="AP34" s="22" t="str">
        <f>IF($B34="","",($G34-$AD34)*$AA34)</f>
        <v/>
      </c>
      <c r="AQ34" s="22" t="str">
        <f>IF($B34="","",IF($AF34=0,0,($AD34-$AE34)*$AG34/$AF34)*MAX($AA34,$AB34))</f>
        <v/>
      </c>
      <c r="AR34" s="22" t="str">
        <f>IF($B34="","",(AP34+AQ34)*$AC34)</f>
        <v/>
      </c>
      <c r="AS34" s="22" t="str">
        <f>IF($B34="","",AP34+AQ34-AR34)</f>
        <v/>
      </c>
      <c r="AT34" s="22" t="str">
        <f>IF($B34="","",AO34-AS34)</f>
        <v/>
      </c>
      <c r="AU34" s="22" t="str">
        <f>IF($B34="","",IF($AC34=1,N($R34)-($G34-AR34),0))</f>
        <v/>
      </c>
      <c r="AV34" s="22" t="str">
        <f>IF($B34="","",($G34-$AH34)*$AA34)</f>
        <v/>
      </c>
      <c r="AW34" s="22" t="str">
        <f>IF($B34="","",IF($AJ34=0,0,($AH34-$AI34)*$AK34/$AJ34)*MAX($AA34,$AB34))</f>
        <v/>
      </c>
      <c r="AX34" s="22" t="str">
        <f>IF($B34="","",(AV34+AW34)*$AC34)</f>
        <v/>
      </c>
      <c r="AY34" s="22" t="str">
        <f>IF($B34="","",AV34+AW34-AX34)</f>
        <v/>
      </c>
      <c r="AZ34" s="22" t="str">
        <f>IF($B34="","",AO34-AY34)</f>
        <v/>
      </c>
      <c r="BA34" s="22" t="str">
        <f>IF($B34="","",IF($AC34=1,N($R34)-($G34-AX34),0))</f>
        <v/>
      </c>
      <c r="BB34" s="22" t="str">
        <f>IF($B34="","",ROUND(AQ34-AW34,0))</f>
        <v/>
      </c>
      <c r="BC34" s="22" t="str">
        <f>IF($B34="","",ROUND(BA34-AU34,0))</f>
        <v/>
      </c>
      <c r="BD34" s="22" t="str">
        <f>IF($B34="","",BB34+BC34)</f>
        <v/>
      </c>
      <c r="BE34" s="22" t="str">
        <f>IF($B34="","",ROUND(AV34-AP34,0))</f>
        <v/>
      </c>
      <c r="BF34" s="22" t="str">
        <f>IF($B34="","",ROUND(AT34-AZ34,0))</f>
        <v/>
      </c>
      <c r="BG34" s="22" t="str">
        <f>IF($B34="","",ROUND(BF34*TarifPPh,0))</f>
        <v/>
      </c>
      <c r="BH34" t="str">
        <f>IF($B34="","",IF($D34="","Kategori kosong",IF($F34="","Tgl perolehan kosong",IF(N($H34)&gt;$G34,"Residu &gt; harga perolehan",IF(AND(LEFT($U34,8)="Bangunan",$W34="Saldo Menurun"),"Bangunan wajib Garis Lurus (Ps.11 UU PPh)",IF(AND($S34="Unit Produksi",N($K34)=0),"Isi kapasitas unit",IF(AND(OR($S34="Garis Lurus",$S34="Saldo Menurun"),N($T34)&lt;=0),"Umur komersial kosong",IF(AND(OR($W34="Garis Lurus",$W34="Saldo Menurun"),N($V34)&lt;=0),"Masa manfaat fiskal kosong",IF(AND($Q34&lt;&gt;"",$Q34&lt;$F34),"Tgl pelepasan &lt; perolehan","OK")))))))))</f>
        <v/>
      </c>
    </row>
    <row r="35" spans="1:60" x14ac:dyDescent="0.25">
      <c r="A35" t="str">
        <f>IF($B35="","",ROW()-6)</f>
        <v/>
      </c>
      <c r="B35" s="9"/>
      <c r="C35" s="9"/>
      <c r="D35" s="9"/>
      <c r="E35" s="9"/>
      <c r="F35" s="17"/>
      <c r="G35" s="18"/>
      <c r="H35" s="18"/>
      <c r="I35" s="9"/>
      <c r="J35" s="9"/>
      <c r="K35" s="19"/>
      <c r="L35" s="19"/>
      <c r="M35" s="19"/>
      <c r="N35" s="9"/>
      <c r="O35" s="9"/>
      <c r="P35" s="9"/>
      <c r="Q35" s="17"/>
      <c r="R35" s="18"/>
      <c r="S35" t="str">
        <f>IF($B35="","",IF($I35&lt;&gt;"",$I35,IFERROR(INDEX(Kat_Metode,MATCH($D35,Kat_Nama,0)),"")))</f>
        <v/>
      </c>
      <c r="T35" t="str">
        <f>IF($B35="","",IF($J35&lt;&gt;"",$J35,IFERROR(INDEX(Kat_Umur,MATCH($D35,Kat_Nama,0)),0)))</f>
        <v/>
      </c>
      <c r="U35" t="str">
        <f>IF($B35="","",IF($N35&lt;&gt;"",$N35,IFERROR(INDEX(Kat_Kelompok,MATCH($D35,Kat_Nama,0)),"")))</f>
        <v/>
      </c>
      <c r="V35" t="str">
        <f>IF($B35="","",IF($U35="Masa Manfaat Sebenarnya",N($O35),IFERROR(INDEX(Kel_Masa,MATCH($U35,Kel_Nama,0)),0)))</f>
        <v/>
      </c>
      <c r="W35" t="str">
        <f>IF($B35="","",IF($P35&lt;&gt;"",$P35,IF(OR($U35="Tidak Disusutkan",$V35=0),"Tidak Disusutkan","Garis Lurus")))</f>
        <v/>
      </c>
      <c r="X35" t="str">
        <f>IF($B35="","",IF($Y35&gt;TahunBuku*12+12,"Belum Diperoleh",IF($Z35&lt;=TahunBuku*12,"Dilepas (thn lalu)",IF($AC35=1,"Dilepas thn ini",IF($AB35=1,"Perolehan baru","Aktif")))))</f>
        <v/>
      </c>
      <c r="Y35" s="20" t="str">
        <f>IF($B35="","",YEAR($F35)*12+MONTH($F35))</f>
        <v/>
      </c>
      <c r="Z35" s="20" t="str">
        <f>IF($B35="","",IF($Q35="",99999,YEAR($Q35)*12+MONTH($Q35)))</f>
        <v/>
      </c>
      <c r="AA35" s="20" t="str">
        <f>IF($B35="","",--AND($Y35&lt;=TahunBuku*12,$Z35&gt;TahunBuku*12))</f>
        <v/>
      </c>
      <c r="AB35" s="20" t="str">
        <f>IF($B35="","",--AND($Y35&gt;TahunBuku*12,$Y35&lt;=TahunBuku*12+12))</f>
        <v/>
      </c>
      <c r="AC35" s="20" t="str">
        <f>IF($B35="","",--AND($Z35&gt;TahunBuku*12,$Z35&lt;=TahunBuku*12+12,$Y35&lt;=$Z35))</f>
        <v/>
      </c>
      <c r="AD35" s="21" t="str">
        <f>IF($B35="","",IFERROR(IF($S35="Garis Lurus",$G35-($G35-$H35)*MIN($T35*12,MAX(0,TahunBuku*12-$Y35+1))/($T35*12),IF($S35="Saldo Menurun",IF(TahunBuku-1&lt;YEAR($F35),$G35,IF(TahunBuku-1&gt;=INT(($Y35+$T35*12-2)/12),$H35,MAX($H35,$G35*(1-2/$T35*(13-MONTH($F35))/12)*(1-2/$T35)^(TahunBuku-1-YEAR($F35))))),IF($S35="Unit Produksi",$G35-($G35-$H35)*MIN(1,N($L35)/$K35),$G35))),$G35))</f>
        <v/>
      </c>
      <c r="AE35" s="21" t="str">
        <f>IF($B35="","",IFERROR(IF($S35="Garis Lurus",$G35-($G35-$H35)*MIN($T35*12,MAX(0,TahunBuku*12+12-$Y35+1))/($T35*12),IF($S35="Saldo Menurun",IF(TahunBuku&lt;YEAR($F35),$G35,IF(TahunBuku&gt;=INT(($Y35+$T35*12-2)/12),$H35,MAX($H35,$G35*(1-2/$T35*(13-MONTH($F35))/12)*(1-2/$T35)^(TahunBuku-YEAR($F35))))),IF($S35="Unit Produksi",$G35-($G35-$H35)*MIN(1,(N($L35)+N($M35))/$K35),$G35))),$G35))</f>
        <v/>
      </c>
      <c r="AF35" s="20" t="str">
        <f>IF($B35="","",IF(OR($S35="Garis Lurus",$S35="Saldo Menurun",$S35="Unit Produksi"),MAX(0,IF($S35="Unit Produksi",TahunBuku*12+12,MIN(TahunBuku*12+12,$Y35+$T35*12-1))-MAX(TahunBuku*12+1,$Y35)+1),0))</f>
        <v/>
      </c>
      <c r="AG35" s="20" t="str">
        <f>IF($B35="","",IF(OR($S35="Garis Lurus",$S35="Saldo Menurun",$S35="Unit Produksi"),MAX(0,MIN($Z35,IF($S35="Unit Produksi",TahunBuku*12+12,MIN(TahunBuku*12+12,$Y35+$T35*12-1)))-MAX(TahunBuku*12+1,$Y35)+1),0))</f>
        <v/>
      </c>
      <c r="AH35" s="21" t="str">
        <f>IF($B35="","",IFERROR(IF($W35="Garis Lurus",$G35*(1-MIN($V35*12,MAX(0,TahunBuku*12-$Y35+1))/($V35*12)),IF($W35="Saldo Menurun",IF(TahunBuku-1&lt;YEAR($F35),$G35,IF(TahunBuku-1&gt;=INT(($Y35+$V35*12-2)/12),0,$G35*(1-2/$V35*(13-MONTH($F35))/12)*(1-2/$V35)^(TahunBuku-1-YEAR($F35)))),$G35)),$G35))</f>
        <v/>
      </c>
      <c r="AI35" s="21" t="str">
        <f>IF($B35="","",IFERROR(IF($W35="Garis Lurus",$G35*(1-MIN($V35*12,MAX(0,TahunBuku*12+12-$Y35+1))/($V35*12)),IF($W35="Saldo Menurun",IF(TahunBuku&lt;YEAR($F35),$G35,IF(TahunBuku&gt;=INT(($Y35+$V35*12-2)/12),0,$G35*(1-2/$V35*(13-MONTH($F35))/12)*(1-2/$V35)^(TahunBuku-YEAR($F35)))),$G35)),$G35))</f>
        <v/>
      </c>
      <c r="AJ35" s="20" t="str">
        <f>IF($B35="","",IF(OR($W35="Garis Lurus",$W35="Saldo Menurun"),MAX(0,MIN(TahunBuku*12+12,$Y35+$V35*12-1)-MAX(TahunBuku*12+1,$Y35)+1),0))</f>
        <v/>
      </c>
      <c r="AK35" s="20" t="str">
        <f>IF($B35="","",IF(OR($W35="Garis Lurus",$W35="Saldo Menurun"),MAX(0,MIN($Z35,TahunBuku*12+12,$Y35+$V35*12-1)-MAX(TahunBuku*12+1,$Y35)+1),0))</f>
        <v/>
      </c>
      <c r="AL35" s="22" t="str">
        <f>IF($B35="","",$G35*$AA35)</f>
        <v/>
      </c>
      <c r="AM35" s="22" t="str">
        <f>IF($B35="","",$G35*$AB35)</f>
        <v/>
      </c>
      <c r="AN35" s="22" t="str">
        <f>IF($B35="","",$G35*$AC35)</f>
        <v/>
      </c>
      <c r="AO35" s="22" t="str">
        <f>IF($B35="","",AL35+AM35-AN35)</f>
        <v/>
      </c>
      <c r="AP35" s="22" t="str">
        <f>IF($B35="","",($G35-$AD35)*$AA35)</f>
        <v/>
      </c>
      <c r="AQ35" s="22" t="str">
        <f>IF($B35="","",IF($AF35=0,0,($AD35-$AE35)*$AG35/$AF35)*MAX($AA35,$AB35))</f>
        <v/>
      </c>
      <c r="AR35" s="22" t="str">
        <f>IF($B35="","",(AP35+AQ35)*$AC35)</f>
        <v/>
      </c>
      <c r="AS35" s="22" t="str">
        <f>IF($B35="","",AP35+AQ35-AR35)</f>
        <v/>
      </c>
      <c r="AT35" s="22" t="str">
        <f>IF($B35="","",AO35-AS35)</f>
        <v/>
      </c>
      <c r="AU35" s="22" t="str">
        <f>IF($B35="","",IF($AC35=1,N($R35)-($G35-AR35),0))</f>
        <v/>
      </c>
      <c r="AV35" s="22" t="str">
        <f>IF($B35="","",($G35-$AH35)*$AA35)</f>
        <v/>
      </c>
      <c r="AW35" s="22" t="str">
        <f>IF($B35="","",IF($AJ35=0,0,($AH35-$AI35)*$AK35/$AJ35)*MAX($AA35,$AB35))</f>
        <v/>
      </c>
      <c r="AX35" s="22" t="str">
        <f>IF($B35="","",(AV35+AW35)*$AC35)</f>
        <v/>
      </c>
      <c r="AY35" s="22" t="str">
        <f>IF($B35="","",AV35+AW35-AX35)</f>
        <v/>
      </c>
      <c r="AZ35" s="22" t="str">
        <f>IF($B35="","",AO35-AY35)</f>
        <v/>
      </c>
      <c r="BA35" s="22" t="str">
        <f>IF($B35="","",IF($AC35=1,N($R35)-($G35-AX35),0))</f>
        <v/>
      </c>
      <c r="BB35" s="22" t="str">
        <f>IF($B35="","",ROUND(AQ35-AW35,0))</f>
        <v/>
      </c>
      <c r="BC35" s="22" t="str">
        <f>IF($B35="","",ROUND(BA35-AU35,0))</f>
        <v/>
      </c>
      <c r="BD35" s="22" t="str">
        <f>IF($B35="","",BB35+BC35)</f>
        <v/>
      </c>
      <c r="BE35" s="22" t="str">
        <f>IF($B35="","",ROUND(AV35-AP35,0))</f>
        <v/>
      </c>
      <c r="BF35" s="22" t="str">
        <f>IF($B35="","",ROUND(AT35-AZ35,0))</f>
        <v/>
      </c>
      <c r="BG35" s="22" t="str">
        <f>IF($B35="","",ROUND(BF35*TarifPPh,0))</f>
        <v/>
      </c>
      <c r="BH35" t="str">
        <f>IF($B35="","",IF($D35="","Kategori kosong",IF($F35="","Tgl perolehan kosong",IF(N($H35)&gt;$G35,"Residu &gt; harga perolehan",IF(AND(LEFT($U35,8)="Bangunan",$W35="Saldo Menurun"),"Bangunan wajib Garis Lurus (Ps.11 UU PPh)",IF(AND($S35="Unit Produksi",N($K35)=0),"Isi kapasitas unit",IF(AND(OR($S35="Garis Lurus",$S35="Saldo Menurun"),N($T35)&lt;=0),"Umur komersial kosong",IF(AND(OR($W35="Garis Lurus",$W35="Saldo Menurun"),N($V35)&lt;=0),"Masa manfaat fiskal kosong",IF(AND($Q35&lt;&gt;"",$Q35&lt;$F35),"Tgl pelepasan &lt; perolehan","OK")))))))))</f>
        <v/>
      </c>
    </row>
    <row r="36" spans="1:60" x14ac:dyDescent="0.25">
      <c r="A36" t="str">
        <f>IF($B36="","",ROW()-6)</f>
        <v/>
      </c>
      <c r="B36" s="9"/>
      <c r="C36" s="9"/>
      <c r="D36" s="9"/>
      <c r="E36" s="9"/>
      <c r="F36" s="17"/>
      <c r="G36" s="18"/>
      <c r="H36" s="18"/>
      <c r="I36" s="9"/>
      <c r="J36" s="9"/>
      <c r="K36" s="19"/>
      <c r="L36" s="19"/>
      <c r="M36" s="19"/>
      <c r="N36" s="9"/>
      <c r="O36" s="9"/>
      <c r="P36" s="9"/>
      <c r="Q36" s="17"/>
      <c r="R36" s="18"/>
      <c r="S36" t="str">
        <f>IF($B36="","",IF($I36&lt;&gt;"",$I36,IFERROR(INDEX(Kat_Metode,MATCH($D36,Kat_Nama,0)),"")))</f>
        <v/>
      </c>
      <c r="T36" t="str">
        <f>IF($B36="","",IF($J36&lt;&gt;"",$J36,IFERROR(INDEX(Kat_Umur,MATCH($D36,Kat_Nama,0)),0)))</f>
        <v/>
      </c>
      <c r="U36" t="str">
        <f>IF($B36="","",IF($N36&lt;&gt;"",$N36,IFERROR(INDEX(Kat_Kelompok,MATCH($D36,Kat_Nama,0)),"")))</f>
        <v/>
      </c>
      <c r="V36" t="str">
        <f>IF($B36="","",IF($U36="Masa Manfaat Sebenarnya",N($O36),IFERROR(INDEX(Kel_Masa,MATCH($U36,Kel_Nama,0)),0)))</f>
        <v/>
      </c>
      <c r="W36" t="str">
        <f>IF($B36="","",IF($P36&lt;&gt;"",$P36,IF(OR($U36="Tidak Disusutkan",$V36=0),"Tidak Disusutkan","Garis Lurus")))</f>
        <v/>
      </c>
      <c r="X36" t="str">
        <f>IF($B36="","",IF($Y36&gt;TahunBuku*12+12,"Belum Diperoleh",IF($Z36&lt;=TahunBuku*12,"Dilepas (thn lalu)",IF($AC36=1,"Dilepas thn ini",IF($AB36=1,"Perolehan baru","Aktif")))))</f>
        <v/>
      </c>
      <c r="Y36" s="20" t="str">
        <f>IF($B36="","",YEAR($F36)*12+MONTH($F36))</f>
        <v/>
      </c>
      <c r="Z36" s="20" t="str">
        <f>IF($B36="","",IF($Q36="",99999,YEAR($Q36)*12+MONTH($Q36)))</f>
        <v/>
      </c>
      <c r="AA36" s="20" t="str">
        <f>IF($B36="","",--AND($Y36&lt;=TahunBuku*12,$Z36&gt;TahunBuku*12))</f>
        <v/>
      </c>
      <c r="AB36" s="20" t="str">
        <f>IF($B36="","",--AND($Y36&gt;TahunBuku*12,$Y36&lt;=TahunBuku*12+12))</f>
        <v/>
      </c>
      <c r="AC36" s="20" t="str">
        <f>IF($B36="","",--AND($Z36&gt;TahunBuku*12,$Z36&lt;=TahunBuku*12+12,$Y36&lt;=$Z36))</f>
        <v/>
      </c>
      <c r="AD36" s="21" t="str">
        <f>IF($B36="","",IFERROR(IF($S36="Garis Lurus",$G36-($G36-$H36)*MIN($T36*12,MAX(0,TahunBuku*12-$Y36+1))/($T36*12),IF($S36="Saldo Menurun",IF(TahunBuku-1&lt;YEAR($F36),$G36,IF(TahunBuku-1&gt;=INT(($Y36+$T36*12-2)/12),$H36,MAX($H36,$G36*(1-2/$T36*(13-MONTH($F36))/12)*(1-2/$T36)^(TahunBuku-1-YEAR($F36))))),IF($S36="Unit Produksi",$G36-($G36-$H36)*MIN(1,N($L36)/$K36),$G36))),$G36))</f>
        <v/>
      </c>
      <c r="AE36" s="21" t="str">
        <f>IF($B36="","",IFERROR(IF($S36="Garis Lurus",$G36-($G36-$H36)*MIN($T36*12,MAX(0,TahunBuku*12+12-$Y36+1))/($T36*12),IF($S36="Saldo Menurun",IF(TahunBuku&lt;YEAR($F36),$G36,IF(TahunBuku&gt;=INT(($Y36+$T36*12-2)/12),$H36,MAX($H36,$G36*(1-2/$T36*(13-MONTH($F36))/12)*(1-2/$T36)^(TahunBuku-YEAR($F36))))),IF($S36="Unit Produksi",$G36-($G36-$H36)*MIN(1,(N($L36)+N($M36))/$K36),$G36))),$G36))</f>
        <v/>
      </c>
      <c r="AF36" s="20" t="str">
        <f>IF($B36="","",IF(OR($S36="Garis Lurus",$S36="Saldo Menurun",$S36="Unit Produksi"),MAX(0,IF($S36="Unit Produksi",TahunBuku*12+12,MIN(TahunBuku*12+12,$Y36+$T36*12-1))-MAX(TahunBuku*12+1,$Y36)+1),0))</f>
        <v/>
      </c>
      <c r="AG36" s="20" t="str">
        <f>IF($B36="","",IF(OR($S36="Garis Lurus",$S36="Saldo Menurun",$S36="Unit Produksi"),MAX(0,MIN($Z36,IF($S36="Unit Produksi",TahunBuku*12+12,MIN(TahunBuku*12+12,$Y36+$T36*12-1)))-MAX(TahunBuku*12+1,$Y36)+1),0))</f>
        <v/>
      </c>
      <c r="AH36" s="21" t="str">
        <f>IF($B36="","",IFERROR(IF($W36="Garis Lurus",$G36*(1-MIN($V36*12,MAX(0,TahunBuku*12-$Y36+1))/($V36*12)),IF($W36="Saldo Menurun",IF(TahunBuku-1&lt;YEAR($F36),$G36,IF(TahunBuku-1&gt;=INT(($Y36+$V36*12-2)/12),0,$G36*(1-2/$V36*(13-MONTH($F36))/12)*(1-2/$V36)^(TahunBuku-1-YEAR($F36)))),$G36)),$G36))</f>
        <v/>
      </c>
      <c r="AI36" s="21" t="str">
        <f>IF($B36="","",IFERROR(IF($W36="Garis Lurus",$G36*(1-MIN($V36*12,MAX(0,TahunBuku*12+12-$Y36+1))/($V36*12)),IF($W36="Saldo Menurun",IF(TahunBuku&lt;YEAR($F36),$G36,IF(TahunBuku&gt;=INT(($Y36+$V36*12-2)/12),0,$G36*(1-2/$V36*(13-MONTH($F36))/12)*(1-2/$V36)^(TahunBuku-YEAR($F36)))),$G36)),$G36))</f>
        <v/>
      </c>
      <c r="AJ36" s="20" t="str">
        <f>IF($B36="","",IF(OR($W36="Garis Lurus",$W36="Saldo Menurun"),MAX(0,MIN(TahunBuku*12+12,$Y36+$V36*12-1)-MAX(TahunBuku*12+1,$Y36)+1),0))</f>
        <v/>
      </c>
      <c r="AK36" s="20" t="str">
        <f>IF($B36="","",IF(OR($W36="Garis Lurus",$W36="Saldo Menurun"),MAX(0,MIN($Z36,TahunBuku*12+12,$Y36+$V36*12-1)-MAX(TahunBuku*12+1,$Y36)+1),0))</f>
        <v/>
      </c>
      <c r="AL36" s="22" t="str">
        <f>IF($B36="","",$G36*$AA36)</f>
        <v/>
      </c>
      <c r="AM36" s="22" t="str">
        <f>IF($B36="","",$G36*$AB36)</f>
        <v/>
      </c>
      <c r="AN36" s="22" t="str">
        <f>IF($B36="","",$G36*$AC36)</f>
        <v/>
      </c>
      <c r="AO36" s="22" t="str">
        <f>IF($B36="","",AL36+AM36-AN36)</f>
        <v/>
      </c>
      <c r="AP36" s="22" t="str">
        <f>IF($B36="","",($G36-$AD36)*$AA36)</f>
        <v/>
      </c>
      <c r="AQ36" s="22" t="str">
        <f>IF($B36="","",IF($AF36=0,0,($AD36-$AE36)*$AG36/$AF36)*MAX($AA36,$AB36))</f>
        <v/>
      </c>
      <c r="AR36" s="22" t="str">
        <f>IF($B36="","",(AP36+AQ36)*$AC36)</f>
        <v/>
      </c>
      <c r="AS36" s="22" t="str">
        <f>IF($B36="","",AP36+AQ36-AR36)</f>
        <v/>
      </c>
      <c r="AT36" s="22" t="str">
        <f>IF($B36="","",AO36-AS36)</f>
        <v/>
      </c>
      <c r="AU36" s="22" t="str">
        <f>IF($B36="","",IF($AC36=1,N($R36)-($G36-AR36),0))</f>
        <v/>
      </c>
      <c r="AV36" s="22" t="str">
        <f>IF($B36="","",($G36-$AH36)*$AA36)</f>
        <v/>
      </c>
      <c r="AW36" s="22" t="str">
        <f>IF($B36="","",IF($AJ36=0,0,($AH36-$AI36)*$AK36/$AJ36)*MAX($AA36,$AB36))</f>
        <v/>
      </c>
      <c r="AX36" s="22" t="str">
        <f>IF($B36="","",(AV36+AW36)*$AC36)</f>
        <v/>
      </c>
      <c r="AY36" s="22" t="str">
        <f>IF($B36="","",AV36+AW36-AX36)</f>
        <v/>
      </c>
      <c r="AZ36" s="22" t="str">
        <f>IF($B36="","",AO36-AY36)</f>
        <v/>
      </c>
      <c r="BA36" s="22" t="str">
        <f>IF($B36="","",IF($AC36=1,N($R36)-($G36-AX36),0))</f>
        <v/>
      </c>
      <c r="BB36" s="22" t="str">
        <f>IF($B36="","",ROUND(AQ36-AW36,0))</f>
        <v/>
      </c>
      <c r="BC36" s="22" t="str">
        <f>IF($B36="","",ROUND(BA36-AU36,0))</f>
        <v/>
      </c>
      <c r="BD36" s="22" t="str">
        <f>IF($B36="","",BB36+BC36)</f>
        <v/>
      </c>
      <c r="BE36" s="22" t="str">
        <f>IF($B36="","",ROUND(AV36-AP36,0))</f>
        <v/>
      </c>
      <c r="BF36" s="22" t="str">
        <f>IF($B36="","",ROUND(AT36-AZ36,0))</f>
        <v/>
      </c>
      <c r="BG36" s="22" t="str">
        <f>IF($B36="","",ROUND(BF36*TarifPPh,0))</f>
        <v/>
      </c>
      <c r="BH36" t="str">
        <f>IF($B36="","",IF($D36="","Kategori kosong",IF($F36="","Tgl perolehan kosong",IF(N($H36)&gt;$G36,"Residu &gt; harga perolehan",IF(AND(LEFT($U36,8)="Bangunan",$W36="Saldo Menurun"),"Bangunan wajib Garis Lurus (Ps.11 UU PPh)",IF(AND($S36="Unit Produksi",N($K36)=0),"Isi kapasitas unit",IF(AND(OR($S36="Garis Lurus",$S36="Saldo Menurun"),N($T36)&lt;=0),"Umur komersial kosong",IF(AND(OR($W36="Garis Lurus",$W36="Saldo Menurun"),N($V36)&lt;=0),"Masa manfaat fiskal kosong",IF(AND($Q36&lt;&gt;"",$Q36&lt;$F36),"Tgl pelepasan &lt; perolehan","OK")))))))))</f>
        <v/>
      </c>
    </row>
    <row r="37" spans="1:60" x14ac:dyDescent="0.25">
      <c r="A37" t="str">
        <f>IF($B37="","",ROW()-6)</f>
        <v/>
      </c>
      <c r="B37" s="9"/>
      <c r="C37" s="9"/>
      <c r="D37" s="9"/>
      <c r="E37" s="9"/>
      <c r="F37" s="17"/>
      <c r="G37" s="18"/>
      <c r="H37" s="18"/>
      <c r="I37" s="9"/>
      <c r="J37" s="9"/>
      <c r="K37" s="19"/>
      <c r="L37" s="19"/>
      <c r="M37" s="19"/>
      <c r="N37" s="9"/>
      <c r="O37" s="9"/>
      <c r="P37" s="9"/>
      <c r="Q37" s="17"/>
      <c r="R37" s="18"/>
      <c r="S37" t="str">
        <f>IF($B37="","",IF($I37&lt;&gt;"",$I37,IFERROR(INDEX(Kat_Metode,MATCH($D37,Kat_Nama,0)),"")))</f>
        <v/>
      </c>
      <c r="T37" t="str">
        <f>IF($B37="","",IF($J37&lt;&gt;"",$J37,IFERROR(INDEX(Kat_Umur,MATCH($D37,Kat_Nama,0)),0)))</f>
        <v/>
      </c>
      <c r="U37" t="str">
        <f>IF($B37="","",IF($N37&lt;&gt;"",$N37,IFERROR(INDEX(Kat_Kelompok,MATCH($D37,Kat_Nama,0)),"")))</f>
        <v/>
      </c>
      <c r="V37" t="str">
        <f>IF($B37="","",IF($U37="Masa Manfaat Sebenarnya",N($O37),IFERROR(INDEX(Kel_Masa,MATCH($U37,Kel_Nama,0)),0)))</f>
        <v/>
      </c>
      <c r="W37" t="str">
        <f>IF($B37="","",IF($P37&lt;&gt;"",$P37,IF(OR($U37="Tidak Disusutkan",$V37=0),"Tidak Disusutkan","Garis Lurus")))</f>
        <v/>
      </c>
      <c r="X37" t="str">
        <f>IF($B37="","",IF($Y37&gt;TahunBuku*12+12,"Belum Diperoleh",IF($Z37&lt;=TahunBuku*12,"Dilepas (thn lalu)",IF($AC37=1,"Dilepas thn ini",IF($AB37=1,"Perolehan baru","Aktif")))))</f>
        <v/>
      </c>
      <c r="Y37" s="20" t="str">
        <f>IF($B37="","",YEAR($F37)*12+MONTH($F37))</f>
        <v/>
      </c>
      <c r="Z37" s="20" t="str">
        <f>IF($B37="","",IF($Q37="",99999,YEAR($Q37)*12+MONTH($Q37)))</f>
        <v/>
      </c>
      <c r="AA37" s="20" t="str">
        <f>IF($B37="","",--AND($Y37&lt;=TahunBuku*12,$Z37&gt;TahunBuku*12))</f>
        <v/>
      </c>
      <c r="AB37" s="20" t="str">
        <f>IF($B37="","",--AND($Y37&gt;TahunBuku*12,$Y37&lt;=TahunBuku*12+12))</f>
        <v/>
      </c>
      <c r="AC37" s="20" t="str">
        <f>IF($B37="","",--AND($Z37&gt;TahunBuku*12,$Z37&lt;=TahunBuku*12+12,$Y37&lt;=$Z37))</f>
        <v/>
      </c>
      <c r="AD37" s="21" t="str">
        <f>IF($B37="","",IFERROR(IF($S37="Garis Lurus",$G37-($G37-$H37)*MIN($T37*12,MAX(0,TahunBuku*12-$Y37+1))/($T37*12),IF($S37="Saldo Menurun",IF(TahunBuku-1&lt;YEAR($F37),$G37,IF(TahunBuku-1&gt;=INT(($Y37+$T37*12-2)/12),$H37,MAX($H37,$G37*(1-2/$T37*(13-MONTH($F37))/12)*(1-2/$T37)^(TahunBuku-1-YEAR($F37))))),IF($S37="Unit Produksi",$G37-($G37-$H37)*MIN(1,N($L37)/$K37),$G37))),$G37))</f>
        <v/>
      </c>
      <c r="AE37" s="21" t="str">
        <f>IF($B37="","",IFERROR(IF($S37="Garis Lurus",$G37-($G37-$H37)*MIN($T37*12,MAX(0,TahunBuku*12+12-$Y37+1))/($T37*12),IF($S37="Saldo Menurun",IF(TahunBuku&lt;YEAR($F37),$G37,IF(TahunBuku&gt;=INT(($Y37+$T37*12-2)/12),$H37,MAX($H37,$G37*(1-2/$T37*(13-MONTH($F37))/12)*(1-2/$T37)^(TahunBuku-YEAR($F37))))),IF($S37="Unit Produksi",$G37-($G37-$H37)*MIN(1,(N($L37)+N($M37))/$K37),$G37))),$G37))</f>
        <v/>
      </c>
      <c r="AF37" s="20" t="str">
        <f>IF($B37="","",IF(OR($S37="Garis Lurus",$S37="Saldo Menurun",$S37="Unit Produksi"),MAX(0,IF($S37="Unit Produksi",TahunBuku*12+12,MIN(TahunBuku*12+12,$Y37+$T37*12-1))-MAX(TahunBuku*12+1,$Y37)+1),0))</f>
        <v/>
      </c>
      <c r="AG37" s="20" t="str">
        <f>IF($B37="","",IF(OR($S37="Garis Lurus",$S37="Saldo Menurun",$S37="Unit Produksi"),MAX(0,MIN($Z37,IF($S37="Unit Produksi",TahunBuku*12+12,MIN(TahunBuku*12+12,$Y37+$T37*12-1)))-MAX(TahunBuku*12+1,$Y37)+1),0))</f>
        <v/>
      </c>
      <c r="AH37" s="21" t="str">
        <f>IF($B37="","",IFERROR(IF($W37="Garis Lurus",$G37*(1-MIN($V37*12,MAX(0,TahunBuku*12-$Y37+1))/($V37*12)),IF($W37="Saldo Menurun",IF(TahunBuku-1&lt;YEAR($F37),$G37,IF(TahunBuku-1&gt;=INT(($Y37+$V37*12-2)/12),0,$G37*(1-2/$V37*(13-MONTH($F37))/12)*(1-2/$V37)^(TahunBuku-1-YEAR($F37)))),$G37)),$G37))</f>
        <v/>
      </c>
      <c r="AI37" s="21" t="str">
        <f>IF($B37="","",IFERROR(IF($W37="Garis Lurus",$G37*(1-MIN($V37*12,MAX(0,TahunBuku*12+12-$Y37+1))/($V37*12)),IF($W37="Saldo Menurun",IF(TahunBuku&lt;YEAR($F37),$G37,IF(TahunBuku&gt;=INT(($Y37+$V37*12-2)/12),0,$G37*(1-2/$V37*(13-MONTH($F37))/12)*(1-2/$V37)^(TahunBuku-YEAR($F37)))),$G37)),$G37))</f>
        <v/>
      </c>
      <c r="AJ37" s="20" t="str">
        <f>IF($B37="","",IF(OR($W37="Garis Lurus",$W37="Saldo Menurun"),MAX(0,MIN(TahunBuku*12+12,$Y37+$V37*12-1)-MAX(TahunBuku*12+1,$Y37)+1),0))</f>
        <v/>
      </c>
      <c r="AK37" s="20" t="str">
        <f>IF($B37="","",IF(OR($W37="Garis Lurus",$W37="Saldo Menurun"),MAX(0,MIN($Z37,TahunBuku*12+12,$Y37+$V37*12-1)-MAX(TahunBuku*12+1,$Y37)+1),0))</f>
        <v/>
      </c>
      <c r="AL37" s="22" t="str">
        <f>IF($B37="","",$G37*$AA37)</f>
        <v/>
      </c>
      <c r="AM37" s="22" t="str">
        <f>IF($B37="","",$G37*$AB37)</f>
        <v/>
      </c>
      <c r="AN37" s="22" t="str">
        <f>IF($B37="","",$G37*$AC37)</f>
        <v/>
      </c>
      <c r="AO37" s="22" t="str">
        <f>IF($B37="","",AL37+AM37-AN37)</f>
        <v/>
      </c>
      <c r="AP37" s="22" t="str">
        <f>IF($B37="","",($G37-$AD37)*$AA37)</f>
        <v/>
      </c>
      <c r="AQ37" s="22" t="str">
        <f>IF($B37="","",IF($AF37=0,0,($AD37-$AE37)*$AG37/$AF37)*MAX($AA37,$AB37))</f>
        <v/>
      </c>
      <c r="AR37" s="22" t="str">
        <f>IF($B37="","",(AP37+AQ37)*$AC37)</f>
        <v/>
      </c>
      <c r="AS37" s="22" t="str">
        <f>IF($B37="","",AP37+AQ37-AR37)</f>
        <v/>
      </c>
      <c r="AT37" s="22" t="str">
        <f>IF($B37="","",AO37-AS37)</f>
        <v/>
      </c>
      <c r="AU37" s="22" t="str">
        <f>IF($B37="","",IF($AC37=1,N($R37)-($G37-AR37),0))</f>
        <v/>
      </c>
      <c r="AV37" s="22" t="str">
        <f>IF($B37="","",($G37-$AH37)*$AA37)</f>
        <v/>
      </c>
      <c r="AW37" s="22" t="str">
        <f>IF($B37="","",IF($AJ37=0,0,($AH37-$AI37)*$AK37/$AJ37)*MAX($AA37,$AB37))</f>
        <v/>
      </c>
      <c r="AX37" s="22" t="str">
        <f>IF($B37="","",(AV37+AW37)*$AC37)</f>
        <v/>
      </c>
      <c r="AY37" s="22" t="str">
        <f>IF($B37="","",AV37+AW37-AX37)</f>
        <v/>
      </c>
      <c r="AZ37" s="22" t="str">
        <f>IF($B37="","",AO37-AY37)</f>
        <v/>
      </c>
      <c r="BA37" s="22" t="str">
        <f>IF($B37="","",IF($AC37=1,N($R37)-($G37-AX37),0))</f>
        <v/>
      </c>
      <c r="BB37" s="22" t="str">
        <f>IF($B37="","",ROUND(AQ37-AW37,0))</f>
        <v/>
      </c>
      <c r="BC37" s="22" t="str">
        <f>IF($B37="","",ROUND(BA37-AU37,0))</f>
        <v/>
      </c>
      <c r="BD37" s="22" t="str">
        <f>IF($B37="","",BB37+BC37)</f>
        <v/>
      </c>
      <c r="BE37" s="22" t="str">
        <f>IF($B37="","",ROUND(AV37-AP37,0))</f>
        <v/>
      </c>
      <c r="BF37" s="22" t="str">
        <f>IF($B37="","",ROUND(AT37-AZ37,0))</f>
        <v/>
      </c>
      <c r="BG37" s="22" t="str">
        <f>IF($B37="","",ROUND(BF37*TarifPPh,0))</f>
        <v/>
      </c>
      <c r="BH37" t="str">
        <f>IF($B37="","",IF($D37="","Kategori kosong",IF($F37="","Tgl perolehan kosong",IF(N($H37)&gt;$G37,"Residu &gt; harga perolehan",IF(AND(LEFT($U37,8)="Bangunan",$W37="Saldo Menurun"),"Bangunan wajib Garis Lurus (Ps.11 UU PPh)",IF(AND($S37="Unit Produksi",N($K37)=0),"Isi kapasitas unit",IF(AND(OR($S37="Garis Lurus",$S37="Saldo Menurun"),N($T37)&lt;=0),"Umur komersial kosong",IF(AND(OR($W37="Garis Lurus",$W37="Saldo Menurun"),N($V37)&lt;=0),"Masa manfaat fiskal kosong",IF(AND($Q37&lt;&gt;"",$Q37&lt;$F37),"Tgl pelepasan &lt; perolehan","OK")))))))))</f>
        <v/>
      </c>
    </row>
    <row r="38" spans="1:60" x14ac:dyDescent="0.25">
      <c r="A38" t="str">
        <f>IF($B38="","",ROW()-6)</f>
        <v/>
      </c>
      <c r="B38" s="9"/>
      <c r="C38" s="9"/>
      <c r="D38" s="9"/>
      <c r="E38" s="9"/>
      <c r="F38" s="17"/>
      <c r="G38" s="18"/>
      <c r="H38" s="18"/>
      <c r="I38" s="9"/>
      <c r="J38" s="9"/>
      <c r="K38" s="19"/>
      <c r="L38" s="19"/>
      <c r="M38" s="19"/>
      <c r="N38" s="9"/>
      <c r="O38" s="9"/>
      <c r="P38" s="9"/>
      <c r="Q38" s="17"/>
      <c r="R38" s="18"/>
      <c r="S38" t="str">
        <f>IF($B38="","",IF($I38&lt;&gt;"",$I38,IFERROR(INDEX(Kat_Metode,MATCH($D38,Kat_Nama,0)),"")))</f>
        <v/>
      </c>
      <c r="T38" t="str">
        <f>IF($B38="","",IF($J38&lt;&gt;"",$J38,IFERROR(INDEX(Kat_Umur,MATCH($D38,Kat_Nama,0)),0)))</f>
        <v/>
      </c>
      <c r="U38" t="str">
        <f>IF($B38="","",IF($N38&lt;&gt;"",$N38,IFERROR(INDEX(Kat_Kelompok,MATCH($D38,Kat_Nama,0)),"")))</f>
        <v/>
      </c>
      <c r="V38" t="str">
        <f>IF($B38="","",IF($U38="Masa Manfaat Sebenarnya",N($O38),IFERROR(INDEX(Kel_Masa,MATCH($U38,Kel_Nama,0)),0)))</f>
        <v/>
      </c>
      <c r="W38" t="str">
        <f>IF($B38="","",IF($P38&lt;&gt;"",$P38,IF(OR($U38="Tidak Disusutkan",$V38=0),"Tidak Disusutkan","Garis Lurus")))</f>
        <v/>
      </c>
      <c r="X38" t="str">
        <f>IF($B38="","",IF($Y38&gt;TahunBuku*12+12,"Belum Diperoleh",IF($Z38&lt;=TahunBuku*12,"Dilepas (thn lalu)",IF($AC38=1,"Dilepas thn ini",IF($AB38=1,"Perolehan baru","Aktif")))))</f>
        <v/>
      </c>
      <c r="Y38" s="20" t="str">
        <f>IF($B38="","",YEAR($F38)*12+MONTH($F38))</f>
        <v/>
      </c>
      <c r="Z38" s="20" t="str">
        <f>IF($B38="","",IF($Q38="",99999,YEAR($Q38)*12+MONTH($Q38)))</f>
        <v/>
      </c>
      <c r="AA38" s="20" t="str">
        <f>IF($B38="","",--AND($Y38&lt;=TahunBuku*12,$Z38&gt;TahunBuku*12))</f>
        <v/>
      </c>
      <c r="AB38" s="20" t="str">
        <f>IF($B38="","",--AND($Y38&gt;TahunBuku*12,$Y38&lt;=TahunBuku*12+12))</f>
        <v/>
      </c>
      <c r="AC38" s="20" t="str">
        <f>IF($B38="","",--AND($Z38&gt;TahunBuku*12,$Z38&lt;=TahunBuku*12+12,$Y38&lt;=$Z38))</f>
        <v/>
      </c>
      <c r="AD38" s="21" t="str">
        <f>IF($B38="","",IFERROR(IF($S38="Garis Lurus",$G38-($G38-$H38)*MIN($T38*12,MAX(0,TahunBuku*12-$Y38+1))/($T38*12),IF($S38="Saldo Menurun",IF(TahunBuku-1&lt;YEAR($F38),$G38,IF(TahunBuku-1&gt;=INT(($Y38+$T38*12-2)/12),$H38,MAX($H38,$G38*(1-2/$T38*(13-MONTH($F38))/12)*(1-2/$T38)^(TahunBuku-1-YEAR($F38))))),IF($S38="Unit Produksi",$G38-($G38-$H38)*MIN(1,N($L38)/$K38),$G38))),$G38))</f>
        <v/>
      </c>
      <c r="AE38" s="21" t="str">
        <f>IF($B38="","",IFERROR(IF($S38="Garis Lurus",$G38-($G38-$H38)*MIN($T38*12,MAX(0,TahunBuku*12+12-$Y38+1))/($T38*12),IF($S38="Saldo Menurun",IF(TahunBuku&lt;YEAR($F38),$G38,IF(TahunBuku&gt;=INT(($Y38+$T38*12-2)/12),$H38,MAX($H38,$G38*(1-2/$T38*(13-MONTH($F38))/12)*(1-2/$T38)^(TahunBuku-YEAR($F38))))),IF($S38="Unit Produksi",$G38-($G38-$H38)*MIN(1,(N($L38)+N($M38))/$K38),$G38))),$G38))</f>
        <v/>
      </c>
      <c r="AF38" s="20" t="str">
        <f>IF($B38="","",IF(OR($S38="Garis Lurus",$S38="Saldo Menurun",$S38="Unit Produksi"),MAX(0,IF($S38="Unit Produksi",TahunBuku*12+12,MIN(TahunBuku*12+12,$Y38+$T38*12-1))-MAX(TahunBuku*12+1,$Y38)+1),0))</f>
        <v/>
      </c>
      <c r="AG38" s="20" t="str">
        <f>IF($B38="","",IF(OR($S38="Garis Lurus",$S38="Saldo Menurun",$S38="Unit Produksi"),MAX(0,MIN($Z38,IF($S38="Unit Produksi",TahunBuku*12+12,MIN(TahunBuku*12+12,$Y38+$T38*12-1)))-MAX(TahunBuku*12+1,$Y38)+1),0))</f>
        <v/>
      </c>
      <c r="AH38" s="21" t="str">
        <f>IF($B38="","",IFERROR(IF($W38="Garis Lurus",$G38*(1-MIN($V38*12,MAX(0,TahunBuku*12-$Y38+1))/($V38*12)),IF($W38="Saldo Menurun",IF(TahunBuku-1&lt;YEAR($F38),$G38,IF(TahunBuku-1&gt;=INT(($Y38+$V38*12-2)/12),0,$G38*(1-2/$V38*(13-MONTH($F38))/12)*(1-2/$V38)^(TahunBuku-1-YEAR($F38)))),$G38)),$G38))</f>
        <v/>
      </c>
      <c r="AI38" s="21" t="str">
        <f>IF($B38="","",IFERROR(IF($W38="Garis Lurus",$G38*(1-MIN($V38*12,MAX(0,TahunBuku*12+12-$Y38+1))/($V38*12)),IF($W38="Saldo Menurun",IF(TahunBuku&lt;YEAR($F38),$G38,IF(TahunBuku&gt;=INT(($Y38+$V38*12-2)/12),0,$G38*(1-2/$V38*(13-MONTH($F38))/12)*(1-2/$V38)^(TahunBuku-YEAR($F38)))),$G38)),$G38))</f>
        <v/>
      </c>
      <c r="AJ38" s="20" t="str">
        <f>IF($B38="","",IF(OR($W38="Garis Lurus",$W38="Saldo Menurun"),MAX(0,MIN(TahunBuku*12+12,$Y38+$V38*12-1)-MAX(TahunBuku*12+1,$Y38)+1),0))</f>
        <v/>
      </c>
      <c r="AK38" s="20" t="str">
        <f>IF($B38="","",IF(OR($W38="Garis Lurus",$W38="Saldo Menurun"),MAX(0,MIN($Z38,TahunBuku*12+12,$Y38+$V38*12-1)-MAX(TahunBuku*12+1,$Y38)+1),0))</f>
        <v/>
      </c>
      <c r="AL38" s="22" t="str">
        <f>IF($B38="","",$G38*$AA38)</f>
        <v/>
      </c>
      <c r="AM38" s="22" t="str">
        <f>IF($B38="","",$G38*$AB38)</f>
        <v/>
      </c>
      <c r="AN38" s="22" t="str">
        <f>IF($B38="","",$G38*$AC38)</f>
        <v/>
      </c>
      <c r="AO38" s="22" t="str">
        <f>IF($B38="","",AL38+AM38-AN38)</f>
        <v/>
      </c>
      <c r="AP38" s="22" t="str">
        <f>IF($B38="","",($G38-$AD38)*$AA38)</f>
        <v/>
      </c>
      <c r="AQ38" s="22" t="str">
        <f>IF($B38="","",IF($AF38=0,0,($AD38-$AE38)*$AG38/$AF38)*MAX($AA38,$AB38))</f>
        <v/>
      </c>
      <c r="AR38" s="22" t="str">
        <f>IF($B38="","",(AP38+AQ38)*$AC38)</f>
        <v/>
      </c>
      <c r="AS38" s="22" t="str">
        <f>IF($B38="","",AP38+AQ38-AR38)</f>
        <v/>
      </c>
      <c r="AT38" s="22" t="str">
        <f>IF($B38="","",AO38-AS38)</f>
        <v/>
      </c>
      <c r="AU38" s="22" t="str">
        <f>IF($B38="","",IF($AC38=1,N($R38)-($G38-AR38),0))</f>
        <v/>
      </c>
      <c r="AV38" s="22" t="str">
        <f>IF($B38="","",($G38-$AH38)*$AA38)</f>
        <v/>
      </c>
      <c r="AW38" s="22" t="str">
        <f>IF($B38="","",IF($AJ38=0,0,($AH38-$AI38)*$AK38/$AJ38)*MAX($AA38,$AB38))</f>
        <v/>
      </c>
      <c r="AX38" s="22" t="str">
        <f>IF($B38="","",(AV38+AW38)*$AC38)</f>
        <v/>
      </c>
      <c r="AY38" s="22" t="str">
        <f>IF($B38="","",AV38+AW38-AX38)</f>
        <v/>
      </c>
      <c r="AZ38" s="22" t="str">
        <f>IF($B38="","",AO38-AY38)</f>
        <v/>
      </c>
      <c r="BA38" s="22" t="str">
        <f>IF($B38="","",IF($AC38=1,N($R38)-($G38-AX38),0))</f>
        <v/>
      </c>
      <c r="BB38" s="22" t="str">
        <f>IF($B38="","",ROUND(AQ38-AW38,0))</f>
        <v/>
      </c>
      <c r="BC38" s="22" t="str">
        <f>IF($B38="","",ROUND(BA38-AU38,0))</f>
        <v/>
      </c>
      <c r="BD38" s="22" t="str">
        <f>IF($B38="","",BB38+BC38)</f>
        <v/>
      </c>
      <c r="BE38" s="22" t="str">
        <f>IF($B38="","",ROUND(AV38-AP38,0))</f>
        <v/>
      </c>
      <c r="BF38" s="22" t="str">
        <f>IF($B38="","",ROUND(AT38-AZ38,0))</f>
        <v/>
      </c>
      <c r="BG38" s="22" t="str">
        <f>IF($B38="","",ROUND(BF38*TarifPPh,0))</f>
        <v/>
      </c>
      <c r="BH38" t="str">
        <f>IF($B38="","",IF($D38="","Kategori kosong",IF($F38="","Tgl perolehan kosong",IF(N($H38)&gt;$G38,"Residu &gt; harga perolehan",IF(AND(LEFT($U38,8)="Bangunan",$W38="Saldo Menurun"),"Bangunan wajib Garis Lurus (Ps.11 UU PPh)",IF(AND($S38="Unit Produksi",N($K38)=0),"Isi kapasitas unit",IF(AND(OR($S38="Garis Lurus",$S38="Saldo Menurun"),N($T38)&lt;=0),"Umur komersial kosong",IF(AND(OR($W38="Garis Lurus",$W38="Saldo Menurun"),N($V38)&lt;=0),"Masa manfaat fiskal kosong",IF(AND($Q38&lt;&gt;"",$Q38&lt;$F38),"Tgl pelepasan &lt; perolehan","OK")))))))))</f>
        <v/>
      </c>
    </row>
    <row r="39" spans="1:60" x14ac:dyDescent="0.25">
      <c r="A39" t="str">
        <f>IF($B39="","",ROW()-6)</f>
        <v/>
      </c>
      <c r="B39" s="9"/>
      <c r="C39" s="9"/>
      <c r="D39" s="9"/>
      <c r="E39" s="9"/>
      <c r="F39" s="17"/>
      <c r="G39" s="18"/>
      <c r="H39" s="18"/>
      <c r="I39" s="9"/>
      <c r="J39" s="9"/>
      <c r="K39" s="19"/>
      <c r="L39" s="19"/>
      <c r="M39" s="19"/>
      <c r="N39" s="9"/>
      <c r="O39" s="9"/>
      <c r="P39" s="9"/>
      <c r="Q39" s="17"/>
      <c r="R39" s="18"/>
      <c r="S39" t="str">
        <f>IF($B39="","",IF($I39&lt;&gt;"",$I39,IFERROR(INDEX(Kat_Metode,MATCH($D39,Kat_Nama,0)),"")))</f>
        <v/>
      </c>
      <c r="T39" t="str">
        <f>IF($B39="","",IF($J39&lt;&gt;"",$J39,IFERROR(INDEX(Kat_Umur,MATCH($D39,Kat_Nama,0)),0)))</f>
        <v/>
      </c>
      <c r="U39" t="str">
        <f>IF($B39="","",IF($N39&lt;&gt;"",$N39,IFERROR(INDEX(Kat_Kelompok,MATCH($D39,Kat_Nama,0)),"")))</f>
        <v/>
      </c>
      <c r="V39" t="str">
        <f>IF($B39="","",IF($U39="Masa Manfaat Sebenarnya",N($O39),IFERROR(INDEX(Kel_Masa,MATCH($U39,Kel_Nama,0)),0)))</f>
        <v/>
      </c>
      <c r="W39" t="str">
        <f>IF($B39="","",IF($P39&lt;&gt;"",$P39,IF(OR($U39="Tidak Disusutkan",$V39=0),"Tidak Disusutkan","Garis Lurus")))</f>
        <v/>
      </c>
      <c r="X39" t="str">
        <f>IF($B39="","",IF($Y39&gt;TahunBuku*12+12,"Belum Diperoleh",IF($Z39&lt;=TahunBuku*12,"Dilepas (thn lalu)",IF($AC39=1,"Dilepas thn ini",IF($AB39=1,"Perolehan baru","Aktif")))))</f>
        <v/>
      </c>
      <c r="Y39" s="20" t="str">
        <f>IF($B39="","",YEAR($F39)*12+MONTH($F39))</f>
        <v/>
      </c>
      <c r="Z39" s="20" t="str">
        <f>IF($B39="","",IF($Q39="",99999,YEAR($Q39)*12+MONTH($Q39)))</f>
        <v/>
      </c>
      <c r="AA39" s="20" t="str">
        <f>IF($B39="","",--AND($Y39&lt;=TahunBuku*12,$Z39&gt;TahunBuku*12))</f>
        <v/>
      </c>
      <c r="AB39" s="20" t="str">
        <f>IF($B39="","",--AND($Y39&gt;TahunBuku*12,$Y39&lt;=TahunBuku*12+12))</f>
        <v/>
      </c>
      <c r="AC39" s="20" t="str">
        <f>IF($B39="","",--AND($Z39&gt;TahunBuku*12,$Z39&lt;=TahunBuku*12+12,$Y39&lt;=$Z39))</f>
        <v/>
      </c>
      <c r="AD39" s="21" t="str">
        <f>IF($B39="","",IFERROR(IF($S39="Garis Lurus",$G39-($G39-$H39)*MIN($T39*12,MAX(0,TahunBuku*12-$Y39+1))/($T39*12),IF($S39="Saldo Menurun",IF(TahunBuku-1&lt;YEAR($F39),$G39,IF(TahunBuku-1&gt;=INT(($Y39+$T39*12-2)/12),$H39,MAX($H39,$G39*(1-2/$T39*(13-MONTH($F39))/12)*(1-2/$T39)^(TahunBuku-1-YEAR($F39))))),IF($S39="Unit Produksi",$G39-($G39-$H39)*MIN(1,N($L39)/$K39),$G39))),$G39))</f>
        <v/>
      </c>
      <c r="AE39" s="21" t="str">
        <f>IF($B39="","",IFERROR(IF($S39="Garis Lurus",$G39-($G39-$H39)*MIN($T39*12,MAX(0,TahunBuku*12+12-$Y39+1))/($T39*12),IF($S39="Saldo Menurun",IF(TahunBuku&lt;YEAR($F39),$G39,IF(TahunBuku&gt;=INT(($Y39+$T39*12-2)/12),$H39,MAX($H39,$G39*(1-2/$T39*(13-MONTH($F39))/12)*(1-2/$T39)^(TahunBuku-YEAR($F39))))),IF($S39="Unit Produksi",$G39-($G39-$H39)*MIN(1,(N($L39)+N($M39))/$K39),$G39))),$G39))</f>
        <v/>
      </c>
      <c r="AF39" s="20" t="str">
        <f>IF($B39="","",IF(OR($S39="Garis Lurus",$S39="Saldo Menurun",$S39="Unit Produksi"),MAX(0,IF($S39="Unit Produksi",TahunBuku*12+12,MIN(TahunBuku*12+12,$Y39+$T39*12-1))-MAX(TahunBuku*12+1,$Y39)+1),0))</f>
        <v/>
      </c>
      <c r="AG39" s="20" t="str">
        <f>IF($B39="","",IF(OR($S39="Garis Lurus",$S39="Saldo Menurun",$S39="Unit Produksi"),MAX(0,MIN($Z39,IF($S39="Unit Produksi",TahunBuku*12+12,MIN(TahunBuku*12+12,$Y39+$T39*12-1)))-MAX(TahunBuku*12+1,$Y39)+1),0))</f>
        <v/>
      </c>
      <c r="AH39" s="21" t="str">
        <f>IF($B39="","",IFERROR(IF($W39="Garis Lurus",$G39*(1-MIN($V39*12,MAX(0,TahunBuku*12-$Y39+1))/($V39*12)),IF($W39="Saldo Menurun",IF(TahunBuku-1&lt;YEAR($F39),$G39,IF(TahunBuku-1&gt;=INT(($Y39+$V39*12-2)/12),0,$G39*(1-2/$V39*(13-MONTH($F39))/12)*(1-2/$V39)^(TahunBuku-1-YEAR($F39)))),$G39)),$G39))</f>
        <v/>
      </c>
      <c r="AI39" s="21" t="str">
        <f>IF($B39="","",IFERROR(IF($W39="Garis Lurus",$G39*(1-MIN($V39*12,MAX(0,TahunBuku*12+12-$Y39+1))/($V39*12)),IF($W39="Saldo Menurun",IF(TahunBuku&lt;YEAR($F39),$G39,IF(TahunBuku&gt;=INT(($Y39+$V39*12-2)/12),0,$G39*(1-2/$V39*(13-MONTH($F39))/12)*(1-2/$V39)^(TahunBuku-YEAR($F39)))),$G39)),$G39))</f>
        <v/>
      </c>
      <c r="AJ39" s="20" t="str">
        <f>IF($B39="","",IF(OR($W39="Garis Lurus",$W39="Saldo Menurun"),MAX(0,MIN(TahunBuku*12+12,$Y39+$V39*12-1)-MAX(TahunBuku*12+1,$Y39)+1),0))</f>
        <v/>
      </c>
      <c r="AK39" s="20" t="str">
        <f>IF($B39="","",IF(OR($W39="Garis Lurus",$W39="Saldo Menurun"),MAX(0,MIN($Z39,TahunBuku*12+12,$Y39+$V39*12-1)-MAX(TahunBuku*12+1,$Y39)+1),0))</f>
        <v/>
      </c>
      <c r="AL39" s="22" t="str">
        <f>IF($B39="","",$G39*$AA39)</f>
        <v/>
      </c>
      <c r="AM39" s="22" t="str">
        <f>IF($B39="","",$G39*$AB39)</f>
        <v/>
      </c>
      <c r="AN39" s="22" t="str">
        <f>IF($B39="","",$G39*$AC39)</f>
        <v/>
      </c>
      <c r="AO39" s="22" t="str">
        <f>IF($B39="","",AL39+AM39-AN39)</f>
        <v/>
      </c>
      <c r="AP39" s="22" t="str">
        <f>IF($B39="","",($G39-$AD39)*$AA39)</f>
        <v/>
      </c>
      <c r="AQ39" s="22" t="str">
        <f>IF($B39="","",IF($AF39=0,0,($AD39-$AE39)*$AG39/$AF39)*MAX($AA39,$AB39))</f>
        <v/>
      </c>
      <c r="AR39" s="22" t="str">
        <f>IF($B39="","",(AP39+AQ39)*$AC39)</f>
        <v/>
      </c>
      <c r="AS39" s="22" t="str">
        <f>IF($B39="","",AP39+AQ39-AR39)</f>
        <v/>
      </c>
      <c r="AT39" s="22" t="str">
        <f>IF($B39="","",AO39-AS39)</f>
        <v/>
      </c>
      <c r="AU39" s="22" t="str">
        <f>IF($B39="","",IF($AC39=1,N($R39)-($G39-AR39),0))</f>
        <v/>
      </c>
      <c r="AV39" s="22" t="str">
        <f>IF($B39="","",($G39-$AH39)*$AA39)</f>
        <v/>
      </c>
      <c r="AW39" s="22" t="str">
        <f>IF($B39="","",IF($AJ39=0,0,($AH39-$AI39)*$AK39/$AJ39)*MAX($AA39,$AB39))</f>
        <v/>
      </c>
      <c r="AX39" s="22" t="str">
        <f>IF($B39="","",(AV39+AW39)*$AC39)</f>
        <v/>
      </c>
      <c r="AY39" s="22" t="str">
        <f>IF($B39="","",AV39+AW39-AX39)</f>
        <v/>
      </c>
      <c r="AZ39" s="22" t="str">
        <f>IF($B39="","",AO39-AY39)</f>
        <v/>
      </c>
      <c r="BA39" s="22" t="str">
        <f>IF($B39="","",IF($AC39=1,N($R39)-($G39-AX39),0))</f>
        <v/>
      </c>
      <c r="BB39" s="22" t="str">
        <f>IF($B39="","",ROUND(AQ39-AW39,0))</f>
        <v/>
      </c>
      <c r="BC39" s="22" t="str">
        <f>IF($B39="","",ROUND(BA39-AU39,0))</f>
        <v/>
      </c>
      <c r="BD39" s="22" t="str">
        <f>IF($B39="","",BB39+BC39)</f>
        <v/>
      </c>
      <c r="BE39" s="22" t="str">
        <f>IF($B39="","",ROUND(AV39-AP39,0))</f>
        <v/>
      </c>
      <c r="BF39" s="22" t="str">
        <f>IF($B39="","",ROUND(AT39-AZ39,0))</f>
        <v/>
      </c>
      <c r="BG39" s="22" t="str">
        <f>IF($B39="","",ROUND(BF39*TarifPPh,0))</f>
        <v/>
      </c>
      <c r="BH39" t="str">
        <f>IF($B39="","",IF($D39="","Kategori kosong",IF($F39="","Tgl perolehan kosong",IF(N($H39)&gt;$G39,"Residu &gt; harga perolehan",IF(AND(LEFT($U39,8)="Bangunan",$W39="Saldo Menurun"),"Bangunan wajib Garis Lurus (Ps.11 UU PPh)",IF(AND($S39="Unit Produksi",N($K39)=0),"Isi kapasitas unit",IF(AND(OR($S39="Garis Lurus",$S39="Saldo Menurun"),N($T39)&lt;=0),"Umur komersial kosong",IF(AND(OR($W39="Garis Lurus",$W39="Saldo Menurun"),N($V39)&lt;=0),"Masa manfaat fiskal kosong",IF(AND($Q39&lt;&gt;"",$Q39&lt;$F39),"Tgl pelepasan &lt; perolehan","OK")))))))))</f>
        <v/>
      </c>
    </row>
    <row r="40" spans="1:60" x14ac:dyDescent="0.25">
      <c r="A40" t="str">
        <f>IF($B40="","",ROW()-6)</f>
        <v/>
      </c>
      <c r="B40" s="9"/>
      <c r="C40" s="9"/>
      <c r="D40" s="9"/>
      <c r="E40" s="9"/>
      <c r="F40" s="17"/>
      <c r="G40" s="18"/>
      <c r="H40" s="18"/>
      <c r="I40" s="9"/>
      <c r="J40" s="9"/>
      <c r="K40" s="19"/>
      <c r="L40" s="19"/>
      <c r="M40" s="19"/>
      <c r="N40" s="9"/>
      <c r="O40" s="9"/>
      <c r="P40" s="9"/>
      <c r="Q40" s="17"/>
      <c r="R40" s="18"/>
      <c r="S40" t="str">
        <f>IF($B40="","",IF($I40&lt;&gt;"",$I40,IFERROR(INDEX(Kat_Metode,MATCH($D40,Kat_Nama,0)),"")))</f>
        <v/>
      </c>
      <c r="T40" t="str">
        <f>IF($B40="","",IF($J40&lt;&gt;"",$J40,IFERROR(INDEX(Kat_Umur,MATCH($D40,Kat_Nama,0)),0)))</f>
        <v/>
      </c>
      <c r="U40" t="str">
        <f>IF($B40="","",IF($N40&lt;&gt;"",$N40,IFERROR(INDEX(Kat_Kelompok,MATCH($D40,Kat_Nama,0)),"")))</f>
        <v/>
      </c>
      <c r="V40" t="str">
        <f>IF($B40="","",IF($U40="Masa Manfaat Sebenarnya",N($O40),IFERROR(INDEX(Kel_Masa,MATCH($U40,Kel_Nama,0)),0)))</f>
        <v/>
      </c>
      <c r="W40" t="str">
        <f>IF($B40="","",IF($P40&lt;&gt;"",$P40,IF(OR($U40="Tidak Disusutkan",$V40=0),"Tidak Disusutkan","Garis Lurus")))</f>
        <v/>
      </c>
      <c r="X40" t="str">
        <f>IF($B40="","",IF($Y40&gt;TahunBuku*12+12,"Belum Diperoleh",IF($Z40&lt;=TahunBuku*12,"Dilepas (thn lalu)",IF($AC40=1,"Dilepas thn ini",IF($AB40=1,"Perolehan baru","Aktif")))))</f>
        <v/>
      </c>
      <c r="Y40" s="20" t="str">
        <f>IF($B40="","",YEAR($F40)*12+MONTH($F40))</f>
        <v/>
      </c>
      <c r="Z40" s="20" t="str">
        <f>IF($B40="","",IF($Q40="",99999,YEAR($Q40)*12+MONTH($Q40)))</f>
        <v/>
      </c>
      <c r="AA40" s="20" t="str">
        <f>IF($B40="","",--AND($Y40&lt;=TahunBuku*12,$Z40&gt;TahunBuku*12))</f>
        <v/>
      </c>
      <c r="AB40" s="20" t="str">
        <f>IF($B40="","",--AND($Y40&gt;TahunBuku*12,$Y40&lt;=TahunBuku*12+12))</f>
        <v/>
      </c>
      <c r="AC40" s="20" t="str">
        <f>IF($B40="","",--AND($Z40&gt;TahunBuku*12,$Z40&lt;=TahunBuku*12+12,$Y40&lt;=$Z40))</f>
        <v/>
      </c>
      <c r="AD40" s="21" t="str">
        <f>IF($B40="","",IFERROR(IF($S40="Garis Lurus",$G40-($G40-$H40)*MIN($T40*12,MAX(0,TahunBuku*12-$Y40+1))/($T40*12),IF($S40="Saldo Menurun",IF(TahunBuku-1&lt;YEAR($F40),$G40,IF(TahunBuku-1&gt;=INT(($Y40+$T40*12-2)/12),$H40,MAX($H40,$G40*(1-2/$T40*(13-MONTH($F40))/12)*(1-2/$T40)^(TahunBuku-1-YEAR($F40))))),IF($S40="Unit Produksi",$G40-($G40-$H40)*MIN(1,N($L40)/$K40),$G40))),$G40))</f>
        <v/>
      </c>
      <c r="AE40" s="21" t="str">
        <f>IF($B40="","",IFERROR(IF($S40="Garis Lurus",$G40-($G40-$H40)*MIN($T40*12,MAX(0,TahunBuku*12+12-$Y40+1))/($T40*12),IF($S40="Saldo Menurun",IF(TahunBuku&lt;YEAR($F40),$G40,IF(TahunBuku&gt;=INT(($Y40+$T40*12-2)/12),$H40,MAX($H40,$G40*(1-2/$T40*(13-MONTH($F40))/12)*(1-2/$T40)^(TahunBuku-YEAR($F40))))),IF($S40="Unit Produksi",$G40-($G40-$H40)*MIN(1,(N($L40)+N($M40))/$K40),$G40))),$G40))</f>
        <v/>
      </c>
      <c r="AF40" s="20" t="str">
        <f>IF($B40="","",IF(OR($S40="Garis Lurus",$S40="Saldo Menurun",$S40="Unit Produksi"),MAX(0,IF($S40="Unit Produksi",TahunBuku*12+12,MIN(TahunBuku*12+12,$Y40+$T40*12-1))-MAX(TahunBuku*12+1,$Y40)+1),0))</f>
        <v/>
      </c>
      <c r="AG40" s="20" t="str">
        <f>IF($B40="","",IF(OR($S40="Garis Lurus",$S40="Saldo Menurun",$S40="Unit Produksi"),MAX(0,MIN($Z40,IF($S40="Unit Produksi",TahunBuku*12+12,MIN(TahunBuku*12+12,$Y40+$T40*12-1)))-MAX(TahunBuku*12+1,$Y40)+1),0))</f>
        <v/>
      </c>
      <c r="AH40" s="21" t="str">
        <f>IF($B40="","",IFERROR(IF($W40="Garis Lurus",$G40*(1-MIN($V40*12,MAX(0,TahunBuku*12-$Y40+1))/($V40*12)),IF($W40="Saldo Menurun",IF(TahunBuku-1&lt;YEAR($F40),$G40,IF(TahunBuku-1&gt;=INT(($Y40+$V40*12-2)/12),0,$G40*(1-2/$V40*(13-MONTH($F40))/12)*(1-2/$V40)^(TahunBuku-1-YEAR($F40)))),$G40)),$G40))</f>
        <v/>
      </c>
      <c r="AI40" s="21" t="str">
        <f>IF($B40="","",IFERROR(IF($W40="Garis Lurus",$G40*(1-MIN($V40*12,MAX(0,TahunBuku*12+12-$Y40+1))/($V40*12)),IF($W40="Saldo Menurun",IF(TahunBuku&lt;YEAR($F40),$G40,IF(TahunBuku&gt;=INT(($Y40+$V40*12-2)/12),0,$G40*(1-2/$V40*(13-MONTH($F40))/12)*(1-2/$V40)^(TahunBuku-YEAR($F40)))),$G40)),$G40))</f>
        <v/>
      </c>
      <c r="AJ40" s="20" t="str">
        <f>IF($B40="","",IF(OR($W40="Garis Lurus",$W40="Saldo Menurun"),MAX(0,MIN(TahunBuku*12+12,$Y40+$V40*12-1)-MAX(TahunBuku*12+1,$Y40)+1),0))</f>
        <v/>
      </c>
      <c r="AK40" s="20" t="str">
        <f>IF($B40="","",IF(OR($W40="Garis Lurus",$W40="Saldo Menurun"),MAX(0,MIN($Z40,TahunBuku*12+12,$Y40+$V40*12-1)-MAX(TahunBuku*12+1,$Y40)+1),0))</f>
        <v/>
      </c>
      <c r="AL40" s="22" t="str">
        <f>IF($B40="","",$G40*$AA40)</f>
        <v/>
      </c>
      <c r="AM40" s="22" t="str">
        <f>IF($B40="","",$G40*$AB40)</f>
        <v/>
      </c>
      <c r="AN40" s="22" t="str">
        <f>IF($B40="","",$G40*$AC40)</f>
        <v/>
      </c>
      <c r="AO40" s="22" t="str">
        <f>IF($B40="","",AL40+AM40-AN40)</f>
        <v/>
      </c>
      <c r="AP40" s="22" t="str">
        <f>IF($B40="","",($G40-$AD40)*$AA40)</f>
        <v/>
      </c>
      <c r="AQ40" s="22" t="str">
        <f>IF($B40="","",IF($AF40=0,0,($AD40-$AE40)*$AG40/$AF40)*MAX($AA40,$AB40))</f>
        <v/>
      </c>
      <c r="AR40" s="22" t="str">
        <f>IF($B40="","",(AP40+AQ40)*$AC40)</f>
        <v/>
      </c>
      <c r="AS40" s="22" t="str">
        <f>IF($B40="","",AP40+AQ40-AR40)</f>
        <v/>
      </c>
      <c r="AT40" s="22" t="str">
        <f>IF($B40="","",AO40-AS40)</f>
        <v/>
      </c>
      <c r="AU40" s="22" t="str">
        <f>IF($B40="","",IF($AC40=1,N($R40)-($G40-AR40),0))</f>
        <v/>
      </c>
      <c r="AV40" s="22" t="str">
        <f>IF($B40="","",($G40-$AH40)*$AA40)</f>
        <v/>
      </c>
      <c r="AW40" s="22" t="str">
        <f>IF($B40="","",IF($AJ40=0,0,($AH40-$AI40)*$AK40/$AJ40)*MAX($AA40,$AB40))</f>
        <v/>
      </c>
      <c r="AX40" s="22" t="str">
        <f>IF($B40="","",(AV40+AW40)*$AC40)</f>
        <v/>
      </c>
      <c r="AY40" s="22" t="str">
        <f>IF($B40="","",AV40+AW40-AX40)</f>
        <v/>
      </c>
      <c r="AZ40" s="22" t="str">
        <f>IF($B40="","",AO40-AY40)</f>
        <v/>
      </c>
      <c r="BA40" s="22" t="str">
        <f>IF($B40="","",IF($AC40=1,N($R40)-($G40-AX40),0))</f>
        <v/>
      </c>
      <c r="BB40" s="22" t="str">
        <f>IF($B40="","",ROUND(AQ40-AW40,0))</f>
        <v/>
      </c>
      <c r="BC40" s="22" t="str">
        <f>IF($B40="","",ROUND(BA40-AU40,0))</f>
        <v/>
      </c>
      <c r="BD40" s="22" t="str">
        <f>IF($B40="","",BB40+BC40)</f>
        <v/>
      </c>
      <c r="BE40" s="22" t="str">
        <f>IF($B40="","",ROUND(AV40-AP40,0))</f>
        <v/>
      </c>
      <c r="BF40" s="22" t="str">
        <f>IF($B40="","",ROUND(AT40-AZ40,0))</f>
        <v/>
      </c>
      <c r="BG40" s="22" t="str">
        <f>IF($B40="","",ROUND(BF40*TarifPPh,0))</f>
        <v/>
      </c>
      <c r="BH40" t="str">
        <f>IF($B40="","",IF($D40="","Kategori kosong",IF($F40="","Tgl perolehan kosong",IF(N($H40)&gt;$G40,"Residu &gt; harga perolehan",IF(AND(LEFT($U40,8)="Bangunan",$W40="Saldo Menurun"),"Bangunan wajib Garis Lurus (Ps.11 UU PPh)",IF(AND($S40="Unit Produksi",N($K40)=0),"Isi kapasitas unit",IF(AND(OR($S40="Garis Lurus",$S40="Saldo Menurun"),N($T40)&lt;=0),"Umur komersial kosong",IF(AND(OR($W40="Garis Lurus",$W40="Saldo Menurun"),N($V40)&lt;=0),"Masa manfaat fiskal kosong",IF(AND($Q40&lt;&gt;"",$Q40&lt;$F40),"Tgl pelepasan &lt; perolehan","OK")))))))))</f>
        <v/>
      </c>
    </row>
    <row r="41" spans="1:60" x14ac:dyDescent="0.25">
      <c r="A41" t="str">
        <f>IF($B41="","",ROW()-6)</f>
        <v/>
      </c>
      <c r="B41" s="9"/>
      <c r="C41" s="9"/>
      <c r="D41" s="9"/>
      <c r="E41" s="9"/>
      <c r="F41" s="17"/>
      <c r="G41" s="18"/>
      <c r="H41" s="18"/>
      <c r="I41" s="9"/>
      <c r="J41" s="9"/>
      <c r="K41" s="19"/>
      <c r="L41" s="19"/>
      <c r="M41" s="19"/>
      <c r="N41" s="9"/>
      <c r="O41" s="9"/>
      <c r="P41" s="9"/>
      <c r="Q41" s="17"/>
      <c r="R41" s="18"/>
      <c r="S41" t="str">
        <f>IF($B41="","",IF($I41&lt;&gt;"",$I41,IFERROR(INDEX(Kat_Metode,MATCH($D41,Kat_Nama,0)),"")))</f>
        <v/>
      </c>
      <c r="T41" t="str">
        <f>IF($B41="","",IF($J41&lt;&gt;"",$J41,IFERROR(INDEX(Kat_Umur,MATCH($D41,Kat_Nama,0)),0)))</f>
        <v/>
      </c>
      <c r="U41" t="str">
        <f>IF($B41="","",IF($N41&lt;&gt;"",$N41,IFERROR(INDEX(Kat_Kelompok,MATCH($D41,Kat_Nama,0)),"")))</f>
        <v/>
      </c>
      <c r="V41" t="str">
        <f>IF($B41="","",IF($U41="Masa Manfaat Sebenarnya",N($O41),IFERROR(INDEX(Kel_Masa,MATCH($U41,Kel_Nama,0)),0)))</f>
        <v/>
      </c>
      <c r="W41" t="str">
        <f>IF($B41="","",IF($P41&lt;&gt;"",$P41,IF(OR($U41="Tidak Disusutkan",$V41=0),"Tidak Disusutkan","Garis Lurus")))</f>
        <v/>
      </c>
      <c r="X41" t="str">
        <f>IF($B41="","",IF($Y41&gt;TahunBuku*12+12,"Belum Diperoleh",IF($Z41&lt;=TahunBuku*12,"Dilepas (thn lalu)",IF($AC41=1,"Dilepas thn ini",IF($AB41=1,"Perolehan baru","Aktif")))))</f>
        <v/>
      </c>
      <c r="Y41" s="20" t="str">
        <f>IF($B41="","",YEAR($F41)*12+MONTH($F41))</f>
        <v/>
      </c>
      <c r="Z41" s="20" t="str">
        <f>IF($B41="","",IF($Q41="",99999,YEAR($Q41)*12+MONTH($Q41)))</f>
        <v/>
      </c>
      <c r="AA41" s="20" t="str">
        <f>IF($B41="","",--AND($Y41&lt;=TahunBuku*12,$Z41&gt;TahunBuku*12))</f>
        <v/>
      </c>
      <c r="AB41" s="20" t="str">
        <f>IF($B41="","",--AND($Y41&gt;TahunBuku*12,$Y41&lt;=TahunBuku*12+12))</f>
        <v/>
      </c>
      <c r="AC41" s="20" t="str">
        <f>IF($B41="","",--AND($Z41&gt;TahunBuku*12,$Z41&lt;=TahunBuku*12+12,$Y41&lt;=$Z41))</f>
        <v/>
      </c>
      <c r="AD41" s="21" t="str">
        <f>IF($B41="","",IFERROR(IF($S41="Garis Lurus",$G41-($G41-$H41)*MIN($T41*12,MAX(0,TahunBuku*12-$Y41+1))/($T41*12),IF($S41="Saldo Menurun",IF(TahunBuku-1&lt;YEAR($F41),$G41,IF(TahunBuku-1&gt;=INT(($Y41+$T41*12-2)/12),$H41,MAX($H41,$G41*(1-2/$T41*(13-MONTH($F41))/12)*(1-2/$T41)^(TahunBuku-1-YEAR($F41))))),IF($S41="Unit Produksi",$G41-($G41-$H41)*MIN(1,N($L41)/$K41),$G41))),$G41))</f>
        <v/>
      </c>
      <c r="AE41" s="21" t="str">
        <f>IF($B41="","",IFERROR(IF($S41="Garis Lurus",$G41-($G41-$H41)*MIN($T41*12,MAX(0,TahunBuku*12+12-$Y41+1))/($T41*12),IF($S41="Saldo Menurun",IF(TahunBuku&lt;YEAR($F41),$G41,IF(TahunBuku&gt;=INT(($Y41+$T41*12-2)/12),$H41,MAX($H41,$G41*(1-2/$T41*(13-MONTH($F41))/12)*(1-2/$T41)^(TahunBuku-YEAR($F41))))),IF($S41="Unit Produksi",$G41-($G41-$H41)*MIN(1,(N($L41)+N($M41))/$K41),$G41))),$G41))</f>
        <v/>
      </c>
      <c r="AF41" s="20" t="str">
        <f>IF($B41="","",IF(OR($S41="Garis Lurus",$S41="Saldo Menurun",$S41="Unit Produksi"),MAX(0,IF($S41="Unit Produksi",TahunBuku*12+12,MIN(TahunBuku*12+12,$Y41+$T41*12-1))-MAX(TahunBuku*12+1,$Y41)+1),0))</f>
        <v/>
      </c>
      <c r="AG41" s="20" t="str">
        <f>IF($B41="","",IF(OR($S41="Garis Lurus",$S41="Saldo Menurun",$S41="Unit Produksi"),MAX(0,MIN($Z41,IF($S41="Unit Produksi",TahunBuku*12+12,MIN(TahunBuku*12+12,$Y41+$T41*12-1)))-MAX(TahunBuku*12+1,$Y41)+1),0))</f>
        <v/>
      </c>
      <c r="AH41" s="21" t="str">
        <f>IF($B41="","",IFERROR(IF($W41="Garis Lurus",$G41*(1-MIN($V41*12,MAX(0,TahunBuku*12-$Y41+1))/($V41*12)),IF($W41="Saldo Menurun",IF(TahunBuku-1&lt;YEAR($F41),$G41,IF(TahunBuku-1&gt;=INT(($Y41+$V41*12-2)/12),0,$G41*(1-2/$V41*(13-MONTH($F41))/12)*(1-2/$V41)^(TahunBuku-1-YEAR($F41)))),$G41)),$G41))</f>
        <v/>
      </c>
      <c r="AI41" s="21" t="str">
        <f>IF($B41="","",IFERROR(IF($W41="Garis Lurus",$G41*(1-MIN($V41*12,MAX(0,TahunBuku*12+12-$Y41+1))/($V41*12)),IF($W41="Saldo Menurun",IF(TahunBuku&lt;YEAR($F41),$G41,IF(TahunBuku&gt;=INT(($Y41+$V41*12-2)/12),0,$G41*(1-2/$V41*(13-MONTH($F41))/12)*(1-2/$V41)^(TahunBuku-YEAR($F41)))),$G41)),$G41))</f>
        <v/>
      </c>
      <c r="AJ41" s="20" t="str">
        <f>IF($B41="","",IF(OR($W41="Garis Lurus",$W41="Saldo Menurun"),MAX(0,MIN(TahunBuku*12+12,$Y41+$V41*12-1)-MAX(TahunBuku*12+1,$Y41)+1),0))</f>
        <v/>
      </c>
      <c r="AK41" s="20" t="str">
        <f>IF($B41="","",IF(OR($W41="Garis Lurus",$W41="Saldo Menurun"),MAX(0,MIN($Z41,TahunBuku*12+12,$Y41+$V41*12-1)-MAX(TahunBuku*12+1,$Y41)+1),0))</f>
        <v/>
      </c>
      <c r="AL41" s="22" t="str">
        <f>IF($B41="","",$G41*$AA41)</f>
        <v/>
      </c>
      <c r="AM41" s="22" t="str">
        <f>IF($B41="","",$G41*$AB41)</f>
        <v/>
      </c>
      <c r="AN41" s="22" t="str">
        <f>IF($B41="","",$G41*$AC41)</f>
        <v/>
      </c>
      <c r="AO41" s="22" t="str">
        <f>IF($B41="","",AL41+AM41-AN41)</f>
        <v/>
      </c>
      <c r="AP41" s="22" t="str">
        <f>IF($B41="","",($G41-$AD41)*$AA41)</f>
        <v/>
      </c>
      <c r="AQ41" s="22" t="str">
        <f>IF($B41="","",IF($AF41=0,0,($AD41-$AE41)*$AG41/$AF41)*MAX($AA41,$AB41))</f>
        <v/>
      </c>
      <c r="AR41" s="22" t="str">
        <f>IF($B41="","",(AP41+AQ41)*$AC41)</f>
        <v/>
      </c>
      <c r="AS41" s="22" t="str">
        <f>IF($B41="","",AP41+AQ41-AR41)</f>
        <v/>
      </c>
      <c r="AT41" s="22" t="str">
        <f>IF($B41="","",AO41-AS41)</f>
        <v/>
      </c>
      <c r="AU41" s="22" t="str">
        <f>IF($B41="","",IF($AC41=1,N($R41)-($G41-AR41),0))</f>
        <v/>
      </c>
      <c r="AV41" s="22" t="str">
        <f>IF($B41="","",($G41-$AH41)*$AA41)</f>
        <v/>
      </c>
      <c r="AW41" s="22" t="str">
        <f>IF($B41="","",IF($AJ41=0,0,($AH41-$AI41)*$AK41/$AJ41)*MAX($AA41,$AB41))</f>
        <v/>
      </c>
      <c r="AX41" s="22" t="str">
        <f>IF($B41="","",(AV41+AW41)*$AC41)</f>
        <v/>
      </c>
      <c r="AY41" s="22" t="str">
        <f>IF($B41="","",AV41+AW41-AX41)</f>
        <v/>
      </c>
      <c r="AZ41" s="22" t="str">
        <f>IF($B41="","",AO41-AY41)</f>
        <v/>
      </c>
      <c r="BA41" s="22" t="str">
        <f>IF($B41="","",IF($AC41=1,N($R41)-($G41-AX41),0))</f>
        <v/>
      </c>
      <c r="BB41" s="22" t="str">
        <f>IF($B41="","",ROUND(AQ41-AW41,0))</f>
        <v/>
      </c>
      <c r="BC41" s="22" t="str">
        <f>IF($B41="","",ROUND(BA41-AU41,0))</f>
        <v/>
      </c>
      <c r="BD41" s="22" t="str">
        <f>IF($B41="","",BB41+BC41)</f>
        <v/>
      </c>
      <c r="BE41" s="22" t="str">
        <f>IF($B41="","",ROUND(AV41-AP41,0))</f>
        <v/>
      </c>
      <c r="BF41" s="22" t="str">
        <f>IF($B41="","",ROUND(AT41-AZ41,0))</f>
        <v/>
      </c>
      <c r="BG41" s="22" t="str">
        <f>IF($B41="","",ROUND(BF41*TarifPPh,0))</f>
        <v/>
      </c>
      <c r="BH41" t="str">
        <f>IF($B41="","",IF($D41="","Kategori kosong",IF($F41="","Tgl perolehan kosong",IF(N($H41)&gt;$G41,"Residu &gt; harga perolehan",IF(AND(LEFT($U41,8)="Bangunan",$W41="Saldo Menurun"),"Bangunan wajib Garis Lurus (Ps.11 UU PPh)",IF(AND($S41="Unit Produksi",N($K41)=0),"Isi kapasitas unit",IF(AND(OR($S41="Garis Lurus",$S41="Saldo Menurun"),N($T41)&lt;=0),"Umur komersial kosong",IF(AND(OR($W41="Garis Lurus",$W41="Saldo Menurun"),N($V41)&lt;=0),"Masa manfaat fiskal kosong",IF(AND($Q41&lt;&gt;"",$Q41&lt;$F41),"Tgl pelepasan &lt; perolehan","OK")))))))))</f>
        <v/>
      </c>
    </row>
    <row r="42" spans="1:60" x14ac:dyDescent="0.25">
      <c r="A42" t="str">
        <f>IF($B42="","",ROW()-6)</f>
        <v/>
      </c>
      <c r="B42" s="9"/>
      <c r="C42" s="9"/>
      <c r="D42" s="9"/>
      <c r="E42" s="9"/>
      <c r="F42" s="17"/>
      <c r="G42" s="18"/>
      <c r="H42" s="18"/>
      <c r="I42" s="9"/>
      <c r="J42" s="9"/>
      <c r="K42" s="19"/>
      <c r="L42" s="19"/>
      <c r="M42" s="19"/>
      <c r="N42" s="9"/>
      <c r="O42" s="9"/>
      <c r="P42" s="9"/>
      <c r="Q42" s="17"/>
      <c r="R42" s="18"/>
      <c r="S42" t="str">
        <f>IF($B42="","",IF($I42&lt;&gt;"",$I42,IFERROR(INDEX(Kat_Metode,MATCH($D42,Kat_Nama,0)),"")))</f>
        <v/>
      </c>
      <c r="T42" t="str">
        <f>IF($B42="","",IF($J42&lt;&gt;"",$J42,IFERROR(INDEX(Kat_Umur,MATCH($D42,Kat_Nama,0)),0)))</f>
        <v/>
      </c>
      <c r="U42" t="str">
        <f>IF($B42="","",IF($N42&lt;&gt;"",$N42,IFERROR(INDEX(Kat_Kelompok,MATCH($D42,Kat_Nama,0)),"")))</f>
        <v/>
      </c>
      <c r="V42" t="str">
        <f>IF($B42="","",IF($U42="Masa Manfaat Sebenarnya",N($O42),IFERROR(INDEX(Kel_Masa,MATCH($U42,Kel_Nama,0)),0)))</f>
        <v/>
      </c>
      <c r="W42" t="str">
        <f>IF($B42="","",IF($P42&lt;&gt;"",$P42,IF(OR($U42="Tidak Disusutkan",$V42=0),"Tidak Disusutkan","Garis Lurus")))</f>
        <v/>
      </c>
      <c r="X42" t="str">
        <f>IF($B42="","",IF($Y42&gt;TahunBuku*12+12,"Belum Diperoleh",IF($Z42&lt;=TahunBuku*12,"Dilepas (thn lalu)",IF($AC42=1,"Dilepas thn ini",IF($AB42=1,"Perolehan baru","Aktif")))))</f>
        <v/>
      </c>
      <c r="Y42" s="20" t="str">
        <f>IF($B42="","",YEAR($F42)*12+MONTH($F42))</f>
        <v/>
      </c>
      <c r="Z42" s="20" t="str">
        <f>IF($B42="","",IF($Q42="",99999,YEAR($Q42)*12+MONTH($Q42)))</f>
        <v/>
      </c>
      <c r="AA42" s="20" t="str">
        <f>IF($B42="","",--AND($Y42&lt;=TahunBuku*12,$Z42&gt;TahunBuku*12))</f>
        <v/>
      </c>
      <c r="AB42" s="20" t="str">
        <f>IF($B42="","",--AND($Y42&gt;TahunBuku*12,$Y42&lt;=TahunBuku*12+12))</f>
        <v/>
      </c>
      <c r="AC42" s="20" t="str">
        <f>IF($B42="","",--AND($Z42&gt;TahunBuku*12,$Z42&lt;=TahunBuku*12+12,$Y42&lt;=$Z42))</f>
        <v/>
      </c>
      <c r="AD42" s="21" t="str">
        <f>IF($B42="","",IFERROR(IF($S42="Garis Lurus",$G42-($G42-$H42)*MIN($T42*12,MAX(0,TahunBuku*12-$Y42+1))/($T42*12),IF($S42="Saldo Menurun",IF(TahunBuku-1&lt;YEAR($F42),$G42,IF(TahunBuku-1&gt;=INT(($Y42+$T42*12-2)/12),$H42,MAX($H42,$G42*(1-2/$T42*(13-MONTH($F42))/12)*(1-2/$T42)^(TahunBuku-1-YEAR($F42))))),IF($S42="Unit Produksi",$G42-($G42-$H42)*MIN(1,N($L42)/$K42),$G42))),$G42))</f>
        <v/>
      </c>
      <c r="AE42" s="21" t="str">
        <f>IF($B42="","",IFERROR(IF($S42="Garis Lurus",$G42-($G42-$H42)*MIN($T42*12,MAX(0,TahunBuku*12+12-$Y42+1))/($T42*12),IF($S42="Saldo Menurun",IF(TahunBuku&lt;YEAR($F42),$G42,IF(TahunBuku&gt;=INT(($Y42+$T42*12-2)/12),$H42,MAX($H42,$G42*(1-2/$T42*(13-MONTH($F42))/12)*(1-2/$T42)^(TahunBuku-YEAR($F42))))),IF($S42="Unit Produksi",$G42-($G42-$H42)*MIN(1,(N($L42)+N($M42))/$K42),$G42))),$G42))</f>
        <v/>
      </c>
      <c r="AF42" s="20" t="str">
        <f>IF($B42="","",IF(OR($S42="Garis Lurus",$S42="Saldo Menurun",$S42="Unit Produksi"),MAX(0,IF($S42="Unit Produksi",TahunBuku*12+12,MIN(TahunBuku*12+12,$Y42+$T42*12-1))-MAX(TahunBuku*12+1,$Y42)+1),0))</f>
        <v/>
      </c>
      <c r="AG42" s="20" t="str">
        <f>IF($B42="","",IF(OR($S42="Garis Lurus",$S42="Saldo Menurun",$S42="Unit Produksi"),MAX(0,MIN($Z42,IF($S42="Unit Produksi",TahunBuku*12+12,MIN(TahunBuku*12+12,$Y42+$T42*12-1)))-MAX(TahunBuku*12+1,$Y42)+1),0))</f>
        <v/>
      </c>
      <c r="AH42" s="21" t="str">
        <f>IF($B42="","",IFERROR(IF($W42="Garis Lurus",$G42*(1-MIN($V42*12,MAX(0,TahunBuku*12-$Y42+1))/($V42*12)),IF($W42="Saldo Menurun",IF(TahunBuku-1&lt;YEAR($F42),$G42,IF(TahunBuku-1&gt;=INT(($Y42+$V42*12-2)/12),0,$G42*(1-2/$V42*(13-MONTH($F42))/12)*(1-2/$V42)^(TahunBuku-1-YEAR($F42)))),$G42)),$G42))</f>
        <v/>
      </c>
      <c r="AI42" s="21" t="str">
        <f>IF($B42="","",IFERROR(IF($W42="Garis Lurus",$G42*(1-MIN($V42*12,MAX(0,TahunBuku*12+12-$Y42+1))/($V42*12)),IF($W42="Saldo Menurun",IF(TahunBuku&lt;YEAR($F42),$G42,IF(TahunBuku&gt;=INT(($Y42+$V42*12-2)/12),0,$G42*(1-2/$V42*(13-MONTH($F42))/12)*(1-2/$V42)^(TahunBuku-YEAR($F42)))),$G42)),$G42))</f>
        <v/>
      </c>
      <c r="AJ42" s="20" t="str">
        <f>IF($B42="","",IF(OR($W42="Garis Lurus",$W42="Saldo Menurun"),MAX(0,MIN(TahunBuku*12+12,$Y42+$V42*12-1)-MAX(TahunBuku*12+1,$Y42)+1),0))</f>
        <v/>
      </c>
      <c r="AK42" s="20" t="str">
        <f>IF($B42="","",IF(OR($W42="Garis Lurus",$W42="Saldo Menurun"),MAX(0,MIN($Z42,TahunBuku*12+12,$Y42+$V42*12-1)-MAX(TahunBuku*12+1,$Y42)+1),0))</f>
        <v/>
      </c>
      <c r="AL42" s="22" t="str">
        <f>IF($B42="","",$G42*$AA42)</f>
        <v/>
      </c>
      <c r="AM42" s="22" t="str">
        <f>IF($B42="","",$G42*$AB42)</f>
        <v/>
      </c>
      <c r="AN42" s="22" t="str">
        <f>IF($B42="","",$G42*$AC42)</f>
        <v/>
      </c>
      <c r="AO42" s="22" t="str">
        <f>IF($B42="","",AL42+AM42-AN42)</f>
        <v/>
      </c>
      <c r="AP42" s="22" t="str">
        <f>IF($B42="","",($G42-$AD42)*$AA42)</f>
        <v/>
      </c>
      <c r="AQ42" s="22" t="str">
        <f>IF($B42="","",IF($AF42=0,0,($AD42-$AE42)*$AG42/$AF42)*MAX($AA42,$AB42))</f>
        <v/>
      </c>
      <c r="AR42" s="22" t="str">
        <f>IF($B42="","",(AP42+AQ42)*$AC42)</f>
        <v/>
      </c>
      <c r="AS42" s="22" t="str">
        <f>IF($B42="","",AP42+AQ42-AR42)</f>
        <v/>
      </c>
      <c r="AT42" s="22" t="str">
        <f>IF($B42="","",AO42-AS42)</f>
        <v/>
      </c>
      <c r="AU42" s="22" t="str">
        <f>IF($B42="","",IF($AC42=1,N($R42)-($G42-AR42),0))</f>
        <v/>
      </c>
      <c r="AV42" s="22" t="str">
        <f>IF($B42="","",($G42-$AH42)*$AA42)</f>
        <v/>
      </c>
      <c r="AW42" s="22" t="str">
        <f>IF($B42="","",IF($AJ42=0,0,($AH42-$AI42)*$AK42/$AJ42)*MAX($AA42,$AB42))</f>
        <v/>
      </c>
      <c r="AX42" s="22" t="str">
        <f>IF($B42="","",(AV42+AW42)*$AC42)</f>
        <v/>
      </c>
      <c r="AY42" s="22" t="str">
        <f>IF($B42="","",AV42+AW42-AX42)</f>
        <v/>
      </c>
      <c r="AZ42" s="22" t="str">
        <f>IF($B42="","",AO42-AY42)</f>
        <v/>
      </c>
      <c r="BA42" s="22" t="str">
        <f>IF($B42="","",IF($AC42=1,N($R42)-($G42-AX42),0))</f>
        <v/>
      </c>
      <c r="BB42" s="22" t="str">
        <f>IF($B42="","",ROUND(AQ42-AW42,0))</f>
        <v/>
      </c>
      <c r="BC42" s="22" t="str">
        <f>IF($B42="","",ROUND(BA42-AU42,0))</f>
        <v/>
      </c>
      <c r="BD42" s="22" t="str">
        <f>IF($B42="","",BB42+BC42)</f>
        <v/>
      </c>
      <c r="BE42" s="22" t="str">
        <f>IF($B42="","",ROUND(AV42-AP42,0))</f>
        <v/>
      </c>
      <c r="BF42" s="22" t="str">
        <f>IF($B42="","",ROUND(AT42-AZ42,0))</f>
        <v/>
      </c>
      <c r="BG42" s="22" t="str">
        <f>IF($B42="","",ROUND(BF42*TarifPPh,0))</f>
        <v/>
      </c>
      <c r="BH42" t="str">
        <f>IF($B42="","",IF($D42="","Kategori kosong",IF($F42="","Tgl perolehan kosong",IF(N($H42)&gt;$G42,"Residu &gt; harga perolehan",IF(AND(LEFT($U42,8)="Bangunan",$W42="Saldo Menurun"),"Bangunan wajib Garis Lurus (Ps.11 UU PPh)",IF(AND($S42="Unit Produksi",N($K42)=0),"Isi kapasitas unit",IF(AND(OR($S42="Garis Lurus",$S42="Saldo Menurun"),N($T42)&lt;=0),"Umur komersial kosong",IF(AND(OR($W42="Garis Lurus",$W42="Saldo Menurun"),N($V42)&lt;=0),"Masa manfaat fiskal kosong",IF(AND($Q42&lt;&gt;"",$Q42&lt;$F42),"Tgl pelepasan &lt; perolehan","OK")))))))))</f>
        <v/>
      </c>
    </row>
    <row r="43" spans="1:60" x14ac:dyDescent="0.25">
      <c r="A43" t="str">
        <f>IF($B43="","",ROW()-6)</f>
        <v/>
      </c>
      <c r="B43" s="9"/>
      <c r="C43" s="9"/>
      <c r="D43" s="9"/>
      <c r="E43" s="9"/>
      <c r="F43" s="17"/>
      <c r="G43" s="18"/>
      <c r="H43" s="18"/>
      <c r="I43" s="9"/>
      <c r="J43" s="9"/>
      <c r="K43" s="19"/>
      <c r="L43" s="19"/>
      <c r="M43" s="19"/>
      <c r="N43" s="9"/>
      <c r="O43" s="9"/>
      <c r="P43" s="9"/>
      <c r="Q43" s="17"/>
      <c r="R43" s="18"/>
      <c r="S43" t="str">
        <f>IF($B43="","",IF($I43&lt;&gt;"",$I43,IFERROR(INDEX(Kat_Metode,MATCH($D43,Kat_Nama,0)),"")))</f>
        <v/>
      </c>
      <c r="T43" t="str">
        <f>IF($B43="","",IF($J43&lt;&gt;"",$J43,IFERROR(INDEX(Kat_Umur,MATCH($D43,Kat_Nama,0)),0)))</f>
        <v/>
      </c>
      <c r="U43" t="str">
        <f>IF($B43="","",IF($N43&lt;&gt;"",$N43,IFERROR(INDEX(Kat_Kelompok,MATCH($D43,Kat_Nama,0)),"")))</f>
        <v/>
      </c>
      <c r="V43" t="str">
        <f>IF($B43="","",IF($U43="Masa Manfaat Sebenarnya",N($O43),IFERROR(INDEX(Kel_Masa,MATCH($U43,Kel_Nama,0)),0)))</f>
        <v/>
      </c>
      <c r="W43" t="str">
        <f>IF($B43="","",IF($P43&lt;&gt;"",$P43,IF(OR($U43="Tidak Disusutkan",$V43=0),"Tidak Disusutkan","Garis Lurus")))</f>
        <v/>
      </c>
      <c r="X43" t="str">
        <f>IF($B43="","",IF($Y43&gt;TahunBuku*12+12,"Belum Diperoleh",IF($Z43&lt;=TahunBuku*12,"Dilepas (thn lalu)",IF($AC43=1,"Dilepas thn ini",IF($AB43=1,"Perolehan baru","Aktif")))))</f>
        <v/>
      </c>
      <c r="Y43" s="20" t="str">
        <f>IF($B43="","",YEAR($F43)*12+MONTH($F43))</f>
        <v/>
      </c>
      <c r="Z43" s="20" t="str">
        <f>IF($B43="","",IF($Q43="",99999,YEAR($Q43)*12+MONTH($Q43)))</f>
        <v/>
      </c>
      <c r="AA43" s="20" t="str">
        <f>IF($B43="","",--AND($Y43&lt;=TahunBuku*12,$Z43&gt;TahunBuku*12))</f>
        <v/>
      </c>
      <c r="AB43" s="20" t="str">
        <f>IF($B43="","",--AND($Y43&gt;TahunBuku*12,$Y43&lt;=TahunBuku*12+12))</f>
        <v/>
      </c>
      <c r="AC43" s="20" t="str">
        <f>IF($B43="","",--AND($Z43&gt;TahunBuku*12,$Z43&lt;=TahunBuku*12+12,$Y43&lt;=$Z43))</f>
        <v/>
      </c>
      <c r="AD43" s="21" t="str">
        <f>IF($B43="","",IFERROR(IF($S43="Garis Lurus",$G43-($G43-$H43)*MIN($T43*12,MAX(0,TahunBuku*12-$Y43+1))/($T43*12),IF($S43="Saldo Menurun",IF(TahunBuku-1&lt;YEAR($F43),$G43,IF(TahunBuku-1&gt;=INT(($Y43+$T43*12-2)/12),$H43,MAX($H43,$G43*(1-2/$T43*(13-MONTH($F43))/12)*(1-2/$T43)^(TahunBuku-1-YEAR($F43))))),IF($S43="Unit Produksi",$G43-($G43-$H43)*MIN(1,N($L43)/$K43),$G43))),$G43))</f>
        <v/>
      </c>
      <c r="AE43" s="21" t="str">
        <f>IF($B43="","",IFERROR(IF($S43="Garis Lurus",$G43-($G43-$H43)*MIN($T43*12,MAX(0,TahunBuku*12+12-$Y43+1))/($T43*12),IF($S43="Saldo Menurun",IF(TahunBuku&lt;YEAR($F43),$G43,IF(TahunBuku&gt;=INT(($Y43+$T43*12-2)/12),$H43,MAX($H43,$G43*(1-2/$T43*(13-MONTH($F43))/12)*(1-2/$T43)^(TahunBuku-YEAR($F43))))),IF($S43="Unit Produksi",$G43-($G43-$H43)*MIN(1,(N($L43)+N($M43))/$K43),$G43))),$G43))</f>
        <v/>
      </c>
      <c r="AF43" s="20" t="str">
        <f>IF($B43="","",IF(OR($S43="Garis Lurus",$S43="Saldo Menurun",$S43="Unit Produksi"),MAX(0,IF($S43="Unit Produksi",TahunBuku*12+12,MIN(TahunBuku*12+12,$Y43+$T43*12-1))-MAX(TahunBuku*12+1,$Y43)+1),0))</f>
        <v/>
      </c>
      <c r="AG43" s="20" t="str">
        <f>IF($B43="","",IF(OR($S43="Garis Lurus",$S43="Saldo Menurun",$S43="Unit Produksi"),MAX(0,MIN($Z43,IF($S43="Unit Produksi",TahunBuku*12+12,MIN(TahunBuku*12+12,$Y43+$T43*12-1)))-MAX(TahunBuku*12+1,$Y43)+1),0))</f>
        <v/>
      </c>
      <c r="AH43" s="21" t="str">
        <f>IF($B43="","",IFERROR(IF($W43="Garis Lurus",$G43*(1-MIN($V43*12,MAX(0,TahunBuku*12-$Y43+1))/($V43*12)),IF($W43="Saldo Menurun",IF(TahunBuku-1&lt;YEAR($F43),$G43,IF(TahunBuku-1&gt;=INT(($Y43+$V43*12-2)/12),0,$G43*(1-2/$V43*(13-MONTH($F43))/12)*(1-2/$V43)^(TahunBuku-1-YEAR($F43)))),$G43)),$G43))</f>
        <v/>
      </c>
      <c r="AI43" s="21" t="str">
        <f>IF($B43="","",IFERROR(IF($W43="Garis Lurus",$G43*(1-MIN($V43*12,MAX(0,TahunBuku*12+12-$Y43+1))/($V43*12)),IF($W43="Saldo Menurun",IF(TahunBuku&lt;YEAR($F43),$G43,IF(TahunBuku&gt;=INT(($Y43+$V43*12-2)/12),0,$G43*(1-2/$V43*(13-MONTH($F43))/12)*(1-2/$V43)^(TahunBuku-YEAR($F43)))),$G43)),$G43))</f>
        <v/>
      </c>
      <c r="AJ43" s="20" t="str">
        <f>IF($B43="","",IF(OR($W43="Garis Lurus",$W43="Saldo Menurun"),MAX(0,MIN(TahunBuku*12+12,$Y43+$V43*12-1)-MAX(TahunBuku*12+1,$Y43)+1),0))</f>
        <v/>
      </c>
      <c r="AK43" s="20" t="str">
        <f>IF($B43="","",IF(OR($W43="Garis Lurus",$W43="Saldo Menurun"),MAX(0,MIN($Z43,TahunBuku*12+12,$Y43+$V43*12-1)-MAX(TahunBuku*12+1,$Y43)+1),0))</f>
        <v/>
      </c>
      <c r="AL43" s="22" t="str">
        <f>IF($B43="","",$G43*$AA43)</f>
        <v/>
      </c>
      <c r="AM43" s="22" t="str">
        <f>IF($B43="","",$G43*$AB43)</f>
        <v/>
      </c>
      <c r="AN43" s="22" t="str">
        <f>IF($B43="","",$G43*$AC43)</f>
        <v/>
      </c>
      <c r="AO43" s="22" t="str">
        <f>IF($B43="","",AL43+AM43-AN43)</f>
        <v/>
      </c>
      <c r="AP43" s="22" t="str">
        <f>IF($B43="","",($G43-$AD43)*$AA43)</f>
        <v/>
      </c>
      <c r="AQ43" s="22" t="str">
        <f>IF($B43="","",IF($AF43=0,0,($AD43-$AE43)*$AG43/$AF43)*MAX($AA43,$AB43))</f>
        <v/>
      </c>
      <c r="AR43" s="22" t="str">
        <f>IF($B43="","",(AP43+AQ43)*$AC43)</f>
        <v/>
      </c>
      <c r="AS43" s="22" t="str">
        <f>IF($B43="","",AP43+AQ43-AR43)</f>
        <v/>
      </c>
      <c r="AT43" s="22" t="str">
        <f>IF($B43="","",AO43-AS43)</f>
        <v/>
      </c>
      <c r="AU43" s="22" t="str">
        <f>IF($B43="","",IF($AC43=1,N($R43)-($G43-AR43),0))</f>
        <v/>
      </c>
      <c r="AV43" s="22" t="str">
        <f>IF($B43="","",($G43-$AH43)*$AA43)</f>
        <v/>
      </c>
      <c r="AW43" s="22" t="str">
        <f>IF($B43="","",IF($AJ43=0,0,($AH43-$AI43)*$AK43/$AJ43)*MAX($AA43,$AB43))</f>
        <v/>
      </c>
      <c r="AX43" s="22" t="str">
        <f>IF($B43="","",(AV43+AW43)*$AC43)</f>
        <v/>
      </c>
      <c r="AY43" s="22" t="str">
        <f>IF($B43="","",AV43+AW43-AX43)</f>
        <v/>
      </c>
      <c r="AZ43" s="22" t="str">
        <f>IF($B43="","",AO43-AY43)</f>
        <v/>
      </c>
      <c r="BA43" s="22" t="str">
        <f>IF($B43="","",IF($AC43=1,N($R43)-($G43-AX43),0))</f>
        <v/>
      </c>
      <c r="BB43" s="22" t="str">
        <f>IF($B43="","",ROUND(AQ43-AW43,0))</f>
        <v/>
      </c>
      <c r="BC43" s="22" t="str">
        <f>IF($B43="","",ROUND(BA43-AU43,0))</f>
        <v/>
      </c>
      <c r="BD43" s="22" t="str">
        <f>IF($B43="","",BB43+BC43)</f>
        <v/>
      </c>
      <c r="BE43" s="22" t="str">
        <f>IF($B43="","",ROUND(AV43-AP43,0))</f>
        <v/>
      </c>
      <c r="BF43" s="22" t="str">
        <f>IF($B43="","",ROUND(AT43-AZ43,0))</f>
        <v/>
      </c>
      <c r="BG43" s="22" t="str">
        <f>IF($B43="","",ROUND(BF43*TarifPPh,0))</f>
        <v/>
      </c>
      <c r="BH43" t="str">
        <f>IF($B43="","",IF($D43="","Kategori kosong",IF($F43="","Tgl perolehan kosong",IF(N($H43)&gt;$G43,"Residu &gt; harga perolehan",IF(AND(LEFT($U43,8)="Bangunan",$W43="Saldo Menurun"),"Bangunan wajib Garis Lurus (Ps.11 UU PPh)",IF(AND($S43="Unit Produksi",N($K43)=0),"Isi kapasitas unit",IF(AND(OR($S43="Garis Lurus",$S43="Saldo Menurun"),N($T43)&lt;=0),"Umur komersial kosong",IF(AND(OR($W43="Garis Lurus",$W43="Saldo Menurun"),N($V43)&lt;=0),"Masa manfaat fiskal kosong",IF(AND($Q43&lt;&gt;"",$Q43&lt;$F43),"Tgl pelepasan &lt; perolehan","OK")))))))))</f>
        <v/>
      </c>
    </row>
    <row r="44" spans="1:60" x14ac:dyDescent="0.25">
      <c r="A44" t="str">
        <f>IF($B44="","",ROW()-6)</f>
        <v/>
      </c>
      <c r="B44" s="9"/>
      <c r="C44" s="9"/>
      <c r="D44" s="9"/>
      <c r="E44" s="9"/>
      <c r="F44" s="17"/>
      <c r="G44" s="18"/>
      <c r="H44" s="18"/>
      <c r="I44" s="9"/>
      <c r="J44" s="9"/>
      <c r="K44" s="19"/>
      <c r="L44" s="19"/>
      <c r="M44" s="19"/>
      <c r="N44" s="9"/>
      <c r="O44" s="9"/>
      <c r="P44" s="9"/>
      <c r="Q44" s="17"/>
      <c r="R44" s="18"/>
      <c r="S44" t="str">
        <f>IF($B44="","",IF($I44&lt;&gt;"",$I44,IFERROR(INDEX(Kat_Metode,MATCH($D44,Kat_Nama,0)),"")))</f>
        <v/>
      </c>
      <c r="T44" t="str">
        <f>IF($B44="","",IF($J44&lt;&gt;"",$J44,IFERROR(INDEX(Kat_Umur,MATCH($D44,Kat_Nama,0)),0)))</f>
        <v/>
      </c>
      <c r="U44" t="str">
        <f>IF($B44="","",IF($N44&lt;&gt;"",$N44,IFERROR(INDEX(Kat_Kelompok,MATCH($D44,Kat_Nama,0)),"")))</f>
        <v/>
      </c>
      <c r="V44" t="str">
        <f>IF($B44="","",IF($U44="Masa Manfaat Sebenarnya",N($O44),IFERROR(INDEX(Kel_Masa,MATCH($U44,Kel_Nama,0)),0)))</f>
        <v/>
      </c>
      <c r="W44" t="str">
        <f>IF($B44="","",IF($P44&lt;&gt;"",$P44,IF(OR($U44="Tidak Disusutkan",$V44=0),"Tidak Disusutkan","Garis Lurus")))</f>
        <v/>
      </c>
      <c r="X44" t="str">
        <f>IF($B44="","",IF($Y44&gt;TahunBuku*12+12,"Belum Diperoleh",IF($Z44&lt;=TahunBuku*12,"Dilepas (thn lalu)",IF($AC44=1,"Dilepas thn ini",IF($AB44=1,"Perolehan baru","Aktif")))))</f>
        <v/>
      </c>
      <c r="Y44" s="20" t="str">
        <f>IF($B44="","",YEAR($F44)*12+MONTH($F44))</f>
        <v/>
      </c>
      <c r="Z44" s="20" t="str">
        <f>IF($B44="","",IF($Q44="",99999,YEAR($Q44)*12+MONTH($Q44)))</f>
        <v/>
      </c>
      <c r="AA44" s="20" t="str">
        <f>IF($B44="","",--AND($Y44&lt;=TahunBuku*12,$Z44&gt;TahunBuku*12))</f>
        <v/>
      </c>
      <c r="AB44" s="20" t="str">
        <f>IF($B44="","",--AND($Y44&gt;TahunBuku*12,$Y44&lt;=TahunBuku*12+12))</f>
        <v/>
      </c>
      <c r="AC44" s="20" t="str">
        <f>IF($B44="","",--AND($Z44&gt;TahunBuku*12,$Z44&lt;=TahunBuku*12+12,$Y44&lt;=$Z44))</f>
        <v/>
      </c>
      <c r="AD44" s="21" t="str">
        <f>IF($B44="","",IFERROR(IF($S44="Garis Lurus",$G44-($G44-$H44)*MIN($T44*12,MAX(0,TahunBuku*12-$Y44+1))/($T44*12),IF($S44="Saldo Menurun",IF(TahunBuku-1&lt;YEAR($F44),$G44,IF(TahunBuku-1&gt;=INT(($Y44+$T44*12-2)/12),$H44,MAX($H44,$G44*(1-2/$T44*(13-MONTH($F44))/12)*(1-2/$T44)^(TahunBuku-1-YEAR($F44))))),IF($S44="Unit Produksi",$G44-($G44-$H44)*MIN(1,N($L44)/$K44),$G44))),$G44))</f>
        <v/>
      </c>
      <c r="AE44" s="21" t="str">
        <f>IF($B44="","",IFERROR(IF($S44="Garis Lurus",$G44-($G44-$H44)*MIN($T44*12,MAX(0,TahunBuku*12+12-$Y44+1))/($T44*12),IF($S44="Saldo Menurun",IF(TahunBuku&lt;YEAR($F44),$G44,IF(TahunBuku&gt;=INT(($Y44+$T44*12-2)/12),$H44,MAX($H44,$G44*(1-2/$T44*(13-MONTH($F44))/12)*(1-2/$T44)^(TahunBuku-YEAR($F44))))),IF($S44="Unit Produksi",$G44-($G44-$H44)*MIN(1,(N($L44)+N($M44))/$K44),$G44))),$G44))</f>
        <v/>
      </c>
      <c r="AF44" s="20" t="str">
        <f>IF($B44="","",IF(OR($S44="Garis Lurus",$S44="Saldo Menurun",$S44="Unit Produksi"),MAX(0,IF($S44="Unit Produksi",TahunBuku*12+12,MIN(TahunBuku*12+12,$Y44+$T44*12-1))-MAX(TahunBuku*12+1,$Y44)+1),0))</f>
        <v/>
      </c>
      <c r="AG44" s="20" t="str">
        <f>IF($B44="","",IF(OR($S44="Garis Lurus",$S44="Saldo Menurun",$S44="Unit Produksi"),MAX(0,MIN($Z44,IF($S44="Unit Produksi",TahunBuku*12+12,MIN(TahunBuku*12+12,$Y44+$T44*12-1)))-MAX(TahunBuku*12+1,$Y44)+1),0))</f>
        <v/>
      </c>
      <c r="AH44" s="21" t="str">
        <f>IF($B44="","",IFERROR(IF($W44="Garis Lurus",$G44*(1-MIN($V44*12,MAX(0,TahunBuku*12-$Y44+1))/($V44*12)),IF($W44="Saldo Menurun",IF(TahunBuku-1&lt;YEAR($F44),$G44,IF(TahunBuku-1&gt;=INT(($Y44+$V44*12-2)/12),0,$G44*(1-2/$V44*(13-MONTH($F44))/12)*(1-2/$V44)^(TahunBuku-1-YEAR($F44)))),$G44)),$G44))</f>
        <v/>
      </c>
      <c r="AI44" s="21" t="str">
        <f>IF($B44="","",IFERROR(IF($W44="Garis Lurus",$G44*(1-MIN($V44*12,MAX(0,TahunBuku*12+12-$Y44+1))/($V44*12)),IF($W44="Saldo Menurun",IF(TahunBuku&lt;YEAR($F44),$G44,IF(TahunBuku&gt;=INT(($Y44+$V44*12-2)/12),0,$G44*(1-2/$V44*(13-MONTH($F44))/12)*(1-2/$V44)^(TahunBuku-YEAR($F44)))),$G44)),$G44))</f>
        <v/>
      </c>
      <c r="AJ44" s="20" t="str">
        <f>IF($B44="","",IF(OR($W44="Garis Lurus",$W44="Saldo Menurun"),MAX(0,MIN(TahunBuku*12+12,$Y44+$V44*12-1)-MAX(TahunBuku*12+1,$Y44)+1),0))</f>
        <v/>
      </c>
      <c r="AK44" s="20" t="str">
        <f>IF($B44="","",IF(OR($W44="Garis Lurus",$W44="Saldo Menurun"),MAX(0,MIN($Z44,TahunBuku*12+12,$Y44+$V44*12-1)-MAX(TahunBuku*12+1,$Y44)+1),0))</f>
        <v/>
      </c>
      <c r="AL44" s="22" t="str">
        <f>IF($B44="","",$G44*$AA44)</f>
        <v/>
      </c>
      <c r="AM44" s="22" t="str">
        <f>IF($B44="","",$G44*$AB44)</f>
        <v/>
      </c>
      <c r="AN44" s="22" t="str">
        <f>IF($B44="","",$G44*$AC44)</f>
        <v/>
      </c>
      <c r="AO44" s="22" t="str">
        <f>IF($B44="","",AL44+AM44-AN44)</f>
        <v/>
      </c>
      <c r="AP44" s="22" t="str">
        <f>IF($B44="","",($G44-$AD44)*$AA44)</f>
        <v/>
      </c>
      <c r="AQ44" s="22" t="str">
        <f>IF($B44="","",IF($AF44=0,0,($AD44-$AE44)*$AG44/$AF44)*MAX($AA44,$AB44))</f>
        <v/>
      </c>
      <c r="AR44" s="22" t="str">
        <f>IF($B44="","",(AP44+AQ44)*$AC44)</f>
        <v/>
      </c>
      <c r="AS44" s="22" t="str">
        <f>IF($B44="","",AP44+AQ44-AR44)</f>
        <v/>
      </c>
      <c r="AT44" s="22" t="str">
        <f>IF($B44="","",AO44-AS44)</f>
        <v/>
      </c>
      <c r="AU44" s="22" t="str">
        <f>IF($B44="","",IF($AC44=1,N($R44)-($G44-AR44),0))</f>
        <v/>
      </c>
      <c r="AV44" s="22" t="str">
        <f>IF($B44="","",($G44-$AH44)*$AA44)</f>
        <v/>
      </c>
      <c r="AW44" s="22" t="str">
        <f>IF($B44="","",IF($AJ44=0,0,($AH44-$AI44)*$AK44/$AJ44)*MAX($AA44,$AB44))</f>
        <v/>
      </c>
      <c r="AX44" s="22" t="str">
        <f>IF($B44="","",(AV44+AW44)*$AC44)</f>
        <v/>
      </c>
      <c r="AY44" s="22" t="str">
        <f>IF($B44="","",AV44+AW44-AX44)</f>
        <v/>
      </c>
      <c r="AZ44" s="22" t="str">
        <f>IF($B44="","",AO44-AY44)</f>
        <v/>
      </c>
      <c r="BA44" s="22" t="str">
        <f>IF($B44="","",IF($AC44=1,N($R44)-($G44-AX44),0))</f>
        <v/>
      </c>
      <c r="BB44" s="22" t="str">
        <f>IF($B44="","",ROUND(AQ44-AW44,0))</f>
        <v/>
      </c>
      <c r="BC44" s="22" t="str">
        <f>IF($B44="","",ROUND(BA44-AU44,0))</f>
        <v/>
      </c>
      <c r="BD44" s="22" t="str">
        <f>IF($B44="","",BB44+BC44)</f>
        <v/>
      </c>
      <c r="BE44" s="22" t="str">
        <f>IF($B44="","",ROUND(AV44-AP44,0))</f>
        <v/>
      </c>
      <c r="BF44" s="22" t="str">
        <f>IF($B44="","",ROUND(AT44-AZ44,0))</f>
        <v/>
      </c>
      <c r="BG44" s="22" t="str">
        <f>IF($B44="","",ROUND(BF44*TarifPPh,0))</f>
        <v/>
      </c>
      <c r="BH44" t="str">
        <f>IF($B44="","",IF($D44="","Kategori kosong",IF($F44="","Tgl perolehan kosong",IF(N($H44)&gt;$G44,"Residu &gt; harga perolehan",IF(AND(LEFT($U44,8)="Bangunan",$W44="Saldo Menurun"),"Bangunan wajib Garis Lurus (Ps.11 UU PPh)",IF(AND($S44="Unit Produksi",N($K44)=0),"Isi kapasitas unit",IF(AND(OR($S44="Garis Lurus",$S44="Saldo Menurun"),N($T44)&lt;=0),"Umur komersial kosong",IF(AND(OR($W44="Garis Lurus",$W44="Saldo Menurun"),N($V44)&lt;=0),"Masa manfaat fiskal kosong",IF(AND($Q44&lt;&gt;"",$Q44&lt;$F44),"Tgl pelepasan &lt; perolehan","OK")))))))))</f>
        <v/>
      </c>
    </row>
    <row r="45" spans="1:60" x14ac:dyDescent="0.25">
      <c r="A45" t="str">
        <f>IF($B45="","",ROW()-6)</f>
        <v/>
      </c>
      <c r="B45" s="9"/>
      <c r="C45" s="9"/>
      <c r="D45" s="9"/>
      <c r="E45" s="9"/>
      <c r="F45" s="17"/>
      <c r="G45" s="18"/>
      <c r="H45" s="18"/>
      <c r="I45" s="9"/>
      <c r="J45" s="9"/>
      <c r="K45" s="19"/>
      <c r="L45" s="19"/>
      <c r="M45" s="19"/>
      <c r="N45" s="9"/>
      <c r="O45" s="9"/>
      <c r="P45" s="9"/>
      <c r="Q45" s="17"/>
      <c r="R45" s="18"/>
      <c r="S45" t="str">
        <f>IF($B45="","",IF($I45&lt;&gt;"",$I45,IFERROR(INDEX(Kat_Metode,MATCH($D45,Kat_Nama,0)),"")))</f>
        <v/>
      </c>
      <c r="T45" t="str">
        <f>IF($B45="","",IF($J45&lt;&gt;"",$J45,IFERROR(INDEX(Kat_Umur,MATCH($D45,Kat_Nama,0)),0)))</f>
        <v/>
      </c>
      <c r="U45" t="str">
        <f>IF($B45="","",IF($N45&lt;&gt;"",$N45,IFERROR(INDEX(Kat_Kelompok,MATCH($D45,Kat_Nama,0)),"")))</f>
        <v/>
      </c>
      <c r="V45" t="str">
        <f>IF($B45="","",IF($U45="Masa Manfaat Sebenarnya",N($O45),IFERROR(INDEX(Kel_Masa,MATCH($U45,Kel_Nama,0)),0)))</f>
        <v/>
      </c>
      <c r="W45" t="str">
        <f>IF($B45="","",IF($P45&lt;&gt;"",$P45,IF(OR($U45="Tidak Disusutkan",$V45=0),"Tidak Disusutkan","Garis Lurus")))</f>
        <v/>
      </c>
      <c r="X45" t="str">
        <f>IF($B45="","",IF($Y45&gt;TahunBuku*12+12,"Belum Diperoleh",IF($Z45&lt;=TahunBuku*12,"Dilepas (thn lalu)",IF($AC45=1,"Dilepas thn ini",IF($AB45=1,"Perolehan baru","Aktif")))))</f>
        <v/>
      </c>
      <c r="Y45" s="20" t="str">
        <f>IF($B45="","",YEAR($F45)*12+MONTH($F45))</f>
        <v/>
      </c>
      <c r="Z45" s="20" t="str">
        <f>IF($B45="","",IF($Q45="",99999,YEAR($Q45)*12+MONTH($Q45)))</f>
        <v/>
      </c>
      <c r="AA45" s="20" t="str">
        <f>IF($B45="","",--AND($Y45&lt;=TahunBuku*12,$Z45&gt;TahunBuku*12))</f>
        <v/>
      </c>
      <c r="AB45" s="20" t="str">
        <f>IF($B45="","",--AND($Y45&gt;TahunBuku*12,$Y45&lt;=TahunBuku*12+12))</f>
        <v/>
      </c>
      <c r="AC45" s="20" t="str">
        <f>IF($B45="","",--AND($Z45&gt;TahunBuku*12,$Z45&lt;=TahunBuku*12+12,$Y45&lt;=$Z45))</f>
        <v/>
      </c>
      <c r="AD45" s="21" t="str">
        <f>IF($B45="","",IFERROR(IF($S45="Garis Lurus",$G45-($G45-$H45)*MIN($T45*12,MAX(0,TahunBuku*12-$Y45+1))/($T45*12),IF($S45="Saldo Menurun",IF(TahunBuku-1&lt;YEAR($F45),$G45,IF(TahunBuku-1&gt;=INT(($Y45+$T45*12-2)/12),$H45,MAX($H45,$G45*(1-2/$T45*(13-MONTH($F45))/12)*(1-2/$T45)^(TahunBuku-1-YEAR($F45))))),IF($S45="Unit Produksi",$G45-($G45-$H45)*MIN(1,N($L45)/$K45),$G45))),$G45))</f>
        <v/>
      </c>
      <c r="AE45" s="21" t="str">
        <f>IF($B45="","",IFERROR(IF($S45="Garis Lurus",$G45-($G45-$H45)*MIN($T45*12,MAX(0,TahunBuku*12+12-$Y45+1))/($T45*12),IF($S45="Saldo Menurun",IF(TahunBuku&lt;YEAR($F45),$G45,IF(TahunBuku&gt;=INT(($Y45+$T45*12-2)/12),$H45,MAX($H45,$G45*(1-2/$T45*(13-MONTH($F45))/12)*(1-2/$T45)^(TahunBuku-YEAR($F45))))),IF($S45="Unit Produksi",$G45-($G45-$H45)*MIN(1,(N($L45)+N($M45))/$K45),$G45))),$G45))</f>
        <v/>
      </c>
      <c r="AF45" s="20" t="str">
        <f>IF($B45="","",IF(OR($S45="Garis Lurus",$S45="Saldo Menurun",$S45="Unit Produksi"),MAX(0,IF($S45="Unit Produksi",TahunBuku*12+12,MIN(TahunBuku*12+12,$Y45+$T45*12-1))-MAX(TahunBuku*12+1,$Y45)+1),0))</f>
        <v/>
      </c>
      <c r="AG45" s="20" t="str">
        <f>IF($B45="","",IF(OR($S45="Garis Lurus",$S45="Saldo Menurun",$S45="Unit Produksi"),MAX(0,MIN($Z45,IF($S45="Unit Produksi",TahunBuku*12+12,MIN(TahunBuku*12+12,$Y45+$T45*12-1)))-MAX(TahunBuku*12+1,$Y45)+1),0))</f>
        <v/>
      </c>
      <c r="AH45" s="21" t="str">
        <f>IF($B45="","",IFERROR(IF($W45="Garis Lurus",$G45*(1-MIN($V45*12,MAX(0,TahunBuku*12-$Y45+1))/($V45*12)),IF($W45="Saldo Menurun",IF(TahunBuku-1&lt;YEAR($F45),$G45,IF(TahunBuku-1&gt;=INT(($Y45+$V45*12-2)/12),0,$G45*(1-2/$V45*(13-MONTH($F45))/12)*(1-2/$V45)^(TahunBuku-1-YEAR($F45)))),$G45)),$G45))</f>
        <v/>
      </c>
      <c r="AI45" s="21" t="str">
        <f>IF($B45="","",IFERROR(IF($W45="Garis Lurus",$G45*(1-MIN($V45*12,MAX(0,TahunBuku*12+12-$Y45+1))/($V45*12)),IF($W45="Saldo Menurun",IF(TahunBuku&lt;YEAR($F45),$G45,IF(TahunBuku&gt;=INT(($Y45+$V45*12-2)/12),0,$G45*(1-2/$V45*(13-MONTH($F45))/12)*(1-2/$V45)^(TahunBuku-YEAR($F45)))),$G45)),$G45))</f>
        <v/>
      </c>
      <c r="AJ45" s="20" t="str">
        <f>IF($B45="","",IF(OR($W45="Garis Lurus",$W45="Saldo Menurun"),MAX(0,MIN(TahunBuku*12+12,$Y45+$V45*12-1)-MAX(TahunBuku*12+1,$Y45)+1),0))</f>
        <v/>
      </c>
      <c r="AK45" s="20" t="str">
        <f>IF($B45="","",IF(OR($W45="Garis Lurus",$W45="Saldo Menurun"),MAX(0,MIN($Z45,TahunBuku*12+12,$Y45+$V45*12-1)-MAX(TahunBuku*12+1,$Y45)+1),0))</f>
        <v/>
      </c>
      <c r="AL45" s="22" t="str">
        <f>IF($B45="","",$G45*$AA45)</f>
        <v/>
      </c>
      <c r="AM45" s="22" t="str">
        <f>IF($B45="","",$G45*$AB45)</f>
        <v/>
      </c>
      <c r="AN45" s="22" t="str">
        <f>IF($B45="","",$G45*$AC45)</f>
        <v/>
      </c>
      <c r="AO45" s="22" t="str">
        <f>IF($B45="","",AL45+AM45-AN45)</f>
        <v/>
      </c>
      <c r="AP45" s="22" t="str">
        <f>IF($B45="","",($G45-$AD45)*$AA45)</f>
        <v/>
      </c>
      <c r="AQ45" s="22" t="str">
        <f>IF($B45="","",IF($AF45=0,0,($AD45-$AE45)*$AG45/$AF45)*MAX($AA45,$AB45))</f>
        <v/>
      </c>
      <c r="AR45" s="22" t="str">
        <f>IF($B45="","",(AP45+AQ45)*$AC45)</f>
        <v/>
      </c>
      <c r="AS45" s="22" t="str">
        <f>IF($B45="","",AP45+AQ45-AR45)</f>
        <v/>
      </c>
      <c r="AT45" s="22" t="str">
        <f>IF($B45="","",AO45-AS45)</f>
        <v/>
      </c>
      <c r="AU45" s="22" t="str">
        <f>IF($B45="","",IF($AC45=1,N($R45)-($G45-AR45),0))</f>
        <v/>
      </c>
      <c r="AV45" s="22" t="str">
        <f>IF($B45="","",($G45-$AH45)*$AA45)</f>
        <v/>
      </c>
      <c r="AW45" s="22" t="str">
        <f>IF($B45="","",IF($AJ45=0,0,($AH45-$AI45)*$AK45/$AJ45)*MAX($AA45,$AB45))</f>
        <v/>
      </c>
      <c r="AX45" s="22" t="str">
        <f>IF($B45="","",(AV45+AW45)*$AC45)</f>
        <v/>
      </c>
      <c r="AY45" s="22" t="str">
        <f>IF($B45="","",AV45+AW45-AX45)</f>
        <v/>
      </c>
      <c r="AZ45" s="22" t="str">
        <f>IF($B45="","",AO45-AY45)</f>
        <v/>
      </c>
      <c r="BA45" s="22" t="str">
        <f>IF($B45="","",IF($AC45=1,N($R45)-($G45-AX45),0))</f>
        <v/>
      </c>
      <c r="BB45" s="22" t="str">
        <f>IF($B45="","",ROUND(AQ45-AW45,0))</f>
        <v/>
      </c>
      <c r="BC45" s="22" t="str">
        <f>IF($B45="","",ROUND(BA45-AU45,0))</f>
        <v/>
      </c>
      <c r="BD45" s="22" t="str">
        <f>IF($B45="","",BB45+BC45)</f>
        <v/>
      </c>
      <c r="BE45" s="22" t="str">
        <f>IF($B45="","",ROUND(AV45-AP45,0))</f>
        <v/>
      </c>
      <c r="BF45" s="22" t="str">
        <f>IF($B45="","",ROUND(AT45-AZ45,0))</f>
        <v/>
      </c>
      <c r="BG45" s="22" t="str">
        <f>IF($B45="","",ROUND(BF45*TarifPPh,0))</f>
        <v/>
      </c>
      <c r="BH45" t="str">
        <f>IF($B45="","",IF($D45="","Kategori kosong",IF($F45="","Tgl perolehan kosong",IF(N($H45)&gt;$G45,"Residu &gt; harga perolehan",IF(AND(LEFT($U45,8)="Bangunan",$W45="Saldo Menurun"),"Bangunan wajib Garis Lurus (Ps.11 UU PPh)",IF(AND($S45="Unit Produksi",N($K45)=0),"Isi kapasitas unit",IF(AND(OR($S45="Garis Lurus",$S45="Saldo Menurun"),N($T45)&lt;=0),"Umur komersial kosong",IF(AND(OR($W45="Garis Lurus",$W45="Saldo Menurun"),N($V45)&lt;=0),"Masa manfaat fiskal kosong",IF(AND($Q45&lt;&gt;"",$Q45&lt;$F45),"Tgl pelepasan &lt; perolehan","OK")))))))))</f>
        <v/>
      </c>
    </row>
    <row r="46" spans="1:60" x14ac:dyDescent="0.25">
      <c r="A46" t="str">
        <f>IF($B46="","",ROW()-6)</f>
        <v/>
      </c>
      <c r="B46" s="9"/>
      <c r="C46" s="9"/>
      <c r="D46" s="9"/>
      <c r="E46" s="9"/>
      <c r="F46" s="17"/>
      <c r="G46" s="18"/>
      <c r="H46" s="18"/>
      <c r="I46" s="9"/>
      <c r="J46" s="9"/>
      <c r="K46" s="19"/>
      <c r="L46" s="19"/>
      <c r="M46" s="19"/>
      <c r="N46" s="9"/>
      <c r="O46" s="9"/>
      <c r="P46" s="9"/>
      <c r="Q46" s="17"/>
      <c r="R46" s="18"/>
      <c r="S46" t="str">
        <f>IF($B46="","",IF($I46&lt;&gt;"",$I46,IFERROR(INDEX(Kat_Metode,MATCH($D46,Kat_Nama,0)),"")))</f>
        <v/>
      </c>
      <c r="T46" t="str">
        <f>IF($B46="","",IF($J46&lt;&gt;"",$J46,IFERROR(INDEX(Kat_Umur,MATCH($D46,Kat_Nama,0)),0)))</f>
        <v/>
      </c>
      <c r="U46" t="str">
        <f>IF($B46="","",IF($N46&lt;&gt;"",$N46,IFERROR(INDEX(Kat_Kelompok,MATCH($D46,Kat_Nama,0)),"")))</f>
        <v/>
      </c>
      <c r="V46" t="str">
        <f>IF($B46="","",IF($U46="Masa Manfaat Sebenarnya",N($O46),IFERROR(INDEX(Kel_Masa,MATCH($U46,Kel_Nama,0)),0)))</f>
        <v/>
      </c>
      <c r="W46" t="str">
        <f>IF($B46="","",IF($P46&lt;&gt;"",$P46,IF(OR($U46="Tidak Disusutkan",$V46=0),"Tidak Disusutkan","Garis Lurus")))</f>
        <v/>
      </c>
      <c r="X46" t="str">
        <f>IF($B46="","",IF($Y46&gt;TahunBuku*12+12,"Belum Diperoleh",IF($Z46&lt;=TahunBuku*12,"Dilepas (thn lalu)",IF($AC46=1,"Dilepas thn ini",IF($AB46=1,"Perolehan baru","Aktif")))))</f>
        <v/>
      </c>
      <c r="Y46" s="20" t="str">
        <f>IF($B46="","",YEAR($F46)*12+MONTH($F46))</f>
        <v/>
      </c>
      <c r="Z46" s="20" t="str">
        <f>IF($B46="","",IF($Q46="",99999,YEAR($Q46)*12+MONTH($Q46)))</f>
        <v/>
      </c>
      <c r="AA46" s="20" t="str">
        <f>IF($B46="","",--AND($Y46&lt;=TahunBuku*12,$Z46&gt;TahunBuku*12))</f>
        <v/>
      </c>
      <c r="AB46" s="20" t="str">
        <f>IF($B46="","",--AND($Y46&gt;TahunBuku*12,$Y46&lt;=TahunBuku*12+12))</f>
        <v/>
      </c>
      <c r="AC46" s="20" t="str">
        <f>IF($B46="","",--AND($Z46&gt;TahunBuku*12,$Z46&lt;=TahunBuku*12+12,$Y46&lt;=$Z46))</f>
        <v/>
      </c>
      <c r="AD46" s="21" t="str">
        <f>IF($B46="","",IFERROR(IF($S46="Garis Lurus",$G46-($G46-$H46)*MIN($T46*12,MAX(0,TahunBuku*12-$Y46+1))/($T46*12),IF($S46="Saldo Menurun",IF(TahunBuku-1&lt;YEAR($F46),$G46,IF(TahunBuku-1&gt;=INT(($Y46+$T46*12-2)/12),$H46,MAX($H46,$G46*(1-2/$T46*(13-MONTH($F46))/12)*(1-2/$T46)^(TahunBuku-1-YEAR($F46))))),IF($S46="Unit Produksi",$G46-($G46-$H46)*MIN(1,N($L46)/$K46),$G46))),$G46))</f>
        <v/>
      </c>
      <c r="AE46" s="21" t="str">
        <f>IF($B46="","",IFERROR(IF($S46="Garis Lurus",$G46-($G46-$H46)*MIN($T46*12,MAX(0,TahunBuku*12+12-$Y46+1))/($T46*12),IF($S46="Saldo Menurun",IF(TahunBuku&lt;YEAR($F46),$G46,IF(TahunBuku&gt;=INT(($Y46+$T46*12-2)/12),$H46,MAX($H46,$G46*(1-2/$T46*(13-MONTH($F46))/12)*(1-2/$T46)^(TahunBuku-YEAR($F46))))),IF($S46="Unit Produksi",$G46-($G46-$H46)*MIN(1,(N($L46)+N($M46))/$K46),$G46))),$G46))</f>
        <v/>
      </c>
      <c r="AF46" s="20" t="str">
        <f>IF($B46="","",IF(OR($S46="Garis Lurus",$S46="Saldo Menurun",$S46="Unit Produksi"),MAX(0,IF($S46="Unit Produksi",TahunBuku*12+12,MIN(TahunBuku*12+12,$Y46+$T46*12-1))-MAX(TahunBuku*12+1,$Y46)+1),0))</f>
        <v/>
      </c>
      <c r="AG46" s="20" t="str">
        <f>IF($B46="","",IF(OR($S46="Garis Lurus",$S46="Saldo Menurun",$S46="Unit Produksi"),MAX(0,MIN($Z46,IF($S46="Unit Produksi",TahunBuku*12+12,MIN(TahunBuku*12+12,$Y46+$T46*12-1)))-MAX(TahunBuku*12+1,$Y46)+1),0))</f>
        <v/>
      </c>
      <c r="AH46" s="21" t="str">
        <f>IF($B46="","",IFERROR(IF($W46="Garis Lurus",$G46*(1-MIN($V46*12,MAX(0,TahunBuku*12-$Y46+1))/($V46*12)),IF($W46="Saldo Menurun",IF(TahunBuku-1&lt;YEAR($F46),$G46,IF(TahunBuku-1&gt;=INT(($Y46+$V46*12-2)/12),0,$G46*(1-2/$V46*(13-MONTH($F46))/12)*(1-2/$V46)^(TahunBuku-1-YEAR($F46)))),$G46)),$G46))</f>
        <v/>
      </c>
      <c r="AI46" s="21" t="str">
        <f>IF($B46="","",IFERROR(IF($W46="Garis Lurus",$G46*(1-MIN($V46*12,MAX(0,TahunBuku*12+12-$Y46+1))/($V46*12)),IF($W46="Saldo Menurun",IF(TahunBuku&lt;YEAR($F46),$G46,IF(TahunBuku&gt;=INT(($Y46+$V46*12-2)/12),0,$G46*(1-2/$V46*(13-MONTH($F46))/12)*(1-2/$V46)^(TahunBuku-YEAR($F46)))),$G46)),$G46))</f>
        <v/>
      </c>
      <c r="AJ46" s="20" t="str">
        <f>IF($B46="","",IF(OR($W46="Garis Lurus",$W46="Saldo Menurun"),MAX(0,MIN(TahunBuku*12+12,$Y46+$V46*12-1)-MAX(TahunBuku*12+1,$Y46)+1),0))</f>
        <v/>
      </c>
      <c r="AK46" s="20" t="str">
        <f>IF($B46="","",IF(OR($W46="Garis Lurus",$W46="Saldo Menurun"),MAX(0,MIN($Z46,TahunBuku*12+12,$Y46+$V46*12-1)-MAX(TahunBuku*12+1,$Y46)+1),0))</f>
        <v/>
      </c>
      <c r="AL46" s="22" t="str">
        <f>IF($B46="","",$G46*$AA46)</f>
        <v/>
      </c>
      <c r="AM46" s="22" t="str">
        <f>IF($B46="","",$G46*$AB46)</f>
        <v/>
      </c>
      <c r="AN46" s="22" t="str">
        <f>IF($B46="","",$G46*$AC46)</f>
        <v/>
      </c>
      <c r="AO46" s="22" t="str">
        <f>IF($B46="","",AL46+AM46-AN46)</f>
        <v/>
      </c>
      <c r="AP46" s="22" t="str">
        <f>IF($B46="","",($G46-$AD46)*$AA46)</f>
        <v/>
      </c>
      <c r="AQ46" s="22" t="str">
        <f>IF($B46="","",IF($AF46=0,0,($AD46-$AE46)*$AG46/$AF46)*MAX($AA46,$AB46))</f>
        <v/>
      </c>
      <c r="AR46" s="22" t="str">
        <f>IF($B46="","",(AP46+AQ46)*$AC46)</f>
        <v/>
      </c>
      <c r="AS46" s="22" t="str">
        <f>IF($B46="","",AP46+AQ46-AR46)</f>
        <v/>
      </c>
      <c r="AT46" s="22" t="str">
        <f>IF($B46="","",AO46-AS46)</f>
        <v/>
      </c>
      <c r="AU46" s="22" t="str">
        <f>IF($B46="","",IF($AC46=1,N($R46)-($G46-AR46),0))</f>
        <v/>
      </c>
      <c r="AV46" s="22" t="str">
        <f>IF($B46="","",($G46-$AH46)*$AA46)</f>
        <v/>
      </c>
      <c r="AW46" s="22" t="str">
        <f>IF($B46="","",IF($AJ46=0,0,($AH46-$AI46)*$AK46/$AJ46)*MAX($AA46,$AB46))</f>
        <v/>
      </c>
      <c r="AX46" s="22" t="str">
        <f>IF($B46="","",(AV46+AW46)*$AC46)</f>
        <v/>
      </c>
      <c r="AY46" s="22" t="str">
        <f>IF($B46="","",AV46+AW46-AX46)</f>
        <v/>
      </c>
      <c r="AZ46" s="22" t="str">
        <f>IF($B46="","",AO46-AY46)</f>
        <v/>
      </c>
      <c r="BA46" s="22" t="str">
        <f>IF($B46="","",IF($AC46=1,N($R46)-($G46-AX46),0))</f>
        <v/>
      </c>
      <c r="BB46" s="22" t="str">
        <f>IF($B46="","",ROUND(AQ46-AW46,0))</f>
        <v/>
      </c>
      <c r="BC46" s="22" t="str">
        <f>IF($B46="","",ROUND(BA46-AU46,0))</f>
        <v/>
      </c>
      <c r="BD46" s="22" t="str">
        <f>IF($B46="","",BB46+BC46)</f>
        <v/>
      </c>
      <c r="BE46" s="22" t="str">
        <f>IF($B46="","",ROUND(AV46-AP46,0))</f>
        <v/>
      </c>
      <c r="BF46" s="22" t="str">
        <f>IF($B46="","",ROUND(AT46-AZ46,0))</f>
        <v/>
      </c>
      <c r="BG46" s="22" t="str">
        <f>IF($B46="","",ROUND(BF46*TarifPPh,0))</f>
        <v/>
      </c>
      <c r="BH46" t="str">
        <f>IF($B46="","",IF($D46="","Kategori kosong",IF($F46="","Tgl perolehan kosong",IF(N($H46)&gt;$G46,"Residu &gt; harga perolehan",IF(AND(LEFT($U46,8)="Bangunan",$W46="Saldo Menurun"),"Bangunan wajib Garis Lurus (Ps.11 UU PPh)",IF(AND($S46="Unit Produksi",N($K46)=0),"Isi kapasitas unit",IF(AND(OR($S46="Garis Lurus",$S46="Saldo Menurun"),N($T46)&lt;=0),"Umur komersial kosong",IF(AND(OR($W46="Garis Lurus",$W46="Saldo Menurun"),N($V46)&lt;=0),"Masa manfaat fiskal kosong",IF(AND($Q46&lt;&gt;"",$Q46&lt;$F46),"Tgl pelepasan &lt; perolehan","OK")))))))))</f>
        <v/>
      </c>
    </row>
    <row r="47" spans="1:60" x14ac:dyDescent="0.25">
      <c r="A47" t="str">
        <f>IF($B47="","",ROW()-6)</f>
        <v/>
      </c>
      <c r="B47" s="9"/>
      <c r="C47" s="9"/>
      <c r="D47" s="9"/>
      <c r="E47" s="9"/>
      <c r="F47" s="17"/>
      <c r="G47" s="18"/>
      <c r="H47" s="18"/>
      <c r="I47" s="9"/>
      <c r="J47" s="9"/>
      <c r="K47" s="19"/>
      <c r="L47" s="19"/>
      <c r="M47" s="19"/>
      <c r="N47" s="9"/>
      <c r="O47" s="9"/>
      <c r="P47" s="9"/>
      <c r="Q47" s="17"/>
      <c r="R47" s="18"/>
      <c r="S47" t="str">
        <f>IF($B47="","",IF($I47&lt;&gt;"",$I47,IFERROR(INDEX(Kat_Metode,MATCH($D47,Kat_Nama,0)),"")))</f>
        <v/>
      </c>
      <c r="T47" t="str">
        <f>IF($B47="","",IF($J47&lt;&gt;"",$J47,IFERROR(INDEX(Kat_Umur,MATCH($D47,Kat_Nama,0)),0)))</f>
        <v/>
      </c>
      <c r="U47" t="str">
        <f>IF($B47="","",IF($N47&lt;&gt;"",$N47,IFERROR(INDEX(Kat_Kelompok,MATCH($D47,Kat_Nama,0)),"")))</f>
        <v/>
      </c>
      <c r="V47" t="str">
        <f>IF($B47="","",IF($U47="Masa Manfaat Sebenarnya",N($O47),IFERROR(INDEX(Kel_Masa,MATCH($U47,Kel_Nama,0)),0)))</f>
        <v/>
      </c>
      <c r="W47" t="str">
        <f>IF($B47="","",IF($P47&lt;&gt;"",$P47,IF(OR($U47="Tidak Disusutkan",$V47=0),"Tidak Disusutkan","Garis Lurus")))</f>
        <v/>
      </c>
      <c r="X47" t="str">
        <f>IF($B47="","",IF($Y47&gt;TahunBuku*12+12,"Belum Diperoleh",IF($Z47&lt;=TahunBuku*12,"Dilepas (thn lalu)",IF($AC47=1,"Dilepas thn ini",IF($AB47=1,"Perolehan baru","Aktif")))))</f>
        <v/>
      </c>
      <c r="Y47" s="20" t="str">
        <f>IF($B47="","",YEAR($F47)*12+MONTH($F47))</f>
        <v/>
      </c>
      <c r="Z47" s="20" t="str">
        <f>IF($B47="","",IF($Q47="",99999,YEAR($Q47)*12+MONTH($Q47)))</f>
        <v/>
      </c>
      <c r="AA47" s="20" t="str">
        <f>IF($B47="","",--AND($Y47&lt;=TahunBuku*12,$Z47&gt;TahunBuku*12))</f>
        <v/>
      </c>
      <c r="AB47" s="20" t="str">
        <f>IF($B47="","",--AND($Y47&gt;TahunBuku*12,$Y47&lt;=TahunBuku*12+12))</f>
        <v/>
      </c>
      <c r="AC47" s="20" t="str">
        <f>IF($B47="","",--AND($Z47&gt;TahunBuku*12,$Z47&lt;=TahunBuku*12+12,$Y47&lt;=$Z47))</f>
        <v/>
      </c>
      <c r="AD47" s="21" t="str">
        <f>IF($B47="","",IFERROR(IF($S47="Garis Lurus",$G47-($G47-$H47)*MIN($T47*12,MAX(0,TahunBuku*12-$Y47+1))/($T47*12),IF($S47="Saldo Menurun",IF(TahunBuku-1&lt;YEAR($F47),$G47,IF(TahunBuku-1&gt;=INT(($Y47+$T47*12-2)/12),$H47,MAX($H47,$G47*(1-2/$T47*(13-MONTH($F47))/12)*(1-2/$T47)^(TahunBuku-1-YEAR($F47))))),IF($S47="Unit Produksi",$G47-($G47-$H47)*MIN(1,N($L47)/$K47),$G47))),$G47))</f>
        <v/>
      </c>
      <c r="AE47" s="21" t="str">
        <f>IF($B47="","",IFERROR(IF($S47="Garis Lurus",$G47-($G47-$H47)*MIN($T47*12,MAX(0,TahunBuku*12+12-$Y47+1))/($T47*12),IF($S47="Saldo Menurun",IF(TahunBuku&lt;YEAR($F47),$G47,IF(TahunBuku&gt;=INT(($Y47+$T47*12-2)/12),$H47,MAX($H47,$G47*(1-2/$T47*(13-MONTH($F47))/12)*(1-2/$T47)^(TahunBuku-YEAR($F47))))),IF($S47="Unit Produksi",$G47-($G47-$H47)*MIN(1,(N($L47)+N($M47))/$K47),$G47))),$G47))</f>
        <v/>
      </c>
      <c r="AF47" s="20" t="str">
        <f>IF($B47="","",IF(OR($S47="Garis Lurus",$S47="Saldo Menurun",$S47="Unit Produksi"),MAX(0,IF($S47="Unit Produksi",TahunBuku*12+12,MIN(TahunBuku*12+12,$Y47+$T47*12-1))-MAX(TahunBuku*12+1,$Y47)+1),0))</f>
        <v/>
      </c>
      <c r="AG47" s="20" t="str">
        <f>IF($B47="","",IF(OR($S47="Garis Lurus",$S47="Saldo Menurun",$S47="Unit Produksi"),MAX(0,MIN($Z47,IF($S47="Unit Produksi",TahunBuku*12+12,MIN(TahunBuku*12+12,$Y47+$T47*12-1)))-MAX(TahunBuku*12+1,$Y47)+1),0))</f>
        <v/>
      </c>
      <c r="AH47" s="21" t="str">
        <f>IF($B47="","",IFERROR(IF($W47="Garis Lurus",$G47*(1-MIN($V47*12,MAX(0,TahunBuku*12-$Y47+1))/($V47*12)),IF($W47="Saldo Menurun",IF(TahunBuku-1&lt;YEAR($F47),$G47,IF(TahunBuku-1&gt;=INT(($Y47+$V47*12-2)/12),0,$G47*(1-2/$V47*(13-MONTH($F47))/12)*(1-2/$V47)^(TahunBuku-1-YEAR($F47)))),$G47)),$G47))</f>
        <v/>
      </c>
      <c r="AI47" s="21" t="str">
        <f>IF($B47="","",IFERROR(IF($W47="Garis Lurus",$G47*(1-MIN($V47*12,MAX(0,TahunBuku*12+12-$Y47+1))/($V47*12)),IF($W47="Saldo Menurun",IF(TahunBuku&lt;YEAR($F47),$G47,IF(TahunBuku&gt;=INT(($Y47+$V47*12-2)/12),0,$G47*(1-2/$V47*(13-MONTH($F47))/12)*(1-2/$V47)^(TahunBuku-YEAR($F47)))),$G47)),$G47))</f>
        <v/>
      </c>
      <c r="AJ47" s="20" t="str">
        <f>IF($B47="","",IF(OR($W47="Garis Lurus",$W47="Saldo Menurun"),MAX(0,MIN(TahunBuku*12+12,$Y47+$V47*12-1)-MAX(TahunBuku*12+1,$Y47)+1),0))</f>
        <v/>
      </c>
      <c r="AK47" s="20" t="str">
        <f>IF($B47="","",IF(OR($W47="Garis Lurus",$W47="Saldo Menurun"),MAX(0,MIN($Z47,TahunBuku*12+12,$Y47+$V47*12-1)-MAX(TahunBuku*12+1,$Y47)+1),0))</f>
        <v/>
      </c>
      <c r="AL47" s="22" t="str">
        <f>IF($B47="","",$G47*$AA47)</f>
        <v/>
      </c>
      <c r="AM47" s="22" t="str">
        <f>IF($B47="","",$G47*$AB47)</f>
        <v/>
      </c>
      <c r="AN47" s="22" t="str">
        <f>IF($B47="","",$G47*$AC47)</f>
        <v/>
      </c>
      <c r="AO47" s="22" t="str">
        <f>IF($B47="","",AL47+AM47-AN47)</f>
        <v/>
      </c>
      <c r="AP47" s="22" t="str">
        <f>IF($B47="","",($G47-$AD47)*$AA47)</f>
        <v/>
      </c>
      <c r="AQ47" s="22" t="str">
        <f>IF($B47="","",IF($AF47=0,0,($AD47-$AE47)*$AG47/$AF47)*MAX($AA47,$AB47))</f>
        <v/>
      </c>
      <c r="AR47" s="22" t="str">
        <f>IF($B47="","",(AP47+AQ47)*$AC47)</f>
        <v/>
      </c>
      <c r="AS47" s="22" t="str">
        <f>IF($B47="","",AP47+AQ47-AR47)</f>
        <v/>
      </c>
      <c r="AT47" s="22" t="str">
        <f>IF($B47="","",AO47-AS47)</f>
        <v/>
      </c>
      <c r="AU47" s="22" t="str">
        <f>IF($B47="","",IF($AC47=1,N($R47)-($G47-AR47),0))</f>
        <v/>
      </c>
      <c r="AV47" s="22" t="str">
        <f>IF($B47="","",($G47-$AH47)*$AA47)</f>
        <v/>
      </c>
      <c r="AW47" s="22" t="str">
        <f>IF($B47="","",IF($AJ47=0,0,($AH47-$AI47)*$AK47/$AJ47)*MAX($AA47,$AB47))</f>
        <v/>
      </c>
      <c r="AX47" s="22" t="str">
        <f>IF($B47="","",(AV47+AW47)*$AC47)</f>
        <v/>
      </c>
      <c r="AY47" s="22" t="str">
        <f>IF($B47="","",AV47+AW47-AX47)</f>
        <v/>
      </c>
      <c r="AZ47" s="22" t="str">
        <f>IF($B47="","",AO47-AY47)</f>
        <v/>
      </c>
      <c r="BA47" s="22" t="str">
        <f>IF($B47="","",IF($AC47=1,N($R47)-($G47-AX47),0))</f>
        <v/>
      </c>
      <c r="BB47" s="22" t="str">
        <f>IF($B47="","",ROUND(AQ47-AW47,0))</f>
        <v/>
      </c>
      <c r="BC47" s="22" t="str">
        <f>IF($B47="","",ROUND(BA47-AU47,0))</f>
        <v/>
      </c>
      <c r="BD47" s="22" t="str">
        <f>IF($B47="","",BB47+BC47)</f>
        <v/>
      </c>
      <c r="BE47" s="22" t="str">
        <f>IF($B47="","",ROUND(AV47-AP47,0))</f>
        <v/>
      </c>
      <c r="BF47" s="22" t="str">
        <f>IF($B47="","",ROUND(AT47-AZ47,0))</f>
        <v/>
      </c>
      <c r="BG47" s="22" t="str">
        <f>IF($B47="","",ROUND(BF47*TarifPPh,0))</f>
        <v/>
      </c>
      <c r="BH47" t="str">
        <f>IF($B47="","",IF($D47="","Kategori kosong",IF($F47="","Tgl perolehan kosong",IF(N($H47)&gt;$G47,"Residu &gt; harga perolehan",IF(AND(LEFT($U47,8)="Bangunan",$W47="Saldo Menurun"),"Bangunan wajib Garis Lurus (Ps.11 UU PPh)",IF(AND($S47="Unit Produksi",N($K47)=0),"Isi kapasitas unit",IF(AND(OR($S47="Garis Lurus",$S47="Saldo Menurun"),N($T47)&lt;=0),"Umur komersial kosong",IF(AND(OR($W47="Garis Lurus",$W47="Saldo Menurun"),N($V47)&lt;=0),"Masa manfaat fiskal kosong",IF(AND($Q47&lt;&gt;"",$Q47&lt;$F47),"Tgl pelepasan &lt; perolehan","OK")))))))))</f>
        <v/>
      </c>
    </row>
    <row r="48" spans="1:60" x14ac:dyDescent="0.25">
      <c r="A48" t="str">
        <f>IF($B48="","",ROW()-6)</f>
        <v/>
      </c>
      <c r="B48" s="9"/>
      <c r="C48" s="9"/>
      <c r="D48" s="9"/>
      <c r="E48" s="9"/>
      <c r="F48" s="17"/>
      <c r="G48" s="18"/>
      <c r="H48" s="18"/>
      <c r="I48" s="9"/>
      <c r="J48" s="9"/>
      <c r="K48" s="19"/>
      <c r="L48" s="19"/>
      <c r="M48" s="19"/>
      <c r="N48" s="9"/>
      <c r="O48" s="9"/>
      <c r="P48" s="9"/>
      <c r="Q48" s="17"/>
      <c r="R48" s="18"/>
      <c r="S48" t="str">
        <f>IF($B48="","",IF($I48&lt;&gt;"",$I48,IFERROR(INDEX(Kat_Metode,MATCH($D48,Kat_Nama,0)),"")))</f>
        <v/>
      </c>
      <c r="T48" t="str">
        <f>IF($B48="","",IF($J48&lt;&gt;"",$J48,IFERROR(INDEX(Kat_Umur,MATCH($D48,Kat_Nama,0)),0)))</f>
        <v/>
      </c>
      <c r="U48" t="str">
        <f>IF($B48="","",IF($N48&lt;&gt;"",$N48,IFERROR(INDEX(Kat_Kelompok,MATCH($D48,Kat_Nama,0)),"")))</f>
        <v/>
      </c>
      <c r="V48" t="str">
        <f>IF($B48="","",IF($U48="Masa Manfaat Sebenarnya",N($O48),IFERROR(INDEX(Kel_Masa,MATCH($U48,Kel_Nama,0)),0)))</f>
        <v/>
      </c>
      <c r="W48" t="str">
        <f>IF($B48="","",IF($P48&lt;&gt;"",$P48,IF(OR($U48="Tidak Disusutkan",$V48=0),"Tidak Disusutkan","Garis Lurus")))</f>
        <v/>
      </c>
      <c r="X48" t="str">
        <f>IF($B48="","",IF($Y48&gt;TahunBuku*12+12,"Belum Diperoleh",IF($Z48&lt;=TahunBuku*12,"Dilepas (thn lalu)",IF($AC48=1,"Dilepas thn ini",IF($AB48=1,"Perolehan baru","Aktif")))))</f>
        <v/>
      </c>
      <c r="Y48" s="20" t="str">
        <f>IF($B48="","",YEAR($F48)*12+MONTH($F48))</f>
        <v/>
      </c>
      <c r="Z48" s="20" t="str">
        <f>IF($B48="","",IF($Q48="",99999,YEAR($Q48)*12+MONTH($Q48)))</f>
        <v/>
      </c>
      <c r="AA48" s="20" t="str">
        <f>IF($B48="","",--AND($Y48&lt;=TahunBuku*12,$Z48&gt;TahunBuku*12))</f>
        <v/>
      </c>
      <c r="AB48" s="20" t="str">
        <f>IF($B48="","",--AND($Y48&gt;TahunBuku*12,$Y48&lt;=TahunBuku*12+12))</f>
        <v/>
      </c>
      <c r="AC48" s="20" t="str">
        <f>IF($B48="","",--AND($Z48&gt;TahunBuku*12,$Z48&lt;=TahunBuku*12+12,$Y48&lt;=$Z48))</f>
        <v/>
      </c>
      <c r="AD48" s="21" t="str">
        <f>IF($B48="","",IFERROR(IF($S48="Garis Lurus",$G48-($G48-$H48)*MIN($T48*12,MAX(0,TahunBuku*12-$Y48+1))/($T48*12),IF($S48="Saldo Menurun",IF(TahunBuku-1&lt;YEAR($F48),$G48,IF(TahunBuku-1&gt;=INT(($Y48+$T48*12-2)/12),$H48,MAX($H48,$G48*(1-2/$T48*(13-MONTH($F48))/12)*(1-2/$T48)^(TahunBuku-1-YEAR($F48))))),IF($S48="Unit Produksi",$G48-($G48-$H48)*MIN(1,N($L48)/$K48),$G48))),$G48))</f>
        <v/>
      </c>
      <c r="AE48" s="21" t="str">
        <f>IF($B48="","",IFERROR(IF($S48="Garis Lurus",$G48-($G48-$H48)*MIN($T48*12,MAX(0,TahunBuku*12+12-$Y48+1))/($T48*12),IF($S48="Saldo Menurun",IF(TahunBuku&lt;YEAR($F48),$G48,IF(TahunBuku&gt;=INT(($Y48+$T48*12-2)/12),$H48,MAX($H48,$G48*(1-2/$T48*(13-MONTH($F48))/12)*(1-2/$T48)^(TahunBuku-YEAR($F48))))),IF($S48="Unit Produksi",$G48-($G48-$H48)*MIN(1,(N($L48)+N($M48))/$K48),$G48))),$G48))</f>
        <v/>
      </c>
      <c r="AF48" s="20" t="str">
        <f>IF($B48="","",IF(OR($S48="Garis Lurus",$S48="Saldo Menurun",$S48="Unit Produksi"),MAX(0,IF($S48="Unit Produksi",TahunBuku*12+12,MIN(TahunBuku*12+12,$Y48+$T48*12-1))-MAX(TahunBuku*12+1,$Y48)+1),0))</f>
        <v/>
      </c>
      <c r="AG48" s="20" t="str">
        <f>IF($B48="","",IF(OR($S48="Garis Lurus",$S48="Saldo Menurun",$S48="Unit Produksi"),MAX(0,MIN($Z48,IF($S48="Unit Produksi",TahunBuku*12+12,MIN(TahunBuku*12+12,$Y48+$T48*12-1)))-MAX(TahunBuku*12+1,$Y48)+1),0))</f>
        <v/>
      </c>
      <c r="AH48" s="21" t="str">
        <f>IF($B48="","",IFERROR(IF($W48="Garis Lurus",$G48*(1-MIN($V48*12,MAX(0,TahunBuku*12-$Y48+1))/($V48*12)),IF($W48="Saldo Menurun",IF(TahunBuku-1&lt;YEAR($F48),$G48,IF(TahunBuku-1&gt;=INT(($Y48+$V48*12-2)/12),0,$G48*(1-2/$V48*(13-MONTH($F48))/12)*(1-2/$V48)^(TahunBuku-1-YEAR($F48)))),$G48)),$G48))</f>
        <v/>
      </c>
      <c r="AI48" s="21" t="str">
        <f>IF($B48="","",IFERROR(IF($W48="Garis Lurus",$G48*(1-MIN($V48*12,MAX(0,TahunBuku*12+12-$Y48+1))/($V48*12)),IF($W48="Saldo Menurun",IF(TahunBuku&lt;YEAR($F48),$G48,IF(TahunBuku&gt;=INT(($Y48+$V48*12-2)/12),0,$G48*(1-2/$V48*(13-MONTH($F48))/12)*(1-2/$V48)^(TahunBuku-YEAR($F48)))),$G48)),$G48))</f>
        <v/>
      </c>
      <c r="AJ48" s="20" t="str">
        <f>IF($B48="","",IF(OR($W48="Garis Lurus",$W48="Saldo Menurun"),MAX(0,MIN(TahunBuku*12+12,$Y48+$V48*12-1)-MAX(TahunBuku*12+1,$Y48)+1),0))</f>
        <v/>
      </c>
      <c r="AK48" s="20" t="str">
        <f>IF($B48="","",IF(OR($W48="Garis Lurus",$W48="Saldo Menurun"),MAX(0,MIN($Z48,TahunBuku*12+12,$Y48+$V48*12-1)-MAX(TahunBuku*12+1,$Y48)+1),0))</f>
        <v/>
      </c>
      <c r="AL48" s="22" t="str">
        <f>IF($B48="","",$G48*$AA48)</f>
        <v/>
      </c>
      <c r="AM48" s="22" t="str">
        <f>IF($B48="","",$G48*$AB48)</f>
        <v/>
      </c>
      <c r="AN48" s="22" t="str">
        <f>IF($B48="","",$G48*$AC48)</f>
        <v/>
      </c>
      <c r="AO48" s="22" t="str">
        <f>IF($B48="","",AL48+AM48-AN48)</f>
        <v/>
      </c>
      <c r="AP48" s="22" t="str">
        <f>IF($B48="","",($G48-$AD48)*$AA48)</f>
        <v/>
      </c>
      <c r="AQ48" s="22" t="str">
        <f>IF($B48="","",IF($AF48=0,0,($AD48-$AE48)*$AG48/$AF48)*MAX($AA48,$AB48))</f>
        <v/>
      </c>
      <c r="AR48" s="22" t="str">
        <f>IF($B48="","",(AP48+AQ48)*$AC48)</f>
        <v/>
      </c>
      <c r="AS48" s="22" t="str">
        <f>IF($B48="","",AP48+AQ48-AR48)</f>
        <v/>
      </c>
      <c r="AT48" s="22" t="str">
        <f>IF($B48="","",AO48-AS48)</f>
        <v/>
      </c>
      <c r="AU48" s="22" t="str">
        <f>IF($B48="","",IF($AC48=1,N($R48)-($G48-AR48),0))</f>
        <v/>
      </c>
      <c r="AV48" s="22" t="str">
        <f>IF($B48="","",($G48-$AH48)*$AA48)</f>
        <v/>
      </c>
      <c r="AW48" s="22" t="str">
        <f>IF($B48="","",IF($AJ48=0,0,($AH48-$AI48)*$AK48/$AJ48)*MAX($AA48,$AB48))</f>
        <v/>
      </c>
      <c r="AX48" s="22" t="str">
        <f>IF($B48="","",(AV48+AW48)*$AC48)</f>
        <v/>
      </c>
      <c r="AY48" s="22" t="str">
        <f>IF($B48="","",AV48+AW48-AX48)</f>
        <v/>
      </c>
      <c r="AZ48" s="22" t="str">
        <f>IF($B48="","",AO48-AY48)</f>
        <v/>
      </c>
      <c r="BA48" s="22" t="str">
        <f>IF($B48="","",IF($AC48=1,N($R48)-($G48-AX48),0))</f>
        <v/>
      </c>
      <c r="BB48" s="22" t="str">
        <f>IF($B48="","",ROUND(AQ48-AW48,0))</f>
        <v/>
      </c>
      <c r="BC48" s="22" t="str">
        <f>IF($B48="","",ROUND(BA48-AU48,0))</f>
        <v/>
      </c>
      <c r="BD48" s="22" t="str">
        <f>IF($B48="","",BB48+BC48)</f>
        <v/>
      </c>
      <c r="BE48" s="22" t="str">
        <f>IF($B48="","",ROUND(AV48-AP48,0))</f>
        <v/>
      </c>
      <c r="BF48" s="22" t="str">
        <f>IF($B48="","",ROUND(AT48-AZ48,0))</f>
        <v/>
      </c>
      <c r="BG48" s="22" t="str">
        <f>IF($B48="","",ROUND(BF48*TarifPPh,0))</f>
        <v/>
      </c>
      <c r="BH48" t="str">
        <f>IF($B48="","",IF($D48="","Kategori kosong",IF($F48="","Tgl perolehan kosong",IF(N($H48)&gt;$G48,"Residu &gt; harga perolehan",IF(AND(LEFT($U48,8)="Bangunan",$W48="Saldo Menurun"),"Bangunan wajib Garis Lurus (Ps.11 UU PPh)",IF(AND($S48="Unit Produksi",N($K48)=0),"Isi kapasitas unit",IF(AND(OR($S48="Garis Lurus",$S48="Saldo Menurun"),N($T48)&lt;=0),"Umur komersial kosong",IF(AND(OR($W48="Garis Lurus",$W48="Saldo Menurun"),N($V48)&lt;=0),"Masa manfaat fiskal kosong",IF(AND($Q48&lt;&gt;"",$Q48&lt;$F48),"Tgl pelepasan &lt; perolehan","OK")))))))))</f>
        <v/>
      </c>
    </row>
    <row r="49" spans="1:60" x14ac:dyDescent="0.25">
      <c r="A49" t="str">
        <f>IF($B49="","",ROW()-6)</f>
        <v/>
      </c>
      <c r="B49" s="9"/>
      <c r="C49" s="9"/>
      <c r="D49" s="9"/>
      <c r="E49" s="9"/>
      <c r="F49" s="17"/>
      <c r="G49" s="18"/>
      <c r="H49" s="18"/>
      <c r="I49" s="9"/>
      <c r="J49" s="9"/>
      <c r="K49" s="19"/>
      <c r="L49" s="19"/>
      <c r="M49" s="19"/>
      <c r="N49" s="9"/>
      <c r="O49" s="9"/>
      <c r="P49" s="9"/>
      <c r="Q49" s="17"/>
      <c r="R49" s="18"/>
      <c r="S49" t="str">
        <f>IF($B49="","",IF($I49&lt;&gt;"",$I49,IFERROR(INDEX(Kat_Metode,MATCH($D49,Kat_Nama,0)),"")))</f>
        <v/>
      </c>
      <c r="T49" t="str">
        <f>IF($B49="","",IF($J49&lt;&gt;"",$J49,IFERROR(INDEX(Kat_Umur,MATCH($D49,Kat_Nama,0)),0)))</f>
        <v/>
      </c>
      <c r="U49" t="str">
        <f>IF($B49="","",IF($N49&lt;&gt;"",$N49,IFERROR(INDEX(Kat_Kelompok,MATCH($D49,Kat_Nama,0)),"")))</f>
        <v/>
      </c>
      <c r="V49" t="str">
        <f>IF($B49="","",IF($U49="Masa Manfaat Sebenarnya",N($O49),IFERROR(INDEX(Kel_Masa,MATCH($U49,Kel_Nama,0)),0)))</f>
        <v/>
      </c>
      <c r="W49" t="str">
        <f>IF($B49="","",IF($P49&lt;&gt;"",$P49,IF(OR($U49="Tidak Disusutkan",$V49=0),"Tidak Disusutkan","Garis Lurus")))</f>
        <v/>
      </c>
      <c r="X49" t="str">
        <f>IF($B49="","",IF($Y49&gt;TahunBuku*12+12,"Belum Diperoleh",IF($Z49&lt;=TahunBuku*12,"Dilepas (thn lalu)",IF($AC49=1,"Dilepas thn ini",IF($AB49=1,"Perolehan baru","Aktif")))))</f>
        <v/>
      </c>
      <c r="Y49" s="20" t="str">
        <f>IF($B49="","",YEAR($F49)*12+MONTH($F49))</f>
        <v/>
      </c>
      <c r="Z49" s="20" t="str">
        <f>IF($B49="","",IF($Q49="",99999,YEAR($Q49)*12+MONTH($Q49)))</f>
        <v/>
      </c>
      <c r="AA49" s="20" t="str">
        <f>IF($B49="","",--AND($Y49&lt;=TahunBuku*12,$Z49&gt;TahunBuku*12))</f>
        <v/>
      </c>
      <c r="AB49" s="20" t="str">
        <f>IF($B49="","",--AND($Y49&gt;TahunBuku*12,$Y49&lt;=TahunBuku*12+12))</f>
        <v/>
      </c>
      <c r="AC49" s="20" t="str">
        <f>IF($B49="","",--AND($Z49&gt;TahunBuku*12,$Z49&lt;=TahunBuku*12+12,$Y49&lt;=$Z49))</f>
        <v/>
      </c>
      <c r="AD49" s="21" t="str">
        <f>IF($B49="","",IFERROR(IF($S49="Garis Lurus",$G49-($G49-$H49)*MIN($T49*12,MAX(0,TahunBuku*12-$Y49+1))/($T49*12),IF($S49="Saldo Menurun",IF(TahunBuku-1&lt;YEAR($F49),$G49,IF(TahunBuku-1&gt;=INT(($Y49+$T49*12-2)/12),$H49,MAX($H49,$G49*(1-2/$T49*(13-MONTH($F49))/12)*(1-2/$T49)^(TahunBuku-1-YEAR($F49))))),IF($S49="Unit Produksi",$G49-($G49-$H49)*MIN(1,N($L49)/$K49),$G49))),$G49))</f>
        <v/>
      </c>
      <c r="AE49" s="21" t="str">
        <f>IF($B49="","",IFERROR(IF($S49="Garis Lurus",$G49-($G49-$H49)*MIN($T49*12,MAX(0,TahunBuku*12+12-$Y49+1))/($T49*12),IF($S49="Saldo Menurun",IF(TahunBuku&lt;YEAR($F49),$G49,IF(TahunBuku&gt;=INT(($Y49+$T49*12-2)/12),$H49,MAX($H49,$G49*(1-2/$T49*(13-MONTH($F49))/12)*(1-2/$T49)^(TahunBuku-YEAR($F49))))),IF($S49="Unit Produksi",$G49-($G49-$H49)*MIN(1,(N($L49)+N($M49))/$K49),$G49))),$G49))</f>
        <v/>
      </c>
      <c r="AF49" s="20" t="str">
        <f>IF($B49="","",IF(OR($S49="Garis Lurus",$S49="Saldo Menurun",$S49="Unit Produksi"),MAX(0,IF($S49="Unit Produksi",TahunBuku*12+12,MIN(TahunBuku*12+12,$Y49+$T49*12-1))-MAX(TahunBuku*12+1,$Y49)+1),0))</f>
        <v/>
      </c>
      <c r="AG49" s="20" t="str">
        <f>IF($B49="","",IF(OR($S49="Garis Lurus",$S49="Saldo Menurun",$S49="Unit Produksi"),MAX(0,MIN($Z49,IF($S49="Unit Produksi",TahunBuku*12+12,MIN(TahunBuku*12+12,$Y49+$T49*12-1)))-MAX(TahunBuku*12+1,$Y49)+1),0))</f>
        <v/>
      </c>
      <c r="AH49" s="21" t="str">
        <f>IF($B49="","",IFERROR(IF($W49="Garis Lurus",$G49*(1-MIN($V49*12,MAX(0,TahunBuku*12-$Y49+1))/($V49*12)),IF($W49="Saldo Menurun",IF(TahunBuku-1&lt;YEAR($F49),$G49,IF(TahunBuku-1&gt;=INT(($Y49+$V49*12-2)/12),0,$G49*(1-2/$V49*(13-MONTH($F49))/12)*(1-2/$V49)^(TahunBuku-1-YEAR($F49)))),$G49)),$G49))</f>
        <v/>
      </c>
      <c r="AI49" s="21" t="str">
        <f>IF($B49="","",IFERROR(IF($W49="Garis Lurus",$G49*(1-MIN($V49*12,MAX(0,TahunBuku*12+12-$Y49+1))/($V49*12)),IF($W49="Saldo Menurun",IF(TahunBuku&lt;YEAR($F49),$G49,IF(TahunBuku&gt;=INT(($Y49+$V49*12-2)/12),0,$G49*(1-2/$V49*(13-MONTH($F49))/12)*(1-2/$V49)^(TahunBuku-YEAR($F49)))),$G49)),$G49))</f>
        <v/>
      </c>
      <c r="AJ49" s="20" t="str">
        <f>IF($B49="","",IF(OR($W49="Garis Lurus",$W49="Saldo Menurun"),MAX(0,MIN(TahunBuku*12+12,$Y49+$V49*12-1)-MAX(TahunBuku*12+1,$Y49)+1),0))</f>
        <v/>
      </c>
      <c r="AK49" s="20" t="str">
        <f>IF($B49="","",IF(OR($W49="Garis Lurus",$W49="Saldo Menurun"),MAX(0,MIN($Z49,TahunBuku*12+12,$Y49+$V49*12-1)-MAX(TahunBuku*12+1,$Y49)+1),0))</f>
        <v/>
      </c>
      <c r="AL49" s="22" t="str">
        <f>IF($B49="","",$G49*$AA49)</f>
        <v/>
      </c>
      <c r="AM49" s="22" t="str">
        <f>IF($B49="","",$G49*$AB49)</f>
        <v/>
      </c>
      <c r="AN49" s="22" t="str">
        <f>IF($B49="","",$G49*$AC49)</f>
        <v/>
      </c>
      <c r="AO49" s="22" t="str">
        <f>IF($B49="","",AL49+AM49-AN49)</f>
        <v/>
      </c>
      <c r="AP49" s="22" t="str">
        <f>IF($B49="","",($G49-$AD49)*$AA49)</f>
        <v/>
      </c>
      <c r="AQ49" s="22" t="str">
        <f>IF($B49="","",IF($AF49=0,0,($AD49-$AE49)*$AG49/$AF49)*MAX($AA49,$AB49))</f>
        <v/>
      </c>
      <c r="AR49" s="22" t="str">
        <f>IF($B49="","",(AP49+AQ49)*$AC49)</f>
        <v/>
      </c>
      <c r="AS49" s="22" t="str">
        <f>IF($B49="","",AP49+AQ49-AR49)</f>
        <v/>
      </c>
      <c r="AT49" s="22" t="str">
        <f>IF($B49="","",AO49-AS49)</f>
        <v/>
      </c>
      <c r="AU49" s="22" t="str">
        <f>IF($B49="","",IF($AC49=1,N($R49)-($G49-AR49),0))</f>
        <v/>
      </c>
      <c r="AV49" s="22" t="str">
        <f>IF($B49="","",($G49-$AH49)*$AA49)</f>
        <v/>
      </c>
      <c r="AW49" s="22" t="str">
        <f>IF($B49="","",IF($AJ49=0,0,($AH49-$AI49)*$AK49/$AJ49)*MAX($AA49,$AB49))</f>
        <v/>
      </c>
      <c r="AX49" s="22" t="str">
        <f>IF($B49="","",(AV49+AW49)*$AC49)</f>
        <v/>
      </c>
      <c r="AY49" s="22" t="str">
        <f>IF($B49="","",AV49+AW49-AX49)</f>
        <v/>
      </c>
      <c r="AZ49" s="22" t="str">
        <f>IF($B49="","",AO49-AY49)</f>
        <v/>
      </c>
      <c r="BA49" s="22" t="str">
        <f>IF($B49="","",IF($AC49=1,N($R49)-($G49-AX49),0))</f>
        <v/>
      </c>
      <c r="BB49" s="22" t="str">
        <f>IF($B49="","",ROUND(AQ49-AW49,0))</f>
        <v/>
      </c>
      <c r="BC49" s="22" t="str">
        <f>IF($B49="","",ROUND(BA49-AU49,0))</f>
        <v/>
      </c>
      <c r="BD49" s="22" t="str">
        <f>IF($B49="","",BB49+BC49)</f>
        <v/>
      </c>
      <c r="BE49" s="22" t="str">
        <f>IF($B49="","",ROUND(AV49-AP49,0))</f>
        <v/>
      </c>
      <c r="BF49" s="22" t="str">
        <f>IF($B49="","",ROUND(AT49-AZ49,0))</f>
        <v/>
      </c>
      <c r="BG49" s="22" t="str">
        <f>IF($B49="","",ROUND(BF49*TarifPPh,0))</f>
        <v/>
      </c>
      <c r="BH49" t="str">
        <f>IF($B49="","",IF($D49="","Kategori kosong",IF($F49="","Tgl perolehan kosong",IF(N($H49)&gt;$G49,"Residu &gt; harga perolehan",IF(AND(LEFT($U49,8)="Bangunan",$W49="Saldo Menurun"),"Bangunan wajib Garis Lurus (Ps.11 UU PPh)",IF(AND($S49="Unit Produksi",N($K49)=0),"Isi kapasitas unit",IF(AND(OR($S49="Garis Lurus",$S49="Saldo Menurun"),N($T49)&lt;=0),"Umur komersial kosong",IF(AND(OR($W49="Garis Lurus",$W49="Saldo Menurun"),N($V49)&lt;=0),"Masa manfaat fiskal kosong",IF(AND($Q49&lt;&gt;"",$Q49&lt;$F49),"Tgl pelepasan &lt; perolehan","OK")))))))))</f>
        <v/>
      </c>
    </row>
    <row r="50" spans="1:60" x14ac:dyDescent="0.25">
      <c r="A50" t="str">
        <f>IF($B50="","",ROW()-6)</f>
        <v/>
      </c>
      <c r="B50" s="9"/>
      <c r="C50" s="9"/>
      <c r="D50" s="9"/>
      <c r="E50" s="9"/>
      <c r="F50" s="17"/>
      <c r="G50" s="18"/>
      <c r="H50" s="18"/>
      <c r="I50" s="9"/>
      <c r="J50" s="9"/>
      <c r="K50" s="19"/>
      <c r="L50" s="19"/>
      <c r="M50" s="19"/>
      <c r="N50" s="9"/>
      <c r="O50" s="9"/>
      <c r="P50" s="9"/>
      <c r="Q50" s="17"/>
      <c r="R50" s="18"/>
      <c r="S50" t="str">
        <f>IF($B50="","",IF($I50&lt;&gt;"",$I50,IFERROR(INDEX(Kat_Metode,MATCH($D50,Kat_Nama,0)),"")))</f>
        <v/>
      </c>
      <c r="T50" t="str">
        <f>IF($B50="","",IF($J50&lt;&gt;"",$J50,IFERROR(INDEX(Kat_Umur,MATCH($D50,Kat_Nama,0)),0)))</f>
        <v/>
      </c>
      <c r="U50" t="str">
        <f>IF($B50="","",IF($N50&lt;&gt;"",$N50,IFERROR(INDEX(Kat_Kelompok,MATCH($D50,Kat_Nama,0)),"")))</f>
        <v/>
      </c>
      <c r="V50" t="str">
        <f>IF($B50="","",IF($U50="Masa Manfaat Sebenarnya",N($O50),IFERROR(INDEX(Kel_Masa,MATCH($U50,Kel_Nama,0)),0)))</f>
        <v/>
      </c>
      <c r="W50" t="str">
        <f>IF($B50="","",IF($P50&lt;&gt;"",$P50,IF(OR($U50="Tidak Disusutkan",$V50=0),"Tidak Disusutkan","Garis Lurus")))</f>
        <v/>
      </c>
      <c r="X50" t="str">
        <f>IF($B50="","",IF($Y50&gt;TahunBuku*12+12,"Belum Diperoleh",IF($Z50&lt;=TahunBuku*12,"Dilepas (thn lalu)",IF($AC50=1,"Dilepas thn ini",IF($AB50=1,"Perolehan baru","Aktif")))))</f>
        <v/>
      </c>
      <c r="Y50" s="20" t="str">
        <f>IF($B50="","",YEAR($F50)*12+MONTH($F50))</f>
        <v/>
      </c>
      <c r="Z50" s="20" t="str">
        <f>IF($B50="","",IF($Q50="",99999,YEAR($Q50)*12+MONTH($Q50)))</f>
        <v/>
      </c>
      <c r="AA50" s="20" t="str">
        <f>IF($B50="","",--AND($Y50&lt;=TahunBuku*12,$Z50&gt;TahunBuku*12))</f>
        <v/>
      </c>
      <c r="AB50" s="20" t="str">
        <f>IF($B50="","",--AND($Y50&gt;TahunBuku*12,$Y50&lt;=TahunBuku*12+12))</f>
        <v/>
      </c>
      <c r="AC50" s="20" t="str">
        <f>IF($B50="","",--AND($Z50&gt;TahunBuku*12,$Z50&lt;=TahunBuku*12+12,$Y50&lt;=$Z50))</f>
        <v/>
      </c>
      <c r="AD50" s="21" t="str">
        <f>IF($B50="","",IFERROR(IF($S50="Garis Lurus",$G50-($G50-$H50)*MIN($T50*12,MAX(0,TahunBuku*12-$Y50+1))/($T50*12),IF($S50="Saldo Menurun",IF(TahunBuku-1&lt;YEAR($F50),$G50,IF(TahunBuku-1&gt;=INT(($Y50+$T50*12-2)/12),$H50,MAX($H50,$G50*(1-2/$T50*(13-MONTH($F50))/12)*(1-2/$T50)^(TahunBuku-1-YEAR($F50))))),IF($S50="Unit Produksi",$G50-($G50-$H50)*MIN(1,N($L50)/$K50),$G50))),$G50))</f>
        <v/>
      </c>
      <c r="AE50" s="21" t="str">
        <f>IF($B50="","",IFERROR(IF($S50="Garis Lurus",$G50-($G50-$H50)*MIN($T50*12,MAX(0,TahunBuku*12+12-$Y50+1))/($T50*12),IF($S50="Saldo Menurun",IF(TahunBuku&lt;YEAR($F50),$G50,IF(TahunBuku&gt;=INT(($Y50+$T50*12-2)/12),$H50,MAX($H50,$G50*(1-2/$T50*(13-MONTH($F50))/12)*(1-2/$T50)^(TahunBuku-YEAR($F50))))),IF($S50="Unit Produksi",$G50-($G50-$H50)*MIN(1,(N($L50)+N($M50))/$K50),$G50))),$G50))</f>
        <v/>
      </c>
      <c r="AF50" s="20" t="str">
        <f>IF($B50="","",IF(OR($S50="Garis Lurus",$S50="Saldo Menurun",$S50="Unit Produksi"),MAX(0,IF($S50="Unit Produksi",TahunBuku*12+12,MIN(TahunBuku*12+12,$Y50+$T50*12-1))-MAX(TahunBuku*12+1,$Y50)+1),0))</f>
        <v/>
      </c>
      <c r="AG50" s="20" t="str">
        <f>IF($B50="","",IF(OR($S50="Garis Lurus",$S50="Saldo Menurun",$S50="Unit Produksi"),MAX(0,MIN($Z50,IF($S50="Unit Produksi",TahunBuku*12+12,MIN(TahunBuku*12+12,$Y50+$T50*12-1)))-MAX(TahunBuku*12+1,$Y50)+1),0))</f>
        <v/>
      </c>
      <c r="AH50" s="21" t="str">
        <f>IF($B50="","",IFERROR(IF($W50="Garis Lurus",$G50*(1-MIN($V50*12,MAX(0,TahunBuku*12-$Y50+1))/($V50*12)),IF($W50="Saldo Menurun",IF(TahunBuku-1&lt;YEAR($F50),$G50,IF(TahunBuku-1&gt;=INT(($Y50+$V50*12-2)/12),0,$G50*(1-2/$V50*(13-MONTH($F50))/12)*(1-2/$V50)^(TahunBuku-1-YEAR($F50)))),$G50)),$G50))</f>
        <v/>
      </c>
      <c r="AI50" s="21" t="str">
        <f>IF($B50="","",IFERROR(IF($W50="Garis Lurus",$G50*(1-MIN($V50*12,MAX(0,TahunBuku*12+12-$Y50+1))/($V50*12)),IF($W50="Saldo Menurun",IF(TahunBuku&lt;YEAR($F50),$G50,IF(TahunBuku&gt;=INT(($Y50+$V50*12-2)/12),0,$G50*(1-2/$V50*(13-MONTH($F50))/12)*(1-2/$V50)^(TahunBuku-YEAR($F50)))),$G50)),$G50))</f>
        <v/>
      </c>
      <c r="AJ50" s="20" t="str">
        <f>IF($B50="","",IF(OR($W50="Garis Lurus",$W50="Saldo Menurun"),MAX(0,MIN(TahunBuku*12+12,$Y50+$V50*12-1)-MAX(TahunBuku*12+1,$Y50)+1),0))</f>
        <v/>
      </c>
      <c r="AK50" s="20" t="str">
        <f>IF($B50="","",IF(OR($W50="Garis Lurus",$W50="Saldo Menurun"),MAX(0,MIN($Z50,TahunBuku*12+12,$Y50+$V50*12-1)-MAX(TahunBuku*12+1,$Y50)+1),0))</f>
        <v/>
      </c>
      <c r="AL50" s="22" t="str">
        <f>IF($B50="","",$G50*$AA50)</f>
        <v/>
      </c>
      <c r="AM50" s="22" t="str">
        <f>IF($B50="","",$G50*$AB50)</f>
        <v/>
      </c>
      <c r="AN50" s="22" t="str">
        <f>IF($B50="","",$G50*$AC50)</f>
        <v/>
      </c>
      <c r="AO50" s="22" t="str">
        <f>IF($B50="","",AL50+AM50-AN50)</f>
        <v/>
      </c>
      <c r="AP50" s="22" t="str">
        <f>IF($B50="","",($G50-$AD50)*$AA50)</f>
        <v/>
      </c>
      <c r="AQ50" s="22" t="str">
        <f>IF($B50="","",IF($AF50=0,0,($AD50-$AE50)*$AG50/$AF50)*MAX($AA50,$AB50))</f>
        <v/>
      </c>
      <c r="AR50" s="22" t="str">
        <f>IF($B50="","",(AP50+AQ50)*$AC50)</f>
        <v/>
      </c>
      <c r="AS50" s="22" t="str">
        <f>IF($B50="","",AP50+AQ50-AR50)</f>
        <v/>
      </c>
      <c r="AT50" s="22" t="str">
        <f>IF($B50="","",AO50-AS50)</f>
        <v/>
      </c>
      <c r="AU50" s="22" t="str">
        <f>IF($B50="","",IF($AC50=1,N($R50)-($G50-AR50),0))</f>
        <v/>
      </c>
      <c r="AV50" s="22" t="str">
        <f>IF($B50="","",($G50-$AH50)*$AA50)</f>
        <v/>
      </c>
      <c r="AW50" s="22" t="str">
        <f>IF($B50="","",IF($AJ50=0,0,($AH50-$AI50)*$AK50/$AJ50)*MAX($AA50,$AB50))</f>
        <v/>
      </c>
      <c r="AX50" s="22" t="str">
        <f>IF($B50="","",(AV50+AW50)*$AC50)</f>
        <v/>
      </c>
      <c r="AY50" s="22" t="str">
        <f>IF($B50="","",AV50+AW50-AX50)</f>
        <v/>
      </c>
      <c r="AZ50" s="22" t="str">
        <f>IF($B50="","",AO50-AY50)</f>
        <v/>
      </c>
      <c r="BA50" s="22" t="str">
        <f>IF($B50="","",IF($AC50=1,N($R50)-($G50-AX50),0))</f>
        <v/>
      </c>
      <c r="BB50" s="22" t="str">
        <f>IF($B50="","",ROUND(AQ50-AW50,0))</f>
        <v/>
      </c>
      <c r="BC50" s="22" t="str">
        <f>IF($B50="","",ROUND(BA50-AU50,0))</f>
        <v/>
      </c>
      <c r="BD50" s="22" t="str">
        <f>IF($B50="","",BB50+BC50)</f>
        <v/>
      </c>
      <c r="BE50" s="22" t="str">
        <f>IF($B50="","",ROUND(AV50-AP50,0))</f>
        <v/>
      </c>
      <c r="BF50" s="22" t="str">
        <f>IF($B50="","",ROUND(AT50-AZ50,0))</f>
        <v/>
      </c>
      <c r="BG50" s="22" t="str">
        <f>IF($B50="","",ROUND(BF50*TarifPPh,0))</f>
        <v/>
      </c>
      <c r="BH50" t="str">
        <f>IF($B50="","",IF($D50="","Kategori kosong",IF($F50="","Tgl perolehan kosong",IF(N($H50)&gt;$G50,"Residu &gt; harga perolehan",IF(AND(LEFT($U50,8)="Bangunan",$W50="Saldo Menurun"),"Bangunan wajib Garis Lurus (Ps.11 UU PPh)",IF(AND($S50="Unit Produksi",N($K50)=0),"Isi kapasitas unit",IF(AND(OR($S50="Garis Lurus",$S50="Saldo Menurun"),N($T50)&lt;=0),"Umur komersial kosong",IF(AND(OR($W50="Garis Lurus",$W50="Saldo Menurun"),N($V50)&lt;=0),"Masa manfaat fiskal kosong",IF(AND($Q50&lt;&gt;"",$Q50&lt;$F50),"Tgl pelepasan &lt; perolehan","OK")))))))))</f>
        <v/>
      </c>
    </row>
    <row r="51" spans="1:60" x14ac:dyDescent="0.25">
      <c r="A51" t="str">
        <f>IF($B51="","",ROW()-6)</f>
        <v/>
      </c>
      <c r="B51" s="9"/>
      <c r="C51" s="9"/>
      <c r="D51" s="9"/>
      <c r="E51" s="9"/>
      <c r="F51" s="17"/>
      <c r="G51" s="18"/>
      <c r="H51" s="18"/>
      <c r="I51" s="9"/>
      <c r="J51" s="9"/>
      <c r="K51" s="19"/>
      <c r="L51" s="19"/>
      <c r="M51" s="19"/>
      <c r="N51" s="9"/>
      <c r="O51" s="9"/>
      <c r="P51" s="9"/>
      <c r="Q51" s="17"/>
      <c r="R51" s="18"/>
      <c r="S51" t="str">
        <f>IF($B51="","",IF($I51&lt;&gt;"",$I51,IFERROR(INDEX(Kat_Metode,MATCH($D51,Kat_Nama,0)),"")))</f>
        <v/>
      </c>
      <c r="T51" t="str">
        <f>IF($B51="","",IF($J51&lt;&gt;"",$J51,IFERROR(INDEX(Kat_Umur,MATCH($D51,Kat_Nama,0)),0)))</f>
        <v/>
      </c>
      <c r="U51" t="str">
        <f>IF($B51="","",IF($N51&lt;&gt;"",$N51,IFERROR(INDEX(Kat_Kelompok,MATCH($D51,Kat_Nama,0)),"")))</f>
        <v/>
      </c>
      <c r="V51" t="str">
        <f>IF($B51="","",IF($U51="Masa Manfaat Sebenarnya",N($O51),IFERROR(INDEX(Kel_Masa,MATCH($U51,Kel_Nama,0)),0)))</f>
        <v/>
      </c>
      <c r="W51" t="str">
        <f>IF($B51="","",IF($P51&lt;&gt;"",$P51,IF(OR($U51="Tidak Disusutkan",$V51=0),"Tidak Disusutkan","Garis Lurus")))</f>
        <v/>
      </c>
      <c r="X51" t="str">
        <f>IF($B51="","",IF($Y51&gt;TahunBuku*12+12,"Belum Diperoleh",IF($Z51&lt;=TahunBuku*12,"Dilepas (thn lalu)",IF($AC51=1,"Dilepas thn ini",IF($AB51=1,"Perolehan baru","Aktif")))))</f>
        <v/>
      </c>
      <c r="Y51" s="20" t="str">
        <f>IF($B51="","",YEAR($F51)*12+MONTH($F51))</f>
        <v/>
      </c>
      <c r="Z51" s="20" t="str">
        <f>IF($B51="","",IF($Q51="",99999,YEAR($Q51)*12+MONTH($Q51)))</f>
        <v/>
      </c>
      <c r="AA51" s="20" t="str">
        <f>IF($B51="","",--AND($Y51&lt;=TahunBuku*12,$Z51&gt;TahunBuku*12))</f>
        <v/>
      </c>
      <c r="AB51" s="20" t="str">
        <f>IF($B51="","",--AND($Y51&gt;TahunBuku*12,$Y51&lt;=TahunBuku*12+12))</f>
        <v/>
      </c>
      <c r="AC51" s="20" t="str">
        <f>IF($B51="","",--AND($Z51&gt;TahunBuku*12,$Z51&lt;=TahunBuku*12+12,$Y51&lt;=$Z51))</f>
        <v/>
      </c>
      <c r="AD51" s="21" t="str">
        <f>IF($B51="","",IFERROR(IF($S51="Garis Lurus",$G51-($G51-$H51)*MIN($T51*12,MAX(0,TahunBuku*12-$Y51+1))/($T51*12),IF($S51="Saldo Menurun",IF(TahunBuku-1&lt;YEAR($F51),$G51,IF(TahunBuku-1&gt;=INT(($Y51+$T51*12-2)/12),$H51,MAX($H51,$G51*(1-2/$T51*(13-MONTH($F51))/12)*(1-2/$T51)^(TahunBuku-1-YEAR($F51))))),IF($S51="Unit Produksi",$G51-($G51-$H51)*MIN(1,N($L51)/$K51),$G51))),$G51))</f>
        <v/>
      </c>
      <c r="AE51" s="21" t="str">
        <f>IF($B51="","",IFERROR(IF($S51="Garis Lurus",$G51-($G51-$H51)*MIN($T51*12,MAX(0,TahunBuku*12+12-$Y51+1))/($T51*12),IF($S51="Saldo Menurun",IF(TahunBuku&lt;YEAR($F51),$G51,IF(TahunBuku&gt;=INT(($Y51+$T51*12-2)/12),$H51,MAX($H51,$G51*(1-2/$T51*(13-MONTH($F51))/12)*(1-2/$T51)^(TahunBuku-YEAR($F51))))),IF($S51="Unit Produksi",$G51-($G51-$H51)*MIN(1,(N($L51)+N($M51))/$K51),$G51))),$G51))</f>
        <v/>
      </c>
      <c r="AF51" s="20" t="str">
        <f>IF($B51="","",IF(OR($S51="Garis Lurus",$S51="Saldo Menurun",$S51="Unit Produksi"),MAX(0,IF($S51="Unit Produksi",TahunBuku*12+12,MIN(TahunBuku*12+12,$Y51+$T51*12-1))-MAX(TahunBuku*12+1,$Y51)+1),0))</f>
        <v/>
      </c>
      <c r="AG51" s="20" t="str">
        <f>IF($B51="","",IF(OR($S51="Garis Lurus",$S51="Saldo Menurun",$S51="Unit Produksi"),MAX(0,MIN($Z51,IF($S51="Unit Produksi",TahunBuku*12+12,MIN(TahunBuku*12+12,$Y51+$T51*12-1)))-MAX(TahunBuku*12+1,$Y51)+1),0))</f>
        <v/>
      </c>
      <c r="AH51" s="21" t="str">
        <f>IF($B51="","",IFERROR(IF($W51="Garis Lurus",$G51*(1-MIN($V51*12,MAX(0,TahunBuku*12-$Y51+1))/($V51*12)),IF($W51="Saldo Menurun",IF(TahunBuku-1&lt;YEAR($F51),$G51,IF(TahunBuku-1&gt;=INT(($Y51+$V51*12-2)/12),0,$G51*(1-2/$V51*(13-MONTH($F51))/12)*(1-2/$V51)^(TahunBuku-1-YEAR($F51)))),$G51)),$G51))</f>
        <v/>
      </c>
      <c r="AI51" s="21" t="str">
        <f>IF($B51="","",IFERROR(IF($W51="Garis Lurus",$G51*(1-MIN($V51*12,MAX(0,TahunBuku*12+12-$Y51+1))/($V51*12)),IF($W51="Saldo Menurun",IF(TahunBuku&lt;YEAR($F51),$G51,IF(TahunBuku&gt;=INT(($Y51+$V51*12-2)/12),0,$G51*(1-2/$V51*(13-MONTH($F51))/12)*(1-2/$V51)^(TahunBuku-YEAR($F51)))),$G51)),$G51))</f>
        <v/>
      </c>
      <c r="AJ51" s="20" t="str">
        <f>IF($B51="","",IF(OR($W51="Garis Lurus",$W51="Saldo Menurun"),MAX(0,MIN(TahunBuku*12+12,$Y51+$V51*12-1)-MAX(TahunBuku*12+1,$Y51)+1),0))</f>
        <v/>
      </c>
      <c r="AK51" s="20" t="str">
        <f>IF($B51="","",IF(OR($W51="Garis Lurus",$W51="Saldo Menurun"),MAX(0,MIN($Z51,TahunBuku*12+12,$Y51+$V51*12-1)-MAX(TahunBuku*12+1,$Y51)+1),0))</f>
        <v/>
      </c>
      <c r="AL51" s="22" t="str">
        <f>IF($B51="","",$G51*$AA51)</f>
        <v/>
      </c>
      <c r="AM51" s="22" t="str">
        <f>IF($B51="","",$G51*$AB51)</f>
        <v/>
      </c>
      <c r="AN51" s="22" t="str">
        <f>IF($B51="","",$G51*$AC51)</f>
        <v/>
      </c>
      <c r="AO51" s="22" t="str">
        <f>IF($B51="","",AL51+AM51-AN51)</f>
        <v/>
      </c>
      <c r="AP51" s="22" t="str">
        <f>IF($B51="","",($G51-$AD51)*$AA51)</f>
        <v/>
      </c>
      <c r="AQ51" s="22" t="str">
        <f>IF($B51="","",IF($AF51=0,0,($AD51-$AE51)*$AG51/$AF51)*MAX($AA51,$AB51))</f>
        <v/>
      </c>
      <c r="AR51" s="22" t="str">
        <f>IF($B51="","",(AP51+AQ51)*$AC51)</f>
        <v/>
      </c>
      <c r="AS51" s="22" t="str">
        <f>IF($B51="","",AP51+AQ51-AR51)</f>
        <v/>
      </c>
      <c r="AT51" s="22" t="str">
        <f>IF($B51="","",AO51-AS51)</f>
        <v/>
      </c>
      <c r="AU51" s="22" t="str">
        <f>IF($B51="","",IF($AC51=1,N($R51)-($G51-AR51),0))</f>
        <v/>
      </c>
      <c r="AV51" s="22" t="str">
        <f>IF($B51="","",($G51-$AH51)*$AA51)</f>
        <v/>
      </c>
      <c r="AW51" s="22" t="str">
        <f>IF($B51="","",IF($AJ51=0,0,($AH51-$AI51)*$AK51/$AJ51)*MAX($AA51,$AB51))</f>
        <v/>
      </c>
      <c r="AX51" s="22" t="str">
        <f>IF($B51="","",(AV51+AW51)*$AC51)</f>
        <v/>
      </c>
      <c r="AY51" s="22" t="str">
        <f>IF($B51="","",AV51+AW51-AX51)</f>
        <v/>
      </c>
      <c r="AZ51" s="22" t="str">
        <f>IF($B51="","",AO51-AY51)</f>
        <v/>
      </c>
      <c r="BA51" s="22" t="str">
        <f>IF($B51="","",IF($AC51=1,N($R51)-($G51-AX51),0))</f>
        <v/>
      </c>
      <c r="BB51" s="22" t="str">
        <f>IF($B51="","",ROUND(AQ51-AW51,0))</f>
        <v/>
      </c>
      <c r="BC51" s="22" t="str">
        <f>IF($B51="","",ROUND(BA51-AU51,0))</f>
        <v/>
      </c>
      <c r="BD51" s="22" t="str">
        <f>IF($B51="","",BB51+BC51)</f>
        <v/>
      </c>
      <c r="BE51" s="22" t="str">
        <f>IF($B51="","",ROUND(AV51-AP51,0))</f>
        <v/>
      </c>
      <c r="BF51" s="22" t="str">
        <f>IF($B51="","",ROUND(AT51-AZ51,0))</f>
        <v/>
      </c>
      <c r="BG51" s="22" t="str">
        <f>IF($B51="","",ROUND(BF51*TarifPPh,0))</f>
        <v/>
      </c>
      <c r="BH51" t="str">
        <f>IF($B51="","",IF($D51="","Kategori kosong",IF($F51="","Tgl perolehan kosong",IF(N($H51)&gt;$G51,"Residu &gt; harga perolehan",IF(AND(LEFT($U51,8)="Bangunan",$W51="Saldo Menurun"),"Bangunan wajib Garis Lurus (Ps.11 UU PPh)",IF(AND($S51="Unit Produksi",N($K51)=0),"Isi kapasitas unit",IF(AND(OR($S51="Garis Lurus",$S51="Saldo Menurun"),N($T51)&lt;=0),"Umur komersial kosong",IF(AND(OR($W51="Garis Lurus",$W51="Saldo Menurun"),N($V51)&lt;=0),"Masa manfaat fiskal kosong",IF(AND($Q51&lt;&gt;"",$Q51&lt;$F51),"Tgl pelepasan &lt; perolehan","OK")))))))))</f>
        <v/>
      </c>
    </row>
    <row r="52" spans="1:60" x14ac:dyDescent="0.25">
      <c r="A52" t="str">
        <f>IF($B52="","",ROW()-6)</f>
        <v/>
      </c>
      <c r="B52" s="9"/>
      <c r="C52" s="9"/>
      <c r="D52" s="9"/>
      <c r="E52" s="9"/>
      <c r="F52" s="17"/>
      <c r="G52" s="18"/>
      <c r="H52" s="18"/>
      <c r="I52" s="9"/>
      <c r="J52" s="9"/>
      <c r="K52" s="19"/>
      <c r="L52" s="19"/>
      <c r="M52" s="19"/>
      <c r="N52" s="9"/>
      <c r="O52" s="9"/>
      <c r="P52" s="9"/>
      <c r="Q52" s="17"/>
      <c r="R52" s="18"/>
      <c r="S52" t="str">
        <f>IF($B52="","",IF($I52&lt;&gt;"",$I52,IFERROR(INDEX(Kat_Metode,MATCH($D52,Kat_Nama,0)),"")))</f>
        <v/>
      </c>
      <c r="T52" t="str">
        <f>IF($B52="","",IF($J52&lt;&gt;"",$J52,IFERROR(INDEX(Kat_Umur,MATCH($D52,Kat_Nama,0)),0)))</f>
        <v/>
      </c>
      <c r="U52" t="str">
        <f>IF($B52="","",IF($N52&lt;&gt;"",$N52,IFERROR(INDEX(Kat_Kelompok,MATCH($D52,Kat_Nama,0)),"")))</f>
        <v/>
      </c>
      <c r="V52" t="str">
        <f>IF($B52="","",IF($U52="Masa Manfaat Sebenarnya",N($O52),IFERROR(INDEX(Kel_Masa,MATCH($U52,Kel_Nama,0)),0)))</f>
        <v/>
      </c>
      <c r="W52" t="str">
        <f>IF($B52="","",IF($P52&lt;&gt;"",$P52,IF(OR($U52="Tidak Disusutkan",$V52=0),"Tidak Disusutkan","Garis Lurus")))</f>
        <v/>
      </c>
      <c r="X52" t="str">
        <f>IF($B52="","",IF($Y52&gt;TahunBuku*12+12,"Belum Diperoleh",IF($Z52&lt;=TahunBuku*12,"Dilepas (thn lalu)",IF($AC52=1,"Dilepas thn ini",IF($AB52=1,"Perolehan baru","Aktif")))))</f>
        <v/>
      </c>
      <c r="Y52" s="20" t="str">
        <f>IF($B52="","",YEAR($F52)*12+MONTH($F52))</f>
        <v/>
      </c>
      <c r="Z52" s="20" t="str">
        <f>IF($B52="","",IF($Q52="",99999,YEAR($Q52)*12+MONTH($Q52)))</f>
        <v/>
      </c>
      <c r="AA52" s="20" t="str">
        <f>IF($B52="","",--AND($Y52&lt;=TahunBuku*12,$Z52&gt;TahunBuku*12))</f>
        <v/>
      </c>
      <c r="AB52" s="20" t="str">
        <f>IF($B52="","",--AND($Y52&gt;TahunBuku*12,$Y52&lt;=TahunBuku*12+12))</f>
        <v/>
      </c>
      <c r="AC52" s="20" t="str">
        <f>IF($B52="","",--AND($Z52&gt;TahunBuku*12,$Z52&lt;=TahunBuku*12+12,$Y52&lt;=$Z52))</f>
        <v/>
      </c>
      <c r="AD52" s="21" t="str">
        <f>IF($B52="","",IFERROR(IF($S52="Garis Lurus",$G52-($G52-$H52)*MIN($T52*12,MAX(0,TahunBuku*12-$Y52+1))/($T52*12),IF($S52="Saldo Menurun",IF(TahunBuku-1&lt;YEAR($F52),$G52,IF(TahunBuku-1&gt;=INT(($Y52+$T52*12-2)/12),$H52,MAX($H52,$G52*(1-2/$T52*(13-MONTH($F52))/12)*(1-2/$T52)^(TahunBuku-1-YEAR($F52))))),IF($S52="Unit Produksi",$G52-($G52-$H52)*MIN(1,N($L52)/$K52),$G52))),$G52))</f>
        <v/>
      </c>
      <c r="AE52" s="21" t="str">
        <f>IF($B52="","",IFERROR(IF($S52="Garis Lurus",$G52-($G52-$H52)*MIN($T52*12,MAX(0,TahunBuku*12+12-$Y52+1))/($T52*12),IF($S52="Saldo Menurun",IF(TahunBuku&lt;YEAR($F52),$G52,IF(TahunBuku&gt;=INT(($Y52+$T52*12-2)/12),$H52,MAX($H52,$G52*(1-2/$T52*(13-MONTH($F52))/12)*(1-2/$T52)^(TahunBuku-YEAR($F52))))),IF($S52="Unit Produksi",$G52-($G52-$H52)*MIN(1,(N($L52)+N($M52))/$K52),$G52))),$G52))</f>
        <v/>
      </c>
      <c r="AF52" s="20" t="str">
        <f>IF($B52="","",IF(OR($S52="Garis Lurus",$S52="Saldo Menurun",$S52="Unit Produksi"),MAX(0,IF($S52="Unit Produksi",TahunBuku*12+12,MIN(TahunBuku*12+12,$Y52+$T52*12-1))-MAX(TahunBuku*12+1,$Y52)+1),0))</f>
        <v/>
      </c>
      <c r="AG52" s="20" t="str">
        <f>IF($B52="","",IF(OR($S52="Garis Lurus",$S52="Saldo Menurun",$S52="Unit Produksi"),MAX(0,MIN($Z52,IF($S52="Unit Produksi",TahunBuku*12+12,MIN(TahunBuku*12+12,$Y52+$T52*12-1)))-MAX(TahunBuku*12+1,$Y52)+1),0))</f>
        <v/>
      </c>
      <c r="AH52" s="21" t="str">
        <f>IF($B52="","",IFERROR(IF($W52="Garis Lurus",$G52*(1-MIN($V52*12,MAX(0,TahunBuku*12-$Y52+1))/($V52*12)),IF($W52="Saldo Menurun",IF(TahunBuku-1&lt;YEAR($F52),$G52,IF(TahunBuku-1&gt;=INT(($Y52+$V52*12-2)/12),0,$G52*(1-2/$V52*(13-MONTH($F52))/12)*(1-2/$V52)^(TahunBuku-1-YEAR($F52)))),$G52)),$G52))</f>
        <v/>
      </c>
      <c r="AI52" s="21" t="str">
        <f>IF($B52="","",IFERROR(IF($W52="Garis Lurus",$G52*(1-MIN($V52*12,MAX(0,TahunBuku*12+12-$Y52+1))/($V52*12)),IF($W52="Saldo Menurun",IF(TahunBuku&lt;YEAR($F52),$G52,IF(TahunBuku&gt;=INT(($Y52+$V52*12-2)/12),0,$G52*(1-2/$V52*(13-MONTH($F52))/12)*(1-2/$V52)^(TahunBuku-YEAR($F52)))),$G52)),$G52))</f>
        <v/>
      </c>
      <c r="AJ52" s="20" t="str">
        <f>IF($B52="","",IF(OR($W52="Garis Lurus",$W52="Saldo Menurun"),MAX(0,MIN(TahunBuku*12+12,$Y52+$V52*12-1)-MAX(TahunBuku*12+1,$Y52)+1),0))</f>
        <v/>
      </c>
      <c r="AK52" s="20" t="str">
        <f>IF($B52="","",IF(OR($W52="Garis Lurus",$W52="Saldo Menurun"),MAX(0,MIN($Z52,TahunBuku*12+12,$Y52+$V52*12-1)-MAX(TahunBuku*12+1,$Y52)+1),0))</f>
        <v/>
      </c>
      <c r="AL52" s="22" t="str">
        <f>IF($B52="","",$G52*$AA52)</f>
        <v/>
      </c>
      <c r="AM52" s="22" t="str">
        <f>IF($B52="","",$G52*$AB52)</f>
        <v/>
      </c>
      <c r="AN52" s="22" t="str">
        <f>IF($B52="","",$G52*$AC52)</f>
        <v/>
      </c>
      <c r="AO52" s="22" t="str">
        <f>IF($B52="","",AL52+AM52-AN52)</f>
        <v/>
      </c>
      <c r="AP52" s="22" t="str">
        <f>IF($B52="","",($G52-$AD52)*$AA52)</f>
        <v/>
      </c>
      <c r="AQ52" s="22" t="str">
        <f>IF($B52="","",IF($AF52=0,0,($AD52-$AE52)*$AG52/$AF52)*MAX($AA52,$AB52))</f>
        <v/>
      </c>
      <c r="AR52" s="22" t="str">
        <f>IF($B52="","",(AP52+AQ52)*$AC52)</f>
        <v/>
      </c>
      <c r="AS52" s="22" t="str">
        <f>IF($B52="","",AP52+AQ52-AR52)</f>
        <v/>
      </c>
      <c r="AT52" s="22" t="str">
        <f>IF($B52="","",AO52-AS52)</f>
        <v/>
      </c>
      <c r="AU52" s="22" t="str">
        <f>IF($B52="","",IF($AC52=1,N($R52)-($G52-AR52),0))</f>
        <v/>
      </c>
      <c r="AV52" s="22" t="str">
        <f>IF($B52="","",($G52-$AH52)*$AA52)</f>
        <v/>
      </c>
      <c r="AW52" s="22" t="str">
        <f>IF($B52="","",IF($AJ52=0,0,($AH52-$AI52)*$AK52/$AJ52)*MAX($AA52,$AB52))</f>
        <v/>
      </c>
      <c r="AX52" s="22" t="str">
        <f>IF($B52="","",(AV52+AW52)*$AC52)</f>
        <v/>
      </c>
      <c r="AY52" s="22" t="str">
        <f>IF($B52="","",AV52+AW52-AX52)</f>
        <v/>
      </c>
      <c r="AZ52" s="22" t="str">
        <f>IF($B52="","",AO52-AY52)</f>
        <v/>
      </c>
      <c r="BA52" s="22" t="str">
        <f>IF($B52="","",IF($AC52=1,N($R52)-($G52-AX52),0))</f>
        <v/>
      </c>
      <c r="BB52" s="22" t="str">
        <f>IF($B52="","",ROUND(AQ52-AW52,0))</f>
        <v/>
      </c>
      <c r="BC52" s="22" t="str">
        <f>IF($B52="","",ROUND(BA52-AU52,0))</f>
        <v/>
      </c>
      <c r="BD52" s="22" t="str">
        <f>IF($B52="","",BB52+BC52)</f>
        <v/>
      </c>
      <c r="BE52" s="22" t="str">
        <f>IF($B52="","",ROUND(AV52-AP52,0))</f>
        <v/>
      </c>
      <c r="BF52" s="22" t="str">
        <f>IF($B52="","",ROUND(AT52-AZ52,0))</f>
        <v/>
      </c>
      <c r="BG52" s="22" t="str">
        <f>IF($B52="","",ROUND(BF52*TarifPPh,0))</f>
        <v/>
      </c>
      <c r="BH52" t="str">
        <f>IF($B52="","",IF($D52="","Kategori kosong",IF($F52="","Tgl perolehan kosong",IF(N($H52)&gt;$G52,"Residu &gt; harga perolehan",IF(AND(LEFT($U52,8)="Bangunan",$W52="Saldo Menurun"),"Bangunan wajib Garis Lurus (Ps.11 UU PPh)",IF(AND($S52="Unit Produksi",N($K52)=0),"Isi kapasitas unit",IF(AND(OR($S52="Garis Lurus",$S52="Saldo Menurun"),N($T52)&lt;=0),"Umur komersial kosong",IF(AND(OR($W52="Garis Lurus",$W52="Saldo Menurun"),N($V52)&lt;=0),"Masa manfaat fiskal kosong",IF(AND($Q52&lt;&gt;"",$Q52&lt;$F52),"Tgl pelepasan &lt; perolehan","OK")))))))))</f>
        <v/>
      </c>
    </row>
    <row r="53" spans="1:60" x14ac:dyDescent="0.25">
      <c r="A53" t="str">
        <f>IF($B53="","",ROW()-6)</f>
        <v/>
      </c>
      <c r="B53" s="9"/>
      <c r="C53" s="9"/>
      <c r="D53" s="9"/>
      <c r="E53" s="9"/>
      <c r="F53" s="17"/>
      <c r="G53" s="18"/>
      <c r="H53" s="18"/>
      <c r="I53" s="9"/>
      <c r="J53" s="9"/>
      <c r="K53" s="19"/>
      <c r="L53" s="19"/>
      <c r="M53" s="19"/>
      <c r="N53" s="9"/>
      <c r="O53" s="9"/>
      <c r="P53" s="9"/>
      <c r="Q53" s="17"/>
      <c r="R53" s="18"/>
      <c r="S53" t="str">
        <f>IF($B53="","",IF($I53&lt;&gt;"",$I53,IFERROR(INDEX(Kat_Metode,MATCH($D53,Kat_Nama,0)),"")))</f>
        <v/>
      </c>
      <c r="T53" t="str">
        <f>IF($B53="","",IF($J53&lt;&gt;"",$J53,IFERROR(INDEX(Kat_Umur,MATCH($D53,Kat_Nama,0)),0)))</f>
        <v/>
      </c>
      <c r="U53" t="str">
        <f>IF($B53="","",IF($N53&lt;&gt;"",$N53,IFERROR(INDEX(Kat_Kelompok,MATCH($D53,Kat_Nama,0)),"")))</f>
        <v/>
      </c>
      <c r="V53" t="str">
        <f>IF($B53="","",IF($U53="Masa Manfaat Sebenarnya",N($O53),IFERROR(INDEX(Kel_Masa,MATCH($U53,Kel_Nama,0)),0)))</f>
        <v/>
      </c>
      <c r="W53" t="str">
        <f>IF($B53="","",IF($P53&lt;&gt;"",$P53,IF(OR($U53="Tidak Disusutkan",$V53=0),"Tidak Disusutkan","Garis Lurus")))</f>
        <v/>
      </c>
      <c r="X53" t="str">
        <f>IF($B53="","",IF($Y53&gt;TahunBuku*12+12,"Belum Diperoleh",IF($Z53&lt;=TahunBuku*12,"Dilepas (thn lalu)",IF($AC53=1,"Dilepas thn ini",IF($AB53=1,"Perolehan baru","Aktif")))))</f>
        <v/>
      </c>
      <c r="Y53" s="20" t="str">
        <f>IF($B53="","",YEAR($F53)*12+MONTH($F53))</f>
        <v/>
      </c>
      <c r="Z53" s="20" t="str">
        <f>IF($B53="","",IF($Q53="",99999,YEAR($Q53)*12+MONTH($Q53)))</f>
        <v/>
      </c>
      <c r="AA53" s="20" t="str">
        <f>IF($B53="","",--AND($Y53&lt;=TahunBuku*12,$Z53&gt;TahunBuku*12))</f>
        <v/>
      </c>
      <c r="AB53" s="20" t="str">
        <f>IF($B53="","",--AND($Y53&gt;TahunBuku*12,$Y53&lt;=TahunBuku*12+12))</f>
        <v/>
      </c>
      <c r="AC53" s="20" t="str">
        <f>IF($B53="","",--AND($Z53&gt;TahunBuku*12,$Z53&lt;=TahunBuku*12+12,$Y53&lt;=$Z53))</f>
        <v/>
      </c>
      <c r="AD53" s="21" t="str">
        <f>IF($B53="","",IFERROR(IF($S53="Garis Lurus",$G53-($G53-$H53)*MIN($T53*12,MAX(0,TahunBuku*12-$Y53+1))/($T53*12),IF($S53="Saldo Menurun",IF(TahunBuku-1&lt;YEAR($F53),$G53,IF(TahunBuku-1&gt;=INT(($Y53+$T53*12-2)/12),$H53,MAX($H53,$G53*(1-2/$T53*(13-MONTH($F53))/12)*(1-2/$T53)^(TahunBuku-1-YEAR($F53))))),IF($S53="Unit Produksi",$G53-($G53-$H53)*MIN(1,N($L53)/$K53),$G53))),$G53))</f>
        <v/>
      </c>
      <c r="AE53" s="21" t="str">
        <f>IF($B53="","",IFERROR(IF($S53="Garis Lurus",$G53-($G53-$H53)*MIN($T53*12,MAX(0,TahunBuku*12+12-$Y53+1))/($T53*12),IF($S53="Saldo Menurun",IF(TahunBuku&lt;YEAR($F53),$G53,IF(TahunBuku&gt;=INT(($Y53+$T53*12-2)/12),$H53,MAX($H53,$G53*(1-2/$T53*(13-MONTH($F53))/12)*(1-2/$T53)^(TahunBuku-YEAR($F53))))),IF($S53="Unit Produksi",$G53-($G53-$H53)*MIN(1,(N($L53)+N($M53))/$K53),$G53))),$G53))</f>
        <v/>
      </c>
      <c r="AF53" s="20" t="str">
        <f>IF($B53="","",IF(OR($S53="Garis Lurus",$S53="Saldo Menurun",$S53="Unit Produksi"),MAX(0,IF($S53="Unit Produksi",TahunBuku*12+12,MIN(TahunBuku*12+12,$Y53+$T53*12-1))-MAX(TahunBuku*12+1,$Y53)+1),0))</f>
        <v/>
      </c>
      <c r="AG53" s="20" t="str">
        <f>IF($B53="","",IF(OR($S53="Garis Lurus",$S53="Saldo Menurun",$S53="Unit Produksi"),MAX(0,MIN($Z53,IF($S53="Unit Produksi",TahunBuku*12+12,MIN(TahunBuku*12+12,$Y53+$T53*12-1)))-MAX(TahunBuku*12+1,$Y53)+1),0))</f>
        <v/>
      </c>
      <c r="AH53" s="21" t="str">
        <f>IF($B53="","",IFERROR(IF($W53="Garis Lurus",$G53*(1-MIN($V53*12,MAX(0,TahunBuku*12-$Y53+1))/($V53*12)),IF($W53="Saldo Menurun",IF(TahunBuku-1&lt;YEAR($F53),$G53,IF(TahunBuku-1&gt;=INT(($Y53+$V53*12-2)/12),0,$G53*(1-2/$V53*(13-MONTH($F53))/12)*(1-2/$V53)^(TahunBuku-1-YEAR($F53)))),$G53)),$G53))</f>
        <v/>
      </c>
      <c r="AI53" s="21" t="str">
        <f>IF($B53="","",IFERROR(IF($W53="Garis Lurus",$G53*(1-MIN($V53*12,MAX(0,TahunBuku*12+12-$Y53+1))/($V53*12)),IF($W53="Saldo Menurun",IF(TahunBuku&lt;YEAR($F53),$G53,IF(TahunBuku&gt;=INT(($Y53+$V53*12-2)/12),0,$G53*(1-2/$V53*(13-MONTH($F53))/12)*(1-2/$V53)^(TahunBuku-YEAR($F53)))),$G53)),$G53))</f>
        <v/>
      </c>
      <c r="AJ53" s="20" t="str">
        <f>IF($B53="","",IF(OR($W53="Garis Lurus",$W53="Saldo Menurun"),MAX(0,MIN(TahunBuku*12+12,$Y53+$V53*12-1)-MAX(TahunBuku*12+1,$Y53)+1),0))</f>
        <v/>
      </c>
      <c r="AK53" s="20" t="str">
        <f>IF($B53="","",IF(OR($W53="Garis Lurus",$W53="Saldo Menurun"),MAX(0,MIN($Z53,TahunBuku*12+12,$Y53+$V53*12-1)-MAX(TahunBuku*12+1,$Y53)+1),0))</f>
        <v/>
      </c>
      <c r="AL53" s="22" t="str">
        <f>IF($B53="","",$G53*$AA53)</f>
        <v/>
      </c>
      <c r="AM53" s="22" t="str">
        <f>IF($B53="","",$G53*$AB53)</f>
        <v/>
      </c>
      <c r="AN53" s="22" t="str">
        <f>IF($B53="","",$G53*$AC53)</f>
        <v/>
      </c>
      <c r="AO53" s="22" t="str">
        <f>IF($B53="","",AL53+AM53-AN53)</f>
        <v/>
      </c>
      <c r="AP53" s="22" t="str">
        <f>IF($B53="","",($G53-$AD53)*$AA53)</f>
        <v/>
      </c>
      <c r="AQ53" s="22" t="str">
        <f>IF($B53="","",IF($AF53=0,0,($AD53-$AE53)*$AG53/$AF53)*MAX($AA53,$AB53))</f>
        <v/>
      </c>
      <c r="AR53" s="22" t="str">
        <f>IF($B53="","",(AP53+AQ53)*$AC53)</f>
        <v/>
      </c>
      <c r="AS53" s="22" t="str">
        <f>IF($B53="","",AP53+AQ53-AR53)</f>
        <v/>
      </c>
      <c r="AT53" s="22" t="str">
        <f>IF($B53="","",AO53-AS53)</f>
        <v/>
      </c>
      <c r="AU53" s="22" t="str">
        <f>IF($B53="","",IF($AC53=1,N($R53)-($G53-AR53),0))</f>
        <v/>
      </c>
      <c r="AV53" s="22" t="str">
        <f>IF($B53="","",($G53-$AH53)*$AA53)</f>
        <v/>
      </c>
      <c r="AW53" s="22" t="str">
        <f>IF($B53="","",IF($AJ53=0,0,($AH53-$AI53)*$AK53/$AJ53)*MAX($AA53,$AB53))</f>
        <v/>
      </c>
      <c r="AX53" s="22" t="str">
        <f>IF($B53="","",(AV53+AW53)*$AC53)</f>
        <v/>
      </c>
      <c r="AY53" s="22" t="str">
        <f>IF($B53="","",AV53+AW53-AX53)</f>
        <v/>
      </c>
      <c r="AZ53" s="22" t="str">
        <f>IF($B53="","",AO53-AY53)</f>
        <v/>
      </c>
      <c r="BA53" s="22" t="str">
        <f>IF($B53="","",IF($AC53=1,N($R53)-($G53-AX53),0))</f>
        <v/>
      </c>
      <c r="BB53" s="22" t="str">
        <f>IF($B53="","",ROUND(AQ53-AW53,0))</f>
        <v/>
      </c>
      <c r="BC53" s="22" t="str">
        <f>IF($B53="","",ROUND(BA53-AU53,0))</f>
        <v/>
      </c>
      <c r="BD53" s="22" t="str">
        <f>IF($B53="","",BB53+BC53)</f>
        <v/>
      </c>
      <c r="BE53" s="22" t="str">
        <f>IF($B53="","",ROUND(AV53-AP53,0))</f>
        <v/>
      </c>
      <c r="BF53" s="22" t="str">
        <f>IF($B53="","",ROUND(AT53-AZ53,0))</f>
        <v/>
      </c>
      <c r="BG53" s="22" t="str">
        <f>IF($B53="","",ROUND(BF53*TarifPPh,0))</f>
        <v/>
      </c>
      <c r="BH53" t="str">
        <f>IF($B53="","",IF($D53="","Kategori kosong",IF($F53="","Tgl perolehan kosong",IF(N($H53)&gt;$G53,"Residu &gt; harga perolehan",IF(AND(LEFT($U53,8)="Bangunan",$W53="Saldo Menurun"),"Bangunan wajib Garis Lurus (Ps.11 UU PPh)",IF(AND($S53="Unit Produksi",N($K53)=0),"Isi kapasitas unit",IF(AND(OR($S53="Garis Lurus",$S53="Saldo Menurun"),N($T53)&lt;=0),"Umur komersial kosong",IF(AND(OR($W53="Garis Lurus",$W53="Saldo Menurun"),N($V53)&lt;=0),"Masa manfaat fiskal kosong",IF(AND($Q53&lt;&gt;"",$Q53&lt;$F53),"Tgl pelepasan &lt; perolehan","OK")))))))))</f>
        <v/>
      </c>
    </row>
    <row r="54" spans="1:60" x14ac:dyDescent="0.25">
      <c r="A54" t="str">
        <f>IF($B54="","",ROW()-6)</f>
        <v/>
      </c>
      <c r="B54" s="9"/>
      <c r="C54" s="9"/>
      <c r="D54" s="9"/>
      <c r="E54" s="9"/>
      <c r="F54" s="17"/>
      <c r="G54" s="18"/>
      <c r="H54" s="18"/>
      <c r="I54" s="9"/>
      <c r="J54" s="9"/>
      <c r="K54" s="19"/>
      <c r="L54" s="19"/>
      <c r="M54" s="19"/>
      <c r="N54" s="9"/>
      <c r="O54" s="9"/>
      <c r="P54" s="9"/>
      <c r="Q54" s="17"/>
      <c r="R54" s="18"/>
      <c r="S54" t="str">
        <f>IF($B54="","",IF($I54&lt;&gt;"",$I54,IFERROR(INDEX(Kat_Metode,MATCH($D54,Kat_Nama,0)),"")))</f>
        <v/>
      </c>
      <c r="T54" t="str">
        <f>IF($B54="","",IF($J54&lt;&gt;"",$J54,IFERROR(INDEX(Kat_Umur,MATCH($D54,Kat_Nama,0)),0)))</f>
        <v/>
      </c>
      <c r="U54" t="str">
        <f>IF($B54="","",IF($N54&lt;&gt;"",$N54,IFERROR(INDEX(Kat_Kelompok,MATCH($D54,Kat_Nama,0)),"")))</f>
        <v/>
      </c>
      <c r="V54" t="str">
        <f>IF($B54="","",IF($U54="Masa Manfaat Sebenarnya",N($O54),IFERROR(INDEX(Kel_Masa,MATCH($U54,Kel_Nama,0)),0)))</f>
        <v/>
      </c>
      <c r="W54" t="str">
        <f>IF($B54="","",IF($P54&lt;&gt;"",$P54,IF(OR($U54="Tidak Disusutkan",$V54=0),"Tidak Disusutkan","Garis Lurus")))</f>
        <v/>
      </c>
      <c r="X54" t="str">
        <f>IF($B54="","",IF($Y54&gt;TahunBuku*12+12,"Belum Diperoleh",IF($Z54&lt;=TahunBuku*12,"Dilepas (thn lalu)",IF($AC54=1,"Dilepas thn ini",IF($AB54=1,"Perolehan baru","Aktif")))))</f>
        <v/>
      </c>
      <c r="Y54" s="20" t="str">
        <f>IF($B54="","",YEAR($F54)*12+MONTH($F54))</f>
        <v/>
      </c>
      <c r="Z54" s="20" t="str">
        <f>IF($B54="","",IF($Q54="",99999,YEAR($Q54)*12+MONTH($Q54)))</f>
        <v/>
      </c>
      <c r="AA54" s="20" t="str">
        <f>IF($B54="","",--AND($Y54&lt;=TahunBuku*12,$Z54&gt;TahunBuku*12))</f>
        <v/>
      </c>
      <c r="AB54" s="20" t="str">
        <f>IF($B54="","",--AND($Y54&gt;TahunBuku*12,$Y54&lt;=TahunBuku*12+12))</f>
        <v/>
      </c>
      <c r="AC54" s="20" t="str">
        <f>IF($B54="","",--AND($Z54&gt;TahunBuku*12,$Z54&lt;=TahunBuku*12+12,$Y54&lt;=$Z54))</f>
        <v/>
      </c>
      <c r="AD54" s="21" t="str">
        <f>IF($B54="","",IFERROR(IF($S54="Garis Lurus",$G54-($G54-$H54)*MIN($T54*12,MAX(0,TahunBuku*12-$Y54+1))/($T54*12),IF($S54="Saldo Menurun",IF(TahunBuku-1&lt;YEAR($F54),$G54,IF(TahunBuku-1&gt;=INT(($Y54+$T54*12-2)/12),$H54,MAX($H54,$G54*(1-2/$T54*(13-MONTH($F54))/12)*(1-2/$T54)^(TahunBuku-1-YEAR($F54))))),IF($S54="Unit Produksi",$G54-($G54-$H54)*MIN(1,N($L54)/$K54),$G54))),$G54))</f>
        <v/>
      </c>
      <c r="AE54" s="21" t="str">
        <f>IF($B54="","",IFERROR(IF($S54="Garis Lurus",$G54-($G54-$H54)*MIN($T54*12,MAX(0,TahunBuku*12+12-$Y54+1))/($T54*12),IF($S54="Saldo Menurun",IF(TahunBuku&lt;YEAR($F54),$G54,IF(TahunBuku&gt;=INT(($Y54+$T54*12-2)/12),$H54,MAX($H54,$G54*(1-2/$T54*(13-MONTH($F54))/12)*(1-2/$T54)^(TahunBuku-YEAR($F54))))),IF($S54="Unit Produksi",$G54-($G54-$H54)*MIN(1,(N($L54)+N($M54))/$K54),$G54))),$G54))</f>
        <v/>
      </c>
      <c r="AF54" s="20" t="str">
        <f>IF($B54="","",IF(OR($S54="Garis Lurus",$S54="Saldo Menurun",$S54="Unit Produksi"),MAX(0,IF($S54="Unit Produksi",TahunBuku*12+12,MIN(TahunBuku*12+12,$Y54+$T54*12-1))-MAX(TahunBuku*12+1,$Y54)+1),0))</f>
        <v/>
      </c>
      <c r="AG54" s="20" t="str">
        <f>IF($B54="","",IF(OR($S54="Garis Lurus",$S54="Saldo Menurun",$S54="Unit Produksi"),MAX(0,MIN($Z54,IF($S54="Unit Produksi",TahunBuku*12+12,MIN(TahunBuku*12+12,$Y54+$T54*12-1)))-MAX(TahunBuku*12+1,$Y54)+1),0))</f>
        <v/>
      </c>
      <c r="AH54" s="21" t="str">
        <f>IF($B54="","",IFERROR(IF($W54="Garis Lurus",$G54*(1-MIN($V54*12,MAX(0,TahunBuku*12-$Y54+1))/($V54*12)),IF($W54="Saldo Menurun",IF(TahunBuku-1&lt;YEAR($F54),$G54,IF(TahunBuku-1&gt;=INT(($Y54+$V54*12-2)/12),0,$G54*(1-2/$V54*(13-MONTH($F54))/12)*(1-2/$V54)^(TahunBuku-1-YEAR($F54)))),$G54)),$G54))</f>
        <v/>
      </c>
      <c r="AI54" s="21" t="str">
        <f>IF($B54="","",IFERROR(IF($W54="Garis Lurus",$G54*(1-MIN($V54*12,MAX(0,TahunBuku*12+12-$Y54+1))/($V54*12)),IF($W54="Saldo Menurun",IF(TahunBuku&lt;YEAR($F54),$G54,IF(TahunBuku&gt;=INT(($Y54+$V54*12-2)/12),0,$G54*(1-2/$V54*(13-MONTH($F54))/12)*(1-2/$V54)^(TahunBuku-YEAR($F54)))),$G54)),$G54))</f>
        <v/>
      </c>
      <c r="AJ54" s="20" t="str">
        <f>IF($B54="","",IF(OR($W54="Garis Lurus",$W54="Saldo Menurun"),MAX(0,MIN(TahunBuku*12+12,$Y54+$V54*12-1)-MAX(TahunBuku*12+1,$Y54)+1),0))</f>
        <v/>
      </c>
      <c r="AK54" s="20" t="str">
        <f>IF($B54="","",IF(OR($W54="Garis Lurus",$W54="Saldo Menurun"),MAX(0,MIN($Z54,TahunBuku*12+12,$Y54+$V54*12-1)-MAX(TahunBuku*12+1,$Y54)+1),0))</f>
        <v/>
      </c>
      <c r="AL54" s="22" t="str">
        <f>IF($B54="","",$G54*$AA54)</f>
        <v/>
      </c>
      <c r="AM54" s="22" t="str">
        <f>IF($B54="","",$G54*$AB54)</f>
        <v/>
      </c>
      <c r="AN54" s="22" t="str">
        <f>IF($B54="","",$G54*$AC54)</f>
        <v/>
      </c>
      <c r="AO54" s="22" t="str">
        <f>IF($B54="","",AL54+AM54-AN54)</f>
        <v/>
      </c>
      <c r="AP54" s="22" t="str">
        <f>IF($B54="","",($G54-$AD54)*$AA54)</f>
        <v/>
      </c>
      <c r="AQ54" s="22" t="str">
        <f>IF($B54="","",IF($AF54=0,0,($AD54-$AE54)*$AG54/$AF54)*MAX($AA54,$AB54))</f>
        <v/>
      </c>
      <c r="AR54" s="22" t="str">
        <f>IF($B54="","",(AP54+AQ54)*$AC54)</f>
        <v/>
      </c>
      <c r="AS54" s="22" t="str">
        <f>IF($B54="","",AP54+AQ54-AR54)</f>
        <v/>
      </c>
      <c r="AT54" s="22" t="str">
        <f>IF($B54="","",AO54-AS54)</f>
        <v/>
      </c>
      <c r="AU54" s="22" t="str">
        <f>IF($B54="","",IF($AC54=1,N($R54)-($G54-AR54),0))</f>
        <v/>
      </c>
      <c r="AV54" s="22" t="str">
        <f>IF($B54="","",($G54-$AH54)*$AA54)</f>
        <v/>
      </c>
      <c r="AW54" s="22" t="str">
        <f>IF($B54="","",IF($AJ54=0,0,($AH54-$AI54)*$AK54/$AJ54)*MAX($AA54,$AB54))</f>
        <v/>
      </c>
      <c r="AX54" s="22" t="str">
        <f>IF($B54="","",(AV54+AW54)*$AC54)</f>
        <v/>
      </c>
      <c r="AY54" s="22" t="str">
        <f>IF($B54="","",AV54+AW54-AX54)</f>
        <v/>
      </c>
      <c r="AZ54" s="22" t="str">
        <f>IF($B54="","",AO54-AY54)</f>
        <v/>
      </c>
      <c r="BA54" s="22" t="str">
        <f>IF($B54="","",IF($AC54=1,N($R54)-($G54-AX54),0))</f>
        <v/>
      </c>
      <c r="BB54" s="22" t="str">
        <f>IF($B54="","",ROUND(AQ54-AW54,0))</f>
        <v/>
      </c>
      <c r="BC54" s="22" t="str">
        <f>IF($B54="","",ROUND(BA54-AU54,0))</f>
        <v/>
      </c>
      <c r="BD54" s="22" t="str">
        <f>IF($B54="","",BB54+BC54)</f>
        <v/>
      </c>
      <c r="BE54" s="22" t="str">
        <f>IF($B54="","",ROUND(AV54-AP54,0))</f>
        <v/>
      </c>
      <c r="BF54" s="22" t="str">
        <f>IF($B54="","",ROUND(AT54-AZ54,0))</f>
        <v/>
      </c>
      <c r="BG54" s="22" t="str">
        <f>IF($B54="","",ROUND(BF54*TarifPPh,0))</f>
        <v/>
      </c>
      <c r="BH54" t="str">
        <f>IF($B54="","",IF($D54="","Kategori kosong",IF($F54="","Tgl perolehan kosong",IF(N($H54)&gt;$G54,"Residu &gt; harga perolehan",IF(AND(LEFT($U54,8)="Bangunan",$W54="Saldo Menurun"),"Bangunan wajib Garis Lurus (Ps.11 UU PPh)",IF(AND($S54="Unit Produksi",N($K54)=0),"Isi kapasitas unit",IF(AND(OR($S54="Garis Lurus",$S54="Saldo Menurun"),N($T54)&lt;=0),"Umur komersial kosong",IF(AND(OR($W54="Garis Lurus",$W54="Saldo Menurun"),N($V54)&lt;=0),"Masa manfaat fiskal kosong",IF(AND($Q54&lt;&gt;"",$Q54&lt;$F54),"Tgl pelepasan &lt; perolehan","OK")))))))))</f>
        <v/>
      </c>
    </row>
    <row r="55" spans="1:60" x14ac:dyDescent="0.25">
      <c r="A55" t="str">
        <f>IF($B55="","",ROW()-6)</f>
        <v/>
      </c>
      <c r="B55" s="9"/>
      <c r="C55" s="9"/>
      <c r="D55" s="9"/>
      <c r="E55" s="9"/>
      <c r="F55" s="17"/>
      <c r="G55" s="18"/>
      <c r="H55" s="18"/>
      <c r="I55" s="9"/>
      <c r="J55" s="9"/>
      <c r="K55" s="19"/>
      <c r="L55" s="19"/>
      <c r="M55" s="19"/>
      <c r="N55" s="9"/>
      <c r="O55" s="9"/>
      <c r="P55" s="9"/>
      <c r="Q55" s="17"/>
      <c r="R55" s="18"/>
      <c r="S55" t="str">
        <f>IF($B55="","",IF($I55&lt;&gt;"",$I55,IFERROR(INDEX(Kat_Metode,MATCH($D55,Kat_Nama,0)),"")))</f>
        <v/>
      </c>
      <c r="T55" t="str">
        <f>IF($B55="","",IF($J55&lt;&gt;"",$J55,IFERROR(INDEX(Kat_Umur,MATCH($D55,Kat_Nama,0)),0)))</f>
        <v/>
      </c>
      <c r="U55" t="str">
        <f>IF($B55="","",IF($N55&lt;&gt;"",$N55,IFERROR(INDEX(Kat_Kelompok,MATCH($D55,Kat_Nama,0)),"")))</f>
        <v/>
      </c>
      <c r="V55" t="str">
        <f>IF($B55="","",IF($U55="Masa Manfaat Sebenarnya",N($O55),IFERROR(INDEX(Kel_Masa,MATCH($U55,Kel_Nama,0)),0)))</f>
        <v/>
      </c>
      <c r="W55" t="str">
        <f>IF($B55="","",IF($P55&lt;&gt;"",$P55,IF(OR($U55="Tidak Disusutkan",$V55=0),"Tidak Disusutkan","Garis Lurus")))</f>
        <v/>
      </c>
      <c r="X55" t="str">
        <f>IF($B55="","",IF($Y55&gt;TahunBuku*12+12,"Belum Diperoleh",IF($Z55&lt;=TahunBuku*12,"Dilepas (thn lalu)",IF($AC55=1,"Dilepas thn ini",IF($AB55=1,"Perolehan baru","Aktif")))))</f>
        <v/>
      </c>
      <c r="Y55" s="20" t="str">
        <f>IF($B55="","",YEAR($F55)*12+MONTH($F55))</f>
        <v/>
      </c>
      <c r="Z55" s="20" t="str">
        <f>IF($B55="","",IF($Q55="",99999,YEAR($Q55)*12+MONTH($Q55)))</f>
        <v/>
      </c>
      <c r="AA55" s="20" t="str">
        <f>IF($B55="","",--AND($Y55&lt;=TahunBuku*12,$Z55&gt;TahunBuku*12))</f>
        <v/>
      </c>
      <c r="AB55" s="20" t="str">
        <f>IF($B55="","",--AND($Y55&gt;TahunBuku*12,$Y55&lt;=TahunBuku*12+12))</f>
        <v/>
      </c>
      <c r="AC55" s="20" t="str">
        <f>IF($B55="","",--AND($Z55&gt;TahunBuku*12,$Z55&lt;=TahunBuku*12+12,$Y55&lt;=$Z55))</f>
        <v/>
      </c>
      <c r="AD55" s="21" t="str">
        <f>IF($B55="","",IFERROR(IF($S55="Garis Lurus",$G55-($G55-$H55)*MIN($T55*12,MAX(0,TahunBuku*12-$Y55+1))/($T55*12),IF($S55="Saldo Menurun",IF(TahunBuku-1&lt;YEAR($F55),$G55,IF(TahunBuku-1&gt;=INT(($Y55+$T55*12-2)/12),$H55,MAX($H55,$G55*(1-2/$T55*(13-MONTH($F55))/12)*(1-2/$T55)^(TahunBuku-1-YEAR($F55))))),IF($S55="Unit Produksi",$G55-($G55-$H55)*MIN(1,N($L55)/$K55),$G55))),$G55))</f>
        <v/>
      </c>
      <c r="AE55" s="21" t="str">
        <f>IF($B55="","",IFERROR(IF($S55="Garis Lurus",$G55-($G55-$H55)*MIN($T55*12,MAX(0,TahunBuku*12+12-$Y55+1))/($T55*12),IF($S55="Saldo Menurun",IF(TahunBuku&lt;YEAR($F55),$G55,IF(TahunBuku&gt;=INT(($Y55+$T55*12-2)/12),$H55,MAX($H55,$G55*(1-2/$T55*(13-MONTH($F55))/12)*(1-2/$T55)^(TahunBuku-YEAR($F55))))),IF($S55="Unit Produksi",$G55-($G55-$H55)*MIN(1,(N($L55)+N($M55))/$K55),$G55))),$G55))</f>
        <v/>
      </c>
      <c r="AF55" s="20" t="str">
        <f>IF($B55="","",IF(OR($S55="Garis Lurus",$S55="Saldo Menurun",$S55="Unit Produksi"),MAX(0,IF($S55="Unit Produksi",TahunBuku*12+12,MIN(TahunBuku*12+12,$Y55+$T55*12-1))-MAX(TahunBuku*12+1,$Y55)+1),0))</f>
        <v/>
      </c>
      <c r="AG55" s="20" t="str">
        <f>IF($B55="","",IF(OR($S55="Garis Lurus",$S55="Saldo Menurun",$S55="Unit Produksi"),MAX(0,MIN($Z55,IF($S55="Unit Produksi",TahunBuku*12+12,MIN(TahunBuku*12+12,$Y55+$T55*12-1)))-MAX(TahunBuku*12+1,$Y55)+1),0))</f>
        <v/>
      </c>
      <c r="AH55" s="21" t="str">
        <f>IF($B55="","",IFERROR(IF($W55="Garis Lurus",$G55*(1-MIN($V55*12,MAX(0,TahunBuku*12-$Y55+1))/($V55*12)),IF($W55="Saldo Menurun",IF(TahunBuku-1&lt;YEAR($F55),$G55,IF(TahunBuku-1&gt;=INT(($Y55+$V55*12-2)/12),0,$G55*(1-2/$V55*(13-MONTH($F55))/12)*(1-2/$V55)^(TahunBuku-1-YEAR($F55)))),$G55)),$G55))</f>
        <v/>
      </c>
      <c r="AI55" s="21" t="str">
        <f>IF($B55="","",IFERROR(IF($W55="Garis Lurus",$G55*(1-MIN($V55*12,MAX(0,TahunBuku*12+12-$Y55+1))/($V55*12)),IF($W55="Saldo Menurun",IF(TahunBuku&lt;YEAR($F55),$G55,IF(TahunBuku&gt;=INT(($Y55+$V55*12-2)/12),0,$G55*(1-2/$V55*(13-MONTH($F55))/12)*(1-2/$V55)^(TahunBuku-YEAR($F55)))),$G55)),$G55))</f>
        <v/>
      </c>
      <c r="AJ55" s="20" t="str">
        <f>IF($B55="","",IF(OR($W55="Garis Lurus",$W55="Saldo Menurun"),MAX(0,MIN(TahunBuku*12+12,$Y55+$V55*12-1)-MAX(TahunBuku*12+1,$Y55)+1),0))</f>
        <v/>
      </c>
      <c r="AK55" s="20" t="str">
        <f>IF($B55="","",IF(OR($W55="Garis Lurus",$W55="Saldo Menurun"),MAX(0,MIN($Z55,TahunBuku*12+12,$Y55+$V55*12-1)-MAX(TahunBuku*12+1,$Y55)+1),0))</f>
        <v/>
      </c>
      <c r="AL55" s="22" t="str">
        <f>IF($B55="","",$G55*$AA55)</f>
        <v/>
      </c>
      <c r="AM55" s="22" t="str">
        <f>IF($B55="","",$G55*$AB55)</f>
        <v/>
      </c>
      <c r="AN55" s="22" t="str">
        <f>IF($B55="","",$G55*$AC55)</f>
        <v/>
      </c>
      <c r="AO55" s="22" t="str">
        <f>IF($B55="","",AL55+AM55-AN55)</f>
        <v/>
      </c>
      <c r="AP55" s="22" t="str">
        <f>IF($B55="","",($G55-$AD55)*$AA55)</f>
        <v/>
      </c>
      <c r="AQ55" s="22" t="str">
        <f>IF($B55="","",IF($AF55=0,0,($AD55-$AE55)*$AG55/$AF55)*MAX($AA55,$AB55))</f>
        <v/>
      </c>
      <c r="AR55" s="22" t="str">
        <f>IF($B55="","",(AP55+AQ55)*$AC55)</f>
        <v/>
      </c>
      <c r="AS55" s="22" t="str">
        <f>IF($B55="","",AP55+AQ55-AR55)</f>
        <v/>
      </c>
      <c r="AT55" s="22" t="str">
        <f>IF($B55="","",AO55-AS55)</f>
        <v/>
      </c>
      <c r="AU55" s="22" t="str">
        <f>IF($B55="","",IF($AC55=1,N($R55)-($G55-AR55),0))</f>
        <v/>
      </c>
      <c r="AV55" s="22" t="str">
        <f>IF($B55="","",($G55-$AH55)*$AA55)</f>
        <v/>
      </c>
      <c r="AW55" s="22" t="str">
        <f>IF($B55="","",IF($AJ55=0,0,($AH55-$AI55)*$AK55/$AJ55)*MAX($AA55,$AB55))</f>
        <v/>
      </c>
      <c r="AX55" s="22" t="str">
        <f>IF($B55="","",(AV55+AW55)*$AC55)</f>
        <v/>
      </c>
      <c r="AY55" s="22" t="str">
        <f>IF($B55="","",AV55+AW55-AX55)</f>
        <v/>
      </c>
      <c r="AZ55" s="22" t="str">
        <f>IF($B55="","",AO55-AY55)</f>
        <v/>
      </c>
      <c r="BA55" s="22" t="str">
        <f>IF($B55="","",IF($AC55=1,N($R55)-($G55-AX55),0))</f>
        <v/>
      </c>
      <c r="BB55" s="22" t="str">
        <f>IF($B55="","",ROUND(AQ55-AW55,0))</f>
        <v/>
      </c>
      <c r="BC55" s="22" t="str">
        <f>IF($B55="","",ROUND(BA55-AU55,0))</f>
        <v/>
      </c>
      <c r="BD55" s="22" t="str">
        <f>IF($B55="","",BB55+BC55)</f>
        <v/>
      </c>
      <c r="BE55" s="22" t="str">
        <f>IF($B55="","",ROUND(AV55-AP55,0))</f>
        <v/>
      </c>
      <c r="BF55" s="22" t="str">
        <f>IF($B55="","",ROUND(AT55-AZ55,0))</f>
        <v/>
      </c>
      <c r="BG55" s="22" t="str">
        <f>IF($B55="","",ROUND(BF55*TarifPPh,0))</f>
        <v/>
      </c>
      <c r="BH55" t="str">
        <f>IF($B55="","",IF($D55="","Kategori kosong",IF($F55="","Tgl perolehan kosong",IF(N($H55)&gt;$G55,"Residu &gt; harga perolehan",IF(AND(LEFT($U55,8)="Bangunan",$W55="Saldo Menurun"),"Bangunan wajib Garis Lurus (Ps.11 UU PPh)",IF(AND($S55="Unit Produksi",N($K55)=0),"Isi kapasitas unit",IF(AND(OR($S55="Garis Lurus",$S55="Saldo Menurun"),N($T55)&lt;=0),"Umur komersial kosong",IF(AND(OR($W55="Garis Lurus",$W55="Saldo Menurun"),N($V55)&lt;=0),"Masa manfaat fiskal kosong",IF(AND($Q55&lt;&gt;"",$Q55&lt;$F55),"Tgl pelepasan &lt; perolehan","OK")))))))))</f>
        <v/>
      </c>
    </row>
    <row r="56" spans="1:60" x14ac:dyDescent="0.25">
      <c r="A56" t="str">
        <f>IF($B56="","",ROW()-6)</f>
        <v/>
      </c>
      <c r="B56" s="9"/>
      <c r="C56" s="9"/>
      <c r="D56" s="9"/>
      <c r="E56" s="9"/>
      <c r="F56" s="17"/>
      <c r="G56" s="18"/>
      <c r="H56" s="18"/>
      <c r="I56" s="9"/>
      <c r="J56" s="9"/>
      <c r="K56" s="19"/>
      <c r="L56" s="19"/>
      <c r="M56" s="19"/>
      <c r="N56" s="9"/>
      <c r="O56" s="9"/>
      <c r="P56" s="9"/>
      <c r="Q56" s="17"/>
      <c r="R56" s="18"/>
      <c r="S56" t="str">
        <f>IF($B56="","",IF($I56&lt;&gt;"",$I56,IFERROR(INDEX(Kat_Metode,MATCH($D56,Kat_Nama,0)),"")))</f>
        <v/>
      </c>
      <c r="T56" t="str">
        <f>IF($B56="","",IF($J56&lt;&gt;"",$J56,IFERROR(INDEX(Kat_Umur,MATCH($D56,Kat_Nama,0)),0)))</f>
        <v/>
      </c>
      <c r="U56" t="str">
        <f>IF($B56="","",IF($N56&lt;&gt;"",$N56,IFERROR(INDEX(Kat_Kelompok,MATCH($D56,Kat_Nama,0)),"")))</f>
        <v/>
      </c>
      <c r="V56" t="str">
        <f>IF($B56="","",IF($U56="Masa Manfaat Sebenarnya",N($O56),IFERROR(INDEX(Kel_Masa,MATCH($U56,Kel_Nama,0)),0)))</f>
        <v/>
      </c>
      <c r="W56" t="str">
        <f>IF($B56="","",IF($P56&lt;&gt;"",$P56,IF(OR($U56="Tidak Disusutkan",$V56=0),"Tidak Disusutkan","Garis Lurus")))</f>
        <v/>
      </c>
      <c r="X56" t="str">
        <f>IF($B56="","",IF($Y56&gt;TahunBuku*12+12,"Belum Diperoleh",IF($Z56&lt;=TahunBuku*12,"Dilepas (thn lalu)",IF($AC56=1,"Dilepas thn ini",IF($AB56=1,"Perolehan baru","Aktif")))))</f>
        <v/>
      </c>
      <c r="Y56" s="20" t="str">
        <f>IF($B56="","",YEAR($F56)*12+MONTH($F56))</f>
        <v/>
      </c>
      <c r="Z56" s="20" t="str">
        <f>IF($B56="","",IF($Q56="",99999,YEAR($Q56)*12+MONTH($Q56)))</f>
        <v/>
      </c>
      <c r="AA56" s="20" t="str">
        <f>IF($B56="","",--AND($Y56&lt;=TahunBuku*12,$Z56&gt;TahunBuku*12))</f>
        <v/>
      </c>
      <c r="AB56" s="20" t="str">
        <f>IF($B56="","",--AND($Y56&gt;TahunBuku*12,$Y56&lt;=TahunBuku*12+12))</f>
        <v/>
      </c>
      <c r="AC56" s="20" t="str">
        <f>IF($B56="","",--AND($Z56&gt;TahunBuku*12,$Z56&lt;=TahunBuku*12+12,$Y56&lt;=$Z56))</f>
        <v/>
      </c>
      <c r="AD56" s="21" t="str">
        <f>IF($B56="","",IFERROR(IF($S56="Garis Lurus",$G56-($G56-$H56)*MIN($T56*12,MAX(0,TahunBuku*12-$Y56+1))/($T56*12),IF($S56="Saldo Menurun",IF(TahunBuku-1&lt;YEAR($F56),$G56,IF(TahunBuku-1&gt;=INT(($Y56+$T56*12-2)/12),$H56,MAX($H56,$G56*(1-2/$T56*(13-MONTH($F56))/12)*(1-2/$T56)^(TahunBuku-1-YEAR($F56))))),IF($S56="Unit Produksi",$G56-($G56-$H56)*MIN(1,N($L56)/$K56),$G56))),$G56))</f>
        <v/>
      </c>
      <c r="AE56" s="21" t="str">
        <f>IF($B56="","",IFERROR(IF($S56="Garis Lurus",$G56-($G56-$H56)*MIN($T56*12,MAX(0,TahunBuku*12+12-$Y56+1))/($T56*12),IF($S56="Saldo Menurun",IF(TahunBuku&lt;YEAR($F56),$G56,IF(TahunBuku&gt;=INT(($Y56+$T56*12-2)/12),$H56,MAX($H56,$G56*(1-2/$T56*(13-MONTH($F56))/12)*(1-2/$T56)^(TahunBuku-YEAR($F56))))),IF($S56="Unit Produksi",$G56-($G56-$H56)*MIN(1,(N($L56)+N($M56))/$K56),$G56))),$G56))</f>
        <v/>
      </c>
      <c r="AF56" s="20" t="str">
        <f>IF($B56="","",IF(OR($S56="Garis Lurus",$S56="Saldo Menurun",$S56="Unit Produksi"),MAX(0,IF($S56="Unit Produksi",TahunBuku*12+12,MIN(TahunBuku*12+12,$Y56+$T56*12-1))-MAX(TahunBuku*12+1,$Y56)+1),0))</f>
        <v/>
      </c>
      <c r="AG56" s="20" t="str">
        <f>IF($B56="","",IF(OR($S56="Garis Lurus",$S56="Saldo Menurun",$S56="Unit Produksi"),MAX(0,MIN($Z56,IF($S56="Unit Produksi",TahunBuku*12+12,MIN(TahunBuku*12+12,$Y56+$T56*12-1)))-MAX(TahunBuku*12+1,$Y56)+1),0))</f>
        <v/>
      </c>
      <c r="AH56" s="21" t="str">
        <f>IF($B56="","",IFERROR(IF($W56="Garis Lurus",$G56*(1-MIN($V56*12,MAX(0,TahunBuku*12-$Y56+1))/($V56*12)),IF($W56="Saldo Menurun",IF(TahunBuku-1&lt;YEAR($F56),$G56,IF(TahunBuku-1&gt;=INT(($Y56+$V56*12-2)/12),0,$G56*(1-2/$V56*(13-MONTH($F56))/12)*(1-2/$V56)^(TahunBuku-1-YEAR($F56)))),$G56)),$G56))</f>
        <v/>
      </c>
      <c r="AI56" s="21" t="str">
        <f>IF($B56="","",IFERROR(IF($W56="Garis Lurus",$G56*(1-MIN($V56*12,MAX(0,TahunBuku*12+12-$Y56+1))/($V56*12)),IF($W56="Saldo Menurun",IF(TahunBuku&lt;YEAR($F56),$G56,IF(TahunBuku&gt;=INT(($Y56+$V56*12-2)/12),0,$G56*(1-2/$V56*(13-MONTH($F56))/12)*(1-2/$V56)^(TahunBuku-YEAR($F56)))),$G56)),$G56))</f>
        <v/>
      </c>
      <c r="AJ56" s="20" t="str">
        <f>IF($B56="","",IF(OR($W56="Garis Lurus",$W56="Saldo Menurun"),MAX(0,MIN(TahunBuku*12+12,$Y56+$V56*12-1)-MAX(TahunBuku*12+1,$Y56)+1),0))</f>
        <v/>
      </c>
      <c r="AK56" s="20" t="str">
        <f>IF($B56="","",IF(OR($W56="Garis Lurus",$W56="Saldo Menurun"),MAX(0,MIN($Z56,TahunBuku*12+12,$Y56+$V56*12-1)-MAX(TahunBuku*12+1,$Y56)+1),0))</f>
        <v/>
      </c>
      <c r="AL56" s="22" t="str">
        <f>IF($B56="","",$G56*$AA56)</f>
        <v/>
      </c>
      <c r="AM56" s="22" t="str">
        <f>IF($B56="","",$G56*$AB56)</f>
        <v/>
      </c>
      <c r="AN56" s="22" t="str">
        <f>IF($B56="","",$G56*$AC56)</f>
        <v/>
      </c>
      <c r="AO56" s="22" t="str">
        <f>IF($B56="","",AL56+AM56-AN56)</f>
        <v/>
      </c>
      <c r="AP56" s="22" t="str">
        <f>IF($B56="","",($G56-$AD56)*$AA56)</f>
        <v/>
      </c>
      <c r="AQ56" s="22" t="str">
        <f>IF($B56="","",IF($AF56=0,0,($AD56-$AE56)*$AG56/$AF56)*MAX($AA56,$AB56))</f>
        <v/>
      </c>
      <c r="AR56" s="22" t="str">
        <f>IF($B56="","",(AP56+AQ56)*$AC56)</f>
        <v/>
      </c>
      <c r="AS56" s="22" t="str">
        <f>IF($B56="","",AP56+AQ56-AR56)</f>
        <v/>
      </c>
      <c r="AT56" s="22" t="str">
        <f>IF($B56="","",AO56-AS56)</f>
        <v/>
      </c>
      <c r="AU56" s="22" t="str">
        <f>IF($B56="","",IF($AC56=1,N($R56)-($G56-AR56),0))</f>
        <v/>
      </c>
      <c r="AV56" s="22" t="str">
        <f>IF($B56="","",($G56-$AH56)*$AA56)</f>
        <v/>
      </c>
      <c r="AW56" s="22" t="str">
        <f>IF($B56="","",IF($AJ56=0,0,($AH56-$AI56)*$AK56/$AJ56)*MAX($AA56,$AB56))</f>
        <v/>
      </c>
      <c r="AX56" s="22" t="str">
        <f>IF($B56="","",(AV56+AW56)*$AC56)</f>
        <v/>
      </c>
      <c r="AY56" s="22" t="str">
        <f>IF($B56="","",AV56+AW56-AX56)</f>
        <v/>
      </c>
      <c r="AZ56" s="22" t="str">
        <f>IF($B56="","",AO56-AY56)</f>
        <v/>
      </c>
      <c r="BA56" s="22" t="str">
        <f>IF($B56="","",IF($AC56=1,N($R56)-($G56-AX56),0))</f>
        <v/>
      </c>
      <c r="BB56" s="22" t="str">
        <f>IF($B56="","",ROUND(AQ56-AW56,0))</f>
        <v/>
      </c>
      <c r="BC56" s="22" t="str">
        <f>IF($B56="","",ROUND(BA56-AU56,0))</f>
        <v/>
      </c>
      <c r="BD56" s="22" t="str">
        <f>IF($B56="","",BB56+BC56)</f>
        <v/>
      </c>
      <c r="BE56" s="22" t="str">
        <f>IF($B56="","",ROUND(AV56-AP56,0))</f>
        <v/>
      </c>
      <c r="BF56" s="22" t="str">
        <f>IF($B56="","",ROUND(AT56-AZ56,0))</f>
        <v/>
      </c>
      <c r="BG56" s="22" t="str">
        <f>IF($B56="","",ROUND(BF56*TarifPPh,0))</f>
        <v/>
      </c>
      <c r="BH56" t="str">
        <f>IF($B56="","",IF($D56="","Kategori kosong",IF($F56="","Tgl perolehan kosong",IF(N($H56)&gt;$G56,"Residu &gt; harga perolehan",IF(AND(LEFT($U56,8)="Bangunan",$W56="Saldo Menurun"),"Bangunan wajib Garis Lurus (Ps.11 UU PPh)",IF(AND($S56="Unit Produksi",N($K56)=0),"Isi kapasitas unit",IF(AND(OR($S56="Garis Lurus",$S56="Saldo Menurun"),N($T56)&lt;=0),"Umur komersial kosong",IF(AND(OR($W56="Garis Lurus",$W56="Saldo Menurun"),N($V56)&lt;=0),"Masa manfaat fiskal kosong",IF(AND($Q56&lt;&gt;"",$Q56&lt;$F56),"Tgl pelepasan &lt; perolehan","OK")))))))))</f>
        <v/>
      </c>
    </row>
    <row r="57" spans="1:60" x14ac:dyDescent="0.25">
      <c r="A57" t="str">
        <f>IF($B57="","",ROW()-6)</f>
        <v/>
      </c>
      <c r="B57" s="9"/>
      <c r="C57" s="9"/>
      <c r="D57" s="9"/>
      <c r="E57" s="9"/>
      <c r="F57" s="17"/>
      <c r="G57" s="18"/>
      <c r="H57" s="18"/>
      <c r="I57" s="9"/>
      <c r="J57" s="9"/>
      <c r="K57" s="19"/>
      <c r="L57" s="19"/>
      <c r="M57" s="19"/>
      <c r="N57" s="9"/>
      <c r="O57" s="9"/>
      <c r="P57" s="9"/>
      <c r="Q57" s="17"/>
      <c r="R57" s="18"/>
      <c r="S57" t="str">
        <f>IF($B57="","",IF($I57&lt;&gt;"",$I57,IFERROR(INDEX(Kat_Metode,MATCH($D57,Kat_Nama,0)),"")))</f>
        <v/>
      </c>
      <c r="T57" t="str">
        <f>IF($B57="","",IF($J57&lt;&gt;"",$J57,IFERROR(INDEX(Kat_Umur,MATCH($D57,Kat_Nama,0)),0)))</f>
        <v/>
      </c>
      <c r="U57" t="str">
        <f>IF($B57="","",IF($N57&lt;&gt;"",$N57,IFERROR(INDEX(Kat_Kelompok,MATCH($D57,Kat_Nama,0)),"")))</f>
        <v/>
      </c>
      <c r="V57" t="str">
        <f>IF($B57="","",IF($U57="Masa Manfaat Sebenarnya",N($O57),IFERROR(INDEX(Kel_Masa,MATCH($U57,Kel_Nama,0)),0)))</f>
        <v/>
      </c>
      <c r="W57" t="str">
        <f>IF($B57="","",IF($P57&lt;&gt;"",$P57,IF(OR($U57="Tidak Disusutkan",$V57=0),"Tidak Disusutkan","Garis Lurus")))</f>
        <v/>
      </c>
      <c r="X57" t="str">
        <f>IF($B57="","",IF($Y57&gt;TahunBuku*12+12,"Belum Diperoleh",IF($Z57&lt;=TahunBuku*12,"Dilepas (thn lalu)",IF($AC57=1,"Dilepas thn ini",IF($AB57=1,"Perolehan baru","Aktif")))))</f>
        <v/>
      </c>
      <c r="Y57" s="20" t="str">
        <f>IF($B57="","",YEAR($F57)*12+MONTH($F57))</f>
        <v/>
      </c>
      <c r="Z57" s="20" t="str">
        <f>IF($B57="","",IF($Q57="",99999,YEAR($Q57)*12+MONTH($Q57)))</f>
        <v/>
      </c>
      <c r="AA57" s="20" t="str">
        <f>IF($B57="","",--AND($Y57&lt;=TahunBuku*12,$Z57&gt;TahunBuku*12))</f>
        <v/>
      </c>
      <c r="AB57" s="20" t="str">
        <f>IF($B57="","",--AND($Y57&gt;TahunBuku*12,$Y57&lt;=TahunBuku*12+12))</f>
        <v/>
      </c>
      <c r="AC57" s="20" t="str">
        <f>IF($B57="","",--AND($Z57&gt;TahunBuku*12,$Z57&lt;=TahunBuku*12+12,$Y57&lt;=$Z57))</f>
        <v/>
      </c>
      <c r="AD57" s="21" t="str">
        <f>IF($B57="","",IFERROR(IF($S57="Garis Lurus",$G57-($G57-$H57)*MIN($T57*12,MAX(0,TahunBuku*12-$Y57+1))/($T57*12),IF($S57="Saldo Menurun",IF(TahunBuku-1&lt;YEAR($F57),$G57,IF(TahunBuku-1&gt;=INT(($Y57+$T57*12-2)/12),$H57,MAX($H57,$G57*(1-2/$T57*(13-MONTH($F57))/12)*(1-2/$T57)^(TahunBuku-1-YEAR($F57))))),IF($S57="Unit Produksi",$G57-($G57-$H57)*MIN(1,N($L57)/$K57),$G57))),$G57))</f>
        <v/>
      </c>
      <c r="AE57" s="21" t="str">
        <f>IF($B57="","",IFERROR(IF($S57="Garis Lurus",$G57-($G57-$H57)*MIN($T57*12,MAX(0,TahunBuku*12+12-$Y57+1))/($T57*12),IF($S57="Saldo Menurun",IF(TahunBuku&lt;YEAR($F57),$G57,IF(TahunBuku&gt;=INT(($Y57+$T57*12-2)/12),$H57,MAX($H57,$G57*(1-2/$T57*(13-MONTH($F57))/12)*(1-2/$T57)^(TahunBuku-YEAR($F57))))),IF($S57="Unit Produksi",$G57-($G57-$H57)*MIN(1,(N($L57)+N($M57))/$K57),$G57))),$G57))</f>
        <v/>
      </c>
      <c r="AF57" s="20" t="str">
        <f>IF($B57="","",IF(OR($S57="Garis Lurus",$S57="Saldo Menurun",$S57="Unit Produksi"),MAX(0,IF($S57="Unit Produksi",TahunBuku*12+12,MIN(TahunBuku*12+12,$Y57+$T57*12-1))-MAX(TahunBuku*12+1,$Y57)+1),0))</f>
        <v/>
      </c>
      <c r="AG57" s="20" t="str">
        <f>IF($B57="","",IF(OR($S57="Garis Lurus",$S57="Saldo Menurun",$S57="Unit Produksi"),MAX(0,MIN($Z57,IF($S57="Unit Produksi",TahunBuku*12+12,MIN(TahunBuku*12+12,$Y57+$T57*12-1)))-MAX(TahunBuku*12+1,$Y57)+1),0))</f>
        <v/>
      </c>
      <c r="AH57" s="21" t="str">
        <f>IF($B57="","",IFERROR(IF($W57="Garis Lurus",$G57*(1-MIN($V57*12,MAX(0,TahunBuku*12-$Y57+1))/($V57*12)),IF($W57="Saldo Menurun",IF(TahunBuku-1&lt;YEAR($F57),$G57,IF(TahunBuku-1&gt;=INT(($Y57+$V57*12-2)/12),0,$G57*(1-2/$V57*(13-MONTH($F57))/12)*(1-2/$V57)^(TahunBuku-1-YEAR($F57)))),$G57)),$G57))</f>
        <v/>
      </c>
      <c r="AI57" s="21" t="str">
        <f>IF($B57="","",IFERROR(IF($W57="Garis Lurus",$G57*(1-MIN($V57*12,MAX(0,TahunBuku*12+12-$Y57+1))/($V57*12)),IF($W57="Saldo Menurun",IF(TahunBuku&lt;YEAR($F57),$G57,IF(TahunBuku&gt;=INT(($Y57+$V57*12-2)/12),0,$G57*(1-2/$V57*(13-MONTH($F57))/12)*(1-2/$V57)^(TahunBuku-YEAR($F57)))),$G57)),$G57))</f>
        <v/>
      </c>
      <c r="AJ57" s="20" t="str">
        <f>IF($B57="","",IF(OR($W57="Garis Lurus",$W57="Saldo Menurun"),MAX(0,MIN(TahunBuku*12+12,$Y57+$V57*12-1)-MAX(TahunBuku*12+1,$Y57)+1),0))</f>
        <v/>
      </c>
      <c r="AK57" s="20" t="str">
        <f>IF($B57="","",IF(OR($W57="Garis Lurus",$W57="Saldo Menurun"),MAX(0,MIN($Z57,TahunBuku*12+12,$Y57+$V57*12-1)-MAX(TahunBuku*12+1,$Y57)+1),0))</f>
        <v/>
      </c>
      <c r="AL57" s="22" t="str">
        <f>IF($B57="","",$G57*$AA57)</f>
        <v/>
      </c>
      <c r="AM57" s="22" t="str">
        <f>IF($B57="","",$G57*$AB57)</f>
        <v/>
      </c>
      <c r="AN57" s="22" t="str">
        <f>IF($B57="","",$G57*$AC57)</f>
        <v/>
      </c>
      <c r="AO57" s="22" t="str">
        <f>IF($B57="","",AL57+AM57-AN57)</f>
        <v/>
      </c>
      <c r="AP57" s="22" t="str">
        <f>IF($B57="","",($G57-$AD57)*$AA57)</f>
        <v/>
      </c>
      <c r="AQ57" s="22" t="str">
        <f>IF($B57="","",IF($AF57=0,0,($AD57-$AE57)*$AG57/$AF57)*MAX($AA57,$AB57))</f>
        <v/>
      </c>
      <c r="AR57" s="22" t="str">
        <f>IF($B57="","",(AP57+AQ57)*$AC57)</f>
        <v/>
      </c>
      <c r="AS57" s="22" t="str">
        <f>IF($B57="","",AP57+AQ57-AR57)</f>
        <v/>
      </c>
      <c r="AT57" s="22" t="str">
        <f>IF($B57="","",AO57-AS57)</f>
        <v/>
      </c>
      <c r="AU57" s="22" t="str">
        <f>IF($B57="","",IF($AC57=1,N($R57)-($G57-AR57),0))</f>
        <v/>
      </c>
      <c r="AV57" s="22" t="str">
        <f>IF($B57="","",($G57-$AH57)*$AA57)</f>
        <v/>
      </c>
      <c r="AW57" s="22" t="str">
        <f>IF($B57="","",IF($AJ57=0,0,($AH57-$AI57)*$AK57/$AJ57)*MAX($AA57,$AB57))</f>
        <v/>
      </c>
      <c r="AX57" s="22" t="str">
        <f>IF($B57="","",(AV57+AW57)*$AC57)</f>
        <v/>
      </c>
      <c r="AY57" s="22" t="str">
        <f>IF($B57="","",AV57+AW57-AX57)</f>
        <v/>
      </c>
      <c r="AZ57" s="22" t="str">
        <f>IF($B57="","",AO57-AY57)</f>
        <v/>
      </c>
      <c r="BA57" s="22" t="str">
        <f>IF($B57="","",IF($AC57=1,N($R57)-($G57-AX57),0))</f>
        <v/>
      </c>
      <c r="BB57" s="22" t="str">
        <f>IF($B57="","",ROUND(AQ57-AW57,0))</f>
        <v/>
      </c>
      <c r="BC57" s="22" t="str">
        <f>IF($B57="","",ROUND(BA57-AU57,0))</f>
        <v/>
      </c>
      <c r="BD57" s="22" t="str">
        <f>IF($B57="","",BB57+BC57)</f>
        <v/>
      </c>
      <c r="BE57" s="22" t="str">
        <f>IF($B57="","",ROUND(AV57-AP57,0))</f>
        <v/>
      </c>
      <c r="BF57" s="22" t="str">
        <f>IF($B57="","",ROUND(AT57-AZ57,0))</f>
        <v/>
      </c>
      <c r="BG57" s="22" t="str">
        <f>IF($B57="","",ROUND(BF57*TarifPPh,0))</f>
        <v/>
      </c>
      <c r="BH57" t="str">
        <f>IF($B57="","",IF($D57="","Kategori kosong",IF($F57="","Tgl perolehan kosong",IF(N($H57)&gt;$G57,"Residu &gt; harga perolehan",IF(AND(LEFT($U57,8)="Bangunan",$W57="Saldo Menurun"),"Bangunan wajib Garis Lurus (Ps.11 UU PPh)",IF(AND($S57="Unit Produksi",N($K57)=0),"Isi kapasitas unit",IF(AND(OR($S57="Garis Lurus",$S57="Saldo Menurun"),N($T57)&lt;=0),"Umur komersial kosong",IF(AND(OR($W57="Garis Lurus",$W57="Saldo Menurun"),N($V57)&lt;=0),"Masa manfaat fiskal kosong",IF(AND($Q57&lt;&gt;"",$Q57&lt;$F57),"Tgl pelepasan &lt; perolehan","OK")))))))))</f>
        <v/>
      </c>
    </row>
    <row r="58" spans="1:60" x14ac:dyDescent="0.25">
      <c r="A58" t="str">
        <f>IF($B58="","",ROW()-6)</f>
        <v/>
      </c>
      <c r="B58" s="9"/>
      <c r="C58" s="9"/>
      <c r="D58" s="9"/>
      <c r="E58" s="9"/>
      <c r="F58" s="17"/>
      <c r="G58" s="18"/>
      <c r="H58" s="18"/>
      <c r="I58" s="9"/>
      <c r="J58" s="9"/>
      <c r="K58" s="19"/>
      <c r="L58" s="19"/>
      <c r="M58" s="19"/>
      <c r="N58" s="9"/>
      <c r="O58" s="9"/>
      <c r="P58" s="9"/>
      <c r="Q58" s="17"/>
      <c r="R58" s="18"/>
      <c r="S58" t="str">
        <f>IF($B58="","",IF($I58&lt;&gt;"",$I58,IFERROR(INDEX(Kat_Metode,MATCH($D58,Kat_Nama,0)),"")))</f>
        <v/>
      </c>
      <c r="T58" t="str">
        <f>IF($B58="","",IF($J58&lt;&gt;"",$J58,IFERROR(INDEX(Kat_Umur,MATCH($D58,Kat_Nama,0)),0)))</f>
        <v/>
      </c>
      <c r="U58" t="str">
        <f>IF($B58="","",IF($N58&lt;&gt;"",$N58,IFERROR(INDEX(Kat_Kelompok,MATCH($D58,Kat_Nama,0)),"")))</f>
        <v/>
      </c>
      <c r="V58" t="str">
        <f>IF($B58="","",IF($U58="Masa Manfaat Sebenarnya",N($O58),IFERROR(INDEX(Kel_Masa,MATCH($U58,Kel_Nama,0)),0)))</f>
        <v/>
      </c>
      <c r="W58" t="str">
        <f>IF($B58="","",IF($P58&lt;&gt;"",$P58,IF(OR($U58="Tidak Disusutkan",$V58=0),"Tidak Disusutkan","Garis Lurus")))</f>
        <v/>
      </c>
      <c r="X58" t="str">
        <f>IF($B58="","",IF($Y58&gt;TahunBuku*12+12,"Belum Diperoleh",IF($Z58&lt;=TahunBuku*12,"Dilepas (thn lalu)",IF($AC58=1,"Dilepas thn ini",IF($AB58=1,"Perolehan baru","Aktif")))))</f>
        <v/>
      </c>
      <c r="Y58" s="20" t="str">
        <f>IF($B58="","",YEAR($F58)*12+MONTH($F58))</f>
        <v/>
      </c>
      <c r="Z58" s="20" t="str">
        <f>IF($B58="","",IF($Q58="",99999,YEAR($Q58)*12+MONTH($Q58)))</f>
        <v/>
      </c>
      <c r="AA58" s="20" t="str">
        <f>IF($B58="","",--AND($Y58&lt;=TahunBuku*12,$Z58&gt;TahunBuku*12))</f>
        <v/>
      </c>
      <c r="AB58" s="20" t="str">
        <f>IF($B58="","",--AND($Y58&gt;TahunBuku*12,$Y58&lt;=TahunBuku*12+12))</f>
        <v/>
      </c>
      <c r="AC58" s="20" t="str">
        <f>IF($B58="","",--AND($Z58&gt;TahunBuku*12,$Z58&lt;=TahunBuku*12+12,$Y58&lt;=$Z58))</f>
        <v/>
      </c>
      <c r="AD58" s="21" t="str">
        <f>IF($B58="","",IFERROR(IF($S58="Garis Lurus",$G58-($G58-$H58)*MIN($T58*12,MAX(0,TahunBuku*12-$Y58+1))/($T58*12),IF($S58="Saldo Menurun",IF(TahunBuku-1&lt;YEAR($F58),$G58,IF(TahunBuku-1&gt;=INT(($Y58+$T58*12-2)/12),$H58,MAX($H58,$G58*(1-2/$T58*(13-MONTH($F58))/12)*(1-2/$T58)^(TahunBuku-1-YEAR($F58))))),IF($S58="Unit Produksi",$G58-($G58-$H58)*MIN(1,N($L58)/$K58),$G58))),$G58))</f>
        <v/>
      </c>
      <c r="AE58" s="21" t="str">
        <f>IF($B58="","",IFERROR(IF($S58="Garis Lurus",$G58-($G58-$H58)*MIN($T58*12,MAX(0,TahunBuku*12+12-$Y58+1))/($T58*12),IF($S58="Saldo Menurun",IF(TahunBuku&lt;YEAR($F58),$G58,IF(TahunBuku&gt;=INT(($Y58+$T58*12-2)/12),$H58,MAX($H58,$G58*(1-2/$T58*(13-MONTH($F58))/12)*(1-2/$T58)^(TahunBuku-YEAR($F58))))),IF($S58="Unit Produksi",$G58-($G58-$H58)*MIN(1,(N($L58)+N($M58))/$K58),$G58))),$G58))</f>
        <v/>
      </c>
      <c r="AF58" s="20" t="str">
        <f>IF($B58="","",IF(OR($S58="Garis Lurus",$S58="Saldo Menurun",$S58="Unit Produksi"),MAX(0,IF($S58="Unit Produksi",TahunBuku*12+12,MIN(TahunBuku*12+12,$Y58+$T58*12-1))-MAX(TahunBuku*12+1,$Y58)+1),0))</f>
        <v/>
      </c>
      <c r="AG58" s="20" t="str">
        <f>IF($B58="","",IF(OR($S58="Garis Lurus",$S58="Saldo Menurun",$S58="Unit Produksi"),MAX(0,MIN($Z58,IF($S58="Unit Produksi",TahunBuku*12+12,MIN(TahunBuku*12+12,$Y58+$T58*12-1)))-MAX(TahunBuku*12+1,$Y58)+1),0))</f>
        <v/>
      </c>
      <c r="AH58" s="21" t="str">
        <f>IF($B58="","",IFERROR(IF($W58="Garis Lurus",$G58*(1-MIN($V58*12,MAX(0,TahunBuku*12-$Y58+1))/($V58*12)),IF($W58="Saldo Menurun",IF(TahunBuku-1&lt;YEAR($F58),$G58,IF(TahunBuku-1&gt;=INT(($Y58+$V58*12-2)/12),0,$G58*(1-2/$V58*(13-MONTH($F58))/12)*(1-2/$V58)^(TahunBuku-1-YEAR($F58)))),$G58)),$G58))</f>
        <v/>
      </c>
      <c r="AI58" s="21" t="str">
        <f>IF($B58="","",IFERROR(IF($W58="Garis Lurus",$G58*(1-MIN($V58*12,MAX(0,TahunBuku*12+12-$Y58+1))/($V58*12)),IF($W58="Saldo Menurun",IF(TahunBuku&lt;YEAR($F58),$G58,IF(TahunBuku&gt;=INT(($Y58+$V58*12-2)/12),0,$G58*(1-2/$V58*(13-MONTH($F58))/12)*(1-2/$V58)^(TahunBuku-YEAR($F58)))),$G58)),$G58))</f>
        <v/>
      </c>
      <c r="AJ58" s="20" t="str">
        <f>IF($B58="","",IF(OR($W58="Garis Lurus",$W58="Saldo Menurun"),MAX(0,MIN(TahunBuku*12+12,$Y58+$V58*12-1)-MAX(TahunBuku*12+1,$Y58)+1),0))</f>
        <v/>
      </c>
      <c r="AK58" s="20" t="str">
        <f>IF($B58="","",IF(OR($W58="Garis Lurus",$W58="Saldo Menurun"),MAX(0,MIN($Z58,TahunBuku*12+12,$Y58+$V58*12-1)-MAX(TahunBuku*12+1,$Y58)+1),0))</f>
        <v/>
      </c>
      <c r="AL58" s="22" t="str">
        <f>IF($B58="","",$G58*$AA58)</f>
        <v/>
      </c>
      <c r="AM58" s="22" t="str">
        <f>IF($B58="","",$G58*$AB58)</f>
        <v/>
      </c>
      <c r="AN58" s="22" t="str">
        <f>IF($B58="","",$G58*$AC58)</f>
        <v/>
      </c>
      <c r="AO58" s="22" t="str">
        <f>IF($B58="","",AL58+AM58-AN58)</f>
        <v/>
      </c>
      <c r="AP58" s="22" t="str">
        <f>IF($B58="","",($G58-$AD58)*$AA58)</f>
        <v/>
      </c>
      <c r="AQ58" s="22" t="str">
        <f>IF($B58="","",IF($AF58=0,0,($AD58-$AE58)*$AG58/$AF58)*MAX($AA58,$AB58))</f>
        <v/>
      </c>
      <c r="AR58" s="22" t="str">
        <f>IF($B58="","",(AP58+AQ58)*$AC58)</f>
        <v/>
      </c>
      <c r="AS58" s="22" t="str">
        <f>IF($B58="","",AP58+AQ58-AR58)</f>
        <v/>
      </c>
      <c r="AT58" s="22" t="str">
        <f>IF($B58="","",AO58-AS58)</f>
        <v/>
      </c>
      <c r="AU58" s="22" t="str">
        <f>IF($B58="","",IF($AC58=1,N($R58)-($G58-AR58),0))</f>
        <v/>
      </c>
      <c r="AV58" s="22" t="str">
        <f>IF($B58="","",($G58-$AH58)*$AA58)</f>
        <v/>
      </c>
      <c r="AW58" s="22" t="str">
        <f>IF($B58="","",IF($AJ58=0,0,($AH58-$AI58)*$AK58/$AJ58)*MAX($AA58,$AB58))</f>
        <v/>
      </c>
      <c r="AX58" s="22" t="str">
        <f>IF($B58="","",(AV58+AW58)*$AC58)</f>
        <v/>
      </c>
      <c r="AY58" s="22" t="str">
        <f>IF($B58="","",AV58+AW58-AX58)</f>
        <v/>
      </c>
      <c r="AZ58" s="22" t="str">
        <f>IF($B58="","",AO58-AY58)</f>
        <v/>
      </c>
      <c r="BA58" s="22" t="str">
        <f>IF($B58="","",IF($AC58=1,N($R58)-($G58-AX58),0))</f>
        <v/>
      </c>
      <c r="BB58" s="22" t="str">
        <f>IF($B58="","",ROUND(AQ58-AW58,0))</f>
        <v/>
      </c>
      <c r="BC58" s="22" t="str">
        <f>IF($B58="","",ROUND(BA58-AU58,0))</f>
        <v/>
      </c>
      <c r="BD58" s="22" t="str">
        <f>IF($B58="","",BB58+BC58)</f>
        <v/>
      </c>
      <c r="BE58" s="22" t="str">
        <f>IF($B58="","",ROUND(AV58-AP58,0))</f>
        <v/>
      </c>
      <c r="BF58" s="22" t="str">
        <f>IF($B58="","",ROUND(AT58-AZ58,0))</f>
        <v/>
      </c>
      <c r="BG58" s="22" t="str">
        <f>IF($B58="","",ROUND(BF58*TarifPPh,0))</f>
        <v/>
      </c>
      <c r="BH58" t="str">
        <f>IF($B58="","",IF($D58="","Kategori kosong",IF($F58="","Tgl perolehan kosong",IF(N($H58)&gt;$G58,"Residu &gt; harga perolehan",IF(AND(LEFT($U58,8)="Bangunan",$W58="Saldo Menurun"),"Bangunan wajib Garis Lurus (Ps.11 UU PPh)",IF(AND($S58="Unit Produksi",N($K58)=0),"Isi kapasitas unit",IF(AND(OR($S58="Garis Lurus",$S58="Saldo Menurun"),N($T58)&lt;=0),"Umur komersial kosong",IF(AND(OR($W58="Garis Lurus",$W58="Saldo Menurun"),N($V58)&lt;=0),"Masa manfaat fiskal kosong",IF(AND($Q58&lt;&gt;"",$Q58&lt;$F58),"Tgl pelepasan &lt; perolehan","OK")))))))))</f>
        <v/>
      </c>
    </row>
    <row r="59" spans="1:60" x14ac:dyDescent="0.25">
      <c r="A59" t="str">
        <f>IF($B59="","",ROW()-6)</f>
        <v/>
      </c>
      <c r="B59" s="9"/>
      <c r="C59" s="9"/>
      <c r="D59" s="9"/>
      <c r="E59" s="9"/>
      <c r="F59" s="17"/>
      <c r="G59" s="18"/>
      <c r="H59" s="18"/>
      <c r="I59" s="9"/>
      <c r="J59" s="9"/>
      <c r="K59" s="19"/>
      <c r="L59" s="19"/>
      <c r="M59" s="19"/>
      <c r="N59" s="9"/>
      <c r="O59" s="9"/>
      <c r="P59" s="9"/>
      <c r="Q59" s="17"/>
      <c r="R59" s="18"/>
      <c r="S59" t="str">
        <f>IF($B59="","",IF($I59&lt;&gt;"",$I59,IFERROR(INDEX(Kat_Metode,MATCH($D59,Kat_Nama,0)),"")))</f>
        <v/>
      </c>
      <c r="T59" t="str">
        <f>IF($B59="","",IF($J59&lt;&gt;"",$J59,IFERROR(INDEX(Kat_Umur,MATCH($D59,Kat_Nama,0)),0)))</f>
        <v/>
      </c>
      <c r="U59" t="str">
        <f>IF($B59="","",IF($N59&lt;&gt;"",$N59,IFERROR(INDEX(Kat_Kelompok,MATCH($D59,Kat_Nama,0)),"")))</f>
        <v/>
      </c>
      <c r="V59" t="str">
        <f>IF($B59="","",IF($U59="Masa Manfaat Sebenarnya",N($O59),IFERROR(INDEX(Kel_Masa,MATCH($U59,Kel_Nama,0)),0)))</f>
        <v/>
      </c>
      <c r="W59" t="str">
        <f>IF($B59="","",IF($P59&lt;&gt;"",$P59,IF(OR($U59="Tidak Disusutkan",$V59=0),"Tidak Disusutkan","Garis Lurus")))</f>
        <v/>
      </c>
      <c r="X59" t="str">
        <f>IF($B59="","",IF($Y59&gt;TahunBuku*12+12,"Belum Diperoleh",IF($Z59&lt;=TahunBuku*12,"Dilepas (thn lalu)",IF($AC59=1,"Dilepas thn ini",IF($AB59=1,"Perolehan baru","Aktif")))))</f>
        <v/>
      </c>
      <c r="Y59" s="20" t="str">
        <f>IF($B59="","",YEAR($F59)*12+MONTH($F59))</f>
        <v/>
      </c>
      <c r="Z59" s="20" t="str">
        <f>IF($B59="","",IF($Q59="",99999,YEAR($Q59)*12+MONTH($Q59)))</f>
        <v/>
      </c>
      <c r="AA59" s="20" t="str">
        <f>IF($B59="","",--AND($Y59&lt;=TahunBuku*12,$Z59&gt;TahunBuku*12))</f>
        <v/>
      </c>
      <c r="AB59" s="20" t="str">
        <f>IF($B59="","",--AND($Y59&gt;TahunBuku*12,$Y59&lt;=TahunBuku*12+12))</f>
        <v/>
      </c>
      <c r="AC59" s="20" t="str">
        <f>IF($B59="","",--AND($Z59&gt;TahunBuku*12,$Z59&lt;=TahunBuku*12+12,$Y59&lt;=$Z59))</f>
        <v/>
      </c>
      <c r="AD59" s="21" t="str">
        <f>IF($B59="","",IFERROR(IF($S59="Garis Lurus",$G59-($G59-$H59)*MIN($T59*12,MAX(0,TahunBuku*12-$Y59+1))/($T59*12),IF($S59="Saldo Menurun",IF(TahunBuku-1&lt;YEAR($F59),$G59,IF(TahunBuku-1&gt;=INT(($Y59+$T59*12-2)/12),$H59,MAX($H59,$G59*(1-2/$T59*(13-MONTH($F59))/12)*(1-2/$T59)^(TahunBuku-1-YEAR($F59))))),IF($S59="Unit Produksi",$G59-($G59-$H59)*MIN(1,N($L59)/$K59),$G59))),$G59))</f>
        <v/>
      </c>
      <c r="AE59" s="21" t="str">
        <f>IF($B59="","",IFERROR(IF($S59="Garis Lurus",$G59-($G59-$H59)*MIN($T59*12,MAX(0,TahunBuku*12+12-$Y59+1))/($T59*12),IF($S59="Saldo Menurun",IF(TahunBuku&lt;YEAR($F59),$G59,IF(TahunBuku&gt;=INT(($Y59+$T59*12-2)/12),$H59,MAX($H59,$G59*(1-2/$T59*(13-MONTH($F59))/12)*(1-2/$T59)^(TahunBuku-YEAR($F59))))),IF($S59="Unit Produksi",$G59-($G59-$H59)*MIN(1,(N($L59)+N($M59))/$K59),$G59))),$G59))</f>
        <v/>
      </c>
      <c r="AF59" s="20" t="str">
        <f>IF($B59="","",IF(OR($S59="Garis Lurus",$S59="Saldo Menurun",$S59="Unit Produksi"),MAX(0,IF($S59="Unit Produksi",TahunBuku*12+12,MIN(TahunBuku*12+12,$Y59+$T59*12-1))-MAX(TahunBuku*12+1,$Y59)+1),0))</f>
        <v/>
      </c>
      <c r="AG59" s="20" t="str">
        <f>IF($B59="","",IF(OR($S59="Garis Lurus",$S59="Saldo Menurun",$S59="Unit Produksi"),MAX(0,MIN($Z59,IF($S59="Unit Produksi",TahunBuku*12+12,MIN(TahunBuku*12+12,$Y59+$T59*12-1)))-MAX(TahunBuku*12+1,$Y59)+1),0))</f>
        <v/>
      </c>
      <c r="AH59" s="21" t="str">
        <f>IF($B59="","",IFERROR(IF($W59="Garis Lurus",$G59*(1-MIN($V59*12,MAX(0,TahunBuku*12-$Y59+1))/($V59*12)),IF($W59="Saldo Menurun",IF(TahunBuku-1&lt;YEAR($F59),$G59,IF(TahunBuku-1&gt;=INT(($Y59+$V59*12-2)/12),0,$G59*(1-2/$V59*(13-MONTH($F59))/12)*(1-2/$V59)^(TahunBuku-1-YEAR($F59)))),$G59)),$G59))</f>
        <v/>
      </c>
      <c r="AI59" s="21" t="str">
        <f>IF($B59="","",IFERROR(IF($W59="Garis Lurus",$G59*(1-MIN($V59*12,MAX(0,TahunBuku*12+12-$Y59+1))/($V59*12)),IF($W59="Saldo Menurun",IF(TahunBuku&lt;YEAR($F59),$G59,IF(TahunBuku&gt;=INT(($Y59+$V59*12-2)/12),0,$G59*(1-2/$V59*(13-MONTH($F59))/12)*(1-2/$V59)^(TahunBuku-YEAR($F59)))),$G59)),$G59))</f>
        <v/>
      </c>
      <c r="AJ59" s="20" t="str">
        <f>IF($B59="","",IF(OR($W59="Garis Lurus",$W59="Saldo Menurun"),MAX(0,MIN(TahunBuku*12+12,$Y59+$V59*12-1)-MAX(TahunBuku*12+1,$Y59)+1),0))</f>
        <v/>
      </c>
      <c r="AK59" s="20" t="str">
        <f>IF($B59="","",IF(OR($W59="Garis Lurus",$W59="Saldo Menurun"),MAX(0,MIN($Z59,TahunBuku*12+12,$Y59+$V59*12-1)-MAX(TahunBuku*12+1,$Y59)+1),0))</f>
        <v/>
      </c>
      <c r="AL59" s="22" t="str">
        <f>IF($B59="","",$G59*$AA59)</f>
        <v/>
      </c>
      <c r="AM59" s="22" t="str">
        <f>IF($B59="","",$G59*$AB59)</f>
        <v/>
      </c>
      <c r="AN59" s="22" t="str">
        <f>IF($B59="","",$G59*$AC59)</f>
        <v/>
      </c>
      <c r="AO59" s="22" t="str">
        <f>IF($B59="","",AL59+AM59-AN59)</f>
        <v/>
      </c>
      <c r="AP59" s="22" t="str">
        <f>IF($B59="","",($G59-$AD59)*$AA59)</f>
        <v/>
      </c>
      <c r="AQ59" s="22" t="str">
        <f>IF($B59="","",IF($AF59=0,0,($AD59-$AE59)*$AG59/$AF59)*MAX($AA59,$AB59))</f>
        <v/>
      </c>
      <c r="AR59" s="22" t="str">
        <f>IF($B59="","",(AP59+AQ59)*$AC59)</f>
        <v/>
      </c>
      <c r="AS59" s="22" t="str">
        <f>IF($B59="","",AP59+AQ59-AR59)</f>
        <v/>
      </c>
      <c r="AT59" s="22" t="str">
        <f>IF($B59="","",AO59-AS59)</f>
        <v/>
      </c>
      <c r="AU59" s="22" t="str">
        <f>IF($B59="","",IF($AC59=1,N($R59)-($G59-AR59),0))</f>
        <v/>
      </c>
      <c r="AV59" s="22" t="str">
        <f>IF($B59="","",($G59-$AH59)*$AA59)</f>
        <v/>
      </c>
      <c r="AW59" s="22" t="str">
        <f>IF($B59="","",IF($AJ59=0,0,($AH59-$AI59)*$AK59/$AJ59)*MAX($AA59,$AB59))</f>
        <v/>
      </c>
      <c r="AX59" s="22" t="str">
        <f>IF($B59="","",(AV59+AW59)*$AC59)</f>
        <v/>
      </c>
      <c r="AY59" s="22" t="str">
        <f>IF($B59="","",AV59+AW59-AX59)</f>
        <v/>
      </c>
      <c r="AZ59" s="22" t="str">
        <f>IF($B59="","",AO59-AY59)</f>
        <v/>
      </c>
      <c r="BA59" s="22" t="str">
        <f>IF($B59="","",IF($AC59=1,N($R59)-($G59-AX59),0))</f>
        <v/>
      </c>
      <c r="BB59" s="22" t="str">
        <f>IF($B59="","",ROUND(AQ59-AW59,0))</f>
        <v/>
      </c>
      <c r="BC59" s="22" t="str">
        <f>IF($B59="","",ROUND(BA59-AU59,0))</f>
        <v/>
      </c>
      <c r="BD59" s="22" t="str">
        <f>IF($B59="","",BB59+BC59)</f>
        <v/>
      </c>
      <c r="BE59" s="22" t="str">
        <f>IF($B59="","",ROUND(AV59-AP59,0))</f>
        <v/>
      </c>
      <c r="BF59" s="22" t="str">
        <f>IF($B59="","",ROUND(AT59-AZ59,0))</f>
        <v/>
      </c>
      <c r="BG59" s="22" t="str">
        <f>IF($B59="","",ROUND(BF59*TarifPPh,0))</f>
        <v/>
      </c>
      <c r="BH59" t="str">
        <f>IF($B59="","",IF($D59="","Kategori kosong",IF($F59="","Tgl perolehan kosong",IF(N($H59)&gt;$G59,"Residu &gt; harga perolehan",IF(AND(LEFT($U59,8)="Bangunan",$W59="Saldo Menurun"),"Bangunan wajib Garis Lurus (Ps.11 UU PPh)",IF(AND($S59="Unit Produksi",N($K59)=0),"Isi kapasitas unit",IF(AND(OR($S59="Garis Lurus",$S59="Saldo Menurun"),N($T59)&lt;=0),"Umur komersial kosong",IF(AND(OR($W59="Garis Lurus",$W59="Saldo Menurun"),N($V59)&lt;=0),"Masa manfaat fiskal kosong",IF(AND($Q59&lt;&gt;"",$Q59&lt;$F59),"Tgl pelepasan &lt; perolehan","OK")))))))))</f>
        <v/>
      </c>
    </row>
    <row r="60" spans="1:60" x14ac:dyDescent="0.25">
      <c r="A60" t="str">
        <f>IF($B60="","",ROW()-6)</f>
        <v/>
      </c>
      <c r="B60" s="9"/>
      <c r="C60" s="9"/>
      <c r="D60" s="9"/>
      <c r="E60" s="9"/>
      <c r="F60" s="17"/>
      <c r="G60" s="18"/>
      <c r="H60" s="18"/>
      <c r="I60" s="9"/>
      <c r="J60" s="9"/>
      <c r="K60" s="19"/>
      <c r="L60" s="19"/>
      <c r="M60" s="19"/>
      <c r="N60" s="9"/>
      <c r="O60" s="9"/>
      <c r="P60" s="9"/>
      <c r="Q60" s="17"/>
      <c r="R60" s="18"/>
      <c r="S60" t="str">
        <f>IF($B60="","",IF($I60&lt;&gt;"",$I60,IFERROR(INDEX(Kat_Metode,MATCH($D60,Kat_Nama,0)),"")))</f>
        <v/>
      </c>
      <c r="T60" t="str">
        <f>IF($B60="","",IF($J60&lt;&gt;"",$J60,IFERROR(INDEX(Kat_Umur,MATCH($D60,Kat_Nama,0)),0)))</f>
        <v/>
      </c>
      <c r="U60" t="str">
        <f>IF($B60="","",IF($N60&lt;&gt;"",$N60,IFERROR(INDEX(Kat_Kelompok,MATCH($D60,Kat_Nama,0)),"")))</f>
        <v/>
      </c>
      <c r="V60" t="str">
        <f>IF($B60="","",IF($U60="Masa Manfaat Sebenarnya",N($O60),IFERROR(INDEX(Kel_Masa,MATCH($U60,Kel_Nama,0)),0)))</f>
        <v/>
      </c>
      <c r="W60" t="str">
        <f>IF($B60="","",IF($P60&lt;&gt;"",$P60,IF(OR($U60="Tidak Disusutkan",$V60=0),"Tidak Disusutkan","Garis Lurus")))</f>
        <v/>
      </c>
      <c r="X60" t="str">
        <f>IF($B60="","",IF($Y60&gt;TahunBuku*12+12,"Belum Diperoleh",IF($Z60&lt;=TahunBuku*12,"Dilepas (thn lalu)",IF($AC60=1,"Dilepas thn ini",IF($AB60=1,"Perolehan baru","Aktif")))))</f>
        <v/>
      </c>
      <c r="Y60" s="20" t="str">
        <f>IF($B60="","",YEAR($F60)*12+MONTH($F60))</f>
        <v/>
      </c>
      <c r="Z60" s="20" t="str">
        <f>IF($B60="","",IF($Q60="",99999,YEAR($Q60)*12+MONTH($Q60)))</f>
        <v/>
      </c>
      <c r="AA60" s="20" t="str">
        <f>IF($B60="","",--AND($Y60&lt;=TahunBuku*12,$Z60&gt;TahunBuku*12))</f>
        <v/>
      </c>
      <c r="AB60" s="20" t="str">
        <f>IF($B60="","",--AND($Y60&gt;TahunBuku*12,$Y60&lt;=TahunBuku*12+12))</f>
        <v/>
      </c>
      <c r="AC60" s="20" t="str">
        <f>IF($B60="","",--AND($Z60&gt;TahunBuku*12,$Z60&lt;=TahunBuku*12+12,$Y60&lt;=$Z60))</f>
        <v/>
      </c>
      <c r="AD60" s="21" t="str">
        <f>IF($B60="","",IFERROR(IF($S60="Garis Lurus",$G60-($G60-$H60)*MIN($T60*12,MAX(0,TahunBuku*12-$Y60+1))/($T60*12),IF($S60="Saldo Menurun",IF(TahunBuku-1&lt;YEAR($F60),$G60,IF(TahunBuku-1&gt;=INT(($Y60+$T60*12-2)/12),$H60,MAX($H60,$G60*(1-2/$T60*(13-MONTH($F60))/12)*(1-2/$T60)^(TahunBuku-1-YEAR($F60))))),IF($S60="Unit Produksi",$G60-($G60-$H60)*MIN(1,N($L60)/$K60),$G60))),$G60))</f>
        <v/>
      </c>
      <c r="AE60" s="21" t="str">
        <f>IF($B60="","",IFERROR(IF($S60="Garis Lurus",$G60-($G60-$H60)*MIN($T60*12,MAX(0,TahunBuku*12+12-$Y60+1))/($T60*12),IF($S60="Saldo Menurun",IF(TahunBuku&lt;YEAR($F60),$G60,IF(TahunBuku&gt;=INT(($Y60+$T60*12-2)/12),$H60,MAX($H60,$G60*(1-2/$T60*(13-MONTH($F60))/12)*(1-2/$T60)^(TahunBuku-YEAR($F60))))),IF($S60="Unit Produksi",$G60-($G60-$H60)*MIN(1,(N($L60)+N($M60))/$K60),$G60))),$G60))</f>
        <v/>
      </c>
      <c r="AF60" s="20" t="str">
        <f>IF($B60="","",IF(OR($S60="Garis Lurus",$S60="Saldo Menurun",$S60="Unit Produksi"),MAX(0,IF($S60="Unit Produksi",TahunBuku*12+12,MIN(TahunBuku*12+12,$Y60+$T60*12-1))-MAX(TahunBuku*12+1,$Y60)+1),0))</f>
        <v/>
      </c>
      <c r="AG60" s="20" t="str">
        <f>IF($B60="","",IF(OR($S60="Garis Lurus",$S60="Saldo Menurun",$S60="Unit Produksi"),MAX(0,MIN($Z60,IF($S60="Unit Produksi",TahunBuku*12+12,MIN(TahunBuku*12+12,$Y60+$T60*12-1)))-MAX(TahunBuku*12+1,$Y60)+1),0))</f>
        <v/>
      </c>
      <c r="AH60" s="21" t="str">
        <f>IF($B60="","",IFERROR(IF($W60="Garis Lurus",$G60*(1-MIN($V60*12,MAX(0,TahunBuku*12-$Y60+1))/($V60*12)),IF($W60="Saldo Menurun",IF(TahunBuku-1&lt;YEAR($F60),$G60,IF(TahunBuku-1&gt;=INT(($Y60+$V60*12-2)/12),0,$G60*(1-2/$V60*(13-MONTH($F60))/12)*(1-2/$V60)^(TahunBuku-1-YEAR($F60)))),$G60)),$G60))</f>
        <v/>
      </c>
      <c r="AI60" s="21" t="str">
        <f>IF($B60="","",IFERROR(IF($W60="Garis Lurus",$G60*(1-MIN($V60*12,MAX(0,TahunBuku*12+12-$Y60+1))/($V60*12)),IF($W60="Saldo Menurun",IF(TahunBuku&lt;YEAR($F60),$G60,IF(TahunBuku&gt;=INT(($Y60+$V60*12-2)/12),0,$G60*(1-2/$V60*(13-MONTH($F60))/12)*(1-2/$V60)^(TahunBuku-YEAR($F60)))),$G60)),$G60))</f>
        <v/>
      </c>
      <c r="AJ60" s="20" t="str">
        <f>IF($B60="","",IF(OR($W60="Garis Lurus",$W60="Saldo Menurun"),MAX(0,MIN(TahunBuku*12+12,$Y60+$V60*12-1)-MAX(TahunBuku*12+1,$Y60)+1),0))</f>
        <v/>
      </c>
      <c r="AK60" s="20" t="str">
        <f>IF($B60="","",IF(OR($W60="Garis Lurus",$W60="Saldo Menurun"),MAX(0,MIN($Z60,TahunBuku*12+12,$Y60+$V60*12-1)-MAX(TahunBuku*12+1,$Y60)+1),0))</f>
        <v/>
      </c>
      <c r="AL60" s="22" t="str">
        <f>IF($B60="","",$G60*$AA60)</f>
        <v/>
      </c>
      <c r="AM60" s="22" t="str">
        <f>IF($B60="","",$G60*$AB60)</f>
        <v/>
      </c>
      <c r="AN60" s="22" t="str">
        <f>IF($B60="","",$G60*$AC60)</f>
        <v/>
      </c>
      <c r="AO60" s="22" t="str">
        <f>IF($B60="","",AL60+AM60-AN60)</f>
        <v/>
      </c>
      <c r="AP60" s="22" t="str">
        <f>IF($B60="","",($G60-$AD60)*$AA60)</f>
        <v/>
      </c>
      <c r="AQ60" s="22" t="str">
        <f>IF($B60="","",IF($AF60=0,0,($AD60-$AE60)*$AG60/$AF60)*MAX($AA60,$AB60))</f>
        <v/>
      </c>
      <c r="AR60" s="22" t="str">
        <f>IF($B60="","",(AP60+AQ60)*$AC60)</f>
        <v/>
      </c>
      <c r="AS60" s="22" t="str">
        <f>IF($B60="","",AP60+AQ60-AR60)</f>
        <v/>
      </c>
      <c r="AT60" s="22" t="str">
        <f>IF($B60="","",AO60-AS60)</f>
        <v/>
      </c>
      <c r="AU60" s="22" t="str">
        <f>IF($B60="","",IF($AC60=1,N($R60)-($G60-AR60),0))</f>
        <v/>
      </c>
      <c r="AV60" s="22" t="str">
        <f>IF($B60="","",($G60-$AH60)*$AA60)</f>
        <v/>
      </c>
      <c r="AW60" s="22" t="str">
        <f>IF($B60="","",IF($AJ60=0,0,($AH60-$AI60)*$AK60/$AJ60)*MAX($AA60,$AB60))</f>
        <v/>
      </c>
      <c r="AX60" s="22" t="str">
        <f>IF($B60="","",(AV60+AW60)*$AC60)</f>
        <v/>
      </c>
      <c r="AY60" s="22" t="str">
        <f>IF($B60="","",AV60+AW60-AX60)</f>
        <v/>
      </c>
      <c r="AZ60" s="22" t="str">
        <f>IF($B60="","",AO60-AY60)</f>
        <v/>
      </c>
      <c r="BA60" s="22" t="str">
        <f>IF($B60="","",IF($AC60=1,N($R60)-($G60-AX60),0))</f>
        <v/>
      </c>
      <c r="BB60" s="22" t="str">
        <f>IF($B60="","",ROUND(AQ60-AW60,0))</f>
        <v/>
      </c>
      <c r="BC60" s="22" t="str">
        <f>IF($B60="","",ROUND(BA60-AU60,0))</f>
        <v/>
      </c>
      <c r="BD60" s="22" t="str">
        <f>IF($B60="","",BB60+BC60)</f>
        <v/>
      </c>
      <c r="BE60" s="22" t="str">
        <f>IF($B60="","",ROUND(AV60-AP60,0))</f>
        <v/>
      </c>
      <c r="BF60" s="22" t="str">
        <f>IF($B60="","",ROUND(AT60-AZ60,0))</f>
        <v/>
      </c>
      <c r="BG60" s="22" t="str">
        <f>IF($B60="","",ROUND(BF60*TarifPPh,0))</f>
        <v/>
      </c>
      <c r="BH60" t="str">
        <f>IF($B60="","",IF($D60="","Kategori kosong",IF($F60="","Tgl perolehan kosong",IF(N($H60)&gt;$G60,"Residu &gt; harga perolehan",IF(AND(LEFT($U60,8)="Bangunan",$W60="Saldo Menurun"),"Bangunan wajib Garis Lurus (Ps.11 UU PPh)",IF(AND($S60="Unit Produksi",N($K60)=0),"Isi kapasitas unit",IF(AND(OR($S60="Garis Lurus",$S60="Saldo Menurun"),N($T60)&lt;=0),"Umur komersial kosong",IF(AND(OR($W60="Garis Lurus",$W60="Saldo Menurun"),N($V60)&lt;=0),"Masa manfaat fiskal kosong",IF(AND($Q60&lt;&gt;"",$Q60&lt;$F60),"Tgl pelepasan &lt; perolehan","OK")))))))))</f>
        <v/>
      </c>
    </row>
    <row r="61" spans="1:60" x14ac:dyDescent="0.25">
      <c r="A61" t="str">
        <f>IF($B61="","",ROW()-6)</f>
        <v/>
      </c>
      <c r="B61" s="9"/>
      <c r="C61" s="9"/>
      <c r="D61" s="9"/>
      <c r="E61" s="9"/>
      <c r="F61" s="17"/>
      <c r="G61" s="18"/>
      <c r="H61" s="18"/>
      <c r="I61" s="9"/>
      <c r="J61" s="9"/>
      <c r="K61" s="19"/>
      <c r="L61" s="19"/>
      <c r="M61" s="19"/>
      <c r="N61" s="9"/>
      <c r="O61" s="9"/>
      <c r="P61" s="9"/>
      <c r="Q61" s="17"/>
      <c r="R61" s="18"/>
      <c r="S61" t="str">
        <f>IF($B61="","",IF($I61&lt;&gt;"",$I61,IFERROR(INDEX(Kat_Metode,MATCH($D61,Kat_Nama,0)),"")))</f>
        <v/>
      </c>
      <c r="T61" t="str">
        <f>IF($B61="","",IF($J61&lt;&gt;"",$J61,IFERROR(INDEX(Kat_Umur,MATCH($D61,Kat_Nama,0)),0)))</f>
        <v/>
      </c>
      <c r="U61" t="str">
        <f>IF($B61="","",IF($N61&lt;&gt;"",$N61,IFERROR(INDEX(Kat_Kelompok,MATCH($D61,Kat_Nama,0)),"")))</f>
        <v/>
      </c>
      <c r="V61" t="str">
        <f>IF($B61="","",IF($U61="Masa Manfaat Sebenarnya",N($O61),IFERROR(INDEX(Kel_Masa,MATCH($U61,Kel_Nama,0)),0)))</f>
        <v/>
      </c>
      <c r="W61" t="str">
        <f>IF($B61="","",IF($P61&lt;&gt;"",$P61,IF(OR($U61="Tidak Disusutkan",$V61=0),"Tidak Disusutkan","Garis Lurus")))</f>
        <v/>
      </c>
      <c r="X61" t="str">
        <f>IF($B61="","",IF($Y61&gt;TahunBuku*12+12,"Belum Diperoleh",IF($Z61&lt;=TahunBuku*12,"Dilepas (thn lalu)",IF($AC61=1,"Dilepas thn ini",IF($AB61=1,"Perolehan baru","Aktif")))))</f>
        <v/>
      </c>
      <c r="Y61" s="20" t="str">
        <f>IF($B61="","",YEAR($F61)*12+MONTH($F61))</f>
        <v/>
      </c>
      <c r="Z61" s="20" t="str">
        <f>IF($B61="","",IF($Q61="",99999,YEAR($Q61)*12+MONTH($Q61)))</f>
        <v/>
      </c>
      <c r="AA61" s="20" t="str">
        <f>IF($B61="","",--AND($Y61&lt;=TahunBuku*12,$Z61&gt;TahunBuku*12))</f>
        <v/>
      </c>
      <c r="AB61" s="20" t="str">
        <f>IF($B61="","",--AND($Y61&gt;TahunBuku*12,$Y61&lt;=TahunBuku*12+12))</f>
        <v/>
      </c>
      <c r="AC61" s="20" t="str">
        <f>IF($B61="","",--AND($Z61&gt;TahunBuku*12,$Z61&lt;=TahunBuku*12+12,$Y61&lt;=$Z61))</f>
        <v/>
      </c>
      <c r="AD61" s="21" t="str">
        <f>IF($B61="","",IFERROR(IF($S61="Garis Lurus",$G61-($G61-$H61)*MIN($T61*12,MAX(0,TahunBuku*12-$Y61+1))/($T61*12),IF($S61="Saldo Menurun",IF(TahunBuku-1&lt;YEAR($F61),$G61,IF(TahunBuku-1&gt;=INT(($Y61+$T61*12-2)/12),$H61,MAX($H61,$G61*(1-2/$T61*(13-MONTH($F61))/12)*(1-2/$T61)^(TahunBuku-1-YEAR($F61))))),IF($S61="Unit Produksi",$G61-($G61-$H61)*MIN(1,N($L61)/$K61),$G61))),$G61))</f>
        <v/>
      </c>
      <c r="AE61" s="21" t="str">
        <f>IF($B61="","",IFERROR(IF($S61="Garis Lurus",$G61-($G61-$H61)*MIN($T61*12,MAX(0,TahunBuku*12+12-$Y61+1))/($T61*12),IF($S61="Saldo Menurun",IF(TahunBuku&lt;YEAR($F61),$G61,IF(TahunBuku&gt;=INT(($Y61+$T61*12-2)/12),$H61,MAX($H61,$G61*(1-2/$T61*(13-MONTH($F61))/12)*(1-2/$T61)^(TahunBuku-YEAR($F61))))),IF($S61="Unit Produksi",$G61-($G61-$H61)*MIN(1,(N($L61)+N($M61))/$K61),$G61))),$G61))</f>
        <v/>
      </c>
      <c r="AF61" s="20" t="str">
        <f>IF($B61="","",IF(OR($S61="Garis Lurus",$S61="Saldo Menurun",$S61="Unit Produksi"),MAX(0,IF($S61="Unit Produksi",TahunBuku*12+12,MIN(TahunBuku*12+12,$Y61+$T61*12-1))-MAX(TahunBuku*12+1,$Y61)+1),0))</f>
        <v/>
      </c>
      <c r="AG61" s="20" t="str">
        <f>IF($B61="","",IF(OR($S61="Garis Lurus",$S61="Saldo Menurun",$S61="Unit Produksi"),MAX(0,MIN($Z61,IF($S61="Unit Produksi",TahunBuku*12+12,MIN(TahunBuku*12+12,$Y61+$T61*12-1)))-MAX(TahunBuku*12+1,$Y61)+1),0))</f>
        <v/>
      </c>
      <c r="AH61" s="21" t="str">
        <f>IF($B61="","",IFERROR(IF($W61="Garis Lurus",$G61*(1-MIN($V61*12,MAX(0,TahunBuku*12-$Y61+1))/($V61*12)),IF($W61="Saldo Menurun",IF(TahunBuku-1&lt;YEAR($F61),$G61,IF(TahunBuku-1&gt;=INT(($Y61+$V61*12-2)/12),0,$G61*(1-2/$V61*(13-MONTH($F61))/12)*(1-2/$V61)^(TahunBuku-1-YEAR($F61)))),$G61)),$G61))</f>
        <v/>
      </c>
      <c r="AI61" s="21" t="str">
        <f>IF($B61="","",IFERROR(IF($W61="Garis Lurus",$G61*(1-MIN($V61*12,MAX(0,TahunBuku*12+12-$Y61+1))/($V61*12)),IF($W61="Saldo Menurun",IF(TahunBuku&lt;YEAR($F61),$G61,IF(TahunBuku&gt;=INT(($Y61+$V61*12-2)/12),0,$G61*(1-2/$V61*(13-MONTH($F61))/12)*(1-2/$V61)^(TahunBuku-YEAR($F61)))),$G61)),$G61))</f>
        <v/>
      </c>
      <c r="AJ61" s="20" t="str">
        <f>IF($B61="","",IF(OR($W61="Garis Lurus",$W61="Saldo Menurun"),MAX(0,MIN(TahunBuku*12+12,$Y61+$V61*12-1)-MAX(TahunBuku*12+1,$Y61)+1),0))</f>
        <v/>
      </c>
      <c r="AK61" s="20" t="str">
        <f>IF($B61="","",IF(OR($W61="Garis Lurus",$W61="Saldo Menurun"),MAX(0,MIN($Z61,TahunBuku*12+12,$Y61+$V61*12-1)-MAX(TahunBuku*12+1,$Y61)+1),0))</f>
        <v/>
      </c>
      <c r="AL61" s="22" t="str">
        <f>IF($B61="","",$G61*$AA61)</f>
        <v/>
      </c>
      <c r="AM61" s="22" t="str">
        <f>IF($B61="","",$G61*$AB61)</f>
        <v/>
      </c>
      <c r="AN61" s="22" t="str">
        <f>IF($B61="","",$G61*$AC61)</f>
        <v/>
      </c>
      <c r="AO61" s="22" t="str">
        <f>IF($B61="","",AL61+AM61-AN61)</f>
        <v/>
      </c>
      <c r="AP61" s="22" t="str">
        <f>IF($B61="","",($G61-$AD61)*$AA61)</f>
        <v/>
      </c>
      <c r="AQ61" s="22" t="str">
        <f>IF($B61="","",IF($AF61=0,0,($AD61-$AE61)*$AG61/$AF61)*MAX($AA61,$AB61))</f>
        <v/>
      </c>
      <c r="AR61" s="22" t="str">
        <f>IF($B61="","",(AP61+AQ61)*$AC61)</f>
        <v/>
      </c>
      <c r="AS61" s="22" t="str">
        <f>IF($B61="","",AP61+AQ61-AR61)</f>
        <v/>
      </c>
      <c r="AT61" s="22" t="str">
        <f>IF($B61="","",AO61-AS61)</f>
        <v/>
      </c>
      <c r="AU61" s="22" t="str">
        <f>IF($B61="","",IF($AC61=1,N($R61)-($G61-AR61),0))</f>
        <v/>
      </c>
      <c r="AV61" s="22" t="str">
        <f>IF($B61="","",($G61-$AH61)*$AA61)</f>
        <v/>
      </c>
      <c r="AW61" s="22" t="str">
        <f>IF($B61="","",IF($AJ61=0,0,($AH61-$AI61)*$AK61/$AJ61)*MAX($AA61,$AB61))</f>
        <v/>
      </c>
      <c r="AX61" s="22" t="str">
        <f>IF($B61="","",(AV61+AW61)*$AC61)</f>
        <v/>
      </c>
      <c r="AY61" s="22" t="str">
        <f>IF($B61="","",AV61+AW61-AX61)</f>
        <v/>
      </c>
      <c r="AZ61" s="22" t="str">
        <f>IF($B61="","",AO61-AY61)</f>
        <v/>
      </c>
      <c r="BA61" s="22" t="str">
        <f>IF($B61="","",IF($AC61=1,N($R61)-($G61-AX61),0))</f>
        <v/>
      </c>
      <c r="BB61" s="22" t="str">
        <f>IF($B61="","",ROUND(AQ61-AW61,0))</f>
        <v/>
      </c>
      <c r="BC61" s="22" t="str">
        <f>IF($B61="","",ROUND(BA61-AU61,0))</f>
        <v/>
      </c>
      <c r="BD61" s="22" t="str">
        <f>IF($B61="","",BB61+BC61)</f>
        <v/>
      </c>
      <c r="BE61" s="22" t="str">
        <f>IF($B61="","",ROUND(AV61-AP61,0))</f>
        <v/>
      </c>
      <c r="BF61" s="22" t="str">
        <f>IF($B61="","",ROUND(AT61-AZ61,0))</f>
        <v/>
      </c>
      <c r="BG61" s="22" t="str">
        <f>IF($B61="","",ROUND(BF61*TarifPPh,0))</f>
        <v/>
      </c>
      <c r="BH61" t="str">
        <f>IF($B61="","",IF($D61="","Kategori kosong",IF($F61="","Tgl perolehan kosong",IF(N($H61)&gt;$G61,"Residu &gt; harga perolehan",IF(AND(LEFT($U61,8)="Bangunan",$W61="Saldo Menurun"),"Bangunan wajib Garis Lurus (Ps.11 UU PPh)",IF(AND($S61="Unit Produksi",N($K61)=0),"Isi kapasitas unit",IF(AND(OR($S61="Garis Lurus",$S61="Saldo Menurun"),N($T61)&lt;=0),"Umur komersial kosong",IF(AND(OR($W61="Garis Lurus",$W61="Saldo Menurun"),N($V61)&lt;=0),"Masa manfaat fiskal kosong",IF(AND($Q61&lt;&gt;"",$Q61&lt;$F61),"Tgl pelepasan &lt; perolehan","OK")))))))))</f>
        <v/>
      </c>
    </row>
    <row r="62" spans="1:60" x14ac:dyDescent="0.25">
      <c r="A62" t="str">
        <f>IF($B62="","",ROW()-6)</f>
        <v/>
      </c>
      <c r="B62" s="9"/>
      <c r="C62" s="9"/>
      <c r="D62" s="9"/>
      <c r="E62" s="9"/>
      <c r="F62" s="17"/>
      <c r="G62" s="18"/>
      <c r="H62" s="18"/>
      <c r="I62" s="9"/>
      <c r="J62" s="9"/>
      <c r="K62" s="19"/>
      <c r="L62" s="19"/>
      <c r="M62" s="19"/>
      <c r="N62" s="9"/>
      <c r="O62" s="9"/>
      <c r="P62" s="9"/>
      <c r="Q62" s="17"/>
      <c r="R62" s="18"/>
      <c r="S62" t="str">
        <f>IF($B62="","",IF($I62&lt;&gt;"",$I62,IFERROR(INDEX(Kat_Metode,MATCH($D62,Kat_Nama,0)),"")))</f>
        <v/>
      </c>
      <c r="T62" t="str">
        <f>IF($B62="","",IF($J62&lt;&gt;"",$J62,IFERROR(INDEX(Kat_Umur,MATCH($D62,Kat_Nama,0)),0)))</f>
        <v/>
      </c>
      <c r="U62" t="str">
        <f>IF($B62="","",IF($N62&lt;&gt;"",$N62,IFERROR(INDEX(Kat_Kelompok,MATCH($D62,Kat_Nama,0)),"")))</f>
        <v/>
      </c>
      <c r="V62" t="str">
        <f>IF($B62="","",IF($U62="Masa Manfaat Sebenarnya",N($O62),IFERROR(INDEX(Kel_Masa,MATCH($U62,Kel_Nama,0)),0)))</f>
        <v/>
      </c>
      <c r="W62" t="str">
        <f>IF($B62="","",IF($P62&lt;&gt;"",$P62,IF(OR($U62="Tidak Disusutkan",$V62=0),"Tidak Disusutkan","Garis Lurus")))</f>
        <v/>
      </c>
      <c r="X62" t="str">
        <f>IF($B62="","",IF($Y62&gt;TahunBuku*12+12,"Belum Diperoleh",IF($Z62&lt;=TahunBuku*12,"Dilepas (thn lalu)",IF($AC62=1,"Dilepas thn ini",IF($AB62=1,"Perolehan baru","Aktif")))))</f>
        <v/>
      </c>
      <c r="Y62" s="20" t="str">
        <f>IF($B62="","",YEAR($F62)*12+MONTH($F62))</f>
        <v/>
      </c>
      <c r="Z62" s="20" t="str">
        <f>IF($B62="","",IF($Q62="",99999,YEAR($Q62)*12+MONTH($Q62)))</f>
        <v/>
      </c>
      <c r="AA62" s="20" t="str">
        <f>IF($B62="","",--AND($Y62&lt;=TahunBuku*12,$Z62&gt;TahunBuku*12))</f>
        <v/>
      </c>
      <c r="AB62" s="20" t="str">
        <f>IF($B62="","",--AND($Y62&gt;TahunBuku*12,$Y62&lt;=TahunBuku*12+12))</f>
        <v/>
      </c>
      <c r="AC62" s="20" t="str">
        <f>IF($B62="","",--AND($Z62&gt;TahunBuku*12,$Z62&lt;=TahunBuku*12+12,$Y62&lt;=$Z62))</f>
        <v/>
      </c>
      <c r="AD62" s="21" t="str">
        <f>IF($B62="","",IFERROR(IF($S62="Garis Lurus",$G62-($G62-$H62)*MIN($T62*12,MAX(0,TahunBuku*12-$Y62+1))/($T62*12),IF($S62="Saldo Menurun",IF(TahunBuku-1&lt;YEAR($F62),$G62,IF(TahunBuku-1&gt;=INT(($Y62+$T62*12-2)/12),$H62,MAX($H62,$G62*(1-2/$T62*(13-MONTH($F62))/12)*(1-2/$T62)^(TahunBuku-1-YEAR($F62))))),IF($S62="Unit Produksi",$G62-($G62-$H62)*MIN(1,N($L62)/$K62),$G62))),$G62))</f>
        <v/>
      </c>
      <c r="AE62" s="21" t="str">
        <f>IF($B62="","",IFERROR(IF($S62="Garis Lurus",$G62-($G62-$H62)*MIN($T62*12,MAX(0,TahunBuku*12+12-$Y62+1))/($T62*12),IF($S62="Saldo Menurun",IF(TahunBuku&lt;YEAR($F62),$G62,IF(TahunBuku&gt;=INT(($Y62+$T62*12-2)/12),$H62,MAX($H62,$G62*(1-2/$T62*(13-MONTH($F62))/12)*(1-2/$T62)^(TahunBuku-YEAR($F62))))),IF($S62="Unit Produksi",$G62-($G62-$H62)*MIN(1,(N($L62)+N($M62))/$K62),$G62))),$G62))</f>
        <v/>
      </c>
      <c r="AF62" s="20" t="str">
        <f>IF($B62="","",IF(OR($S62="Garis Lurus",$S62="Saldo Menurun",$S62="Unit Produksi"),MAX(0,IF($S62="Unit Produksi",TahunBuku*12+12,MIN(TahunBuku*12+12,$Y62+$T62*12-1))-MAX(TahunBuku*12+1,$Y62)+1),0))</f>
        <v/>
      </c>
      <c r="AG62" s="20" t="str">
        <f>IF($B62="","",IF(OR($S62="Garis Lurus",$S62="Saldo Menurun",$S62="Unit Produksi"),MAX(0,MIN($Z62,IF($S62="Unit Produksi",TahunBuku*12+12,MIN(TahunBuku*12+12,$Y62+$T62*12-1)))-MAX(TahunBuku*12+1,$Y62)+1),0))</f>
        <v/>
      </c>
      <c r="AH62" s="21" t="str">
        <f>IF($B62="","",IFERROR(IF($W62="Garis Lurus",$G62*(1-MIN($V62*12,MAX(0,TahunBuku*12-$Y62+1))/($V62*12)),IF($W62="Saldo Menurun",IF(TahunBuku-1&lt;YEAR($F62),$G62,IF(TahunBuku-1&gt;=INT(($Y62+$V62*12-2)/12),0,$G62*(1-2/$V62*(13-MONTH($F62))/12)*(1-2/$V62)^(TahunBuku-1-YEAR($F62)))),$G62)),$G62))</f>
        <v/>
      </c>
      <c r="AI62" s="21" t="str">
        <f>IF($B62="","",IFERROR(IF($W62="Garis Lurus",$G62*(1-MIN($V62*12,MAX(0,TahunBuku*12+12-$Y62+1))/($V62*12)),IF($W62="Saldo Menurun",IF(TahunBuku&lt;YEAR($F62),$G62,IF(TahunBuku&gt;=INT(($Y62+$V62*12-2)/12),0,$G62*(1-2/$V62*(13-MONTH($F62))/12)*(1-2/$V62)^(TahunBuku-YEAR($F62)))),$G62)),$G62))</f>
        <v/>
      </c>
      <c r="AJ62" s="20" t="str">
        <f>IF($B62="","",IF(OR($W62="Garis Lurus",$W62="Saldo Menurun"),MAX(0,MIN(TahunBuku*12+12,$Y62+$V62*12-1)-MAX(TahunBuku*12+1,$Y62)+1),0))</f>
        <v/>
      </c>
      <c r="AK62" s="20" t="str">
        <f>IF($B62="","",IF(OR($W62="Garis Lurus",$W62="Saldo Menurun"),MAX(0,MIN($Z62,TahunBuku*12+12,$Y62+$V62*12-1)-MAX(TahunBuku*12+1,$Y62)+1),0))</f>
        <v/>
      </c>
      <c r="AL62" s="22" t="str">
        <f>IF($B62="","",$G62*$AA62)</f>
        <v/>
      </c>
      <c r="AM62" s="22" t="str">
        <f>IF($B62="","",$G62*$AB62)</f>
        <v/>
      </c>
      <c r="AN62" s="22" t="str">
        <f>IF($B62="","",$G62*$AC62)</f>
        <v/>
      </c>
      <c r="AO62" s="22" t="str">
        <f>IF($B62="","",AL62+AM62-AN62)</f>
        <v/>
      </c>
      <c r="AP62" s="22" t="str">
        <f>IF($B62="","",($G62-$AD62)*$AA62)</f>
        <v/>
      </c>
      <c r="AQ62" s="22" t="str">
        <f>IF($B62="","",IF($AF62=0,0,($AD62-$AE62)*$AG62/$AF62)*MAX($AA62,$AB62))</f>
        <v/>
      </c>
      <c r="AR62" s="22" t="str">
        <f>IF($B62="","",(AP62+AQ62)*$AC62)</f>
        <v/>
      </c>
      <c r="AS62" s="22" t="str">
        <f>IF($B62="","",AP62+AQ62-AR62)</f>
        <v/>
      </c>
      <c r="AT62" s="22" t="str">
        <f>IF($B62="","",AO62-AS62)</f>
        <v/>
      </c>
      <c r="AU62" s="22" t="str">
        <f>IF($B62="","",IF($AC62=1,N($R62)-($G62-AR62),0))</f>
        <v/>
      </c>
      <c r="AV62" s="22" t="str">
        <f>IF($B62="","",($G62-$AH62)*$AA62)</f>
        <v/>
      </c>
      <c r="AW62" s="22" t="str">
        <f>IF($B62="","",IF($AJ62=0,0,($AH62-$AI62)*$AK62/$AJ62)*MAX($AA62,$AB62))</f>
        <v/>
      </c>
      <c r="AX62" s="22" t="str">
        <f>IF($B62="","",(AV62+AW62)*$AC62)</f>
        <v/>
      </c>
      <c r="AY62" s="22" t="str">
        <f>IF($B62="","",AV62+AW62-AX62)</f>
        <v/>
      </c>
      <c r="AZ62" s="22" t="str">
        <f>IF($B62="","",AO62-AY62)</f>
        <v/>
      </c>
      <c r="BA62" s="22" t="str">
        <f>IF($B62="","",IF($AC62=1,N($R62)-($G62-AX62),0))</f>
        <v/>
      </c>
      <c r="BB62" s="22" t="str">
        <f>IF($B62="","",ROUND(AQ62-AW62,0))</f>
        <v/>
      </c>
      <c r="BC62" s="22" t="str">
        <f>IF($B62="","",ROUND(BA62-AU62,0))</f>
        <v/>
      </c>
      <c r="BD62" s="22" t="str">
        <f>IF($B62="","",BB62+BC62)</f>
        <v/>
      </c>
      <c r="BE62" s="22" t="str">
        <f>IF($B62="","",ROUND(AV62-AP62,0))</f>
        <v/>
      </c>
      <c r="BF62" s="22" t="str">
        <f>IF($B62="","",ROUND(AT62-AZ62,0))</f>
        <v/>
      </c>
      <c r="BG62" s="22" t="str">
        <f>IF($B62="","",ROUND(BF62*TarifPPh,0))</f>
        <v/>
      </c>
      <c r="BH62" t="str">
        <f>IF($B62="","",IF($D62="","Kategori kosong",IF($F62="","Tgl perolehan kosong",IF(N($H62)&gt;$G62,"Residu &gt; harga perolehan",IF(AND(LEFT($U62,8)="Bangunan",$W62="Saldo Menurun"),"Bangunan wajib Garis Lurus (Ps.11 UU PPh)",IF(AND($S62="Unit Produksi",N($K62)=0),"Isi kapasitas unit",IF(AND(OR($S62="Garis Lurus",$S62="Saldo Menurun"),N($T62)&lt;=0),"Umur komersial kosong",IF(AND(OR($W62="Garis Lurus",$W62="Saldo Menurun"),N($V62)&lt;=0),"Masa manfaat fiskal kosong",IF(AND($Q62&lt;&gt;"",$Q62&lt;$F62),"Tgl pelepasan &lt; perolehan","OK")))))))))</f>
        <v/>
      </c>
    </row>
    <row r="63" spans="1:60" x14ac:dyDescent="0.25">
      <c r="A63" t="str">
        <f>IF($B63="","",ROW()-6)</f>
        <v/>
      </c>
      <c r="B63" s="9"/>
      <c r="C63" s="9"/>
      <c r="D63" s="9"/>
      <c r="E63" s="9"/>
      <c r="F63" s="17"/>
      <c r="G63" s="18"/>
      <c r="H63" s="18"/>
      <c r="I63" s="9"/>
      <c r="J63" s="9"/>
      <c r="K63" s="19"/>
      <c r="L63" s="19"/>
      <c r="M63" s="19"/>
      <c r="N63" s="9"/>
      <c r="O63" s="9"/>
      <c r="P63" s="9"/>
      <c r="Q63" s="17"/>
      <c r="R63" s="18"/>
      <c r="S63" t="str">
        <f>IF($B63="","",IF($I63&lt;&gt;"",$I63,IFERROR(INDEX(Kat_Metode,MATCH($D63,Kat_Nama,0)),"")))</f>
        <v/>
      </c>
      <c r="T63" t="str">
        <f>IF($B63="","",IF($J63&lt;&gt;"",$J63,IFERROR(INDEX(Kat_Umur,MATCH($D63,Kat_Nama,0)),0)))</f>
        <v/>
      </c>
      <c r="U63" t="str">
        <f>IF($B63="","",IF($N63&lt;&gt;"",$N63,IFERROR(INDEX(Kat_Kelompok,MATCH($D63,Kat_Nama,0)),"")))</f>
        <v/>
      </c>
      <c r="V63" t="str">
        <f>IF($B63="","",IF($U63="Masa Manfaat Sebenarnya",N($O63),IFERROR(INDEX(Kel_Masa,MATCH($U63,Kel_Nama,0)),0)))</f>
        <v/>
      </c>
      <c r="W63" t="str">
        <f>IF($B63="","",IF($P63&lt;&gt;"",$P63,IF(OR($U63="Tidak Disusutkan",$V63=0),"Tidak Disusutkan","Garis Lurus")))</f>
        <v/>
      </c>
      <c r="X63" t="str">
        <f>IF($B63="","",IF($Y63&gt;TahunBuku*12+12,"Belum Diperoleh",IF($Z63&lt;=TahunBuku*12,"Dilepas (thn lalu)",IF($AC63=1,"Dilepas thn ini",IF($AB63=1,"Perolehan baru","Aktif")))))</f>
        <v/>
      </c>
      <c r="Y63" s="20" t="str">
        <f>IF($B63="","",YEAR($F63)*12+MONTH($F63))</f>
        <v/>
      </c>
      <c r="Z63" s="20" t="str">
        <f>IF($B63="","",IF($Q63="",99999,YEAR($Q63)*12+MONTH($Q63)))</f>
        <v/>
      </c>
      <c r="AA63" s="20" t="str">
        <f>IF($B63="","",--AND($Y63&lt;=TahunBuku*12,$Z63&gt;TahunBuku*12))</f>
        <v/>
      </c>
      <c r="AB63" s="20" t="str">
        <f>IF($B63="","",--AND($Y63&gt;TahunBuku*12,$Y63&lt;=TahunBuku*12+12))</f>
        <v/>
      </c>
      <c r="AC63" s="20" t="str">
        <f>IF($B63="","",--AND($Z63&gt;TahunBuku*12,$Z63&lt;=TahunBuku*12+12,$Y63&lt;=$Z63))</f>
        <v/>
      </c>
      <c r="AD63" s="21" t="str">
        <f>IF($B63="","",IFERROR(IF($S63="Garis Lurus",$G63-($G63-$H63)*MIN($T63*12,MAX(0,TahunBuku*12-$Y63+1))/($T63*12),IF($S63="Saldo Menurun",IF(TahunBuku-1&lt;YEAR($F63),$G63,IF(TahunBuku-1&gt;=INT(($Y63+$T63*12-2)/12),$H63,MAX($H63,$G63*(1-2/$T63*(13-MONTH($F63))/12)*(1-2/$T63)^(TahunBuku-1-YEAR($F63))))),IF($S63="Unit Produksi",$G63-($G63-$H63)*MIN(1,N($L63)/$K63),$G63))),$G63))</f>
        <v/>
      </c>
      <c r="AE63" s="21" t="str">
        <f>IF($B63="","",IFERROR(IF($S63="Garis Lurus",$G63-($G63-$H63)*MIN($T63*12,MAX(0,TahunBuku*12+12-$Y63+1))/($T63*12),IF($S63="Saldo Menurun",IF(TahunBuku&lt;YEAR($F63),$G63,IF(TahunBuku&gt;=INT(($Y63+$T63*12-2)/12),$H63,MAX($H63,$G63*(1-2/$T63*(13-MONTH($F63))/12)*(1-2/$T63)^(TahunBuku-YEAR($F63))))),IF($S63="Unit Produksi",$G63-($G63-$H63)*MIN(1,(N($L63)+N($M63))/$K63),$G63))),$G63))</f>
        <v/>
      </c>
      <c r="AF63" s="20" t="str">
        <f>IF($B63="","",IF(OR($S63="Garis Lurus",$S63="Saldo Menurun",$S63="Unit Produksi"),MAX(0,IF($S63="Unit Produksi",TahunBuku*12+12,MIN(TahunBuku*12+12,$Y63+$T63*12-1))-MAX(TahunBuku*12+1,$Y63)+1),0))</f>
        <v/>
      </c>
      <c r="AG63" s="20" t="str">
        <f>IF($B63="","",IF(OR($S63="Garis Lurus",$S63="Saldo Menurun",$S63="Unit Produksi"),MAX(0,MIN($Z63,IF($S63="Unit Produksi",TahunBuku*12+12,MIN(TahunBuku*12+12,$Y63+$T63*12-1)))-MAX(TahunBuku*12+1,$Y63)+1),0))</f>
        <v/>
      </c>
      <c r="AH63" s="21" t="str">
        <f>IF($B63="","",IFERROR(IF($W63="Garis Lurus",$G63*(1-MIN($V63*12,MAX(0,TahunBuku*12-$Y63+1))/($V63*12)),IF($W63="Saldo Menurun",IF(TahunBuku-1&lt;YEAR($F63),$G63,IF(TahunBuku-1&gt;=INT(($Y63+$V63*12-2)/12),0,$G63*(1-2/$V63*(13-MONTH($F63))/12)*(1-2/$V63)^(TahunBuku-1-YEAR($F63)))),$G63)),$G63))</f>
        <v/>
      </c>
      <c r="AI63" s="21" t="str">
        <f>IF($B63="","",IFERROR(IF($W63="Garis Lurus",$G63*(1-MIN($V63*12,MAX(0,TahunBuku*12+12-$Y63+1))/($V63*12)),IF($W63="Saldo Menurun",IF(TahunBuku&lt;YEAR($F63),$G63,IF(TahunBuku&gt;=INT(($Y63+$V63*12-2)/12),0,$G63*(1-2/$V63*(13-MONTH($F63))/12)*(1-2/$V63)^(TahunBuku-YEAR($F63)))),$G63)),$G63))</f>
        <v/>
      </c>
      <c r="AJ63" s="20" t="str">
        <f>IF($B63="","",IF(OR($W63="Garis Lurus",$W63="Saldo Menurun"),MAX(0,MIN(TahunBuku*12+12,$Y63+$V63*12-1)-MAX(TahunBuku*12+1,$Y63)+1),0))</f>
        <v/>
      </c>
      <c r="AK63" s="20" t="str">
        <f>IF($B63="","",IF(OR($W63="Garis Lurus",$W63="Saldo Menurun"),MAX(0,MIN($Z63,TahunBuku*12+12,$Y63+$V63*12-1)-MAX(TahunBuku*12+1,$Y63)+1),0))</f>
        <v/>
      </c>
      <c r="AL63" s="22" t="str">
        <f>IF($B63="","",$G63*$AA63)</f>
        <v/>
      </c>
      <c r="AM63" s="22" t="str">
        <f>IF($B63="","",$G63*$AB63)</f>
        <v/>
      </c>
      <c r="AN63" s="22" t="str">
        <f>IF($B63="","",$G63*$AC63)</f>
        <v/>
      </c>
      <c r="AO63" s="22" t="str">
        <f>IF($B63="","",AL63+AM63-AN63)</f>
        <v/>
      </c>
      <c r="AP63" s="22" t="str">
        <f>IF($B63="","",($G63-$AD63)*$AA63)</f>
        <v/>
      </c>
      <c r="AQ63" s="22" t="str">
        <f>IF($B63="","",IF($AF63=0,0,($AD63-$AE63)*$AG63/$AF63)*MAX($AA63,$AB63))</f>
        <v/>
      </c>
      <c r="AR63" s="22" t="str">
        <f>IF($B63="","",(AP63+AQ63)*$AC63)</f>
        <v/>
      </c>
      <c r="AS63" s="22" t="str">
        <f>IF($B63="","",AP63+AQ63-AR63)</f>
        <v/>
      </c>
      <c r="AT63" s="22" t="str">
        <f>IF($B63="","",AO63-AS63)</f>
        <v/>
      </c>
      <c r="AU63" s="22" t="str">
        <f>IF($B63="","",IF($AC63=1,N($R63)-($G63-AR63),0))</f>
        <v/>
      </c>
      <c r="AV63" s="22" t="str">
        <f>IF($B63="","",($G63-$AH63)*$AA63)</f>
        <v/>
      </c>
      <c r="AW63" s="22" t="str">
        <f>IF($B63="","",IF($AJ63=0,0,($AH63-$AI63)*$AK63/$AJ63)*MAX($AA63,$AB63))</f>
        <v/>
      </c>
      <c r="AX63" s="22" t="str">
        <f>IF($B63="","",(AV63+AW63)*$AC63)</f>
        <v/>
      </c>
      <c r="AY63" s="22" t="str">
        <f>IF($B63="","",AV63+AW63-AX63)</f>
        <v/>
      </c>
      <c r="AZ63" s="22" t="str">
        <f>IF($B63="","",AO63-AY63)</f>
        <v/>
      </c>
      <c r="BA63" s="22" t="str">
        <f>IF($B63="","",IF($AC63=1,N($R63)-($G63-AX63),0))</f>
        <v/>
      </c>
      <c r="BB63" s="22" t="str">
        <f>IF($B63="","",ROUND(AQ63-AW63,0))</f>
        <v/>
      </c>
      <c r="BC63" s="22" t="str">
        <f>IF($B63="","",ROUND(BA63-AU63,0))</f>
        <v/>
      </c>
      <c r="BD63" s="22" t="str">
        <f>IF($B63="","",BB63+BC63)</f>
        <v/>
      </c>
      <c r="BE63" s="22" t="str">
        <f>IF($B63="","",ROUND(AV63-AP63,0))</f>
        <v/>
      </c>
      <c r="BF63" s="22" t="str">
        <f>IF($B63="","",ROUND(AT63-AZ63,0))</f>
        <v/>
      </c>
      <c r="BG63" s="22" t="str">
        <f>IF($B63="","",ROUND(BF63*TarifPPh,0))</f>
        <v/>
      </c>
      <c r="BH63" t="str">
        <f>IF($B63="","",IF($D63="","Kategori kosong",IF($F63="","Tgl perolehan kosong",IF(N($H63)&gt;$G63,"Residu &gt; harga perolehan",IF(AND(LEFT($U63,8)="Bangunan",$W63="Saldo Menurun"),"Bangunan wajib Garis Lurus (Ps.11 UU PPh)",IF(AND($S63="Unit Produksi",N($K63)=0),"Isi kapasitas unit",IF(AND(OR($S63="Garis Lurus",$S63="Saldo Menurun"),N($T63)&lt;=0),"Umur komersial kosong",IF(AND(OR($W63="Garis Lurus",$W63="Saldo Menurun"),N($V63)&lt;=0),"Masa manfaat fiskal kosong",IF(AND($Q63&lt;&gt;"",$Q63&lt;$F63),"Tgl pelepasan &lt; perolehan","OK")))))))))</f>
        <v/>
      </c>
    </row>
    <row r="64" spans="1:60" x14ac:dyDescent="0.25">
      <c r="A64" t="str">
        <f>IF($B64="","",ROW()-6)</f>
        <v/>
      </c>
      <c r="B64" s="9"/>
      <c r="C64" s="9"/>
      <c r="D64" s="9"/>
      <c r="E64" s="9"/>
      <c r="F64" s="17"/>
      <c r="G64" s="18"/>
      <c r="H64" s="18"/>
      <c r="I64" s="9"/>
      <c r="J64" s="9"/>
      <c r="K64" s="19"/>
      <c r="L64" s="19"/>
      <c r="M64" s="19"/>
      <c r="N64" s="9"/>
      <c r="O64" s="9"/>
      <c r="P64" s="9"/>
      <c r="Q64" s="17"/>
      <c r="R64" s="18"/>
      <c r="S64" t="str">
        <f>IF($B64="","",IF($I64&lt;&gt;"",$I64,IFERROR(INDEX(Kat_Metode,MATCH($D64,Kat_Nama,0)),"")))</f>
        <v/>
      </c>
      <c r="T64" t="str">
        <f>IF($B64="","",IF($J64&lt;&gt;"",$J64,IFERROR(INDEX(Kat_Umur,MATCH($D64,Kat_Nama,0)),0)))</f>
        <v/>
      </c>
      <c r="U64" t="str">
        <f>IF($B64="","",IF($N64&lt;&gt;"",$N64,IFERROR(INDEX(Kat_Kelompok,MATCH($D64,Kat_Nama,0)),"")))</f>
        <v/>
      </c>
      <c r="V64" t="str">
        <f>IF($B64="","",IF($U64="Masa Manfaat Sebenarnya",N($O64),IFERROR(INDEX(Kel_Masa,MATCH($U64,Kel_Nama,0)),0)))</f>
        <v/>
      </c>
      <c r="W64" t="str">
        <f>IF($B64="","",IF($P64&lt;&gt;"",$P64,IF(OR($U64="Tidak Disusutkan",$V64=0),"Tidak Disusutkan","Garis Lurus")))</f>
        <v/>
      </c>
      <c r="X64" t="str">
        <f>IF($B64="","",IF($Y64&gt;TahunBuku*12+12,"Belum Diperoleh",IF($Z64&lt;=TahunBuku*12,"Dilepas (thn lalu)",IF($AC64=1,"Dilepas thn ini",IF($AB64=1,"Perolehan baru","Aktif")))))</f>
        <v/>
      </c>
      <c r="Y64" s="20" t="str">
        <f>IF($B64="","",YEAR($F64)*12+MONTH($F64))</f>
        <v/>
      </c>
      <c r="Z64" s="20" t="str">
        <f>IF($B64="","",IF($Q64="",99999,YEAR($Q64)*12+MONTH($Q64)))</f>
        <v/>
      </c>
      <c r="AA64" s="20" t="str">
        <f>IF($B64="","",--AND($Y64&lt;=TahunBuku*12,$Z64&gt;TahunBuku*12))</f>
        <v/>
      </c>
      <c r="AB64" s="20" t="str">
        <f>IF($B64="","",--AND($Y64&gt;TahunBuku*12,$Y64&lt;=TahunBuku*12+12))</f>
        <v/>
      </c>
      <c r="AC64" s="20" t="str">
        <f>IF($B64="","",--AND($Z64&gt;TahunBuku*12,$Z64&lt;=TahunBuku*12+12,$Y64&lt;=$Z64))</f>
        <v/>
      </c>
      <c r="AD64" s="21" t="str">
        <f>IF($B64="","",IFERROR(IF($S64="Garis Lurus",$G64-($G64-$H64)*MIN($T64*12,MAX(0,TahunBuku*12-$Y64+1))/($T64*12),IF($S64="Saldo Menurun",IF(TahunBuku-1&lt;YEAR($F64),$G64,IF(TahunBuku-1&gt;=INT(($Y64+$T64*12-2)/12),$H64,MAX($H64,$G64*(1-2/$T64*(13-MONTH($F64))/12)*(1-2/$T64)^(TahunBuku-1-YEAR($F64))))),IF($S64="Unit Produksi",$G64-($G64-$H64)*MIN(1,N($L64)/$K64),$G64))),$G64))</f>
        <v/>
      </c>
      <c r="AE64" s="21" t="str">
        <f>IF($B64="","",IFERROR(IF($S64="Garis Lurus",$G64-($G64-$H64)*MIN($T64*12,MAX(0,TahunBuku*12+12-$Y64+1))/($T64*12),IF($S64="Saldo Menurun",IF(TahunBuku&lt;YEAR($F64),$G64,IF(TahunBuku&gt;=INT(($Y64+$T64*12-2)/12),$H64,MAX($H64,$G64*(1-2/$T64*(13-MONTH($F64))/12)*(1-2/$T64)^(TahunBuku-YEAR($F64))))),IF($S64="Unit Produksi",$G64-($G64-$H64)*MIN(1,(N($L64)+N($M64))/$K64),$G64))),$G64))</f>
        <v/>
      </c>
      <c r="AF64" s="20" t="str">
        <f>IF($B64="","",IF(OR($S64="Garis Lurus",$S64="Saldo Menurun",$S64="Unit Produksi"),MAX(0,IF($S64="Unit Produksi",TahunBuku*12+12,MIN(TahunBuku*12+12,$Y64+$T64*12-1))-MAX(TahunBuku*12+1,$Y64)+1),0))</f>
        <v/>
      </c>
      <c r="AG64" s="20" t="str">
        <f>IF($B64="","",IF(OR($S64="Garis Lurus",$S64="Saldo Menurun",$S64="Unit Produksi"),MAX(0,MIN($Z64,IF($S64="Unit Produksi",TahunBuku*12+12,MIN(TahunBuku*12+12,$Y64+$T64*12-1)))-MAX(TahunBuku*12+1,$Y64)+1),0))</f>
        <v/>
      </c>
      <c r="AH64" s="21" t="str">
        <f>IF($B64="","",IFERROR(IF($W64="Garis Lurus",$G64*(1-MIN($V64*12,MAX(0,TahunBuku*12-$Y64+1))/($V64*12)),IF($W64="Saldo Menurun",IF(TahunBuku-1&lt;YEAR($F64),$G64,IF(TahunBuku-1&gt;=INT(($Y64+$V64*12-2)/12),0,$G64*(1-2/$V64*(13-MONTH($F64))/12)*(1-2/$V64)^(TahunBuku-1-YEAR($F64)))),$G64)),$G64))</f>
        <v/>
      </c>
      <c r="AI64" s="21" t="str">
        <f>IF($B64="","",IFERROR(IF($W64="Garis Lurus",$G64*(1-MIN($V64*12,MAX(0,TahunBuku*12+12-$Y64+1))/($V64*12)),IF($W64="Saldo Menurun",IF(TahunBuku&lt;YEAR($F64),$G64,IF(TahunBuku&gt;=INT(($Y64+$V64*12-2)/12),0,$G64*(1-2/$V64*(13-MONTH($F64))/12)*(1-2/$V64)^(TahunBuku-YEAR($F64)))),$G64)),$G64))</f>
        <v/>
      </c>
      <c r="AJ64" s="20" t="str">
        <f>IF($B64="","",IF(OR($W64="Garis Lurus",$W64="Saldo Menurun"),MAX(0,MIN(TahunBuku*12+12,$Y64+$V64*12-1)-MAX(TahunBuku*12+1,$Y64)+1),0))</f>
        <v/>
      </c>
      <c r="AK64" s="20" t="str">
        <f>IF($B64="","",IF(OR($W64="Garis Lurus",$W64="Saldo Menurun"),MAX(0,MIN($Z64,TahunBuku*12+12,$Y64+$V64*12-1)-MAX(TahunBuku*12+1,$Y64)+1),0))</f>
        <v/>
      </c>
      <c r="AL64" s="22" t="str">
        <f>IF($B64="","",$G64*$AA64)</f>
        <v/>
      </c>
      <c r="AM64" s="22" t="str">
        <f>IF($B64="","",$G64*$AB64)</f>
        <v/>
      </c>
      <c r="AN64" s="22" t="str">
        <f>IF($B64="","",$G64*$AC64)</f>
        <v/>
      </c>
      <c r="AO64" s="22" t="str">
        <f>IF($B64="","",AL64+AM64-AN64)</f>
        <v/>
      </c>
      <c r="AP64" s="22" t="str">
        <f>IF($B64="","",($G64-$AD64)*$AA64)</f>
        <v/>
      </c>
      <c r="AQ64" s="22" t="str">
        <f>IF($B64="","",IF($AF64=0,0,($AD64-$AE64)*$AG64/$AF64)*MAX($AA64,$AB64))</f>
        <v/>
      </c>
      <c r="AR64" s="22" t="str">
        <f>IF($B64="","",(AP64+AQ64)*$AC64)</f>
        <v/>
      </c>
      <c r="AS64" s="22" t="str">
        <f>IF($B64="","",AP64+AQ64-AR64)</f>
        <v/>
      </c>
      <c r="AT64" s="22" t="str">
        <f>IF($B64="","",AO64-AS64)</f>
        <v/>
      </c>
      <c r="AU64" s="22" t="str">
        <f>IF($B64="","",IF($AC64=1,N($R64)-($G64-AR64),0))</f>
        <v/>
      </c>
      <c r="AV64" s="22" t="str">
        <f>IF($B64="","",($G64-$AH64)*$AA64)</f>
        <v/>
      </c>
      <c r="AW64" s="22" t="str">
        <f>IF($B64="","",IF($AJ64=0,0,($AH64-$AI64)*$AK64/$AJ64)*MAX($AA64,$AB64))</f>
        <v/>
      </c>
      <c r="AX64" s="22" t="str">
        <f>IF($B64="","",(AV64+AW64)*$AC64)</f>
        <v/>
      </c>
      <c r="AY64" s="22" t="str">
        <f>IF($B64="","",AV64+AW64-AX64)</f>
        <v/>
      </c>
      <c r="AZ64" s="22" t="str">
        <f>IF($B64="","",AO64-AY64)</f>
        <v/>
      </c>
      <c r="BA64" s="22" t="str">
        <f>IF($B64="","",IF($AC64=1,N($R64)-($G64-AX64),0))</f>
        <v/>
      </c>
      <c r="BB64" s="22" t="str">
        <f>IF($B64="","",ROUND(AQ64-AW64,0))</f>
        <v/>
      </c>
      <c r="BC64" s="22" t="str">
        <f>IF($B64="","",ROUND(BA64-AU64,0))</f>
        <v/>
      </c>
      <c r="BD64" s="22" t="str">
        <f>IF($B64="","",BB64+BC64)</f>
        <v/>
      </c>
      <c r="BE64" s="22" t="str">
        <f>IF($B64="","",ROUND(AV64-AP64,0))</f>
        <v/>
      </c>
      <c r="BF64" s="22" t="str">
        <f>IF($B64="","",ROUND(AT64-AZ64,0))</f>
        <v/>
      </c>
      <c r="BG64" s="22" t="str">
        <f>IF($B64="","",ROUND(BF64*TarifPPh,0))</f>
        <v/>
      </c>
      <c r="BH64" t="str">
        <f>IF($B64="","",IF($D64="","Kategori kosong",IF($F64="","Tgl perolehan kosong",IF(N($H64)&gt;$G64,"Residu &gt; harga perolehan",IF(AND(LEFT($U64,8)="Bangunan",$W64="Saldo Menurun"),"Bangunan wajib Garis Lurus (Ps.11 UU PPh)",IF(AND($S64="Unit Produksi",N($K64)=0),"Isi kapasitas unit",IF(AND(OR($S64="Garis Lurus",$S64="Saldo Menurun"),N($T64)&lt;=0),"Umur komersial kosong",IF(AND(OR($W64="Garis Lurus",$W64="Saldo Menurun"),N($V64)&lt;=0),"Masa manfaat fiskal kosong",IF(AND($Q64&lt;&gt;"",$Q64&lt;$F64),"Tgl pelepasan &lt; perolehan","OK")))))))))</f>
        <v/>
      </c>
    </row>
    <row r="65" spans="1:60" x14ac:dyDescent="0.25">
      <c r="A65" t="str">
        <f>IF($B65="","",ROW()-6)</f>
        <v/>
      </c>
      <c r="B65" s="9"/>
      <c r="C65" s="9"/>
      <c r="D65" s="9"/>
      <c r="E65" s="9"/>
      <c r="F65" s="17"/>
      <c r="G65" s="18"/>
      <c r="H65" s="18"/>
      <c r="I65" s="9"/>
      <c r="J65" s="9"/>
      <c r="K65" s="19"/>
      <c r="L65" s="19"/>
      <c r="M65" s="19"/>
      <c r="N65" s="9"/>
      <c r="O65" s="9"/>
      <c r="P65" s="9"/>
      <c r="Q65" s="17"/>
      <c r="R65" s="18"/>
      <c r="S65" t="str">
        <f>IF($B65="","",IF($I65&lt;&gt;"",$I65,IFERROR(INDEX(Kat_Metode,MATCH($D65,Kat_Nama,0)),"")))</f>
        <v/>
      </c>
      <c r="T65" t="str">
        <f>IF($B65="","",IF($J65&lt;&gt;"",$J65,IFERROR(INDEX(Kat_Umur,MATCH($D65,Kat_Nama,0)),0)))</f>
        <v/>
      </c>
      <c r="U65" t="str">
        <f>IF($B65="","",IF($N65&lt;&gt;"",$N65,IFERROR(INDEX(Kat_Kelompok,MATCH($D65,Kat_Nama,0)),"")))</f>
        <v/>
      </c>
      <c r="V65" t="str">
        <f>IF($B65="","",IF($U65="Masa Manfaat Sebenarnya",N($O65),IFERROR(INDEX(Kel_Masa,MATCH($U65,Kel_Nama,0)),0)))</f>
        <v/>
      </c>
      <c r="W65" t="str">
        <f>IF($B65="","",IF($P65&lt;&gt;"",$P65,IF(OR($U65="Tidak Disusutkan",$V65=0),"Tidak Disusutkan","Garis Lurus")))</f>
        <v/>
      </c>
      <c r="X65" t="str">
        <f>IF($B65="","",IF($Y65&gt;TahunBuku*12+12,"Belum Diperoleh",IF($Z65&lt;=TahunBuku*12,"Dilepas (thn lalu)",IF($AC65=1,"Dilepas thn ini",IF($AB65=1,"Perolehan baru","Aktif")))))</f>
        <v/>
      </c>
      <c r="Y65" s="20" t="str">
        <f>IF($B65="","",YEAR($F65)*12+MONTH($F65))</f>
        <v/>
      </c>
      <c r="Z65" s="20" t="str">
        <f>IF($B65="","",IF($Q65="",99999,YEAR($Q65)*12+MONTH($Q65)))</f>
        <v/>
      </c>
      <c r="AA65" s="20" t="str">
        <f>IF($B65="","",--AND($Y65&lt;=TahunBuku*12,$Z65&gt;TahunBuku*12))</f>
        <v/>
      </c>
      <c r="AB65" s="20" t="str">
        <f>IF($B65="","",--AND($Y65&gt;TahunBuku*12,$Y65&lt;=TahunBuku*12+12))</f>
        <v/>
      </c>
      <c r="AC65" s="20" t="str">
        <f>IF($B65="","",--AND($Z65&gt;TahunBuku*12,$Z65&lt;=TahunBuku*12+12,$Y65&lt;=$Z65))</f>
        <v/>
      </c>
      <c r="AD65" s="21" t="str">
        <f>IF($B65="","",IFERROR(IF($S65="Garis Lurus",$G65-($G65-$H65)*MIN($T65*12,MAX(0,TahunBuku*12-$Y65+1))/($T65*12),IF($S65="Saldo Menurun",IF(TahunBuku-1&lt;YEAR($F65),$G65,IF(TahunBuku-1&gt;=INT(($Y65+$T65*12-2)/12),$H65,MAX($H65,$G65*(1-2/$T65*(13-MONTH($F65))/12)*(1-2/$T65)^(TahunBuku-1-YEAR($F65))))),IF($S65="Unit Produksi",$G65-($G65-$H65)*MIN(1,N($L65)/$K65),$G65))),$G65))</f>
        <v/>
      </c>
      <c r="AE65" s="21" t="str">
        <f>IF($B65="","",IFERROR(IF($S65="Garis Lurus",$G65-($G65-$H65)*MIN($T65*12,MAX(0,TahunBuku*12+12-$Y65+1))/($T65*12),IF($S65="Saldo Menurun",IF(TahunBuku&lt;YEAR($F65),$G65,IF(TahunBuku&gt;=INT(($Y65+$T65*12-2)/12),$H65,MAX($H65,$G65*(1-2/$T65*(13-MONTH($F65))/12)*(1-2/$T65)^(TahunBuku-YEAR($F65))))),IF($S65="Unit Produksi",$G65-($G65-$H65)*MIN(1,(N($L65)+N($M65))/$K65),$G65))),$G65))</f>
        <v/>
      </c>
      <c r="AF65" s="20" t="str">
        <f>IF($B65="","",IF(OR($S65="Garis Lurus",$S65="Saldo Menurun",$S65="Unit Produksi"),MAX(0,IF($S65="Unit Produksi",TahunBuku*12+12,MIN(TahunBuku*12+12,$Y65+$T65*12-1))-MAX(TahunBuku*12+1,$Y65)+1),0))</f>
        <v/>
      </c>
      <c r="AG65" s="20" t="str">
        <f>IF($B65="","",IF(OR($S65="Garis Lurus",$S65="Saldo Menurun",$S65="Unit Produksi"),MAX(0,MIN($Z65,IF($S65="Unit Produksi",TahunBuku*12+12,MIN(TahunBuku*12+12,$Y65+$T65*12-1)))-MAX(TahunBuku*12+1,$Y65)+1),0))</f>
        <v/>
      </c>
      <c r="AH65" s="21" t="str">
        <f>IF($B65="","",IFERROR(IF($W65="Garis Lurus",$G65*(1-MIN($V65*12,MAX(0,TahunBuku*12-$Y65+1))/($V65*12)),IF($W65="Saldo Menurun",IF(TahunBuku-1&lt;YEAR($F65),$G65,IF(TahunBuku-1&gt;=INT(($Y65+$V65*12-2)/12),0,$G65*(1-2/$V65*(13-MONTH($F65))/12)*(1-2/$V65)^(TahunBuku-1-YEAR($F65)))),$G65)),$G65))</f>
        <v/>
      </c>
      <c r="AI65" s="21" t="str">
        <f>IF($B65="","",IFERROR(IF($W65="Garis Lurus",$G65*(1-MIN($V65*12,MAX(0,TahunBuku*12+12-$Y65+1))/($V65*12)),IF($W65="Saldo Menurun",IF(TahunBuku&lt;YEAR($F65),$G65,IF(TahunBuku&gt;=INT(($Y65+$V65*12-2)/12),0,$G65*(1-2/$V65*(13-MONTH($F65))/12)*(1-2/$V65)^(TahunBuku-YEAR($F65)))),$G65)),$G65))</f>
        <v/>
      </c>
      <c r="AJ65" s="20" t="str">
        <f>IF($B65="","",IF(OR($W65="Garis Lurus",$W65="Saldo Menurun"),MAX(0,MIN(TahunBuku*12+12,$Y65+$V65*12-1)-MAX(TahunBuku*12+1,$Y65)+1),0))</f>
        <v/>
      </c>
      <c r="AK65" s="20" t="str">
        <f>IF($B65="","",IF(OR($W65="Garis Lurus",$W65="Saldo Menurun"),MAX(0,MIN($Z65,TahunBuku*12+12,$Y65+$V65*12-1)-MAX(TahunBuku*12+1,$Y65)+1),0))</f>
        <v/>
      </c>
      <c r="AL65" s="22" t="str">
        <f>IF($B65="","",$G65*$AA65)</f>
        <v/>
      </c>
      <c r="AM65" s="22" t="str">
        <f>IF($B65="","",$G65*$AB65)</f>
        <v/>
      </c>
      <c r="AN65" s="22" t="str">
        <f>IF($B65="","",$G65*$AC65)</f>
        <v/>
      </c>
      <c r="AO65" s="22" t="str">
        <f>IF($B65="","",AL65+AM65-AN65)</f>
        <v/>
      </c>
      <c r="AP65" s="22" t="str">
        <f>IF($B65="","",($G65-$AD65)*$AA65)</f>
        <v/>
      </c>
      <c r="AQ65" s="22" t="str">
        <f>IF($B65="","",IF($AF65=0,0,($AD65-$AE65)*$AG65/$AF65)*MAX($AA65,$AB65))</f>
        <v/>
      </c>
      <c r="AR65" s="22" t="str">
        <f>IF($B65="","",(AP65+AQ65)*$AC65)</f>
        <v/>
      </c>
      <c r="AS65" s="22" t="str">
        <f>IF($B65="","",AP65+AQ65-AR65)</f>
        <v/>
      </c>
      <c r="AT65" s="22" t="str">
        <f>IF($B65="","",AO65-AS65)</f>
        <v/>
      </c>
      <c r="AU65" s="22" t="str">
        <f>IF($B65="","",IF($AC65=1,N($R65)-($G65-AR65),0))</f>
        <v/>
      </c>
      <c r="AV65" s="22" t="str">
        <f>IF($B65="","",($G65-$AH65)*$AA65)</f>
        <v/>
      </c>
      <c r="AW65" s="22" t="str">
        <f>IF($B65="","",IF($AJ65=0,0,($AH65-$AI65)*$AK65/$AJ65)*MAX($AA65,$AB65))</f>
        <v/>
      </c>
      <c r="AX65" s="22" t="str">
        <f>IF($B65="","",(AV65+AW65)*$AC65)</f>
        <v/>
      </c>
      <c r="AY65" s="22" t="str">
        <f>IF($B65="","",AV65+AW65-AX65)</f>
        <v/>
      </c>
      <c r="AZ65" s="22" t="str">
        <f>IF($B65="","",AO65-AY65)</f>
        <v/>
      </c>
      <c r="BA65" s="22" t="str">
        <f>IF($B65="","",IF($AC65=1,N($R65)-($G65-AX65),0))</f>
        <v/>
      </c>
      <c r="BB65" s="22" t="str">
        <f>IF($B65="","",ROUND(AQ65-AW65,0))</f>
        <v/>
      </c>
      <c r="BC65" s="22" t="str">
        <f>IF($B65="","",ROUND(BA65-AU65,0))</f>
        <v/>
      </c>
      <c r="BD65" s="22" t="str">
        <f>IF($B65="","",BB65+BC65)</f>
        <v/>
      </c>
      <c r="BE65" s="22" t="str">
        <f>IF($B65="","",ROUND(AV65-AP65,0))</f>
        <v/>
      </c>
      <c r="BF65" s="22" t="str">
        <f>IF($B65="","",ROUND(AT65-AZ65,0))</f>
        <v/>
      </c>
      <c r="BG65" s="22" t="str">
        <f>IF($B65="","",ROUND(BF65*TarifPPh,0))</f>
        <v/>
      </c>
      <c r="BH65" t="str">
        <f>IF($B65="","",IF($D65="","Kategori kosong",IF($F65="","Tgl perolehan kosong",IF(N($H65)&gt;$G65,"Residu &gt; harga perolehan",IF(AND(LEFT($U65,8)="Bangunan",$W65="Saldo Menurun"),"Bangunan wajib Garis Lurus (Ps.11 UU PPh)",IF(AND($S65="Unit Produksi",N($K65)=0),"Isi kapasitas unit",IF(AND(OR($S65="Garis Lurus",$S65="Saldo Menurun"),N($T65)&lt;=0),"Umur komersial kosong",IF(AND(OR($W65="Garis Lurus",$W65="Saldo Menurun"),N($V65)&lt;=0),"Masa manfaat fiskal kosong",IF(AND($Q65&lt;&gt;"",$Q65&lt;$F65),"Tgl pelepasan &lt; perolehan","OK")))))))))</f>
        <v/>
      </c>
    </row>
    <row r="66" spans="1:60" x14ac:dyDescent="0.25">
      <c r="A66" t="str">
        <f>IF($B66="","",ROW()-6)</f>
        <v/>
      </c>
      <c r="B66" s="9"/>
      <c r="C66" s="9"/>
      <c r="D66" s="9"/>
      <c r="E66" s="9"/>
      <c r="F66" s="17"/>
      <c r="G66" s="18"/>
      <c r="H66" s="18"/>
      <c r="I66" s="9"/>
      <c r="J66" s="9"/>
      <c r="K66" s="19"/>
      <c r="L66" s="19"/>
      <c r="M66" s="19"/>
      <c r="N66" s="9"/>
      <c r="O66" s="9"/>
      <c r="P66" s="9"/>
      <c r="Q66" s="17"/>
      <c r="R66" s="18"/>
      <c r="S66" t="str">
        <f>IF($B66="","",IF($I66&lt;&gt;"",$I66,IFERROR(INDEX(Kat_Metode,MATCH($D66,Kat_Nama,0)),"")))</f>
        <v/>
      </c>
      <c r="T66" t="str">
        <f>IF($B66="","",IF($J66&lt;&gt;"",$J66,IFERROR(INDEX(Kat_Umur,MATCH($D66,Kat_Nama,0)),0)))</f>
        <v/>
      </c>
      <c r="U66" t="str">
        <f>IF($B66="","",IF($N66&lt;&gt;"",$N66,IFERROR(INDEX(Kat_Kelompok,MATCH($D66,Kat_Nama,0)),"")))</f>
        <v/>
      </c>
      <c r="V66" t="str">
        <f>IF($B66="","",IF($U66="Masa Manfaat Sebenarnya",N($O66),IFERROR(INDEX(Kel_Masa,MATCH($U66,Kel_Nama,0)),0)))</f>
        <v/>
      </c>
      <c r="W66" t="str">
        <f>IF($B66="","",IF($P66&lt;&gt;"",$P66,IF(OR($U66="Tidak Disusutkan",$V66=0),"Tidak Disusutkan","Garis Lurus")))</f>
        <v/>
      </c>
      <c r="X66" t="str">
        <f>IF($B66="","",IF($Y66&gt;TahunBuku*12+12,"Belum Diperoleh",IF($Z66&lt;=TahunBuku*12,"Dilepas (thn lalu)",IF($AC66=1,"Dilepas thn ini",IF($AB66=1,"Perolehan baru","Aktif")))))</f>
        <v/>
      </c>
      <c r="Y66" s="20" t="str">
        <f>IF($B66="","",YEAR($F66)*12+MONTH($F66))</f>
        <v/>
      </c>
      <c r="Z66" s="20" t="str">
        <f>IF($B66="","",IF($Q66="",99999,YEAR($Q66)*12+MONTH($Q66)))</f>
        <v/>
      </c>
      <c r="AA66" s="20" t="str">
        <f>IF($B66="","",--AND($Y66&lt;=TahunBuku*12,$Z66&gt;TahunBuku*12))</f>
        <v/>
      </c>
      <c r="AB66" s="20" t="str">
        <f>IF($B66="","",--AND($Y66&gt;TahunBuku*12,$Y66&lt;=TahunBuku*12+12))</f>
        <v/>
      </c>
      <c r="AC66" s="20" t="str">
        <f>IF($B66="","",--AND($Z66&gt;TahunBuku*12,$Z66&lt;=TahunBuku*12+12,$Y66&lt;=$Z66))</f>
        <v/>
      </c>
      <c r="AD66" s="21" t="str">
        <f>IF($B66="","",IFERROR(IF($S66="Garis Lurus",$G66-($G66-$H66)*MIN($T66*12,MAX(0,TahunBuku*12-$Y66+1))/($T66*12),IF($S66="Saldo Menurun",IF(TahunBuku-1&lt;YEAR($F66),$G66,IF(TahunBuku-1&gt;=INT(($Y66+$T66*12-2)/12),$H66,MAX($H66,$G66*(1-2/$T66*(13-MONTH($F66))/12)*(1-2/$T66)^(TahunBuku-1-YEAR($F66))))),IF($S66="Unit Produksi",$G66-($G66-$H66)*MIN(1,N($L66)/$K66),$G66))),$G66))</f>
        <v/>
      </c>
      <c r="AE66" s="21" t="str">
        <f>IF($B66="","",IFERROR(IF($S66="Garis Lurus",$G66-($G66-$H66)*MIN($T66*12,MAX(0,TahunBuku*12+12-$Y66+1))/($T66*12),IF($S66="Saldo Menurun",IF(TahunBuku&lt;YEAR($F66),$G66,IF(TahunBuku&gt;=INT(($Y66+$T66*12-2)/12),$H66,MAX($H66,$G66*(1-2/$T66*(13-MONTH($F66))/12)*(1-2/$T66)^(TahunBuku-YEAR($F66))))),IF($S66="Unit Produksi",$G66-($G66-$H66)*MIN(1,(N($L66)+N($M66))/$K66),$G66))),$G66))</f>
        <v/>
      </c>
      <c r="AF66" s="20" t="str">
        <f>IF($B66="","",IF(OR($S66="Garis Lurus",$S66="Saldo Menurun",$S66="Unit Produksi"),MAX(0,IF($S66="Unit Produksi",TahunBuku*12+12,MIN(TahunBuku*12+12,$Y66+$T66*12-1))-MAX(TahunBuku*12+1,$Y66)+1),0))</f>
        <v/>
      </c>
      <c r="AG66" s="20" t="str">
        <f>IF($B66="","",IF(OR($S66="Garis Lurus",$S66="Saldo Menurun",$S66="Unit Produksi"),MAX(0,MIN($Z66,IF($S66="Unit Produksi",TahunBuku*12+12,MIN(TahunBuku*12+12,$Y66+$T66*12-1)))-MAX(TahunBuku*12+1,$Y66)+1),0))</f>
        <v/>
      </c>
      <c r="AH66" s="21" t="str">
        <f>IF($B66="","",IFERROR(IF($W66="Garis Lurus",$G66*(1-MIN($V66*12,MAX(0,TahunBuku*12-$Y66+1))/($V66*12)),IF($W66="Saldo Menurun",IF(TahunBuku-1&lt;YEAR($F66),$G66,IF(TahunBuku-1&gt;=INT(($Y66+$V66*12-2)/12),0,$G66*(1-2/$V66*(13-MONTH($F66))/12)*(1-2/$V66)^(TahunBuku-1-YEAR($F66)))),$G66)),$G66))</f>
        <v/>
      </c>
      <c r="AI66" s="21" t="str">
        <f>IF($B66="","",IFERROR(IF($W66="Garis Lurus",$G66*(1-MIN($V66*12,MAX(0,TahunBuku*12+12-$Y66+1))/($V66*12)),IF($W66="Saldo Menurun",IF(TahunBuku&lt;YEAR($F66),$G66,IF(TahunBuku&gt;=INT(($Y66+$V66*12-2)/12),0,$G66*(1-2/$V66*(13-MONTH($F66))/12)*(1-2/$V66)^(TahunBuku-YEAR($F66)))),$G66)),$G66))</f>
        <v/>
      </c>
      <c r="AJ66" s="20" t="str">
        <f>IF($B66="","",IF(OR($W66="Garis Lurus",$W66="Saldo Menurun"),MAX(0,MIN(TahunBuku*12+12,$Y66+$V66*12-1)-MAX(TahunBuku*12+1,$Y66)+1),0))</f>
        <v/>
      </c>
      <c r="AK66" s="20" t="str">
        <f>IF($B66="","",IF(OR($W66="Garis Lurus",$W66="Saldo Menurun"),MAX(0,MIN($Z66,TahunBuku*12+12,$Y66+$V66*12-1)-MAX(TahunBuku*12+1,$Y66)+1),0))</f>
        <v/>
      </c>
      <c r="AL66" s="22" t="str">
        <f>IF($B66="","",$G66*$AA66)</f>
        <v/>
      </c>
      <c r="AM66" s="22" t="str">
        <f>IF($B66="","",$G66*$AB66)</f>
        <v/>
      </c>
      <c r="AN66" s="22" t="str">
        <f>IF($B66="","",$G66*$AC66)</f>
        <v/>
      </c>
      <c r="AO66" s="22" t="str">
        <f>IF($B66="","",AL66+AM66-AN66)</f>
        <v/>
      </c>
      <c r="AP66" s="22" t="str">
        <f>IF($B66="","",($G66-$AD66)*$AA66)</f>
        <v/>
      </c>
      <c r="AQ66" s="22" t="str">
        <f>IF($B66="","",IF($AF66=0,0,($AD66-$AE66)*$AG66/$AF66)*MAX($AA66,$AB66))</f>
        <v/>
      </c>
      <c r="AR66" s="22" t="str">
        <f>IF($B66="","",(AP66+AQ66)*$AC66)</f>
        <v/>
      </c>
      <c r="AS66" s="22" t="str">
        <f>IF($B66="","",AP66+AQ66-AR66)</f>
        <v/>
      </c>
      <c r="AT66" s="22" t="str">
        <f>IF($B66="","",AO66-AS66)</f>
        <v/>
      </c>
      <c r="AU66" s="22" t="str">
        <f>IF($B66="","",IF($AC66=1,N($R66)-($G66-AR66),0))</f>
        <v/>
      </c>
      <c r="AV66" s="22" t="str">
        <f>IF($B66="","",($G66-$AH66)*$AA66)</f>
        <v/>
      </c>
      <c r="AW66" s="22" t="str">
        <f>IF($B66="","",IF($AJ66=0,0,($AH66-$AI66)*$AK66/$AJ66)*MAX($AA66,$AB66))</f>
        <v/>
      </c>
      <c r="AX66" s="22" t="str">
        <f>IF($B66="","",(AV66+AW66)*$AC66)</f>
        <v/>
      </c>
      <c r="AY66" s="22" t="str">
        <f>IF($B66="","",AV66+AW66-AX66)</f>
        <v/>
      </c>
      <c r="AZ66" s="22" t="str">
        <f>IF($B66="","",AO66-AY66)</f>
        <v/>
      </c>
      <c r="BA66" s="22" t="str">
        <f>IF($B66="","",IF($AC66=1,N($R66)-($G66-AX66),0))</f>
        <v/>
      </c>
      <c r="BB66" s="22" t="str">
        <f>IF($B66="","",ROUND(AQ66-AW66,0))</f>
        <v/>
      </c>
      <c r="BC66" s="22" t="str">
        <f>IF($B66="","",ROUND(BA66-AU66,0))</f>
        <v/>
      </c>
      <c r="BD66" s="22" t="str">
        <f>IF($B66="","",BB66+BC66)</f>
        <v/>
      </c>
      <c r="BE66" s="22" t="str">
        <f>IF($B66="","",ROUND(AV66-AP66,0))</f>
        <v/>
      </c>
      <c r="BF66" s="22" t="str">
        <f>IF($B66="","",ROUND(AT66-AZ66,0))</f>
        <v/>
      </c>
      <c r="BG66" s="22" t="str">
        <f>IF($B66="","",ROUND(BF66*TarifPPh,0))</f>
        <v/>
      </c>
      <c r="BH66" t="str">
        <f>IF($B66="","",IF($D66="","Kategori kosong",IF($F66="","Tgl perolehan kosong",IF(N($H66)&gt;$G66,"Residu &gt; harga perolehan",IF(AND(LEFT($U66,8)="Bangunan",$W66="Saldo Menurun"),"Bangunan wajib Garis Lurus (Ps.11 UU PPh)",IF(AND($S66="Unit Produksi",N($K66)=0),"Isi kapasitas unit",IF(AND(OR($S66="Garis Lurus",$S66="Saldo Menurun"),N($T66)&lt;=0),"Umur komersial kosong",IF(AND(OR($W66="Garis Lurus",$W66="Saldo Menurun"),N($V66)&lt;=0),"Masa manfaat fiskal kosong",IF(AND($Q66&lt;&gt;"",$Q66&lt;$F66),"Tgl pelepasan &lt; perolehan","OK")))))))))</f>
        <v/>
      </c>
    </row>
    <row r="67" spans="1:60" x14ac:dyDescent="0.25">
      <c r="A67" t="str">
        <f>IF($B67="","",ROW()-6)</f>
        <v/>
      </c>
      <c r="B67" s="9"/>
      <c r="C67" s="9"/>
      <c r="D67" s="9"/>
      <c r="E67" s="9"/>
      <c r="F67" s="17"/>
      <c r="G67" s="18"/>
      <c r="H67" s="18"/>
      <c r="I67" s="9"/>
      <c r="J67" s="9"/>
      <c r="K67" s="19"/>
      <c r="L67" s="19"/>
      <c r="M67" s="19"/>
      <c r="N67" s="9"/>
      <c r="O67" s="9"/>
      <c r="P67" s="9"/>
      <c r="Q67" s="17"/>
      <c r="R67" s="18"/>
      <c r="S67" t="str">
        <f>IF($B67="","",IF($I67&lt;&gt;"",$I67,IFERROR(INDEX(Kat_Metode,MATCH($D67,Kat_Nama,0)),"")))</f>
        <v/>
      </c>
      <c r="T67" t="str">
        <f>IF($B67="","",IF($J67&lt;&gt;"",$J67,IFERROR(INDEX(Kat_Umur,MATCH($D67,Kat_Nama,0)),0)))</f>
        <v/>
      </c>
      <c r="U67" t="str">
        <f>IF($B67="","",IF($N67&lt;&gt;"",$N67,IFERROR(INDEX(Kat_Kelompok,MATCH($D67,Kat_Nama,0)),"")))</f>
        <v/>
      </c>
      <c r="V67" t="str">
        <f>IF($B67="","",IF($U67="Masa Manfaat Sebenarnya",N($O67),IFERROR(INDEX(Kel_Masa,MATCH($U67,Kel_Nama,0)),0)))</f>
        <v/>
      </c>
      <c r="W67" t="str">
        <f>IF($B67="","",IF($P67&lt;&gt;"",$P67,IF(OR($U67="Tidak Disusutkan",$V67=0),"Tidak Disusutkan","Garis Lurus")))</f>
        <v/>
      </c>
      <c r="X67" t="str">
        <f>IF($B67="","",IF($Y67&gt;TahunBuku*12+12,"Belum Diperoleh",IF($Z67&lt;=TahunBuku*12,"Dilepas (thn lalu)",IF($AC67=1,"Dilepas thn ini",IF($AB67=1,"Perolehan baru","Aktif")))))</f>
        <v/>
      </c>
      <c r="Y67" s="20" t="str">
        <f>IF($B67="","",YEAR($F67)*12+MONTH($F67))</f>
        <v/>
      </c>
      <c r="Z67" s="20" t="str">
        <f>IF($B67="","",IF($Q67="",99999,YEAR($Q67)*12+MONTH($Q67)))</f>
        <v/>
      </c>
      <c r="AA67" s="20" t="str">
        <f>IF($B67="","",--AND($Y67&lt;=TahunBuku*12,$Z67&gt;TahunBuku*12))</f>
        <v/>
      </c>
      <c r="AB67" s="20" t="str">
        <f>IF($B67="","",--AND($Y67&gt;TahunBuku*12,$Y67&lt;=TahunBuku*12+12))</f>
        <v/>
      </c>
      <c r="AC67" s="20" t="str">
        <f>IF($B67="","",--AND($Z67&gt;TahunBuku*12,$Z67&lt;=TahunBuku*12+12,$Y67&lt;=$Z67))</f>
        <v/>
      </c>
      <c r="AD67" s="21" t="str">
        <f>IF($B67="","",IFERROR(IF($S67="Garis Lurus",$G67-($G67-$H67)*MIN($T67*12,MAX(0,TahunBuku*12-$Y67+1))/($T67*12),IF($S67="Saldo Menurun",IF(TahunBuku-1&lt;YEAR($F67),$G67,IF(TahunBuku-1&gt;=INT(($Y67+$T67*12-2)/12),$H67,MAX($H67,$G67*(1-2/$T67*(13-MONTH($F67))/12)*(1-2/$T67)^(TahunBuku-1-YEAR($F67))))),IF($S67="Unit Produksi",$G67-($G67-$H67)*MIN(1,N($L67)/$K67),$G67))),$G67))</f>
        <v/>
      </c>
      <c r="AE67" s="21" t="str">
        <f>IF($B67="","",IFERROR(IF($S67="Garis Lurus",$G67-($G67-$H67)*MIN($T67*12,MAX(0,TahunBuku*12+12-$Y67+1))/($T67*12),IF($S67="Saldo Menurun",IF(TahunBuku&lt;YEAR($F67),$G67,IF(TahunBuku&gt;=INT(($Y67+$T67*12-2)/12),$H67,MAX($H67,$G67*(1-2/$T67*(13-MONTH($F67))/12)*(1-2/$T67)^(TahunBuku-YEAR($F67))))),IF($S67="Unit Produksi",$G67-($G67-$H67)*MIN(1,(N($L67)+N($M67))/$K67),$G67))),$G67))</f>
        <v/>
      </c>
      <c r="AF67" s="20" t="str">
        <f>IF($B67="","",IF(OR($S67="Garis Lurus",$S67="Saldo Menurun",$S67="Unit Produksi"),MAX(0,IF($S67="Unit Produksi",TahunBuku*12+12,MIN(TahunBuku*12+12,$Y67+$T67*12-1))-MAX(TahunBuku*12+1,$Y67)+1),0))</f>
        <v/>
      </c>
      <c r="AG67" s="20" t="str">
        <f>IF($B67="","",IF(OR($S67="Garis Lurus",$S67="Saldo Menurun",$S67="Unit Produksi"),MAX(0,MIN($Z67,IF($S67="Unit Produksi",TahunBuku*12+12,MIN(TahunBuku*12+12,$Y67+$T67*12-1)))-MAX(TahunBuku*12+1,$Y67)+1),0))</f>
        <v/>
      </c>
      <c r="AH67" s="21" t="str">
        <f>IF($B67="","",IFERROR(IF($W67="Garis Lurus",$G67*(1-MIN($V67*12,MAX(0,TahunBuku*12-$Y67+1))/($V67*12)),IF($W67="Saldo Menurun",IF(TahunBuku-1&lt;YEAR($F67),$G67,IF(TahunBuku-1&gt;=INT(($Y67+$V67*12-2)/12),0,$G67*(1-2/$V67*(13-MONTH($F67))/12)*(1-2/$V67)^(TahunBuku-1-YEAR($F67)))),$G67)),$G67))</f>
        <v/>
      </c>
      <c r="AI67" s="21" t="str">
        <f>IF($B67="","",IFERROR(IF($W67="Garis Lurus",$G67*(1-MIN($V67*12,MAX(0,TahunBuku*12+12-$Y67+1))/($V67*12)),IF($W67="Saldo Menurun",IF(TahunBuku&lt;YEAR($F67),$G67,IF(TahunBuku&gt;=INT(($Y67+$V67*12-2)/12),0,$G67*(1-2/$V67*(13-MONTH($F67))/12)*(1-2/$V67)^(TahunBuku-YEAR($F67)))),$G67)),$G67))</f>
        <v/>
      </c>
      <c r="AJ67" s="20" t="str">
        <f>IF($B67="","",IF(OR($W67="Garis Lurus",$W67="Saldo Menurun"),MAX(0,MIN(TahunBuku*12+12,$Y67+$V67*12-1)-MAX(TahunBuku*12+1,$Y67)+1),0))</f>
        <v/>
      </c>
      <c r="AK67" s="20" t="str">
        <f>IF($B67="","",IF(OR($W67="Garis Lurus",$W67="Saldo Menurun"),MAX(0,MIN($Z67,TahunBuku*12+12,$Y67+$V67*12-1)-MAX(TahunBuku*12+1,$Y67)+1),0))</f>
        <v/>
      </c>
      <c r="AL67" s="22" t="str">
        <f>IF($B67="","",$G67*$AA67)</f>
        <v/>
      </c>
      <c r="AM67" s="22" t="str">
        <f>IF($B67="","",$G67*$AB67)</f>
        <v/>
      </c>
      <c r="AN67" s="22" t="str">
        <f>IF($B67="","",$G67*$AC67)</f>
        <v/>
      </c>
      <c r="AO67" s="22" t="str">
        <f>IF($B67="","",AL67+AM67-AN67)</f>
        <v/>
      </c>
      <c r="AP67" s="22" t="str">
        <f>IF($B67="","",($G67-$AD67)*$AA67)</f>
        <v/>
      </c>
      <c r="AQ67" s="22" t="str">
        <f>IF($B67="","",IF($AF67=0,0,($AD67-$AE67)*$AG67/$AF67)*MAX($AA67,$AB67))</f>
        <v/>
      </c>
      <c r="AR67" s="22" t="str">
        <f>IF($B67="","",(AP67+AQ67)*$AC67)</f>
        <v/>
      </c>
      <c r="AS67" s="22" t="str">
        <f>IF($B67="","",AP67+AQ67-AR67)</f>
        <v/>
      </c>
      <c r="AT67" s="22" t="str">
        <f>IF($B67="","",AO67-AS67)</f>
        <v/>
      </c>
      <c r="AU67" s="22" t="str">
        <f>IF($B67="","",IF($AC67=1,N($R67)-($G67-AR67),0))</f>
        <v/>
      </c>
      <c r="AV67" s="22" t="str">
        <f>IF($B67="","",($G67-$AH67)*$AA67)</f>
        <v/>
      </c>
      <c r="AW67" s="22" t="str">
        <f>IF($B67="","",IF($AJ67=0,0,($AH67-$AI67)*$AK67/$AJ67)*MAX($AA67,$AB67))</f>
        <v/>
      </c>
      <c r="AX67" s="22" t="str">
        <f>IF($B67="","",(AV67+AW67)*$AC67)</f>
        <v/>
      </c>
      <c r="AY67" s="22" t="str">
        <f>IF($B67="","",AV67+AW67-AX67)</f>
        <v/>
      </c>
      <c r="AZ67" s="22" t="str">
        <f>IF($B67="","",AO67-AY67)</f>
        <v/>
      </c>
      <c r="BA67" s="22" t="str">
        <f>IF($B67="","",IF($AC67=1,N($R67)-($G67-AX67),0))</f>
        <v/>
      </c>
      <c r="BB67" s="22" t="str">
        <f>IF($B67="","",ROUND(AQ67-AW67,0))</f>
        <v/>
      </c>
      <c r="BC67" s="22" t="str">
        <f>IF($B67="","",ROUND(BA67-AU67,0))</f>
        <v/>
      </c>
      <c r="BD67" s="22" t="str">
        <f>IF($B67="","",BB67+BC67)</f>
        <v/>
      </c>
      <c r="BE67" s="22" t="str">
        <f>IF($B67="","",ROUND(AV67-AP67,0))</f>
        <v/>
      </c>
      <c r="BF67" s="22" t="str">
        <f>IF($B67="","",ROUND(AT67-AZ67,0))</f>
        <v/>
      </c>
      <c r="BG67" s="22" t="str">
        <f>IF($B67="","",ROUND(BF67*TarifPPh,0))</f>
        <v/>
      </c>
      <c r="BH67" t="str">
        <f>IF($B67="","",IF($D67="","Kategori kosong",IF($F67="","Tgl perolehan kosong",IF(N($H67)&gt;$G67,"Residu &gt; harga perolehan",IF(AND(LEFT($U67,8)="Bangunan",$W67="Saldo Menurun"),"Bangunan wajib Garis Lurus (Ps.11 UU PPh)",IF(AND($S67="Unit Produksi",N($K67)=0),"Isi kapasitas unit",IF(AND(OR($S67="Garis Lurus",$S67="Saldo Menurun"),N($T67)&lt;=0),"Umur komersial kosong",IF(AND(OR($W67="Garis Lurus",$W67="Saldo Menurun"),N($V67)&lt;=0),"Masa manfaat fiskal kosong",IF(AND($Q67&lt;&gt;"",$Q67&lt;$F67),"Tgl pelepasan &lt; perolehan","OK")))))))))</f>
        <v/>
      </c>
    </row>
    <row r="68" spans="1:60" x14ac:dyDescent="0.25">
      <c r="A68" t="str">
        <f>IF($B68="","",ROW()-6)</f>
        <v/>
      </c>
      <c r="B68" s="9"/>
      <c r="C68" s="9"/>
      <c r="D68" s="9"/>
      <c r="E68" s="9"/>
      <c r="F68" s="17"/>
      <c r="G68" s="18"/>
      <c r="H68" s="18"/>
      <c r="I68" s="9"/>
      <c r="J68" s="9"/>
      <c r="K68" s="19"/>
      <c r="L68" s="19"/>
      <c r="M68" s="19"/>
      <c r="N68" s="9"/>
      <c r="O68" s="9"/>
      <c r="P68" s="9"/>
      <c r="Q68" s="17"/>
      <c r="R68" s="18"/>
      <c r="S68" t="str">
        <f>IF($B68="","",IF($I68&lt;&gt;"",$I68,IFERROR(INDEX(Kat_Metode,MATCH($D68,Kat_Nama,0)),"")))</f>
        <v/>
      </c>
      <c r="T68" t="str">
        <f>IF($B68="","",IF($J68&lt;&gt;"",$J68,IFERROR(INDEX(Kat_Umur,MATCH($D68,Kat_Nama,0)),0)))</f>
        <v/>
      </c>
      <c r="U68" t="str">
        <f>IF($B68="","",IF($N68&lt;&gt;"",$N68,IFERROR(INDEX(Kat_Kelompok,MATCH($D68,Kat_Nama,0)),"")))</f>
        <v/>
      </c>
      <c r="V68" t="str">
        <f>IF($B68="","",IF($U68="Masa Manfaat Sebenarnya",N($O68),IFERROR(INDEX(Kel_Masa,MATCH($U68,Kel_Nama,0)),0)))</f>
        <v/>
      </c>
      <c r="W68" t="str">
        <f>IF($B68="","",IF($P68&lt;&gt;"",$P68,IF(OR($U68="Tidak Disusutkan",$V68=0),"Tidak Disusutkan","Garis Lurus")))</f>
        <v/>
      </c>
      <c r="X68" t="str">
        <f>IF($B68="","",IF($Y68&gt;TahunBuku*12+12,"Belum Diperoleh",IF($Z68&lt;=TahunBuku*12,"Dilepas (thn lalu)",IF($AC68=1,"Dilepas thn ini",IF($AB68=1,"Perolehan baru","Aktif")))))</f>
        <v/>
      </c>
      <c r="Y68" s="20" t="str">
        <f>IF($B68="","",YEAR($F68)*12+MONTH($F68))</f>
        <v/>
      </c>
      <c r="Z68" s="20" t="str">
        <f>IF($B68="","",IF($Q68="",99999,YEAR($Q68)*12+MONTH($Q68)))</f>
        <v/>
      </c>
      <c r="AA68" s="20" t="str">
        <f>IF($B68="","",--AND($Y68&lt;=TahunBuku*12,$Z68&gt;TahunBuku*12))</f>
        <v/>
      </c>
      <c r="AB68" s="20" t="str">
        <f>IF($B68="","",--AND($Y68&gt;TahunBuku*12,$Y68&lt;=TahunBuku*12+12))</f>
        <v/>
      </c>
      <c r="AC68" s="20" t="str">
        <f>IF($B68="","",--AND($Z68&gt;TahunBuku*12,$Z68&lt;=TahunBuku*12+12,$Y68&lt;=$Z68))</f>
        <v/>
      </c>
      <c r="AD68" s="21" t="str">
        <f>IF($B68="","",IFERROR(IF($S68="Garis Lurus",$G68-($G68-$H68)*MIN($T68*12,MAX(0,TahunBuku*12-$Y68+1))/($T68*12),IF($S68="Saldo Menurun",IF(TahunBuku-1&lt;YEAR($F68),$G68,IF(TahunBuku-1&gt;=INT(($Y68+$T68*12-2)/12),$H68,MAX($H68,$G68*(1-2/$T68*(13-MONTH($F68))/12)*(1-2/$T68)^(TahunBuku-1-YEAR($F68))))),IF($S68="Unit Produksi",$G68-($G68-$H68)*MIN(1,N($L68)/$K68),$G68))),$G68))</f>
        <v/>
      </c>
      <c r="AE68" s="21" t="str">
        <f>IF($B68="","",IFERROR(IF($S68="Garis Lurus",$G68-($G68-$H68)*MIN($T68*12,MAX(0,TahunBuku*12+12-$Y68+1))/($T68*12),IF($S68="Saldo Menurun",IF(TahunBuku&lt;YEAR($F68),$G68,IF(TahunBuku&gt;=INT(($Y68+$T68*12-2)/12),$H68,MAX($H68,$G68*(1-2/$T68*(13-MONTH($F68))/12)*(1-2/$T68)^(TahunBuku-YEAR($F68))))),IF($S68="Unit Produksi",$G68-($G68-$H68)*MIN(1,(N($L68)+N($M68))/$K68),$G68))),$G68))</f>
        <v/>
      </c>
      <c r="AF68" s="20" t="str">
        <f>IF($B68="","",IF(OR($S68="Garis Lurus",$S68="Saldo Menurun",$S68="Unit Produksi"),MAX(0,IF($S68="Unit Produksi",TahunBuku*12+12,MIN(TahunBuku*12+12,$Y68+$T68*12-1))-MAX(TahunBuku*12+1,$Y68)+1),0))</f>
        <v/>
      </c>
      <c r="AG68" s="20" t="str">
        <f>IF($B68="","",IF(OR($S68="Garis Lurus",$S68="Saldo Menurun",$S68="Unit Produksi"),MAX(0,MIN($Z68,IF($S68="Unit Produksi",TahunBuku*12+12,MIN(TahunBuku*12+12,$Y68+$T68*12-1)))-MAX(TahunBuku*12+1,$Y68)+1),0))</f>
        <v/>
      </c>
      <c r="AH68" s="21" t="str">
        <f>IF($B68="","",IFERROR(IF($W68="Garis Lurus",$G68*(1-MIN($V68*12,MAX(0,TahunBuku*12-$Y68+1))/($V68*12)),IF($W68="Saldo Menurun",IF(TahunBuku-1&lt;YEAR($F68),$G68,IF(TahunBuku-1&gt;=INT(($Y68+$V68*12-2)/12),0,$G68*(1-2/$V68*(13-MONTH($F68))/12)*(1-2/$V68)^(TahunBuku-1-YEAR($F68)))),$G68)),$G68))</f>
        <v/>
      </c>
      <c r="AI68" s="21" t="str">
        <f>IF($B68="","",IFERROR(IF($W68="Garis Lurus",$G68*(1-MIN($V68*12,MAX(0,TahunBuku*12+12-$Y68+1))/($V68*12)),IF($W68="Saldo Menurun",IF(TahunBuku&lt;YEAR($F68),$G68,IF(TahunBuku&gt;=INT(($Y68+$V68*12-2)/12),0,$G68*(1-2/$V68*(13-MONTH($F68))/12)*(1-2/$V68)^(TahunBuku-YEAR($F68)))),$G68)),$G68))</f>
        <v/>
      </c>
      <c r="AJ68" s="20" t="str">
        <f>IF($B68="","",IF(OR($W68="Garis Lurus",$W68="Saldo Menurun"),MAX(0,MIN(TahunBuku*12+12,$Y68+$V68*12-1)-MAX(TahunBuku*12+1,$Y68)+1),0))</f>
        <v/>
      </c>
      <c r="AK68" s="20" t="str">
        <f>IF($B68="","",IF(OR($W68="Garis Lurus",$W68="Saldo Menurun"),MAX(0,MIN($Z68,TahunBuku*12+12,$Y68+$V68*12-1)-MAX(TahunBuku*12+1,$Y68)+1),0))</f>
        <v/>
      </c>
      <c r="AL68" s="22" t="str">
        <f>IF($B68="","",$G68*$AA68)</f>
        <v/>
      </c>
      <c r="AM68" s="22" t="str">
        <f>IF($B68="","",$G68*$AB68)</f>
        <v/>
      </c>
      <c r="AN68" s="22" t="str">
        <f>IF($B68="","",$G68*$AC68)</f>
        <v/>
      </c>
      <c r="AO68" s="22" t="str">
        <f>IF($B68="","",AL68+AM68-AN68)</f>
        <v/>
      </c>
      <c r="AP68" s="22" t="str">
        <f>IF($B68="","",($G68-$AD68)*$AA68)</f>
        <v/>
      </c>
      <c r="AQ68" s="22" t="str">
        <f>IF($B68="","",IF($AF68=0,0,($AD68-$AE68)*$AG68/$AF68)*MAX($AA68,$AB68))</f>
        <v/>
      </c>
      <c r="AR68" s="22" t="str">
        <f>IF($B68="","",(AP68+AQ68)*$AC68)</f>
        <v/>
      </c>
      <c r="AS68" s="22" t="str">
        <f>IF($B68="","",AP68+AQ68-AR68)</f>
        <v/>
      </c>
      <c r="AT68" s="22" t="str">
        <f>IF($B68="","",AO68-AS68)</f>
        <v/>
      </c>
      <c r="AU68" s="22" t="str">
        <f>IF($B68="","",IF($AC68=1,N($R68)-($G68-AR68),0))</f>
        <v/>
      </c>
      <c r="AV68" s="22" t="str">
        <f>IF($B68="","",($G68-$AH68)*$AA68)</f>
        <v/>
      </c>
      <c r="AW68" s="22" t="str">
        <f>IF($B68="","",IF($AJ68=0,0,($AH68-$AI68)*$AK68/$AJ68)*MAX($AA68,$AB68))</f>
        <v/>
      </c>
      <c r="AX68" s="22" t="str">
        <f>IF($B68="","",(AV68+AW68)*$AC68)</f>
        <v/>
      </c>
      <c r="AY68" s="22" t="str">
        <f>IF($B68="","",AV68+AW68-AX68)</f>
        <v/>
      </c>
      <c r="AZ68" s="22" t="str">
        <f>IF($B68="","",AO68-AY68)</f>
        <v/>
      </c>
      <c r="BA68" s="22" t="str">
        <f>IF($B68="","",IF($AC68=1,N($R68)-($G68-AX68),0))</f>
        <v/>
      </c>
      <c r="BB68" s="22" t="str">
        <f>IF($B68="","",ROUND(AQ68-AW68,0))</f>
        <v/>
      </c>
      <c r="BC68" s="22" t="str">
        <f>IF($B68="","",ROUND(BA68-AU68,0))</f>
        <v/>
      </c>
      <c r="BD68" s="22" t="str">
        <f>IF($B68="","",BB68+BC68)</f>
        <v/>
      </c>
      <c r="BE68" s="22" t="str">
        <f>IF($B68="","",ROUND(AV68-AP68,0))</f>
        <v/>
      </c>
      <c r="BF68" s="22" t="str">
        <f>IF($B68="","",ROUND(AT68-AZ68,0))</f>
        <v/>
      </c>
      <c r="BG68" s="22" t="str">
        <f>IF($B68="","",ROUND(BF68*TarifPPh,0))</f>
        <v/>
      </c>
      <c r="BH68" t="str">
        <f>IF($B68="","",IF($D68="","Kategori kosong",IF($F68="","Tgl perolehan kosong",IF(N($H68)&gt;$G68,"Residu &gt; harga perolehan",IF(AND(LEFT($U68,8)="Bangunan",$W68="Saldo Menurun"),"Bangunan wajib Garis Lurus (Ps.11 UU PPh)",IF(AND($S68="Unit Produksi",N($K68)=0),"Isi kapasitas unit",IF(AND(OR($S68="Garis Lurus",$S68="Saldo Menurun"),N($T68)&lt;=0),"Umur komersial kosong",IF(AND(OR($W68="Garis Lurus",$W68="Saldo Menurun"),N($V68)&lt;=0),"Masa manfaat fiskal kosong",IF(AND($Q68&lt;&gt;"",$Q68&lt;$F68),"Tgl pelepasan &lt; perolehan","OK")))))))))</f>
        <v/>
      </c>
    </row>
    <row r="69" spans="1:60" x14ac:dyDescent="0.25">
      <c r="A69" t="str">
        <f>IF($B69="","",ROW()-6)</f>
        <v/>
      </c>
      <c r="B69" s="9"/>
      <c r="C69" s="9"/>
      <c r="D69" s="9"/>
      <c r="E69" s="9"/>
      <c r="F69" s="17"/>
      <c r="G69" s="18"/>
      <c r="H69" s="18"/>
      <c r="I69" s="9"/>
      <c r="J69" s="9"/>
      <c r="K69" s="19"/>
      <c r="L69" s="19"/>
      <c r="M69" s="19"/>
      <c r="N69" s="9"/>
      <c r="O69" s="9"/>
      <c r="P69" s="9"/>
      <c r="Q69" s="17"/>
      <c r="R69" s="18"/>
      <c r="S69" t="str">
        <f>IF($B69="","",IF($I69&lt;&gt;"",$I69,IFERROR(INDEX(Kat_Metode,MATCH($D69,Kat_Nama,0)),"")))</f>
        <v/>
      </c>
      <c r="T69" t="str">
        <f>IF($B69="","",IF($J69&lt;&gt;"",$J69,IFERROR(INDEX(Kat_Umur,MATCH($D69,Kat_Nama,0)),0)))</f>
        <v/>
      </c>
      <c r="U69" t="str">
        <f>IF($B69="","",IF($N69&lt;&gt;"",$N69,IFERROR(INDEX(Kat_Kelompok,MATCH($D69,Kat_Nama,0)),"")))</f>
        <v/>
      </c>
      <c r="V69" t="str">
        <f>IF($B69="","",IF($U69="Masa Manfaat Sebenarnya",N($O69),IFERROR(INDEX(Kel_Masa,MATCH($U69,Kel_Nama,0)),0)))</f>
        <v/>
      </c>
      <c r="W69" t="str">
        <f>IF($B69="","",IF($P69&lt;&gt;"",$P69,IF(OR($U69="Tidak Disusutkan",$V69=0),"Tidak Disusutkan","Garis Lurus")))</f>
        <v/>
      </c>
      <c r="X69" t="str">
        <f>IF($B69="","",IF($Y69&gt;TahunBuku*12+12,"Belum Diperoleh",IF($Z69&lt;=TahunBuku*12,"Dilepas (thn lalu)",IF($AC69=1,"Dilepas thn ini",IF($AB69=1,"Perolehan baru","Aktif")))))</f>
        <v/>
      </c>
      <c r="Y69" s="20" t="str">
        <f>IF($B69="","",YEAR($F69)*12+MONTH($F69))</f>
        <v/>
      </c>
      <c r="Z69" s="20" t="str">
        <f>IF($B69="","",IF($Q69="",99999,YEAR($Q69)*12+MONTH($Q69)))</f>
        <v/>
      </c>
      <c r="AA69" s="20" t="str">
        <f>IF($B69="","",--AND($Y69&lt;=TahunBuku*12,$Z69&gt;TahunBuku*12))</f>
        <v/>
      </c>
      <c r="AB69" s="20" t="str">
        <f>IF($B69="","",--AND($Y69&gt;TahunBuku*12,$Y69&lt;=TahunBuku*12+12))</f>
        <v/>
      </c>
      <c r="AC69" s="20" t="str">
        <f>IF($B69="","",--AND($Z69&gt;TahunBuku*12,$Z69&lt;=TahunBuku*12+12,$Y69&lt;=$Z69))</f>
        <v/>
      </c>
      <c r="AD69" s="21" t="str">
        <f>IF($B69="","",IFERROR(IF($S69="Garis Lurus",$G69-($G69-$H69)*MIN($T69*12,MAX(0,TahunBuku*12-$Y69+1))/($T69*12),IF($S69="Saldo Menurun",IF(TahunBuku-1&lt;YEAR($F69),$G69,IF(TahunBuku-1&gt;=INT(($Y69+$T69*12-2)/12),$H69,MAX($H69,$G69*(1-2/$T69*(13-MONTH($F69))/12)*(1-2/$T69)^(TahunBuku-1-YEAR($F69))))),IF($S69="Unit Produksi",$G69-($G69-$H69)*MIN(1,N($L69)/$K69),$G69))),$G69))</f>
        <v/>
      </c>
      <c r="AE69" s="21" t="str">
        <f>IF($B69="","",IFERROR(IF($S69="Garis Lurus",$G69-($G69-$H69)*MIN($T69*12,MAX(0,TahunBuku*12+12-$Y69+1))/($T69*12),IF($S69="Saldo Menurun",IF(TahunBuku&lt;YEAR($F69),$G69,IF(TahunBuku&gt;=INT(($Y69+$T69*12-2)/12),$H69,MAX($H69,$G69*(1-2/$T69*(13-MONTH($F69))/12)*(1-2/$T69)^(TahunBuku-YEAR($F69))))),IF($S69="Unit Produksi",$G69-($G69-$H69)*MIN(1,(N($L69)+N($M69))/$K69),$G69))),$G69))</f>
        <v/>
      </c>
      <c r="AF69" s="20" t="str">
        <f>IF($B69="","",IF(OR($S69="Garis Lurus",$S69="Saldo Menurun",$S69="Unit Produksi"),MAX(0,IF($S69="Unit Produksi",TahunBuku*12+12,MIN(TahunBuku*12+12,$Y69+$T69*12-1))-MAX(TahunBuku*12+1,$Y69)+1),0))</f>
        <v/>
      </c>
      <c r="AG69" s="20" t="str">
        <f>IF($B69="","",IF(OR($S69="Garis Lurus",$S69="Saldo Menurun",$S69="Unit Produksi"),MAX(0,MIN($Z69,IF($S69="Unit Produksi",TahunBuku*12+12,MIN(TahunBuku*12+12,$Y69+$T69*12-1)))-MAX(TahunBuku*12+1,$Y69)+1),0))</f>
        <v/>
      </c>
      <c r="AH69" s="21" t="str">
        <f>IF($B69="","",IFERROR(IF($W69="Garis Lurus",$G69*(1-MIN($V69*12,MAX(0,TahunBuku*12-$Y69+1))/($V69*12)),IF($W69="Saldo Menurun",IF(TahunBuku-1&lt;YEAR($F69),$G69,IF(TahunBuku-1&gt;=INT(($Y69+$V69*12-2)/12),0,$G69*(1-2/$V69*(13-MONTH($F69))/12)*(1-2/$V69)^(TahunBuku-1-YEAR($F69)))),$G69)),$G69))</f>
        <v/>
      </c>
      <c r="AI69" s="21" t="str">
        <f>IF($B69="","",IFERROR(IF($W69="Garis Lurus",$G69*(1-MIN($V69*12,MAX(0,TahunBuku*12+12-$Y69+1))/($V69*12)),IF($W69="Saldo Menurun",IF(TahunBuku&lt;YEAR($F69),$G69,IF(TahunBuku&gt;=INT(($Y69+$V69*12-2)/12),0,$G69*(1-2/$V69*(13-MONTH($F69))/12)*(1-2/$V69)^(TahunBuku-YEAR($F69)))),$G69)),$G69))</f>
        <v/>
      </c>
      <c r="AJ69" s="20" t="str">
        <f>IF($B69="","",IF(OR($W69="Garis Lurus",$W69="Saldo Menurun"),MAX(0,MIN(TahunBuku*12+12,$Y69+$V69*12-1)-MAX(TahunBuku*12+1,$Y69)+1),0))</f>
        <v/>
      </c>
      <c r="AK69" s="20" t="str">
        <f>IF($B69="","",IF(OR($W69="Garis Lurus",$W69="Saldo Menurun"),MAX(0,MIN($Z69,TahunBuku*12+12,$Y69+$V69*12-1)-MAX(TahunBuku*12+1,$Y69)+1),0))</f>
        <v/>
      </c>
      <c r="AL69" s="22" t="str">
        <f>IF($B69="","",$G69*$AA69)</f>
        <v/>
      </c>
      <c r="AM69" s="22" t="str">
        <f>IF($B69="","",$G69*$AB69)</f>
        <v/>
      </c>
      <c r="AN69" s="22" t="str">
        <f>IF($B69="","",$G69*$AC69)</f>
        <v/>
      </c>
      <c r="AO69" s="22" t="str">
        <f>IF($B69="","",AL69+AM69-AN69)</f>
        <v/>
      </c>
      <c r="AP69" s="22" t="str">
        <f>IF($B69="","",($G69-$AD69)*$AA69)</f>
        <v/>
      </c>
      <c r="AQ69" s="22" t="str">
        <f>IF($B69="","",IF($AF69=0,0,($AD69-$AE69)*$AG69/$AF69)*MAX($AA69,$AB69))</f>
        <v/>
      </c>
      <c r="AR69" s="22" t="str">
        <f>IF($B69="","",(AP69+AQ69)*$AC69)</f>
        <v/>
      </c>
      <c r="AS69" s="22" t="str">
        <f>IF($B69="","",AP69+AQ69-AR69)</f>
        <v/>
      </c>
      <c r="AT69" s="22" t="str">
        <f>IF($B69="","",AO69-AS69)</f>
        <v/>
      </c>
      <c r="AU69" s="22" t="str">
        <f>IF($B69="","",IF($AC69=1,N($R69)-($G69-AR69),0))</f>
        <v/>
      </c>
      <c r="AV69" s="22" t="str">
        <f>IF($B69="","",($G69-$AH69)*$AA69)</f>
        <v/>
      </c>
      <c r="AW69" s="22" t="str">
        <f>IF($B69="","",IF($AJ69=0,0,($AH69-$AI69)*$AK69/$AJ69)*MAX($AA69,$AB69))</f>
        <v/>
      </c>
      <c r="AX69" s="22" t="str">
        <f>IF($B69="","",(AV69+AW69)*$AC69)</f>
        <v/>
      </c>
      <c r="AY69" s="22" t="str">
        <f>IF($B69="","",AV69+AW69-AX69)</f>
        <v/>
      </c>
      <c r="AZ69" s="22" t="str">
        <f>IF($B69="","",AO69-AY69)</f>
        <v/>
      </c>
      <c r="BA69" s="22" t="str">
        <f>IF($B69="","",IF($AC69=1,N($R69)-($G69-AX69),0))</f>
        <v/>
      </c>
      <c r="BB69" s="22" t="str">
        <f>IF($B69="","",ROUND(AQ69-AW69,0))</f>
        <v/>
      </c>
      <c r="BC69" s="22" t="str">
        <f>IF($B69="","",ROUND(BA69-AU69,0))</f>
        <v/>
      </c>
      <c r="BD69" s="22" t="str">
        <f>IF($B69="","",BB69+BC69)</f>
        <v/>
      </c>
      <c r="BE69" s="22" t="str">
        <f>IF($B69="","",ROUND(AV69-AP69,0))</f>
        <v/>
      </c>
      <c r="BF69" s="22" t="str">
        <f>IF($B69="","",ROUND(AT69-AZ69,0))</f>
        <v/>
      </c>
      <c r="BG69" s="22" t="str">
        <f>IF($B69="","",ROUND(BF69*TarifPPh,0))</f>
        <v/>
      </c>
      <c r="BH69" t="str">
        <f>IF($B69="","",IF($D69="","Kategori kosong",IF($F69="","Tgl perolehan kosong",IF(N($H69)&gt;$G69,"Residu &gt; harga perolehan",IF(AND(LEFT($U69,8)="Bangunan",$W69="Saldo Menurun"),"Bangunan wajib Garis Lurus (Ps.11 UU PPh)",IF(AND($S69="Unit Produksi",N($K69)=0),"Isi kapasitas unit",IF(AND(OR($S69="Garis Lurus",$S69="Saldo Menurun"),N($T69)&lt;=0),"Umur komersial kosong",IF(AND(OR($W69="Garis Lurus",$W69="Saldo Menurun"),N($V69)&lt;=0),"Masa manfaat fiskal kosong",IF(AND($Q69&lt;&gt;"",$Q69&lt;$F69),"Tgl pelepasan &lt; perolehan","OK")))))))))</f>
        <v/>
      </c>
    </row>
    <row r="70" spans="1:60" x14ac:dyDescent="0.25">
      <c r="A70" t="str">
        <f>IF($B70="","",ROW()-6)</f>
        <v/>
      </c>
      <c r="B70" s="9"/>
      <c r="C70" s="9"/>
      <c r="D70" s="9"/>
      <c r="E70" s="9"/>
      <c r="F70" s="17"/>
      <c r="G70" s="18"/>
      <c r="H70" s="18"/>
      <c r="I70" s="9"/>
      <c r="J70" s="9"/>
      <c r="K70" s="19"/>
      <c r="L70" s="19"/>
      <c r="M70" s="19"/>
      <c r="N70" s="9"/>
      <c r="O70" s="9"/>
      <c r="P70" s="9"/>
      <c r="Q70" s="17"/>
      <c r="R70" s="18"/>
      <c r="S70" t="str">
        <f>IF($B70="","",IF($I70&lt;&gt;"",$I70,IFERROR(INDEX(Kat_Metode,MATCH($D70,Kat_Nama,0)),"")))</f>
        <v/>
      </c>
      <c r="T70" t="str">
        <f>IF($B70="","",IF($J70&lt;&gt;"",$J70,IFERROR(INDEX(Kat_Umur,MATCH($D70,Kat_Nama,0)),0)))</f>
        <v/>
      </c>
      <c r="U70" t="str">
        <f>IF($B70="","",IF($N70&lt;&gt;"",$N70,IFERROR(INDEX(Kat_Kelompok,MATCH($D70,Kat_Nama,0)),"")))</f>
        <v/>
      </c>
      <c r="V70" t="str">
        <f>IF($B70="","",IF($U70="Masa Manfaat Sebenarnya",N($O70),IFERROR(INDEX(Kel_Masa,MATCH($U70,Kel_Nama,0)),0)))</f>
        <v/>
      </c>
      <c r="W70" t="str">
        <f>IF($B70="","",IF($P70&lt;&gt;"",$P70,IF(OR($U70="Tidak Disusutkan",$V70=0),"Tidak Disusutkan","Garis Lurus")))</f>
        <v/>
      </c>
      <c r="X70" t="str">
        <f>IF($B70="","",IF($Y70&gt;TahunBuku*12+12,"Belum Diperoleh",IF($Z70&lt;=TahunBuku*12,"Dilepas (thn lalu)",IF($AC70=1,"Dilepas thn ini",IF($AB70=1,"Perolehan baru","Aktif")))))</f>
        <v/>
      </c>
      <c r="Y70" s="20" t="str">
        <f>IF($B70="","",YEAR($F70)*12+MONTH($F70))</f>
        <v/>
      </c>
      <c r="Z70" s="20" t="str">
        <f>IF($B70="","",IF($Q70="",99999,YEAR($Q70)*12+MONTH($Q70)))</f>
        <v/>
      </c>
      <c r="AA70" s="20" t="str">
        <f>IF($B70="","",--AND($Y70&lt;=TahunBuku*12,$Z70&gt;TahunBuku*12))</f>
        <v/>
      </c>
      <c r="AB70" s="20" t="str">
        <f>IF($B70="","",--AND($Y70&gt;TahunBuku*12,$Y70&lt;=TahunBuku*12+12))</f>
        <v/>
      </c>
      <c r="AC70" s="20" t="str">
        <f>IF($B70="","",--AND($Z70&gt;TahunBuku*12,$Z70&lt;=TahunBuku*12+12,$Y70&lt;=$Z70))</f>
        <v/>
      </c>
      <c r="AD70" s="21" t="str">
        <f>IF($B70="","",IFERROR(IF($S70="Garis Lurus",$G70-($G70-$H70)*MIN($T70*12,MAX(0,TahunBuku*12-$Y70+1))/($T70*12),IF($S70="Saldo Menurun",IF(TahunBuku-1&lt;YEAR($F70),$G70,IF(TahunBuku-1&gt;=INT(($Y70+$T70*12-2)/12),$H70,MAX($H70,$G70*(1-2/$T70*(13-MONTH($F70))/12)*(1-2/$T70)^(TahunBuku-1-YEAR($F70))))),IF($S70="Unit Produksi",$G70-($G70-$H70)*MIN(1,N($L70)/$K70),$G70))),$G70))</f>
        <v/>
      </c>
      <c r="AE70" s="21" t="str">
        <f>IF($B70="","",IFERROR(IF($S70="Garis Lurus",$G70-($G70-$H70)*MIN($T70*12,MAX(0,TahunBuku*12+12-$Y70+1))/($T70*12),IF($S70="Saldo Menurun",IF(TahunBuku&lt;YEAR($F70),$G70,IF(TahunBuku&gt;=INT(($Y70+$T70*12-2)/12),$H70,MAX($H70,$G70*(1-2/$T70*(13-MONTH($F70))/12)*(1-2/$T70)^(TahunBuku-YEAR($F70))))),IF($S70="Unit Produksi",$G70-($G70-$H70)*MIN(1,(N($L70)+N($M70))/$K70),$G70))),$G70))</f>
        <v/>
      </c>
      <c r="AF70" s="20" t="str">
        <f>IF($B70="","",IF(OR($S70="Garis Lurus",$S70="Saldo Menurun",$S70="Unit Produksi"),MAX(0,IF($S70="Unit Produksi",TahunBuku*12+12,MIN(TahunBuku*12+12,$Y70+$T70*12-1))-MAX(TahunBuku*12+1,$Y70)+1),0))</f>
        <v/>
      </c>
      <c r="AG70" s="20" t="str">
        <f>IF($B70="","",IF(OR($S70="Garis Lurus",$S70="Saldo Menurun",$S70="Unit Produksi"),MAX(0,MIN($Z70,IF($S70="Unit Produksi",TahunBuku*12+12,MIN(TahunBuku*12+12,$Y70+$T70*12-1)))-MAX(TahunBuku*12+1,$Y70)+1),0))</f>
        <v/>
      </c>
      <c r="AH70" s="21" t="str">
        <f>IF($B70="","",IFERROR(IF($W70="Garis Lurus",$G70*(1-MIN($V70*12,MAX(0,TahunBuku*12-$Y70+1))/($V70*12)),IF($W70="Saldo Menurun",IF(TahunBuku-1&lt;YEAR($F70),$G70,IF(TahunBuku-1&gt;=INT(($Y70+$V70*12-2)/12),0,$G70*(1-2/$V70*(13-MONTH($F70))/12)*(1-2/$V70)^(TahunBuku-1-YEAR($F70)))),$G70)),$G70))</f>
        <v/>
      </c>
      <c r="AI70" s="21" t="str">
        <f>IF($B70="","",IFERROR(IF($W70="Garis Lurus",$G70*(1-MIN($V70*12,MAX(0,TahunBuku*12+12-$Y70+1))/($V70*12)),IF($W70="Saldo Menurun",IF(TahunBuku&lt;YEAR($F70),$G70,IF(TahunBuku&gt;=INT(($Y70+$V70*12-2)/12),0,$G70*(1-2/$V70*(13-MONTH($F70))/12)*(1-2/$V70)^(TahunBuku-YEAR($F70)))),$G70)),$G70))</f>
        <v/>
      </c>
      <c r="AJ70" s="20" t="str">
        <f>IF($B70="","",IF(OR($W70="Garis Lurus",$W70="Saldo Menurun"),MAX(0,MIN(TahunBuku*12+12,$Y70+$V70*12-1)-MAX(TahunBuku*12+1,$Y70)+1),0))</f>
        <v/>
      </c>
      <c r="AK70" s="20" t="str">
        <f>IF($B70="","",IF(OR($W70="Garis Lurus",$W70="Saldo Menurun"),MAX(0,MIN($Z70,TahunBuku*12+12,$Y70+$V70*12-1)-MAX(TahunBuku*12+1,$Y70)+1),0))</f>
        <v/>
      </c>
      <c r="AL70" s="22" t="str">
        <f>IF($B70="","",$G70*$AA70)</f>
        <v/>
      </c>
      <c r="AM70" s="22" t="str">
        <f>IF($B70="","",$G70*$AB70)</f>
        <v/>
      </c>
      <c r="AN70" s="22" t="str">
        <f>IF($B70="","",$G70*$AC70)</f>
        <v/>
      </c>
      <c r="AO70" s="22" t="str">
        <f>IF($B70="","",AL70+AM70-AN70)</f>
        <v/>
      </c>
      <c r="AP70" s="22" t="str">
        <f>IF($B70="","",($G70-$AD70)*$AA70)</f>
        <v/>
      </c>
      <c r="AQ70" s="22" t="str">
        <f>IF($B70="","",IF($AF70=0,0,($AD70-$AE70)*$AG70/$AF70)*MAX($AA70,$AB70))</f>
        <v/>
      </c>
      <c r="AR70" s="22" t="str">
        <f>IF($B70="","",(AP70+AQ70)*$AC70)</f>
        <v/>
      </c>
      <c r="AS70" s="22" t="str">
        <f>IF($B70="","",AP70+AQ70-AR70)</f>
        <v/>
      </c>
      <c r="AT70" s="22" t="str">
        <f>IF($B70="","",AO70-AS70)</f>
        <v/>
      </c>
      <c r="AU70" s="22" t="str">
        <f>IF($B70="","",IF($AC70=1,N($R70)-($G70-AR70),0))</f>
        <v/>
      </c>
      <c r="AV70" s="22" t="str">
        <f>IF($B70="","",($G70-$AH70)*$AA70)</f>
        <v/>
      </c>
      <c r="AW70" s="22" t="str">
        <f>IF($B70="","",IF($AJ70=0,0,($AH70-$AI70)*$AK70/$AJ70)*MAX($AA70,$AB70))</f>
        <v/>
      </c>
      <c r="AX70" s="22" t="str">
        <f>IF($B70="","",(AV70+AW70)*$AC70)</f>
        <v/>
      </c>
      <c r="AY70" s="22" t="str">
        <f>IF($B70="","",AV70+AW70-AX70)</f>
        <v/>
      </c>
      <c r="AZ70" s="22" t="str">
        <f>IF($B70="","",AO70-AY70)</f>
        <v/>
      </c>
      <c r="BA70" s="22" t="str">
        <f>IF($B70="","",IF($AC70=1,N($R70)-($G70-AX70),0))</f>
        <v/>
      </c>
      <c r="BB70" s="22" t="str">
        <f>IF($B70="","",ROUND(AQ70-AW70,0))</f>
        <v/>
      </c>
      <c r="BC70" s="22" t="str">
        <f>IF($B70="","",ROUND(BA70-AU70,0))</f>
        <v/>
      </c>
      <c r="BD70" s="22" t="str">
        <f>IF($B70="","",BB70+BC70)</f>
        <v/>
      </c>
      <c r="BE70" s="22" t="str">
        <f>IF($B70="","",ROUND(AV70-AP70,0))</f>
        <v/>
      </c>
      <c r="BF70" s="22" t="str">
        <f>IF($B70="","",ROUND(AT70-AZ70,0))</f>
        <v/>
      </c>
      <c r="BG70" s="22" t="str">
        <f>IF($B70="","",ROUND(BF70*TarifPPh,0))</f>
        <v/>
      </c>
      <c r="BH70" t="str">
        <f>IF($B70="","",IF($D70="","Kategori kosong",IF($F70="","Tgl perolehan kosong",IF(N($H70)&gt;$G70,"Residu &gt; harga perolehan",IF(AND(LEFT($U70,8)="Bangunan",$W70="Saldo Menurun"),"Bangunan wajib Garis Lurus (Ps.11 UU PPh)",IF(AND($S70="Unit Produksi",N($K70)=0),"Isi kapasitas unit",IF(AND(OR($S70="Garis Lurus",$S70="Saldo Menurun"),N($T70)&lt;=0),"Umur komersial kosong",IF(AND(OR($W70="Garis Lurus",$W70="Saldo Menurun"),N($V70)&lt;=0),"Masa manfaat fiskal kosong",IF(AND($Q70&lt;&gt;"",$Q70&lt;$F70),"Tgl pelepasan &lt; perolehan","OK")))))))))</f>
        <v/>
      </c>
    </row>
    <row r="71" spans="1:60" x14ac:dyDescent="0.25">
      <c r="A71" t="str">
        <f>IF($B71="","",ROW()-6)</f>
        <v/>
      </c>
      <c r="B71" s="9"/>
      <c r="C71" s="9"/>
      <c r="D71" s="9"/>
      <c r="E71" s="9"/>
      <c r="F71" s="17"/>
      <c r="G71" s="18"/>
      <c r="H71" s="18"/>
      <c r="I71" s="9"/>
      <c r="J71" s="9"/>
      <c r="K71" s="19"/>
      <c r="L71" s="19"/>
      <c r="M71" s="19"/>
      <c r="N71" s="9"/>
      <c r="O71" s="9"/>
      <c r="P71" s="9"/>
      <c r="Q71" s="17"/>
      <c r="R71" s="18"/>
      <c r="S71" t="str">
        <f>IF($B71="","",IF($I71&lt;&gt;"",$I71,IFERROR(INDEX(Kat_Metode,MATCH($D71,Kat_Nama,0)),"")))</f>
        <v/>
      </c>
      <c r="T71" t="str">
        <f>IF($B71="","",IF($J71&lt;&gt;"",$J71,IFERROR(INDEX(Kat_Umur,MATCH($D71,Kat_Nama,0)),0)))</f>
        <v/>
      </c>
      <c r="U71" t="str">
        <f>IF($B71="","",IF($N71&lt;&gt;"",$N71,IFERROR(INDEX(Kat_Kelompok,MATCH($D71,Kat_Nama,0)),"")))</f>
        <v/>
      </c>
      <c r="V71" t="str">
        <f>IF($B71="","",IF($U71="Masa Manfaat Sebenarnya",N($O71),IFERROR(INDEX(Kel_Masa,MATCH($U71,Kel_Nama,0)),0)))</f>
        <v/>
      </c>
      <c r="W71" t="str">
        <f>IF($B71="","",IF($P71&lt;&gt;"",$P71,IF(OR($U71="Tidak Disusutkan",$V71=0),"Tidak Disusutkan","Garis Lurus")))</f>
        <v/>
      </c>
      <c r="X71" t="str">
        <f>IF($B71="","",IF($Y71&gt;TahunBuku*12+12,"Belum Diperoleh",IF($Z71&lt;=TahunBuku*12,"Dilepas (thn lalu)",IF($AC71=1,"Dilepas thn ini",IF($AB71=1,"Perolehan baru","Aktif")))))</f>
        <v/>
      </c>
      <c r="Y71" s="20" t="str">
        <f>IF($B71="","",YEAR($F71)*12+MONTH($F71))</f>
        <v/>
      </c>
      <c r="Z71" s="20" t="str">
        <f>IF($B71="","",IF($Q71="",99999,YEAR($Q71)*12+MONTH($Q71)))</f>
        <v/>
      </c>
      <c r="AA71" s="20" t="str">
        <f>IF($B71="","",--AND($Y71&lt;=TahunBuku*12,$Z71&gt;TahunBuku*12))</f>
        <v/>
      </c>
      <c r="AB71" s="20" t="str">
        <f>IF($B71="","",--AND($Y71&gt;TahunBuku*12,$Y71&lt;=TahunBuku*12+12))</f>
        <v/>
      </c>
      <c r="AC71" s="20" t="str">
        <f>IF($B71="","",--AND($Z71&gt;TahunBuku*12,$Z71&lt;=TahunBuku*12+12,$Y71&lt;=$Z71))</f>
        <v/>
      </c>
      <c r="AD71" s="21" t="str">
        <f>IF($B71="","",IFERROR(IF($S71="Garis Lurus",$G71-($G71-$H71)*MIN($T71*12,MAX(0,TahunBuku*12-$Y71+1))/($T71*12),IF($S71="Saldo Menurun",IF(TahunBuku-1&lt;YEAR($F71),$G71,IF(TahunBuku-1&gt;=INT(($Y71+$T71*12-2)/12),$H71,MAX($H71,$G71*(1-2/$T71*(13-MONTH($F71))/12)*(1-2/$T71)^(TahunBuku-1-YEAR($F71))))),IF($S71="Unit Produksi",$G71-($G71-$H71)*MIN(1,N($L71)/$K71),$G71))),$G71))</f>
        <v/>
      </c>
      <c r="AE71" s="21" t="str">
        <f>IF($B71="","",IFERROR(IF($S71="Garis Lurus",$G71-($G71-$H71)*MIN($T71*12,MAX(0,TahunBuku*12+12-$Y71+1))/($T71*12),IF($S71="Saldo Menurun",IF(TahunBuku&lt;YEAR($F71),$G71,IF(TahunBuku&gt;=INT(($Y71+$T71*12-2)/12),$H71,MAX($H71,$G71*(1-2/$T71*(13-MONTH($F71))/12)*(1-2/$T71)^(TahunBuku-YEAR($F71))))),IF($S71="Unit Produksi",$G71-($G71-$H71)*MIN(1,(N($L71)+N($M71))/$K71),$G71))),$G71))</f>
        <v/>
      </c>
      <c r="AF71" s="20" t="str">
        <f>IF($B71="","",IF(OR($S71="Garis Lurus",$S71="Saldo Menurun",$S71="Unit Produksi"),MAX(0,IF($S71="Unit Produksi",TahunBuku*12+12,MIN(TahunBuku*12+12,$Y71+$T71*12-1))-MAX(TahunBuku*12+1,$Y71)+1),0))</f>
        <v/>
      </c>
      <c r="AG71" s="20" t="str">
        <f>IF($B71="","",IF(OR($S71="Garis Lurus",$S71="Saldo Menurun",$S71="Unit Produksi"),MAX(0,MIN($Z71,IF($S71="Unit Produksi",TahunBuku*12+12,MIN(TahunBuku*12+12,$Y71+$T71*12-1)))-MAX(TahunBuku*12+1,$Y71)+1),0))</f>
        <v/>
      </c>
      <c r="AH71" s="21" t="str">
        <f>IF($B71="","",IFERROR(IF($W71="Garis Lurus",$G71*(1-MIN($V71*12,MAX(0,TahunBuku*12-$Y71+1))/($V71*12)),IF($W71="Saldo Menurun",IF(TahunBuku-1&lt;YEAR($F71),$G71,IF(TahunBuku-1&gt;=INT(($Y71+$V71*12-2)/12),0,$G71*(1-2/$V71*(13-MONTH($F71))/12)*(1-2/$V71)^(TahunBuku-1-YEAR($F71)))),$G71)),$G71))</f>
        <v/>
      </c>
      <c r="AI71" s="21" t="str">
        <f>IF($B71="","",IFERROR(IF($W71="Garis Lurus",$G71*(1-MIN($V71*12,MAX(0,TahunBuku*12+12-$Y71+1))/($V71*12)),IF($W71="Saldo Menurun",IF(TahunBuku&lt;YEAR($F71),$G71,IF(TahunBuku&gt;=INT(($Y71+$V71*12-2)/12),0,$G71*(1-2/$V71*(13-MONTH($F71))/12)*(1-2/$V71)^(TahunBuku-YEAR($F71)))),$G71)),$G71))</f>
        <v/>
      </c>
      <c r="AJ71" s="20" t="str">
        <f>IF($B71="","",IF(OR($W71="Garis Lurus",$W71="Saldo Menurun"),MAX(0,MIN(TahunBuku*12+12,$Y71+$V71*12-1)-MAX(TahunBuku*12+1,$Y71)+1),0))</f>
        <v/>
      </c>
      <c r="AK71" s="20" t="str">
        <f>IF($B71="","",IF(OR($W71="Garis Lurus",$W71="Saldo Menurun"),MAX(0,MIN($Z71,TahunBuku*12+12,$Y71+$V71*12-1)-MAX(TahunBuku*12+1,$Y71)+1),0))</f>
        <v/>
      </c>
      <c r="AL71" s="22" t="str">
        <f>IF($B71="","",$G71*$AA71)</f>
        <v/>
      </c>
      <c r="AM71" s="22" t="str">
        <f>IF($B71="","",$G71*$AB71)</f>
        <v/>
      </c>
      <c r="AN71" s="22" t="str">
        <f>IF($B71="","",$G71*$AC71)</f>
        <v/>
      </c>
      <c r="AO71" s="22" t="str">
        <f>IF($B71="","",AL71+AM71-AN71)</f>
        <v/>
      </c>
      <c r="AP71" s="22" t="str">
        <f>IF($B71="","",($G71-$AD71)*$AA71)</f>
        <v/>
      </c>
      <c r="AQ71" s="22" t="str">
        <f>IF($B71="","",IF($AF71=0,0,($AD71-$AE71)*$AG71/$AF71)*MAX($AA71,$AB71))</f>
        <v/>
      </c>
      <c r="AR71" s="22" t="str">
        <f>IF($B71="","",(AP71+AQ71)*$AC71)</f>
        <v/>
      </c>
      <c r="AS71" s="22" t="str">
        <f>IF($B71="","",AP71+AQ71-AR71)</f>
        <v/>
      </c>
      <c r="AT71" s="22" t="str">
        <f>IF($B71="","",AO71-AS71)</f>
        <v/>
      </c>
      <c r="AU71" s="22" t="str">
        <f>IF($B71="","",IF($AC71=1,N($R71)-($G71-AR71),0))</f>
        <v/>
      </c>
      <c r="AV71" s="22" t="str">
        <f>IF($B71="","",($G71-$AH71)*$AA71)</f>
        <v/>
      </c>
      <c r="AW71" s="22" t="str">
        <f>IF($B71="","",IF($AJ71=0,0,($AH71-$AI71)*$AK71/$AJ71)*MAX($AA71,$AB71))</f>
        <v/>
      </c>
      <c r="AX71" s="22" t="str">
        <f>IF($B71="","",(AV71+AW71)*$AC71)</f>
        <v/>
      </c>
      <c r="AY71" s="22" t="str">
        <f>IF($B71="","",AV71+AW71-AX71)</f>
        <v/>
      </c>
      <c r="AZ71" s="22" t="str">
        <f>IF($B71="","",AO71-AY71)</f>
        <v/>
      </c>
      <c r="BA71" s="22" t="str">
        <f>IF($B71="","",IF($AC71=1,N($R71)-($G71-AX71),0))</f>
        <v/>
      </c>
      <c r="BB71" s="22" t="str">
        <f>IF($B71="","",ROUND(AQ71-AW71,0))</f>
        <v/>
      </c>
      <c r="BC71" s="22" t="str">
        <f>IF($B71="","",ROUND(BA71-AU71,0))</f>
        <v/>
      </c>
      <c r="BD71" s="22" t="str">
        <f>IF($B71="","",BB71+BC71)</f>
        <v/>
      </c>
      <c r="BE71" s="22" t="str">
        <f>IF($B71="","",ROUND(AV71-AP71,0))</f>
        <v/>
      </c>
      <c r="BF71" s="22" t="str">
        <f>IF($B71="","",ROUND(AT71-AZ71,0))</f>
        <v/>
      </c>
      <c r="BG71" s="22" t="str">
        <f>IF($B71="","",ROUND(BF71*TarifPPh,0))</f>
        <v/>
      </c>
      <c r="BH71" t="str">
        <f>IF($B71="","",IF($D71="","Kategori kosong",IF($F71="","Tgl perolehan kosong",IF(N($H71)&gt;$G71,"Residu &gt; harga perolehan",IF(AND(LEFT($U71,8)="Bangunan",$W71="Saldo Menurun"),"Bangunan wajib Garis Lurus (Ps.11 UU PPh)",IF(AND($S71="Unit Produksi",N($K71)=0),"Isi kapasitas unit",IF(AND(OR($S71="Garis Lurus",$S71="Saldo Menurun"),N($T71)&lt;=0),"Umur komersial kosong",IF(AND(OR($W71="Garis Lurus",$W71="Saldo Menurun"),N($V71)&lt;=0),"Masa manfaat fiskal kosong",IF(AND($Q71&lt;&gt;"",$Q71&lt;$F71),"Tgl pelepasan &lt; perolehan","OK")))))))))</f>
        <v/>
      </c>
    </row>
    <row r="72" spans="1:60" x14ac:dyDescent="0.25">
      <c r="A72" t="str">
        <f>IF($B72="","",ROW()-6)</f>
        <v/>
      </c>
      <c r="B72" s="9"/>
      <c r="C72" s="9"/>
      <c r="D72" s="9"/>
      <c r="E72" s="9"/>
      <c r="F72" s="17"/>
      <c r="G72" s="18"/>
      <c r="H72" s="18"/>
      <c r="I72" s="9"/>
      <c r="J72" s="9"/>
      <c r="K72" s="19"/>
      <c r="L72" s="19"/>
      <c r="M72" s="19"/>
      <c r="N72" s="9"/>
      <c r="O72" s="9"/>
      <c r="P72" s="9"/>
      <c r="Q72" s="17"/>
      <c r="R72" s="18"/>
      <c r="S72" t="str">
        <f>IF($B72="","",IF($I72&lt;&gt;"",$I72,IFERROR(INDEX(Kat_Metode,MATCH($D72,Kat_Nama,0)),"")))</f>
        <v/>
      </c>
      <c r="T72" t="str">
        <f>IF($B72="","",IF($J72&lt;&gt;"",$J72,IFERROR(INDEX(Kat_Umur,MATCH($D72,Kat_Nama,0)),0)))</f>
        <v/>
      </c>
      <c r="U72" t="str">
        <f>IF($B72="","",IF($N72&lt;&gt;"",$N72,IFERROR(INDEX(Kat_Kelompok,MATCH($D72,Kat_Nama,0)),"")))</f>
        <v/>
      </c>
      <c r="V72" t="str">
        <f>IF($B72="","",IF($U72="Masa Manfaat Sebenarnya",N($O72),IFERROR(INDEX(Kel_Masa,MATCH($U72,Kel_Nama,0)),0)))</f>
        <v/>
      </c>
      <c r="W72" t="str">
        <f>IF($B72="","",IF($P72&lt;&gt;"",$P72,IF(OR($U72="Tidak Disusutkan",$V72=0),"Tidak Disusutkan","Garis Lurus")))</f>
        <v/>
      </c>
      <c r="X72" t="str">
        <f>IF($B72="","",IF($Y72&gt;TahunBuku*12+12,"Belum Diperoleh",IF($Z72&lt;=TahunBuku*12,"Dilepas (thn lalu)",IF($AC72=1,"Dilepas thn ini",IF($AB72=1,"Perolehan baru","Aktif")))))</f>
        <v/>
      </c>
      <c r="Y72" s="20" t="str">
        <f>IF($B72="","",YEAR($F72)*12+MONTH($F72))</f>
        <v/>
      </c>
      <c r="Z72" s="20" t="str">
        <f>IF($B72="","",IF($Q72="",99999,YEAR($Q72)*12+MONTH($Q72)))</f>
        <v/>
      </c>
      <c r="AA72" s="20" t="str">
        <f>IF($B72="","",--AND($Y72&lt;=TahunBuku*12,$Z72&gt;TahunBuku*12))</f>
        <v/>
      </c>
      <c r="AB72" s="20" t="str">
        <f>IF($B72="","",--AND($Y72&gt;TahunBuku*12,$Y72&lt;=TahunBuku*12+12))</f>
        <v/>
      </c>
      <c r="AC72" s="20" t="str">
        <f>IF($B72="","",--AND($Z72&gt;TahunBuku*12,$Z72&lt;=TahunBuku*12+12,$Y72&lt;=$Z72))</f>
        <v/>
      </c>
      <c r="AD72" s="21" t="str">
        <f>IF($B72="","",IFERROR(IF($S72="Garis Lurus",$G72-($G72-$H72)*MIN($T72*12,MAX(0,TahunBuku*12-$Y72+1))/($T72*12),IF($S72="Saldo Menurun",IF(TahunBuku-1&lt;YEAR($F72),$G72,IF(TahunBuku-1&gt;=INT(($Y72+$T72*12-2)/12),$H72,MAX($H72,$G72*(1-2/$T72*(13-MONTH($F72))/12)*(1-2/$T72)^(TahunBuku-1-YEAR($F72))))),IF($S72="Unit Produksi",$G72-($G72-$H72)*MIN(1,N($L72)/$K72),$G72))),$G72))</f>
        <v/>
      </c>
      <c r="AE72" s="21" t="str">
        <f>IF($B72="","",IFERROR(IF($S72="Garis Lurus",$G72-($G72-$H72)*MIN($T72*12,MAX(0,TahunBuku*12+12-$Y72+1))/($T72*12),IF($S72="Saldo Menurun",IF(TahunBuku&lt;YEAR($F72),$G72,IF(TahunBuku&gt;=INT(($Y72+$T72*12-2)/12),$H72,MAX($H72,$G72*(1-2/$T72*(13-MONTH($F72))/12)*(1-2/$T72)^(TahunBuku-YEAR($F72))))),IF($S72="Unit Produksi",$G72-($G72-$H72)*MIN(1,(N($L72)+N($M72))/$K72),$G72))),$G72))</f>
        <v/>
      </c>
      <c r="AF72" s="20" t="str">
        <f>IF($B72="","",IF(OR($S72="Garis Lurus",$S72="Saldo Menurun",$S72="Unit Produksi"),MAX(0,IF($S72="Unit Produksi",TahunBuku*12+12,MIN(TahunBuku*12+12,$Y72+$T72*12-1))-MAX(TahunBuku*12+1,$Y72)+1),0))</f>
        <v/>
      </c>
      <c r="AG72" s="20" t="str">
        <f>IF($B72="","",IF(OR($S72="Garis Lurus",$S72="Saldo Menurun",$S72="Unit Produksi"),MAX(0,MIN($Z72,IF($S72="Unit Produksi",TahunBuku*12+12,MIN(TahunBuku*12+12,$Y72+$T72*12-1)))-MAX(TahunBuku*12+1,$Y72)+1),0))</f>
        <v/>
      </c>
      <c r="AH72" s="21" t="str">
        <f>IF($B72="","",IFERROR(IF($W72="Garis Lurus",$G72*(1-MIN($V72*12,MAX(0,TahunBuku*12-$Y72+1))/($V72*12)),IF($W72="Saldo Menurun",IF(TahunBuku-1&lt;YEAR($F72),$G72,IF(TahunBuku-1&gt;=INT(($Y72+$V72*12-2)/12),0,$G72*(1-2/$V72*(13-MONTH($F72))/12)*(1-2/$V72)^(TahunBuku-1-YEAR($F72)))),$G72)),$G72))</f>
        <v/>
      </c>
      <c r="AI72" s="21" t="str">
        <f>IF($B72="","",IFERROR(IF($W72="Garis Lurus",$G72*(1-MIN($V72*12,MAX(0,TahunBuku*12+12-$Y72+1))/($V72*12)),IF($W72="Saldo Menurun",IF(TahunBuku&lt;YEAR($F72),$G72,IF(TahunBuku&gt;=INT(($Y72+$V72*12-2)/12),0,$G72*(1-2/$V72*(13-MONTH($F72))/12)*(1-2/$V72)^(TahunBuku-YEAR($F72)))),$G72)),$G72))</f>
        <v/>
      </c>
      <c r="AJ72" s="20" t="str">
        <f>IF($B72="","",IF(OR($W72="Garis Lurus",$W72="Saldo Menurun"),MAX(0,MIN(TahunBuku*12+12,$Y72+$V72*12-1)-MAX(TahunBuku*12+1,$Y72)+1),0))</f>
        <v/>
      </c>
      <c r="AK72" s="20" t="str">
        <f>IF($B72="","",IF(OR($W72="Garis Lurus",$W72="Saldo Menurun"),MAX(0,MIN($Z72,TahunBuku*12+12,$Y72+$V72*12-1)-MAX(TahunBuku*12+1,$Y72)+1),0))</f>
        <v/>
      </c>
      <c r="AL72" s="22" t="str">
        <f>IF($B72="","",$G72*$AA72)</f>
        <v/>
      </c>
      <c r="AM72" s="22" t="str">
        <f>IF($B72="","",$G72*$AB72)</f>
        <v/>
      </c>
      <c r="AN72" s="22" t="str">
        <f>IF($B72="","",$G72*$AC72)</f>
        <v/>
      </c>
      <c r="AO72" s="22" t="str">
        <f>IF($B72="","",AL72+AM72-AN72)</f>
        <v/>
      </c>
      <c r="AP72" s="22" t="str">
        <f>IF($B72="","",($G72-$AD72)*$AA72)</f>
        <v/>
      </c>
      <c r="AQ72" s="22" t="str">
        <f>IF($B72="","",IF($AF72=0,0,($AD72-$AE72)*$AG72/$AF72)*MAX($AA72,$AB72))</f>
        <v/>
      </c>
      <c r="AR72" s="22" t="str">
        <f>IF($B72="","",(AP72+AQ72)*$AC72)</f>
        <v/>
      </c>
      <c r="AS72" s="22" t="str">
        <f>IF($B72="","",AP72+AQ72-AR72)</f>
        <v/>
      </c>
      <c r="AT72" s="22" t="str">
        <f>IF($B72="","",AO72-AS72)</f>
        <v/>
      </c>
      <c r="AU72" s="22" t="str">
        <f>IF($B72="","",IF($AC72=1,N($R72)-($G72-AR72),0))</f>
        <v/>
      </c>
      <c r="AV72" s="22" t="str">
        <f>IF($B72="","",($G72-$AH72)*$AA72)</f>
        <v/>
      </c>
      <c r="AW72" s="22" t="str">
        <f>IF($B72="","",IF($AJ72=0,0,($AH72-$AI72)*$AK72/$AJ72)*MAX($AA72,$AB72))</f>
        <v/>
      </c>
      <c r="AX72" s="22" t="str">
        <f>IF($B72="","",(AV72+AW72)*$AC72)</f>
        <v/>
      </c>
      <c r="AY72" s="22" t="str">
        <f>IF($B72="","",AV72+AW72-AX72)</f>
        <v/>
      </c>
      <c r="AZ72" s="22" t="str">
        <f>IF($B72="","",AO72-AY72)</f>
        <v/>
      </c>
      <c r="BA72" s="22" t="str">
        <f>IF($B72="","",IF($AC72=1,N($R72)-($G72-AX72),0))</f>
        <v/>
      </c>
      <c r="BB72" s="22" t="str">
        <f>IF($B72="","",ROUND(AQ72-AW72,0))</f>
        <v/>
      </c>
      <c r="BC72" s="22" t="str">
        <f>IF($B72="","",ROUND(BA72-AU72,0))</f>
        <v/>
      </c>
      <c r="BD72" s="22" t="str">
        <f>IF($B72="","",BB72+BC72)</f>
        <v/>
      </c>
      <c r="BE72" s="22" t="str">
        <f>IF($B72="","",ROUND(AV72-AP72,0))</f>
        <v/>
      </c>
      <c r="BF72" s="22" t="str">
        <f>IF($B72="","",ROUND(AT72-AZ72,0))</f>
        <v/>
      </c>
      <c r="BG72" s="22" t="str">
        <f>IF($B72="","",ROUND(BF72*TarifPPh,0))</f>
        <v/>
      </c>
      <c r="BH72" t="str">
        <f>IF($B72="","",IF($D72="","Kategori kosong",IF($F72="","Tgl perolehan kosong",IF(N($H72)&gt;$G72,"Residu &gt; harga perolehan",IF(AND(LEFT($U72,8)="Bangunan",$W72="Saldo Menurun"),"Bangunan wajib Garis Lurus (Ps.11 UU PPh)",IF(AND($S72="Unit Produksi",N($K72)=0),"Isi kapasitas unit",IF(AND(OR($S72="Garis Lurus",$S72="Saldo Menurun"),N($T72)&lt;=0),"Umur komersial kosong",IF(AND(OR($W72="Garis Lurus",$W72="Saldo Menurun"),N($V72)&lt;=0),"Masa manfaat fiskal kosong",IF(AND($Q72&lt;&gt;"",$Q72&lt;$F72),"Tgl pelepasan &lt; perolehan","OK")))))))))</f>
        <v/>
      </c>
    </row>
    <row r="73" spans="1:60" x14ac:dyDescent="0.25">
      <c r="A73" t="str">
        <f>IF($B73="","",ROW()-6)</f>
        <v/>
      </c>
      <c r="B73" s="9"/>
      <c r="C73" s="9"/>
      <c r="D73" s="9"/>
      <c r="E73" s="9"/>
      <c r="F73" s="17"/>
      <c r="G73" s="18"/>
      <c r="H73" s="18"/>
      <c r="I73" s="9"/>
      <c r="J73" s="9"/>
      <c r="K73" s="19"/>
      <c r="L73" s="19"/>
      <c r="M73" s="19"/>
      <c r="N73" s="9"/>
      <c r="O73" s="9"/>
      <c r="P73" s="9"/>
      <c r="Q73" s="17"/>
      <c r="R73" s="18"/>
      <c r="S73" t="str">
        <f>IF($B73="","",IF($I73&lt;&gt;"",$I73,IFERROR(INDEX(Kat_Metode,MATCH($D73,Kat_Nama,0)),"")))</f>
        <v/>
      </c>
      <c r="T73" t="str">
        <f>IF($B73="","",IF($J73&lt;&gt;"",$J73,IFERROR(INDEX(Kat_Umur,MATCH($D73,Kat_Nama,0)),0)))</f>
        <v/>
      </c>
      <c r="U73" t="str">
        <f>IF($B73="","",IF($N73&lt;&gt;"",$N73,IFERROR(INDEX(Kat_Kelompok,MATCH($D73,Kat_Nama,0)),"")))</f>
        <v/>
      </c>
      <c r="V73" t="str">
        <f>IF($B73="","",IF($U73="Masa Manfaat Sebenarnya",N($O73),IFERROR(INDEX(Kel_Masa,MATCH($U73,Kel_Nama,0)),0)))</f>
        <v/>
      </c>
      <c r="W73" t="str">
        <f>IF($B73="","",IF($P73&lt;&gt;"",$P73,IF(OR($U73="Tidak Disusutkan",$V73=0),"Tidak Disusutkan","Garis Lurus")))</f>
        <v/>
      </c>
      <c r="X73" t="str">
        <f>IF($B73="","",IF($Y73&gt;TahunBuku*12+12,"Belum Diperoleh",IF($Z73&lt;=TahunBuku*12,"Dilepas (thn lalu)",IF($AC73=1,"Dilepas thn ini",IF($AB73=1,"Perolehan baru","Aktif")))))</f>
        <v/>
      </c>
      <c r="Y73" s="20" t="str">
        <f>IF($B73="","",YEAR($F73)*12+MONTH($F73))</f>
        <v/>
      </c>
      <c r="Z73" s="20" t="str">
        <f>IF($B73="","",IF($Q73="",99999,YEAR($Q73)*12+MONTH($Q73)))</f>
        <v/>
      </c>
      <c r="AA73" s="20" t="str">
        <f>IF($B73="","",--AND($Y73&lt;=TahunBuku*12,$Z73&gt;TahunBuku*12))</f>
        <v/>
      </c>
      <c r="AB73" s="20" t="str">
        <f>IF($B73="","",--AND($Y73&gt;TahunBuku*12,$Y73&lt;=TahunBuku*12+12))</f>
        <v/>
      </c>
      <c r="AC73" s="20" t="str">
        <f>IF($B73="","",--AND($Z73&gt;TahunBuku*12,$Z73&lt;=TahunBuku*12+12,$Y73&lt;=$Z73))</f>
        <v/>
      </c>
      <c r="AD73" s="21" t="str">
        <f>IF($B73="","",IFERROR(IF($S73="Garis Lurus",$G73-($G73-$H73)*MIN($T73*12,MAX(0,TahunBuku*12-$Y73+1))/($T73*12),IF($S73="Saldo Menurun",IF(TahunBuku-1&lt;YEAR($F73),$G73,IF(TahunBuku-1&gt;=INT(($Y73+$T73*12-2)/12),$H73,MAX($H73,$G73*(1-2/$T73*(13-MONTH($F73))/12)*(1-2/$T73)^(TahunBuku-1-YEAR($F73))))),IF($S73="Unit Produksi",$G73-($G73-$H73)*MIN(1,N($L73)/$K73),$G73))),$G73))</f>
        <v/>
      </c>
      <c r="AE73" s="21" t="str">
        <f>IF($B73="","",IFERROR(IF($S73="Garis Lurus",$G73-($G73-$H73)*MIN($T73*12,MAX(0,TahunBuku*12+12-$Y73+1))/($T73*12),IF($S73="Saldo Menurun",IF(TahunBuku&lt;YEAR($F73),$G73,IF(TahunBuku&gt;=INT(($Y73+$T73*12-2)/12),$H73,MAX($H73,$G73*(1-2/$T73*(13-MONTH($F73))/12)*(1-2/$T73)^(TahunBuku-YEAR($F73))))),IF($S73="Unit Produksi",$G73-($G73-$H73)*MIN(1,(N($L73)+N($M73))/$K73),$G73))),$G73))</f>
        <v/>
      </c>
      <c r="AF73" s="20" t="str">
        <f>IF($B73="","",IF(OR($S73="Garis Lurus",$S73="Saldo Menurun",$S73="Unit Produksi"),MAX(0,IF($S73="Unit Produksi",TahunBuku*12+12,MIN(TahunBuku*12+12,$Y73+$T73*12-1))-MAX(TahunBuku*12+1,$Y73)+1),0))</f>
        <v/>
      </c>
      <c r="AG73" s="20" t="str">
        <f>IF($B73="","",IF(OR($S73="Garis Lurus",$S73="Saldo Menurun",$S73="Unit Produksi"),MAX(0,MIN($Z73,IF($S73="Unit Produksi",TahunBuku*12+12,MIN(TahunBuku*12+12,$Y73+$T73*12-1)))-MAX(TahunBuku*12+1,$Y73)+1),0))</f>
        <v/>
      </c>
      <c r="AH73" s="21" t="str">
        <f>IF($B73="","",IFERROR(IF($W73="Garis Lurus",$G73*(1-MIN($V73*12,MAX(0,TahunBuku*12-$Y73+1))/($V73*12)),IF($W73="Saldo Menurun",IF(TahunBuku-1&lt;YEAR($F73),$G73,IF(TahunBuku-1&gt;=INT(($Y73+$V73*12-2)/12),0,$G73*(1-2/$V73*(13-MONTH($F73))/12)*(1-2/$V73)^(TahunBuku-1-YEAR($F73)))),$G73)),$G73))</f>
        <v/>
      </c>
      <c r="AI73" s="21" t="str">
        <f>IF($B73="","",IFERROR(IF($W73="Garis Lurus",$G73*(1-MIN($V73*12,MAX(0,TahunBuku*12+12-$Y73+1))/($V73*12)),IF($W73="Saldo Menurun",IF(TahunBuku&lt;YEAR($F73),$G73,IF(TahunBuku&gt;=INT(($Y73+$V73*12-2)/12),0,$G73*(1-2/$V73*(13-MONTH($F73))/12)*(1-2/$V73)^(TahunBuku-YEAR($F73)))),$G73)),$G73))</f>
        <v/>
      </c>
      <c r="AJ73" s="20" t="str">
        <f>IF($B73="","",IF(OR($W73="Garis Lurus",$W73="Saldo Menurun"),MAX(0,MIN(TahunBuku*12+12,$Y73+$V73*12-1)-MAX(TahunBuku*12+1,$Y73)+1),0))</f>
        <v/>
      </c>
      <c r="AK73" s="20" t="str">
        <f>IF($B73="","",IF(OR($W73="Garis Lurus",$W73="Saldo Menurun"),MAX(0,MIN($Z73,TahunBuku*12+12,$Y73+$V73*12-1)-MAX(TahunBuku*12+1,$Y73)+1),0))</f>
        <v/>
      </c>
      <c r="AL73" s="22" t="str">
        <f>IF($B73="","",$G73*$AA73)</f>
        <v/>
      </c>
      <c r="AM73" s="22" t="str">
        <f>IF($B73="","",$G73*$AB73)</f>
        <v/>
      </c>
      <c r="AN73" s="22" t="str">
        <f>IF($B73="","",$G73*$AC73)</f>
        <v/>
      </c>
      <c r="AO73" s="22" t="str">
        <f>IF($B73="","",AL73+AM73-AN73)</f>
        <v/>
      </c>
      <c r="AP73" s="22" t="str">
        <f>IF($B73="","",($G73-$AD73)*$AA73)</f>
        <v/>
      </c>
      <c r="AQ73" s="22" t="str">
        <f>IF($B73="","",IF($AF73=0,0,($AD73-$AE73)*$AG73/$AF73)*MAX($AA73,$AB73))</f>
        <v/>
      </c>
      <c r="AR73" s="22" t="str">
        <f>IF($B73="","",(AP73+AQ73)*$AC73)</f>
        <v/>
      </c>
      <c r="AS73" s="22" t="str">
        <f>IF($B73="","",AP73+AQ73-AR73)</f>
        <v/>
      </c>
      <c r="AT73" s="22" t="str">
        <f>IF($B73="","",AO73-AS73)</f>
        <v/>
      </c>
      <c r="AU73" s="22" t="str">
        <f>IF($B73="","",IF($AC73=1,N($R73)-($G73-AR73),0))</f>
        <v/>
      </c>
      <c r="AV73" s="22" t="str">
        <f>IF($B73="","",($G73-$AH73)*$AA73)</f>
        <v/>
      </c>
      <c r="AW73" s="22" t="str">
        <f>IF($B73="","",IF($AJ73=0,0,($AH73-$AI73)*$AK73/$AJ73)*MAX($AA73,$AB73))</f>
        <v/>
      </c>
      <c r="AX73" s="22" t="str">
        <f>IF($B73="","",(AV73+AW73)*$AC73)</f>
        <v/>
      </c>
      <c r="AY73" s="22" t="str">
        <f>IF($B73="","",AV73+AW73-AX73)</f>
        <v/>
      </c>
      <c r="AZ73" s="22" t="str">
        <f>IF($B73="","",AO73-AY73)</f>
        <v/>
      </c>
      <c r="BA73" s="22" t="str">
        <f>IF($B73="","",IF($AC73=1,N($R73)-($G73-AX73),0))</f>
        <v/>
      </c>
      <c r="BB73" s="22" t="str">
        <f>IF($B73="","",ROUND(AQ73-AW73,0))</f>
        <v/>
      </c>
      <c r="BC73" s="22" t="str">
        <f>IF($B73="","",ROUND(BA73-AU73,0))</f>
        <v/>
      </c>
      <c r="BD73" s="22" t="str">
        <f>IF($B73="","",BB73+BC73)</f>
        <v/>
      </c>
      <c r="BE73" s="22" t="str">
        <f>IF($B73="","",ROUND(AV73-AP73,0))</f>
        <v/>
      </c>
      <c r="BF73" s="22" t="str">
        <f>IF($B73="","",ROUND(AT73-AZ73,0))</f>
        <v/>
      </c>
      <c r="BG73" s="22" t="str">
        <f>IF($B73="","",ROUND(BF73*TarifPPh,0))</f>
        <v/>
      </c>
      <c r="BH73" t="str">
        <f>IF($B73="","",IF($D73="","Kategori kosong",IF($F73="","Tgl perolehan kosong",IF(N($H73)&gt;$G73,"Residu &gt; harga perolehan",IF(AND(LEFT($U73,8)="Bangunan",$W73="Saldo Menurun"),"Bangunan wajib Garis Lurus (Ps.11 UU PPh)",IF(AND($S73="Unit Produksi",N($K73)=0),"Isi kapasitas unit",IF(AND(OR($S73="Garis Lurus",$S73="Saldo Menurun"),N($T73)&lt;=0),"Umur komersial kosong",IF(AND(OR($W73="Garis Lurus",$W73="Saldo Menurun"),N($V73)&lt;=0),"Masa manfaat fiskal kosong",IF(AND($Q73&lt;&gt;"",$Q73&lt;$F73),"Tgl pelepasan &lt; perolehan","OK")))))))))</f>
        <v/>
      </c>
    </row>
    <row r="74" spans="1:60" x14ac:dyDescent="0.25">
      <c r="A74" t="str">
        <f>IF($B74="","",ROW()-6)</f>
        <v/>
      </c>
      <c r="B74" s="9"/>
      <c r="C74" s="9"/>
      <c r="D74" s="9"/>
      <c r="E74" s="9"/>
      <c r="F74" s="17"/>
      <c r="G74" s="18"/>
      <c r="H74" s="18"/>
      <c r="I74" s="9"/>
      <c r="J74" s="9"/>
      <c r="K74" s="19"/>
      <c r="L74" s="19"/>
      <c r="M74" s="19"/>
      <c r="N74" s="9"/>
      <c r="O74" s="9"/>
      <c r="P74" s="9"/>
      <c r="Q74" s="17"/>
      <c r="R74" s="18"/>
      <c r="S74" t="str">
        <f>IF($B74="","",IF($I74&lt;&gt;"",$I74,IFERROR(INDEX(Kat_Metode,MATCH($D74,Kat_Nama,0)),"")))</f>
        <v/>
      </c>
      <c r="T74" t="str">
        <f>IF($B74="","",IF($J74&lt;&gt;"",$J74,IFERROR(INDEX(Kat_Umur,MATCH($D74,Kat_Nama,0)),0)))</f>
        <v/>
      </c>
      <c r="U74" t="str">
        <f>IF($B74="","",IF($N74&lt;&gt;"",$N74,IFERROR(INDEX(Kat_Kelompok,MATCH($D74,Kat_Nama,0)),"")))</f>
        <v/>
      </c>
      <c r="V74" t="str">
        <f>IF($B74="","",IF($U74="Masa Manfaat Sebenarnya",N($O74),IFERROR(INDEX(Kel_Masa,MATCH($U74,Kel_Nama,0)),0)))</f>
        <v/>
      </c>
      <c r="W74" t="str">
        <f>IF($B74="","",IF($P74&lt;&gt;"",$P74,IF(OR($U74="Tidak Disusutkan",$V74=0),"Tidak Disusutkan","Garis Lurus")))</f>
        <v/>
      </c>
      <c r="X74" t="str">
        <f>IF($B74="","",IF($Y74&gt;TahunBuku*12+12,"Belum Diperoleh",IF($Z74&lt;=TahunBuku*12,"Dilepas (thn lalu)",IF($AC74=1,"Dilepas thn ini",IF($AB74=1,"Perolehan baru","Aktif")))))</f>
        <v/>
      </c>
      <c r="Y74" s="20" t="str">
        <f>IF($B74="","",YEAR($F74)*12+MONTH($F74))</f>
        <v/>
      </c>
      <c r="Z74" s="20" t="str">
        <f>IF($B74="","",IF($Q74="",99999,YEAR($Q74)*12+MONTH($Q74)))</f>
        <v/>
      </c>
      <c r="AA74" s="20" t="str">
        <f>IF($B74="","",--AND($Y74&lt;=TahunBuku*12,$Z74&gt;TahunBuku*12))</f>
        <v/>
      </c>
      <c r="AB74" s="20" t="str">
        <f>IF($B74="","",--AND($Y74&gt;TahunBuku*12,$Y74&lt;=TahunBuku*12+12))</f>
        <v/>
      </c>
      <c r="AC74" s="20" t="str">
        <f>IF($B74="","",--AND($Z74&gt;TahunBuku*12,$Z74&lt;=TahunBuku*12+12,$Y74&lt;=$Z74))</f>
        <v/>
      </c>
      <c r="AD74" s="21" t="str">
        <f>IF($B74="","",IFERROR(IF($S74="Garis Lurus",$G74-($G74-$H74)*MIN($T74*12,MAX(0,TahunBuku*12-$Y74+1))/($T74*12),IF($S74="Saldo Menurun",IF(TahunBuku-1&lt;YEAR($F74),$G74,IF(TahunBuku-1&gt;=INT(($Y74+$T74*12-2)/12),$H74,MAX($H74,$G74*(1-2/$T74*(13-MONTH($F74))/12)*(1-2/$T74)^(TahunBuku-1-YEAR($F74))))),IF($S74="Unit Produksi",$G74-($G74-$H74)*MIN(1,N($L74)/$K74),$G74))),$G74))</f>
        <v/>
      </c>
      <c r="AE74" s="21" t="str">
        <f>IF($B74="","",IFERROR(IF($S74="Garis Lurus",$G74-($G74-$H74)*MIN($T74*12,MAX(0,TahunBuku*12+12-$Y74+1))/($T74*12),IF($S74="Saldo Menurun",IF(TahunBuku&lt;YEAR($F74),$G74,IF(TahunBuku&gt;=INT(($Y74+$T74*12-2)/12),$H74,MAX($H74,$G74*(1-2/$T74*(13-MONTH($F74))/12)*(1-2/$T74)^(TahunBuku-YEAR($F74))))),IF($S74="Unit Produksi",$G74-($G74-$H74)*MIN(1,(N($L74)+N($M74))/$K74),$G74))),$G74))</f>
        <v/>
      </c>
      <c r="AF74" s="20" t="str">
        <f>IF($B74="","",IF(OR($S74="Garis Lurus",$S74="Saldo Menurun",$S74="Unit Produksi"),MAX(0,IF($S74="Unit Produksi",TahunBuku*12+12,MIN(TahunBuku*12+12,$Y74+$T74*12-1))-MAX(TahunBuku*12+1,$Y74)+1),0))</f>
        <v/>
      </c>
      <c r="AG74" s="20" t="str">
        <f>IF($B74="","",IF(OR($S74="Garis Lurus",$S74="Saldo Menurun",$S74="Unit Produksi"),MAX(0,MIN($Z74,IF($S74="Unit Produksi",TahunBuku*12+12,MIN(TahunBuku*12+12,$Y74+$T74*12-1)))-MAX(TahunBuku*12+1,$Y74)+1),0))</f>
        <v/>
      </c>
      <c r="AH74" s="21" t="str">
        <f>IF($B74="","",IFERROR(IF($W74="Garis Lurus",$G74*(1-MIN($V74*12,MAX(0,TahunBuku*12-$Y74+1))/($V74*12)),IF($W74="Saldo Menurun",IF(TahunBuku-1&lt;YEAR($F74),$G74,IF(TahunBuku-1&gt;=INT(($Y74+$V74*12-2)/12),0,$G74*(1-2/$V74*(13-MONTH($F74))/12)*(1-2/$V74)^(TahunBuku-1-YEAR($F74)))),$G74)),$G74))</f>
        <v/>
      </c>
      <c r="AI74" s="21" t="str">
        <f>IF($B74="","",IFERROR(IF($W74="Garis Lurus",$G74*(1-MIN($V74*12,MAX(0,TahunBuku*12+12-$Y74+1))/($V74*12)),IF($W74="Saldo Menurun",IF(TahunBuku&lt;YEAR($F74),$G74,IF(TahunBuku&gt;=INT(($Y74+$V74*12-2)/12),0,$G74*(1-2/$V74*(13-MONTH($F74))/12)*(1-2/$V74)^(TahunBuku-YEAR($F74)))),$G74)),$G74))</f>
        <v/>
      </c>
      <c r="AJ74" s="20" t="str">
        <f>IF($B74="","",IF(OR($W74="Garis Lurus",$W74="Saldo Menurun"),MAX(0,MIN(TahunBuku*12+12,$Y74+$V74*12-1)-MAX(TahunBuku*12+1,$Y74)+1),0))</f>
        <v/>
      </c>
      <c r="AK74" s="20" t="str">
        <f>IF($B74="","",IF(OR($W74="Garis Lurus",$W74="Saldo Menurun"),MAX(0,MIN($Z74,TahunBuku*12+12,$Y74+$V74*12-1)-MAX(TahunBuku*12+1,$Y74)+1),0))</f>
        <v/>
      </c>
      <c r="AL74" s="22" t="str">
        <f>IF($B74="","",$G74*$AA74)</f>
        <v/>
      </c>
      <c r="AM74" s="22" t="str">
        <f>IF($B74="","",$G74*$AB74)</f>
        <v/>
      </c>
      <c r="AN74" s="22" t="str">
        <f>IF($B74="","",$G74*$AC74)</f>
        <v/>
      </c>
      <c r="AO74" s="22" t="str">
        <f>IF($B74="","",AL74+AM74-AN74)</f>
        <v/>
      </c>
      <c r="AP74" s="22" t="str">
        <f>IF($B74="","",($G74-$AD74)*$AA74)</f>
        <v/>
      </c>
      <c r="AQ74" s="22" t="str">
        <f>IF($B74="","",IF($AF74=0,0,($AD74-$AE74)*$AG74/$AF74)*MAX($AA74,$AB74))</f>
        <v/>
      </c>
      <c r="AR74" s="22" t="str">
        <f>IF($B74="","",(AP74+AQ74)*$AC74)</f>
        <v/>
      </c>
      <c r="AS74" s="22" t="str">
        <f>IF($B74="","",AP74+AQ74-AR74)</f>
        <v/>
      </c>
      <c r="AT74" s="22" t="str">
        <f>IF($B74="","",AO74-AS74)</f>
        <v/>
      </c>
      <c r="AU74" s="22" t="str">
        <f>IF($B74="","",IF($AC74=1,N($R74)-($G74-AR74),0))</f>
        <v/>
      </c>
      <c r="AV74" s="22" t="str">
        <f>IF($B74="","",($G74-$AH74)*$AA74)</f>
        <v/>
      </c>
      <c r="AW74" s="22" t="str">
        <f>IF($B74="","",IF($AJ74=0,0,($AH74-$AI74)*$AK74/$AJ74)*MAX($AA74,$AB74))</f>
        <v/>
      </c>
      <c r="AX74" s="22" t="str">
        <f>IF($B74="","",(AV74+AW74)*$AC74)</f>
        <v/>
      </c>
      <c r="AY74" s="22" t="str">
        <f>IF($B74="","",AV74+AW74-AX74)</f>
        <v/>
      </c>
      <c r="AZ74" s="22" t="str">
        <f>IF($B74="","",AO74-AY74)</f>
        <v/>
      </c>
      <c r="BA74" s="22" t="str">
        <f>IF($B74="","",IF($AC74=1,N($R74)-($G74-AX74),0))</f>
        <v/>
      </c>
      <c r="BB74" s="22" t="str">
        <f>IF($B74="","",ROUND(AQ74-AW74,0))</f>
        <v/>
      </c>
      <c r="BC74" s="22" t="str">
        <f>IF($B74="","",ROUND(BA74-AU74,0))</f>
        <v/>
      </c>
      <c r="BD74" s="22" t="str">
        <f>IF($B74="","",BB74+BC74)</f>
        <v/>
      </c>
      <c r="BE74" s="22" t="str">
        <f>IF($B74="","",ROUND(AV74-AP74,0))</f>
        <v/>
      </c>
      <c r="BF74" s="22" t="str">
        <f>IF($B74="","",ROUND(AT74-AZ74,0))</f>
        <v/>
      </c>
      <c r="BG74" s="22" t="str">
        <f>IF($B74="","",ROUND(BF74*TarifPPh,0))</f>
        <v/>
      </c>
      <c r="BH74" t="str">
        <f>IF($B74="","",IF($D74="","Kategori kosong",IF($F74="","Tgl perolehan kosong",IF(N($H74)&gt;$G74,"Residu &gt; harga perolehan",IF(AND(LEFT($U74,8)="Bangunan",$W74="Saldo Menurun"),"Bangunan wajib Garis Lurus (Ps.11 UU PPh)",IF(AND($S74="Unit Produksi",N($K74)=0),"Isi kapasitas unit",IF(AND(OR($S74="Garis Lurus",$S74="Saldo Menurun"),N($T74)&lt;=0),"Umur komersial kosong",IF(AND(OR($W74="Garis Lurus",$W74="Saldo Menurun"),N($V74)&lt;=0),"Masa manfaat fiskal kosong",IF(AND($Q74&lt;&gt;"",$Q74&lt;$F74),"Tgl pelepasan &lt; perolehan","OK")))))))))</f>
        <v/>
      </c>
    </row>
    <row r="75" spans="1:60" x14ac:dyDescent="0.25">
      <c r="A75" t="str">
        <f>IF($B75="","",ROW()-6)</f>
        <v/>
      </c>
      <c r="B75" s="9"/>
      <c r="C75" s="9"/>
      <c r="D75" s="9"/>
      <c r="E75" s="9"/>
      <c r="F75" s="17"/>
      <c r="G75" s="18"/>
      <c r="H75" s="18"/>
      <c r="I75" s="9"/>
      <c r="J75" s="9"/>
      <c r="K75" s="19"/>
      <c r="L75" s="19"/>
      <c r="M75" s="19"/>
      <c r="N75" s="9"/>
      <c r="O75" s="9"/>
      <c r="P75" s="9"/>
      <c r="Q75" s="17"/>
      <c r="R75" s="18"/>
      <c r="S75" t="str">
        <f>IF($B75="","",IF($I75&lt;&gt;"",$I75,IFERROR(INDEX(Kat_Metode,MATCH($D75,Kat_Nama,0)),"")))</f>
        <v/>
      </c>
      <c r="T75" t="str">
        <f>IF($B75="","",IF($J75&lt;&gt;"",$J75,IFERROR(INDEX(Kat_Umur,MATCH($D75,Kat_Nama,0)),0)))</f>
        <v/>
      </c>
      <c r="U75" t="str">
        <f>IF($B75="","",IF($N75&lt;&gt;"",$N75,IFERROR(INDEX(Kat_Kelompok,MATCH($D75,Kat_Nama,0)),"")))</f>
        <v/>
      </c>
      <c r="V75" t="str">
        <f>IF($B75="","",IF($U75="Masa Manfaat Sebenarnya",N($O75),IFERROR(INDEX(Kel_Masa,MATCH($U75,Kel_Nama,0)),0)))</f>
        <v/>
      </c>
      <c r="W75" t="str">
        <f>IF($B75="","",IF($P75&lt;&gt;"",$P75,IF(OR($U75="Tidak Disusutkan",$V75=0),"Tidak Disusutkan","Garis Lurus")))</f>
        <v/>
      </c>
      <c r="X75" t="str">
        <f>IF($B75="","",IF($Y75&gt;TahunBuku*12+12,"Belum Diperoleh",IF($Z75&lt;=TahunBuku*12,"Dilepas (thn lalu)",IF($AC75=1,"Dilepas thn ini",IF($AB75=1,"Perolehan baru","Aktif")))))</f>
        <v/>
      </c>
      <c r="Y75" s="20" t="str">
        <f>IF($B75="","",YEAR($F75)*12+MONTH($F75))</f>
        <v/>
      </c>
      <c r="Z75" s="20" t="str">
        <f>IF($B75="","",IF($Q75="",99999,YEAR($Q75)*12+MONTH($Q75)))</f>
        <v/>
      </c>
      <c r="AA75" s="20" t="str">
        <f>IF($B75="","",--AND($Y75&lt;=TahunBuku*12,$Z75&gt;TahunBuku*12))</f>
        <v/>
      </c>
      <c r="AB75" s="20" t="str">
        <f>IF($B75="","",--AND($Y75&gt;TahunBuku*12,$Y75&lt;=TahunBuku*12+12))</f>
        <v/>
      </c>
      <c r="AC75" s="20" t="str">
        <f>IF($B75="","",--AND($Z75&gt;TahunBuku*12,$Z75&lt;=TahunBuku*12+12,$Y75&lt;=$Z75))</f>
        <v/>
      </c>
      <c r="AD75" s="21" t="str">
        <f>IF($B75="","",IFERROR(IF($S75="Garis Lurus",$G75-($G75-$H75)*MIN($T75*12,MAX(0,TahunBuku*12-$Y75+1))/($T75*12),IF($S75="Saldo Menurun",IF(TahunBuku-1&lt;YEAR($F75),$G75,IF(TahunBuku-1&gt;=INT(($Y75+$T75*12-2)/12),$H75,MAX($H75,$G75*(1-2/$T75*(13-MONTH($F75))/12)*(1-2/$T75)^(TahunBuku-1-YEAR($F75))))),IF($S75="Unit Produksi",$G75-($G75-$H75)*MIN(1,N($L75)/$K75),$G75))),$G75))</f>
        <v/>
      </c>
      <c r="AE75" s="21" t="str">
        <f>IF($B75="","",IFERROR(IF($S75="Garis Lurus",$G75-($G75-$H75)*MIN($T75*12,MAX(0,TahunBuku*12+12-$Y75+1))/($T75*12),IF($S75="Saldo Menurun",IF(TahunBuku&lt;YEAR($F75),$G75,IF(TahunBuku&gt;=INT(($Y75+$T75*12-2)/12),$H75,MAX($H75,$G75*(1-2/$T75*(13-MONTH($F75))/12)*(1-2/$T75)^(TahunBuku-YEAR($F75))))),IF($S75="Unit Produksi",$G75-($G75-$H75)*MIN(1,(N($L75)+N($M75))/$K75),$G75))),$G75))</f>
        <v/>
      </c>
      <c r="AF75" s="20" t="str">
        <f>IF($B75="","",IF(OR($S75="Garis Lurus",$S75="Saldo Menurun",$S75="Unit Produksi"),MAX(0,IF($S75="Unit Produksi",TahunBuku*12+12,MIN(TahunBuku*12+12,$Y75+$T75*12-1))-MAX(TahunBuku*12+1,$Y75)+1),0))</f>
        <v/>
      </c>
      <c r="AG75" s="20" t="str">
        <f>IF($B75="","",IF(OR($S75="Garis Lurus",$S75="Saldo Menurun",$S75="Unit Produksi"),MAX(0,MIN($Z75,IF($S75="Unit Produksi",TahunBuku*12+12,MIN(TahunBuku*12+12,$Y75+$T75*12-1)))-MAX(TahunBuku*12+1,$Y75)+1),0))</f>
        <v/>
      </c>
      <c r="AH75" s="21" t="str">
        <f>IF($B75="","",IFERROR(IF($W75="Garis Lurus",$G75*(1-MIN($V75*12,MAX(0,TahunBuku*12-$Y75+1))/($V75*12)),IF($W75="Saldo Menurun",IF(TahunBuku-1&lt;YEAR($F75),$G75,IF(TahunBuku-1&gt;=INT(($Y75+$V75*12-2)/12),0,$G75*(1-2/$V75*(13-MONTH($F75))/12)*(1-2/$V75)^(TahunBuku-1-YEAR($F75)))),$G75)),$G75))</f>
        <v/>
      </c>
      <c r="AI75" s="21" t="str">
        <f>IF($B75="","",IFERROR(IF($W75="Garis Lurus",$G75*(1-MIN($V75*12,MAX(0,TahunBuku*12+12-$Y75+1))/($V75*12)),IF($W75="Saldo Menurun",IF(TahunBuku&lt;YEAR($F75),$G75,IF(TahunBuku&gt;=INT(($Y75+$V75*12-2)/12),0,$G75*(1-2/$V75*(13-MONTH($F75))/12)*(1-2/$V75)^(TahunBuku-YEAR($F75)))),$G75)),$G75))</f>
        <v/>
      </c>
      <c r="AJ75" s="20" t="str">
        <f>IF($B75="","",IF(OR($W75="Garis Lurus",$W75="Saldo Menurun"),MAX(0,MIN(TahunBuku*12+12,$Y75+$V75*12-1)-MAX(TahunBuku*12+1,$Y75)+1),0))</f>
        <v/>
      </c>
      <c r="AK75" s="20" t="str">
        <f>IF($B75="","",IF(OR($W75="Garis Lurus",$W75="Saldo Menurun"),MAX(0,MIN($Z75,TahunBuku*12+12,$Y75+$V75*12-1)-MAX(TahunBuku*12+1,$Y75)+1),0))</f>
        <v/>
      </c>
      <c r="AL75" s="22" t="str">
        <f>IF($B75="","",$G75*$AA75)</f>
        <v/>
      </c>
      <c r="AM75" s="22" t="str">
        <f>IF($B75="","",$G75*$AB75)</f>
        <v/>
      </c>
      <c r="AN75" s="22" t="str">
        <f>IF($B75="","",$G75*$AC75)</f>
        <v/>
      </c>
      <c r="AO75" s="22" t="str">
        <f>IF($B75="","",AL75+AM75-AN75)</f>
        <v/>
      </c>
      <c r="AP75" s="22" t="str">
        <f>IF($B75="","",($G75-$AD75)*$AA75)</f>
        <v/>
      </c>
      <c r="AQ75" s="22" t="str">
        <f>IF($B75="","",IF($AF75=0,0,($AD75-$AE75)*$AG75/$AF75)*MAX($AA75,$AB75))</f>
        <v/>
      </c>
      <c r="AR75" s="22" t="str">
        <f>IF($B75="","",(AP75+AQ75)*$AC75)</f>
        <v/>
      </c>
      <c r="AS75" s="22" t="str">
        <f>IF($B75="","",AP75+AQ75-AR75)</f>
        <v/>
      </c>
      <c r="AT75" s="22" t="str">
        <f>IF($B75="","",AO75-AS75)</f>
        <v/>
      </c>
      <c r="AU75" s="22" t="str">
        <f>IF($B75="","",IF($AC75=1,N($R75)-($G75-AR75),0))</f>
        <v/>
      </c>
      <c r="AV75" s="22" t="str">
        <f>IF($B75="","",($G75-$AH75)*$AA75)</f>
        <v/>
      </c>
      <c r="AW75" s="22" t="str">
        <f>IF($B75="","",IF($AJ75=0,0,($AH75-$AI75)*$AK75/$AJ75)*MAX($AA75,$AB75))</f>
        <v/>
      </c>
      <c r="AX75" s="22" t="str">
        <f>IF($B75="","",(AV75+AW75)*$AC75)</f>
        <v/>
      </c>
      <c r="AY75" s="22" t="str">
        <f>IF($B75="","",AV75+AW75-AX75)</f>
        <v/>
      </c>
      <c r="AZ75" s="22" t="str">
        <f>IF($B75="","",AO75-AY75)</f>
        <v/>
      </c>
      <c r="BA75" s="22" t="str">
        <f>IF($B75="","",IF($AC75=1,N($R75)-($G75-AX75),0))</f>
        <v/>
      </c>
      <c r="BB75" s="22" t="str">
        <f>IF($B75="","",ROUND(AQ75-AW75,0))</f>
        <v/>
      </c>
      <c r="BC75" s="22" t="str">
        <f>IF($B75="","",ROUND(BA75-AU75,0))</f>
        <v/>
      </c>
      <c r="BD75" s="22" t="str">
        <f>IF($B75="","",BB75+BC75)</f>
        <v/>
      </c>
      <c r="BE75" s="22" t="str">
        <f>IF($B75="","",ROUND(AV75-AP75,0))</f>
        <v/>
      </c>
      <c r="BF75" s="22" t="str">
        <f>IF($B75="","",ROUND(AT75-AZ75,0))</f>
        <v/>
      </c>
      <c r="BG75" s="22" t="str">
        <f>IF($B75="","",ROUND(BF75*TarifPPh,0))</f>
        <v/>
      </c>
      <c r="BH75" t="str">
        <f>IF($B75="","",IF($D75="","Kategori kosong",IF($F75="","Tgl perolehan kosong",IF(N($H75)&gt;$G75,"Residu &gt; harga perolehan",IF(AND(LEFT($U75,8)="Bangunan",$W75="Saldo Menurun"),"Bangunan wajib Garis Lurus (Ps.11 UU PPh)",IF(AND($S75="Unit Produksi",N($K75)=0),"Isi kapasitas unit",IF(AND(OR($S75="Garis Lurus",$S75="Saldo Menurun"),N($T75)&lt;=0),"Umur komersial kosong",IF(AND(OR($W75="Garis Lurus",$W75="Saldo Menurun"),N($V75)&lt;=0),"Masa manfaat fiskal kosong",IF(AND($Q75&lt;&gt;"",$Q75&lt;$F75),"Tgl pelepasan &lt; perolehan","OK")))))))))</f>
        <v/>
      </c>
    </row>
    <row r="76" spans="1:60" x14ac:dyDescent="0.25">
      <c r="A76" t="str">
        <f>IF($B76="","",ROW()-6)</f>
        <v/>
      </c>
      <c r="B76" s="9"/>
      <c r="C76" s="9"/>
      <c r="D76" s="9"/>
      <c r="E76" s="9"/>
      <c r="F76" s="17"/>
      <c r="G76" s="18"/>
      <c r="H76" s="18"/>
      <c r="I76" s="9"/>
      <c r="J76" s="9"/>
      <c r="K76" s="19"/>
      <c r="L76" s="19"/>
      <c r="M76" s="19"/>
      <c r="N76" s="9"/>
      <c r="O76" s="9"/>
      <c r="P76" s="9"/>
      <c r="Q76" s="17"/>
      <c r="R76" s="18"/>
      <c r="S76" t="str">
        <f>IF($B76="","",IF($I76&lt;&gt;"",$I76,IFERROR(INDEX(Kat_Metode,MATCH($D76,Kat_Nama,0)),"")))</f>
        <v/>
      </c>
      <c r="T76" t="str">
        <f>IF($B76="","",IF($J76&lt;&gt;"",$J76,IFERROR(INDEX(Kat_Umur,MATCH($D76,Kat_Nama,0)),0)))</f>
        <v/>
      </c>
      <c r="U76" t="str">
        <f>IF($B76="","",IF($N76&lt;&gt;"",$N76,IFERROR(INDEX(Kat_Kelompok,MATCH($D76,Kat_Nama,0)),"")))</f>
        <v/>
      </c>
      <c r="V76" t="str">
        <f>IF($B76="","",IF($U76="Masa Manfaat Sebenarnya",N($O76),IFERROR(INDEX(Kel_Masa,MATCH($U76,Kel_Nama,0)),0)))</f>
        <v/>
      </c>
      <c r="W76" t="str">
        <f>IF($B76="","",IF($P76&lt;&gt;"",$P76,IF(OR($U76="Tidak Disusutkan",$V76=0),"Tidak Disusutkan","Garis Lurus")))</f>
        <v/>
      </c>
      <c r="X76" t="str">
        <f>IF($B76="","",IF($Y76&gt;TahunBuku*12+12,"Belum Diperoleh",IF($Z76&lt;=TahunBuku*12,"Dilepas (thn lalu)",IF($AC76=1,"Dilepas thn ini",IF($AB76=1,"Perolehan baru","Aktif")))))</f>
        <v/>
      </c>
      <c r="Y76" s="20" t="str">
        <f>IF($B76="","",YEAR($F76)*12+MONTH($F76))</f>
        <v/>
      </c>
      <c r="Z76" s="20" t="str">
        <f>IF($B76="","",IF($Q76="",99999,YEAR($Q76)*12+MONTH($Q76)))</f>
        <v/>
      </c>
      <c r="AA76" s="20" t="str">
        <f>IF($B76="","",--AND($Y76&lt;=TahunBuku*12,$Z76&gt;TahunBuku*12))</f>
        <v/>
      </c>
      <c r="AB76" s="20" t="str">
        <f>IF($B76="","",--AND($Y76&gt;TahunBuku*12,$Y76&lt;=TahunBuku*12+12))</f>
        <v/>
      </c>
      <c r="AC76" s="20" t="str">
        <f>IF($B76="","",--AND($Z76&gt;TahunBuku*12,$Z76&lt;=TahunBuku*12+12,$Y76&lt;=$Z76))</f>
        <v/>
      </c>
      <c r="AD76" s="21" t="str">
        <f>IF($B76="","",IFERROR(IF($S76="Garis Lurus",$G76-($G76-$H76)*MIN($T76*12,MAX(0,TahunBuku*12-$Y76+1))/($T76*12),IF($S76="Saldo Menurun",IF(TahunBuku-1&lt;YEAR($F76),$G76,IF(TahunBuku-1&gt;=INT(($Y76+$T76*12-2)/12),$H76,MAX($H76,$G76*(1-2/$T76*(13-MONTH($F76))/12)*(1-2/$T76)^(TahunBuku-1-YEAR($F76))))),IF($S76="Unit Produksi",$G76-($G76-$H76)*MIN(1,N($L76)/$K76),$G76))),$G76))</f>
        <v/>
      </c>
      <c r="AE76" s="21" t="str">
        <f>IF($B76="","",IFERROR(IF($S76="Garis Lurus",$G76-($G76-$H76)*MIN($T76*12,MAX(0,TahunBuku*12+12-$Y76+1))/($T76*12),IF($S76="Saldo Menurun",IF(TahunBuku&lt;YEAR($F76),$G76,IF(TahunBuku&gt;=INT(($Y76+$T76*12-2)/12),$H76,MAX($H76,$G76*(1-2/$T76*(13-MONTH($F76))/12)*(1-2/$T76)^(TahunBuku-YEAR($F76))))),IF($S76="Unit Produksi",$G76-($G76-$H76)*MIN(1,(N($L76)+N($M76))/$K76),$G76))),$G76))</f>
        <v/>
      </c>
      <c r="AF76" s="20" t="str">
        <f>IF($B76="","",IF(OR($S76="Garis Lurus",$S76="Saldo Menurun",$S76="Unit Produksi"),MAX(0,IF($S76="Unit Produksi",TahunBuku*12+12,MIN(TahunBuku*12+12,$Y76+$T76*12-1))-MAX(TahunBuku*12+1,$Y76)+1),0))</f>
        <v/>
      </c>
      <c r="AG76" s="20" t="str">
        <f>IF($B76="","",IF(OR($S76="Garis Lurus",$S76="Saldo Menurun",$S76="Unit Produksi"),MAX(0,MIN($Z76,IF($S76="Unit Produksi",TahunBuku*12+12,MIN(TahunBuku*12+12,$Y76+$T76*12-1)))-MAX(TahunBuku*12+1,$Y76)+1),0))</f>
        <v/>
      </c>
      <c r="AH76" s="21" t="str">
        <f>IF($B76="","",IFERROR(IF($W76="Garis Lurus",$G76*(1-MIN($V76*12,MAX(0,TahunBuku*12-$Y76+1))/($V76*12)),IF($W76="Saldo Menurun",IF(TahunBuku-1&lt;YEAR($F76),$G76,IF(TahunBuku-1&gt;=INT(($Y76+$V76*12-2)/12),0,$G76*(1-2/$V76*(13-MONTH($F76))/12)*(1-2/$V76)^(TahunBuku-1-YEAR($F76)))),$G76)),$G76))</f>
        <v/>
      </c>
      <c r="AI76" s="21" t="str">
        <f>IF($B76="","",IFERROR(IF($W76="Garis Lurus",$G76*(1-MIN($V76*12,MAX(0,TahunBuku*12+12-$Y76+1))/($V76*12)),IF($W76="Saldo Menurun",IF(TahunBuku&lt;YEAR($F76),$G76,IF(TahunBuku&gt;=INT(($Y76+$V76*12-2)/12),0,$G76*(1-2/$V76*(13-MONTH($F76))/12)*(1-2/$V76)^(TahunBuku-YEAR($F76)))),$G76)),$G76))</f>
        <v/>
      </c>
      <c r="AJ76" s="20" t="str">
        <f>IF($B76="","",IF(OR($W76="Garis Lurus",$W76="Saldo Menurun"),MAX(0,MIN(TahunBuku*12+12,$Y76+$V76*12-1)-MAX(TahunBuku*12+1,$Y76)+1),0))</f>
        <v/>
      </c>
      <c r="AK76" s="20" t="str">
        <f>IF($B76="","",IF(OR($W76="Garis Lurus",$W76="Saldo Menurun"),MAX(0,MIN($Z76,TahunBuku*12+12,$Y76+$V76*12-1)-MAX(TahunBuku*12+1,$Y76)+1),0))</f>
        <v/>
      </c>
      <c r="AL76" s="22" t="str">
        <f>IF($B76="","",$G76*$AA76)</f>
        <v/>
      </c>
      <c r="AM76" s="22" t="str">
        <f>IF($B76="","",$G76*$AB76)</f>
        <v/>
      </c>
      <c r="AN76" s="22" t="str">
        <f>IF($B76="","",$G76*$AC76)</f>
        <v/>
      </c>
      <c r="AO76" s="22" t="str">
        <f>IF($B76="","",AL76+AM76-AN76)</f>
        <v/>
      </c>
      <c r="AP76" s="22" t="str">
        <f>IF($B76="","",($G76-$AD76)*$AA76)</f>
        <v/>
      </c>
      <c r="AQ76" s="22" t="str">
        <f>IF($B76="","",IF($AF76=0,0,($AD76-$AE76)*$AG76/$AF76)*MAX($AA76,$AB76))</f>
        <v/>
      </c>
      <c r="AR76" s="22" t="str">
        <f>IF($B76="","",(AP76+AQ76)*$AC76)</f>
        <v/>
      </c>
      <c r="AS76" s="22" t="str">
        <f>IF($B76="","",AP76+AQ76-AR76)</f>
        <v/>
      </c>
      <c r="AT76" s="22" t="str">
        <f>IF($B76="","",AO76-AS76)</f>
        <v/>
      </c>
      <c r="AU76" s="22" t="str">
        <f>IF($B76="","",IF($AC76=1,N($R76)-($G76-AR76),0))</f>
        <v/>
      </c>
      <c r="AV76" s="22" t="str">
        <f>IF($B76="","",($G76-$AH76)*$AA76)</f>
        <v/>
      </c>
      <c r="AW76" s="22" t="str">
        <f>IF($B76="","",IF($AJ76=0,0,($AH76-$AI76)*$AK76/$AJ76)*MAX($AA76,$AB76))</f>
        <v/>
      </c>
      <c r="AX76" s="22" t="str">
        <f>IF($B76="","",(AV76+AW76)*$AC76)</f>
        <v/>
      </c>
      <c r="AY76" s="22" t="str">
        <f>IF($B76="","",AV76+AW76-AX76)</f>
        <v/>
      </c>
      <c r="AZ76" s="22" t="str">
        <f>IF($B76="","",AO76-AY76)</f>
        <v/>
      </c>
      <c r="BA76" s="22" t="str">
        <f>IF($B76="","",IF($AC76=1,N($R76)-($G76-AX76),0))</f>
        <v/>
      </c>
      <c r="BB76" s="22" t="str">
        <f>IF($B76="","",ROUND(AQ76-AW76,0))</f>
        <v/>
      </c>
      <c r="BC76" s="22" t="str">
        <f>IF($B76="","",ROUND(BA76-AU76,0))</f>
        <v/>
      </c>
      <c r="BD76" s="22" t="str">
        <f>IF($B76="","",BB76+BC76)</f>
        <v/>
      </c>
      <c r="BE76" s="22" t="str">
        <f>IF($B76="","",ROUND(AV76-AP76,0))</f>
        <v/>
      </c>
      <c r="BF76" s="22" t="str">
        <f>IF($B76="","",ROUND(AT76-AZ76,0))</f>
        <v/>
      </c>
      <c r="BG76" s="22" t="str">
        <f>IF($B76="","",ROUND(BF76*TarifPPh,0))</f>
        <v/>
      </c>
      <c r="BH76" t="str">
        <f>IF($B76="","",IF($D76="","Kategori kosong",IF($F76="","Tgl perolehan kosong",IF(N($H76)&gt;$G76,"Residu &gt; harga perolehan",IF(AND(LEFT($U76,8)="Bangunan",$W76="Saldo Menurun"),"Bangunan wajib Garis Lurus (Ps.11 UU PPh)",IF(AND($S76="Unit Produksi",N($K76)=0),"Isi kapasitas unit",IF(AND(OR($S76="Garis Lurus",$S76="Saldo Menurun"),N($T76)&lt;=0),"Umur komersial kosong",IF(AND(OR($W76="Garis Lurus",$W76="Saldo Menurun"),N($V76)&lt;=0),"Masa manfaat fiskal kosong",IF(AND($Q76&lt;&gt;"",$Q76&lt;$F76),"Tgl pelepasan &lt; perolehan","OK")))))))))</f>
        <v/>
      </c>
    </row>
    <row r="77" spans="1:60" x14ac:dyDescent="0.25">
      <c r="A77" t="str">
        <f>IF($B77="","",ROW()-6)</f>
        <v/>
      </c>
      <c r="B77" s="9"/>
      <c r="C77" s="9"/>
      <c r="D77" s="9"/>
      <c r="E77" s="9"/>
      <c r="F77" s="17"/>
      <c r="G77" s="18"/>
      <c r="H77" s="18"/>
      <c r="I77" s="9"/>
      <c r="J77" s="9"/>
      <c r="K77" s="19"/>
      <c r="L77" s="19"/>
      <c r="M77" s="19"/>
      <c r="N77" s="9"/>
      <c r="O77" s="9"/>
      <c r="P77" s="9"/>
      <c r="Q77" s="17"/>
      <c r="R77" s="18"/>
      <c r="S77" t="str">
        <f>IF($B77="","",IF($I77&lt;&gt;"",$I77,IFERROR(INDEX(Kat_Metode,MATCH($D77,Kat_Nama,0)),"")))</f>
        <v/>
      </c>
      <c r="T77" t="str">
        <f>IF($B77="","",IF($J77&lt;&gt;"",$J77,IFERROR(INDEX(Kat_Umur,MATCH($D77,Kat_Nama,0)),0)))</f>
        <v/>
      </c>
      <c r="U77" t="str">
        <f>IF($B77="","",IF($N77&lt;&gt;"",$N77,IFERROR(INDEX(Kat_Kelompok,MATCH($D77,Kat_Nama,0)),"")))</f>
        <v/>
      </c>
      <c r="V77" t="str">
        <f>IF($B77="","",IF($U77="Masa Manfaat Sebenarnya",N($O77),IFERROR(INDEX(Kel_Masa,MATCH($U77,Kel_Nama,0)),0)))</f>
        <v/>
      </c>
      <c r="W77" t="str">
        <f>IF($B77="","",IF($P77&lt;&gt;"",$P77,IF(OR($U77="Tidak Disusutkan",$V77=0),"Tidak Disusutkan","Garis Lurus")))</f>
        <v/>
      </c>
      <c r="X77" t="str">
        <f>IF($B77="","",IF($Y77&gt;TahunBuku*12+12,"Belum Diperoleh",IF($Z77&lt;=TahunBuku*12,"Dilepas (thn lalu)",IF($AC77=1,"Dilepas thn ini",IF($AB77=1,"Perolehan baru","Aktif")))))</f>
        <v/>
      </c>
      <c r="Y77" s="20" t="str">
        <f>IF($B77="","",YEAR($F77)*12+MONTH($F77))</f>
        <v/>
      </c>
      <c r="Z77" s="20" t="str">
        <f>IF($B77="","",IF($Q77="",99999,YEAR($Q77)*12+MONTH($Q77)))</f>
        <v/>
      </c>
      <c r="AA77" s="20" t="str">
        <f>IF($B77="","",--AND($Y77&lt;=TahunBuku*12,$Z77&gt;TahunBuku*12))</f>
        <v/>
      </c>
      <c r="AB77" s="20" t="str">
        <f>IF($B77="","",--AND($Y77&gt;TahunBuku*12,$Y77&lt;=TahunBuku*12+12))</f>
        <v/>
      </c>
      <c r="AC77" s="20" t="str">
        <f>IF($B77="","",--AND($Z77&gt;TahunBuku*12,$Z77&lt;=TahunBuku*12+12,$Y77&lt;=$Z77))</f>
        <v/>
      </c>
      <c r="AD77" s="21" t="str">
        <f>IF($B77="","",IFERROR(IF($S77="Garis Lurus",$G77-($G77-$H77)*MIN($T77*12,MAX(0,TahunBuku*12-$Y77+1))/($T77*12),IF($S77="Saldo Menurun",IF(TahunBuku-1&lt;YEAR($F77),$G77,IF(TahunBuku-1&gt;=INT(($Y77+$T77*12-2)/12),$H77,MAX($H77,$G77*(1-2/$T77*(13-MONTH($F77))/12)*(1-2/$T77)^(TahunBuku-1-YEAR($F77))))),IF($S77="Unit Produksi",$G77-($G77-$H77)*MIN(1,N($L77)/$K77),$G77))),$G77))</f>
        <v/>
      </c>
      <c r="AE77" s="21" t="str">
        <f>IF($B77="","",IFERROR(IF($S77="Garis Lurus",$G77-($G77-$H77)*MIN($T77*12,MAX(0,TahunBuku*12+12-$Y77+1))/($T77*12),IF($S77="Saldo Menurun",IF(TahunBuku&lt;YEAR($F77),$G77,IF(TahunBuku&gt;=INT(($Y77+$T77*12-2)/12),$H77,MAX($H77,$G77*(1-2/$T77*(13-MONTH($F77))/12)*(1-2/$T77)^(TahunBuku-YEAR($F77))))),IF($S77="Unit Produksi",$G77-($G77-$H77)*MIN(1,(N($L77)+N($M77))/$K77),$G77))),$G77))</f>
        <v/>
      </c>
      <c r="AF77" s="20" t="str">
        <f>IF($B77="","",IF(OR($S77="Garis Lurus",$S77="Saldo Menurun",$S77="Unit Produksi"),MAX(0,IF($S77="Unit Produksi",TahunBuku*12+12,MIN(TahunBuku*12+12,$Y77+$T77*12-1))-MAX(TahunBuku*12+1,$Y77)+1),0))</f>
        <v/>
      </c>
      <c r="AG77" s="20" t="str">
        <f>IF($B77="","",IF(OR($S77="Garis Lurus",$S77="Saldo Menurun",$S77="Unit Produksi"),MAX(0,MIN($Z77,IF($S77="Unit Produksi",TahunBuku*12+12,MIN(TahunBuku*12+12,$Y77+$T77*12-1)))-MAX(TahunBuku*12+1,$Y77)+1),0))</f>
        <v/>
      </c>
      <c r="AH77" s="21" t="str">
        <f>IF($B77="","",IFERROR(IF($W77="Garis Lurus",$G77*(1-MIN($V77*12,MAX(0,TahunBuku*12-$Y77+1))/($V77*12)),IF($W77="Saldo Menurun",IF(TahunBuku-1&lt;YEAR($F77),$G77,IF(TahunBuku-1&gt;=INT(($Y77+$V77*12-2)/12),0,$G77*(1-2/$V77*(13-MONTH($F77))/12)*(1-2/$V77)^(TahunBuku-1-YEAR($F77)))),$G77)),$G77))</f>
        <v/>
      </c>
      <c r="AI77" s="21" t="str">
        <f>IF($B77="","",IFERROR(IF($W77="Garis Lurus",$G77*(1-MIN($V77*12,MAX(0,TahunBuku*12+12-$Y77+1))/($V77*12)),IF($W77="Saldo Menurun",IF(TahunBuku&lt;YEAR($F77),$G77,IF(TahunBuku&gt;=INT(($Y77+$V77*12-2)/12),0,$G77*(1-2/$V77*(13-MONTH($F77))/12)*(1-2/$V77)^(TahunBuku-YEAR($F77)))),$G77)),$G77))</f>
        <v/>
      </c>
      <c r="AJ77" s="20" t="str">
        <f>IF($B77="","",IF(OR($W77="Garis Lurus",$W77="Saldo Menurun"),MAX(0,MIN(TahunBuku*12+12,$Y77+$V77*12-1)-MAX(TahunBuku*12+1,$Y77)+1),0))</f>
        <v/>
      </c>
      <c r="AK77" s="20" t="str">
        <f>IF($B77="","",IF(OR($W77="Garis Lurus",$W77="Saldo Menurun"),MAX(0,MIN($Z77,TahunBuku*12+12,$Y77+$V77*12-1)-MAX(TahunBuku*12+1,$Y77)+1),0))</f>
        <v/>
      </c>
      <c r="AL77" s="22" t="str">
        <f>IF($B77="","",$G77*$AA77)</f>
        <v/>
      </c>
      <c r="AM77" s="22" t="str">
        <f>IF($B77="","",$G77*$AB77)</f>
        <v/>
      </c>
      <c r="AN77" s="22" t="str">
        <f>IF($B77="","",$G77*$AC77)</f>
        <v/>
      </c>
      <c r="AO77" s="22" t="str">
        <f>IF($B77="","",AL77+AM77-AN77)</f>
        <v/>
      </c>
      <c r="AP77" s="22" t="str">
        <f>IF($B77="","",($G77-$AD77)*$AA77)</f>
        <v/>
      </c>
      <c r="AQ77" s="22" t="str">
        <f>IF($B77="","",IF($AF77=0,0,($AD77-$AE77)*$AG77/$AF77)*MAX($AA77,$AB77))</f>
        <v/>
      </c>
      <c r="AR77" s="22" t="str">
        <f>IF($B77="","",(AP77+AQ77)*$AC77)</f>
        <v/>
      </c>
      <c r="AS77" s="22" t="str">
        <f>IF($B77="","",AP77+AQ77-AR77)</f>
        <v/>
      </c>
      <c r="AT77" s="22" t="str">
        <f>IF($B77="","",AO77-AS77)</f>
        <v/>
      </c>
      <c r="AU77" s="22" t="str">
        <f>IF($B77="","",IF($AC77=1,N($R77)-($G77-AR77),0))</f>
        <v/>
      </c>
      <c r="AV77" s="22" t="str">
        <f>IF($B77="","",($G77-$AH77)*$AA77)</f>
        <v/>
      </c>
      <c r="AW77" s="22" t="str">
        <f>IF($B77="","",IF($AJ77=0,0,($AH77-$AI77)*$AK77/$AJ77)*MAX($AA77,$AB77))</f>
        <v/>
      </c>
      <c r="AX77" s="22" t="str">
        <f>IF($B77="","",(AV77+AW77)*$AC77)</f>
        <v/>
      </c>
      <c r="AY77" s="22" t="str">
        <f>IF($B77="","",AV77+AW77-AX77)</f>
        <v/>
      </c>
      <c r="AZ77" s="22" t="str">
        <f>IF($B77="","",AO77-AY77)</f>
        <v/>
      </c>
      <c r="BA77" s="22" t="str">
        <f>IF($B77="","",IF($AC77=1,N($R77)-($G77-AX77),0))</f>
        <v/>
      </c>
      <c r="BB77" s="22" t="str">
        <f>IF($B77="","",ROUND(AQ77-AW77,0))</f>
        <v/>
      </c>
      <c r="BC77" s="22" t="str">
        <f>IF($B77="","",ROUND(BA77-AU77,0))</f>
        <v/>
      </c>
      <c r="BD77" s="22" t="str">
        <f>IF($B77="","",BB77+BC77)</f>
        <v/>
      </c>
      <c r="BE77" s="22" t="str">
        <f>IF($B77="","",ROUND(AV77-AP77,0))</f>
        <v/>
      </c>
      <c r="BF77" s="22" t="str">
        <f>IF($B77="","",ROUND(AT77-AZ77,0))</f>
        <v/>
      </c>
      <c r="BG77" s="22" t="str">
        <f>IF($B77="","",ROUND(BF77*TarifPPh,0))</f>
        <v/>
      </c>
      <c r="BH77" t="str">
        <f>IF($B77="","",IF($D77="","Kategori kosong",IF($F77="","Tgl perolehan kosong",IF(N($H77)&gt;$G77,"Residu &gt; harga perolehan",IF(AND(LEFT($U77,8)="Bangunan",$W77="Saldo Menurun"),"Bangunan wajib Garis Lurus (Ps.11 UU PPh)",IF(AND($S77="Unit Produksi",N($K77)=0),"Isi kapasitas unit",IF(AND(OR($S77="Garis Lurus",$S77="Saldo Menurun"),N($T77)&lt;=0),"Umur komersial kosong",IF(AND(OR($W77="Garis Lurus",$W77="Saldo Menurun"),N($V77)&lt;=0),"Masa manfaat fiskal kosong",IF(AND($Q77&lt;&gt;"",$Q77&lt;$F77),"Tgl pelepasan &lt; perolehan","OK")))))))))</f>
        <v/>
      </c>
    </row>
    <row r="78" spans="1:60" x14ac:dyDescent="0.25">
      <c r="A78" t="str">
        <f>IF($B78="","",ROW()-6)</f>
        <v/>
      </c>
      <c r="B78" s="9"/>
      <c r="C78" s="9"/>
      <c r="D78" s="9"/>
      <c r="E78" s="9"/>
      <c r="F78" s="17"/>
      <c r="G78" s="18"/>
      <c r="H78" s="18"/>
      <c r="I78" s="9"/>
      <c r="J78" s="9"/>
      <c r="K78" s="19"/>
      <c r="L78" s="19"/>
      <c r="M78" s="19"/>
      <c r="N78" s="9"/>
      <c r="O78" s="9"/>
      <c r="P78" s="9"/>
      <c r="Q78" s="17"/>
      <c r="R78" s="18"/>
      <c r="S78" t="str">
        <f>IF($B78="","",IF($I78&lt;&gt;"",$I78,IFERROR(INDEX(Kat_Metode,MATCH($D78,Kat_Nama,0)),"")))</f>
        <v/>
      </c>
      <c r="T78" t="str">
        <f>IF($B78="","",IF($J78&lt;&gt;"",$J78,IFERROR(INDEX(Kat_Umur,MATCH($D78,Kat_Nama,0)),0)))</f>
        <v/>
      </c>
      <c r="U78" t="str">
        <f>IF($B78="","",IF($N78&lt;&gt;"",$N78,IFERROR(INDEX(Kat_Kelompok,MATCH($D78,Kat_Nama,0)),"")))</f>
        <v/>
      </c>
      <c r="V78" t="str">
        <f>IF($B78="","",IF($U78="Masa Manfaat Sebenarnya",N($O78),IFERROR(INDEX(Kel_Masa,MATCH($U78,Kel_Nama,0)),0)))</f>
        <v/>
      </c>
      <c r="W78" t="str">
        <f>IF($B78="","",IF($P78&lt;&gt;"",$P78,IF(OR($U78="Tidak Disusutkan",$V78=0),"Tidak Disusutkan","Garis Lurus")))</f>
        <v/>
      </c>
      <c r="X78" t="str">
        <f>IF($B78="","",IF($Y78&gt;TahunBuku*12+12,"Belum Diperoleh",IF($Z78&lt;=TahunBuku*12,"Dilepas (thn lalu)",IF($AC78=1,"Dilepas thn ini",IF($AB78=1,"Perolehan baru","Aktif")))))</f>
        <v/>
      </c>
      <c r="Y78" s="20" t="str">
        <f>IF($B78="","",YEAR($F78)*12+MONTH($F78))</f>
        <v/>
      </c>
      <c r="Z78" s="20" t="str">
        <f>IF($B78="","",IF($Q78="",99999,YEAR($Q78)*12+MONTH($Q78)))</f>
        <v/>
      </c>
      <c r="AA78" s="20" t="str">
        <f>IF($B78="","",--AND($Y78&lt;=TahunBuku*12,$Z78&gt;TahunBuku*12))</f>
        <v/>
      </c>
      <c r="AB78" s="20" t="str">
        <f>IF($B78="","",--AND($Y78&gt;TahunBuku*12,$Y78&lt;=TahunBuku*12+12))</f>
        <v/>
      </c>
      <c r="AC78" s="20" t="str">
        <f>IF($B78="","",--AND($Z78&gt;TahunBuku*12,$Z78&lt;=TahunBuku*12+12,$Y78&lt;=$Z78))</f>
        <v/>
      </c>
      <c r="AD78" s="21" t="str">
        <f>IF($B78="","",IFERROR(IF($S78="Garis Lurus",$G78-($G78-$H78)*MIN($T78*12,MAX(0,TahunBuku*12-$Y78+1))/($T78*12),IF($S78="Saldo Menurun",IF(TahunBuku-1&lt;YEAR($F78),$G78,IF(TahunBuku-1&gt;=INT(($Y78+$T78*12-2)/12),$H78,MAX($H78,$G78*(1-2/$T78*(13-MONTH($F78))/12)*(1-2/$T78)^(TahunBuku-1-YEAR($F78))))),IF($S78="Unit Produksi",$G78-($G78-$H78)*MIN(1,N($L78)/$K78),$G78))),$G78))</f>
        <v/>
      </c>
      <c r="AE78" s="21" t="str">
        <f>IF($B78="","",IFERROR(IF($S78="Garis Lurus",$G78-($G78-$H78)*MIN($T78*12,MAX(0,TahunBuku*12+12-$Y78+1))/($T78*12),IF($S78="Saldo Menurun",IF(TahunBuku&lt;YEAR($F78),$G78,IF(TahunBuku&gt;=INT(($Y78+$T78*12-2)/12),$H78,MAX($H78,$G78*(1-2/$T78*(13-MONTH($F78))/12)*(1-2/$T78)^(TahunBuku-YEAR($F78))))),IF($S78="Unit Produksi",$G78-($G78-$H78)*MIN(1,(N($L78)+N($M78))/$K78),$G78))),$G78))</f>
        <v/>
      </c>
      <c r="AF78" s="20" t="str">
        <f>IF($B78="","",IF(OR($S78="Garis Lurus",$S78="Saldo Menurun",$S78="Unit Produksi"),MAX(0,IF($S78="Unit Produksi",TahunBuku*12+12,MIN(TahunBuku*12+12,$Y78+$T78*12-1))-MAX(TahunBuku*12+1,$Y78)+1),0))</f>
        <v/>
      </c>
      <c r="AG78" s="20" t="str">
        <f>IF($B78="","",IF(OR($S78="Garis Lurus",$S78="Saldo Menurun",$S78="Unit Produksi"),MAX(0,MIN($Z78,IF($S78="Unit Produksi",TahunBuku*12+12,MIN(TahunBuku*12+12,$Y78+$T78*12-1)))-MAX(TahunBuku*12+1,$Y78)+1),0))</f>
        <v/>
      </c>
      <c r="AH78" s="21" t="str">
        <f>IF($B78="","",IFERROR(IF($W78="Garis Lurus",$G78*(1-MIN($V78*12,MAX(0,TahunBuku*12-$Y78+1))/($V78*12)),IF($W78="Saldo Menurun",IF(TahunBuku-1&lt;YEAR($F78),$G78,IF(TahunBuku-1&gt;=INT(($Y78+$V78*12-2)/12),0,$G78*(1-2/$V78*(13-MONTH($F78))/12)*(1-2/$V78)^(TahunBuku-1-YEAR($F78)))),$G78)),$G78))</f>
        <v/>
      </c>
      <c r="AI78" s="21" t="str">
        <f>IF($B78="","",IFERROR(IF($W78="Garis Lurus",$G78*(1-MIN($V78*12,MAX(0,TahunBuku*12+12-$Y78+1))/($V78*12)),IF($W78="Saldo Menurun",IF(TahunBuku&lt;YEAR($F78),$G78,IF(TahunBuku&gt;=INT(($Y78+$V78*12-2)/12),0,$G78*(1-2/$V78*(13-MONTH($F78))/12)*(1-2/$V78)^(TahunBuku-YEAR($F78)))),$G78)),$G78))</f>
        <v/>
      </c>
      <c r="AJ78" s="20" t="str">
        <f>IF($B78="","",IF(OR($W78="Garis Lurus",$W78="Saldo Menurun"),MAX(0,MIN(TahunBuku*12+12,$Y78+$V78*12-1)-MAX(TahunBuku*12+1,$Y78)+1),0))</f>
        <v/>
      </c>
      <c r="AK78" s="20" t="str">
        <f>IF($B78="","",IF(OR($W78="Garis Lurus",$W78="Saldo Menurun"),MAX(0,MIN($Z78,TahunBuku*12+12,$Y78+$V78*12-1)-MAX(TahunBuku*12+1,$Y78)+1),0))</f>
        <v/>
      </c>
      <c r="AL78" s="22" t="str">
        <f>IF($B78="","",$G78*$AA78)</f>
        <v/>
      </c>
      <c r="AM78" s="22" t="str">
        <f>IF($B78="","",$G78*$AB78)</f>
        <v/>
      </c>
      <c r="AN78" s="22" t="str">
        <f>IF($B78="","",$G78*$AC78)</f>
        <v/>
      </c>
      <c r="AO78" s="22" t="str">
        <f>IF($B78="","",AL78+AM78-AN78)</f>
        <v/>
      </c>
      <c r="AP78" s="22" t="str">
        <f>IF($B78="","",($G78-$AD78)*$AA78)</f>
        <v/>
      </c>
      <c r="AQ78" s="22" t="str">
        <f>IF($B78="","",IF($AF78=0,0,($AD78-$AE78)*$AG78/$AF78)*MAX($AA78,$AB78))</f>
        <v/>
      </c>
      <c r="AR78" s="22" t="str">
        <f>IF($B78="","",(AP78+AQ78)*$AC78)</f>
        <v/>
      </c>
      <c r="AS78" s="22" t="str">
        <f>IF($B78="","",AP78+AQ78-AR78)</f>
        <v/>
      </c>
      <c r="AT78" s="22" t="str">
        <f>IF($B78="","",AO78-AS78)</f>
        <v/>
      </c>
      <c r="AU78" s="22" t="str">
        <f>IF($B78="","",IF($AC78=1,N($R78)-($G78-AR78),0))</f>
        <v/>
      </c>
      <c r="AV78" s="22" t="str">
        <f>IF($B78="","",($G78-$AH78)*$AA78)</f>
        <v/>
      </c>
      <c r="AW78" s="22" t="str">
        <f>IF($B78="","",IF($AJ78=0,0,($AH78-$AI78)*$AK78/$AJ78)*MAX($AA78,$AB78))</f>
        <v/>
      </c>
      <c r="AX78" s="22" t="str">
        <f>IF($B78="","",(AV78+AW78)*$AC78)</f>
        <v/>
      </c>
      <c r="AY78" s="22" t="str">
        <f>IF($B78="","",AV78+AW78-AX78)</f>
        <v/>
      </c>
      <c r="AZ78" s="22" t="str">
        <f>IF($B78="","",AO78-AY78)</f>
        <v/>
      </c>
      <c r="BA78" s="22" t="str">
        <f>IF($B78="","",IF($AC78=1,N($R78)-($G78-AX78),0))</f>
        <v/>
      </c>
      <c r="BB78" s="22" t="str">
        <f>IF($B78="","",ROUND(AQ78-AW78,0))</f>
        <v/>
      </c>
      <c r="BC78" s="22" t="str">
        <f>IF($B78="","",ROUND(BA78-AU78,0))</f>
        <v/>
      </c>
      <c r="BD78" s="22" t="str">
        <f>IF($B78="","",BB78+BC78)</f>
        <v/>
      </c>
      <c r="BE78" s="22" t="str">
        <f>IF($B78="","",ROUND(AV78-AP78,0))</f>
        <v/>
      </c>
      <c r="BF78" s="22" t="str">
        <f>IF($B78="","",ROUND(AT78-AZ78,0))</f>
        <v/>
      </c>
      <c r="BG78" s="22" t="str">
        <f>IF($B78="","",ROUND(BF78*TarifPPh,0))</f>
        <v/>
      </c>
      <c r="BH78" t="str">
        <f>IF($B78="","",IF($D78="","Kategori kosong",IF($F78="","Tgl perolehan kosong",IF(N($H78)&gt;$G78,"Residu &gt; harga perolehan",IF(AND(LEFT($U78,8)="Bangunan",$W78="Saldo Menurun"),"Bangunan wajib Garis Lurus (Ps.11 UU PPh)",IF(AND($S78="Unit Produksi",N($K78)=0),"Isi kapasitas unit",IF(AND(OR($S78="Garis Lurus",$S78="Saldo Menurun"),N($T78)&lt;=0),"Umur komersial kosong",IF(AND(OR($W78="Garis Lurus",$W78="Saldo Menurun"),N($V78)&lt;=0),"Masa manfaat fiskal kosong",IF(AND($Q78&lt;&gt;"",$Q78&lt;$F78),"Tgl pelepasan &lt; perolehan","OK")))))))))</f>
        <v/>
      </c>
    </row>
    <row r="79" spans="1:60" x14ac:dyDescent="0.25">
      <c r="A79" t="str">
        <f>IF($B79="","",ROW()-6)</f>
        <v/>
      </c>
      <c r="B79" s="9"/>
      <c r="C79" s="9"/>
      <c r="D79" s="9"/>
      <c r="E79" s="9"/>
      <c r="F79" s="17"/>
      <c r="G79" s="18"/>
      <c r="H79" s="18"/>
      <c r="I79" s="9"/>
      <c r="J79" s="9"/>
      <c r="K79" s="19"/>
      <c r="L79" s="19"/>
      <c r="M79" s="19"/>
      <c r="N79" s="9"/>
      <c r="O79" s="9"/>
      <c r="P79" s="9"/>
      <c r="Q79" s="17"/>
      <c r="R79" s="18"/>
      <c r="S79" t="str">
        <f>IF($B79="","",IF($I79&lt;&gt;"",$I79,IFERROR(INDEX(Kat_Metode,MATCH($D79,Kat_Nama,0)),"")))</f>
        <v/>
      </c>
      <c r="T79" t="str">
        <f>IF($B79="","",IF($J79&lt;&gt;"",$J79,IFERROR(INDEX(Kat_Umur,MATCH($D79,Kat_Nama,0)),0)))</f>
        <v/>
      </c>
      <c r="U79" t="str">
        <f>IF($B79="","",IF($N79&lt;&gt;"",$N79,IFERROR(INDEX(Kat_Kelompok,MATCH($D79,Kat_Nama,0)),"")))</f>
        <v/>
      </c>
      <c r="V79" t="str">
        <f>IF($B79="","",IF($U79="Masa Manfaat Sebenarnya",N($O79),IFERROR(INDEX(Kel_Masa,MATCH($U79,Kel_Nama,0)),0)))</f>
        <v/>
      </c>
      <c r="W79" t="str">
        <f>IF($B79="","",IF($P79&lt;&gt;"",$P79,IF(OR($U79="Tidak Disusutkan",$V79=0),"Tidak Disusutkan","Garis Lurus")))</f>
        <v/>
      </c>
      <c r="X79" t="str">
        <f>IF($B79="","",IF($Y79&gt;TahunBuku*12+12,"Belum Diperoleh",IF($Z79&lt;=TahunBuku*12,"Dilepas (thn lalu)",IF($AC79=1,"Dilepas thn ini",IF($AB79=1,"Perolehan baru","Aktif")))))</f>
        <v/>
      </c>
      <c r="Y79" s="20" t="str">
        <f>IF($B79="","",YEAR($F79)*12+MONTH($F79))</f>
        <v/>
      </c>
      <c r="Z79" s="20" t="str">
        <f>IF($B79="","",IF($Q79="",99999,YEAR($Q79)*12+MONTH($Q79)))</f>
        <v/>
      </c>
      <c r="AA79" s="20" t="str">
        <f>IF($B79="","",--AND($Y79&lt;=TahunBuku*12,$Z79&gt;TahunBuku*12))</f>
        <v/>
      </c>
      <c r="AB79" s="20" t="str">
        <f>IF($B79="","",--AND($Y79&gt;TahunBuku*12,$Y79&lt;=TahunBuku*12+12))</f>
        <v/>
      </c>
      <c r="AC79" s="20" t="str">
        <f>IF($B79="","",--AND($Z79&gt;TahunBuku*12,$Z79&lt;=TahunBuku*12+12,$Y79&lt;=$Z79))</f>
        <v/>
      </c>
      <c r="AD79" s="21" t="str">
        <f>IF($B79="","",IFERROR(IF($S79="Garis Lurus",$G79-($G79-$H79)*MIN($T79*12,MAX(0,TahunBuku*12-$Y79+1))/($T79*12),IF($S79="Saldo Menurun",IF(TahunBuku-1&lt;YEAR($F79),$G79,IF(TahunBuku-1&gt;=INT(($Y79+$T79*12-2)/12),$H79,MAX($H79,$G79*(1-2/$T79*(13-MONTH($F79))/12)*(1-2/$T79)^(TahunBuku-1-YEAR($F79))))),IF($S79="Unit Produksi",$G79-($G79-$H79)*MIN(1,N($L79)/$K79),$G79))),$G79))</f>
        <v/>
      </c>
      <c r="AE79" s="21" t="str">
        <f>IF($B79="","",IFERROR(IF($S79="Garis Lurus",$G79-($G79-$H79)*MIN($T79*12,MAX(0,TahunBuku*12+12-$Y79+1))/($T79*12),IF($S79="Saldo Menurun",IF(TahunBuku&lt;YEAR($F79),$G79,IF(TahunBuku&gt;=INT(($Y79+$T79*12-2)/12),$H79,MAX($H79,$G79*(1-2/$T79*(13-MONTH($F79))/12)*(1-2/$T79)^(TahunBuku-YEAR($F79))))),IF($S79="Unit Produksi",$G79-($G79-$H79)*MIN(1,(N($L79)+N($M79))/$K79),$G79))),$G79))</f>
        <v/>
      </c>
      <c r="AF79" s="20" t="str">
        <f>IF($B79="","",IF(OR($S79="Garis Lurus",$S79="Saldo Menurun",$S79="Unit Produksi"),MAX(0,IF($S79="Unit Produksi",TahunBuku*12+12,MIN(TahunBuku*12+12,$Y79+$T79*12-1))-MAX(TahunBuku*12+1,$Y79)+1),0))</f>
        <v/>
      </c>
      <c r="AG79" s="20" t="str">
        <f>IF($B79="","",IF(OR($S79="Garis Lurus",$S79="Saldo Menurun",$S79="Unit Produksi"),MAX(0,MIN($Z79,IF($S79="Unit Produksi",TahunBuku*12+12,MIN(TahunBuku*12+12,$Y79+$T79*12-1)))-MAX(TahunBuku*12+1,$Y79)+1),0))</f>
        <v/>
      </c>
      <c r="AH79" s="21" t="str">
        <f>IF($B79="","",IFERROR(IF($W79="Garis Lurus",$G79*(1-MIN($V79*12,MAX(0,TahunBuku*12-$Y79+1))/($V79*12)),IF($W79="Saldo Menurun",IF(TahunBuku-1&lt;YEAR($F79),$G79,IF(TahunBuku-1&gt;=INT(($Y79+$V79*12-2)/12),0,$G79*(1-2/$V79*(13-MONTH($F79))/12)*(1-2/$V79)^(TahunBuku-1-YEAR($F79)))),$G79)),$G79))</f>
        <v/>
      </c>
      <c r="AI79" s="21" t="str">
        <f>IF($B79="","",IFERROR(IF($W79="Garis Lurus",$G79*(1-MIN($V79*12,MAX(0,TahunBuku*12+12-$Y79+1))/($V79*12)),IF($W79="Saldo Menurun",IF(TahunBuku&lt;YEAR($F79),$G79,IF(TahunBuku&gt;=INT(($Y79+$V79*12-2)/12),0,$G79*(1-2/$V79*(13-MONTH($F79))/12)*(1-2/$V79)^(TahunBuku-YEAR($F79)))),$G79)),$G79))</f>
        <v/>
      </c>
      <c r="AJ79" s="20" t="str">
        <f>IF($B79="","",IF(OR($W79="Garis Lurus",$W79="Saldo Menurun"),MAX(0,MIN(TahunBuku*12+12,$Y79+$V79*12-1)-MAX(TahunBuku*12+1,$Y79)+1),0))</f>
        <v/>
      </c>
      <c r="AK79" s="20" t="str">
        <f>IF($B79="","",IF(OR($W79="Garis Lurus",$W79="Saldo Menurun"),MAX(0,MIN($Z79,TahunBuku*12+12,$Y79+$V79*12-1)-MAX(TahunBuku*12+1,$Y79)+1),0))</f>
        <v/>
      </c>
      <c r="AL79" s="22" t="str">
        <f>IF($B79="","",$G79*$AA79)</f>
        <v/>
      </c>
      <c r="AM79" s="22" t="str">
        <f>IF($B79="","",$G79*$AB79)</f>
        <v/>
      </c>
      <c r="AN79" s="22" t="str">
        <f>IF($B79="","",$G79*$AC79)</f>
        <v/>
      </c>
      <c r="AO79" s="22" t="str">
        <f>IF($B79="","",AL79+AM79-AN79)</f>
        <v/>
      </c>
      <c r="AP79" s="22" t="str">
        <f>IF($B79="","",($G79-$AD79)*$AA79)</f>
        <v/>
      </c>
      <c r="AQ79" s="22" t="str">
        <f>IF($B79="","",IF($AF79=0,0,($AD79-$AE79)*$AG79/$AF79)*MAX($AA79,$AB79))</f>
        <v/>
      </c>
      <c r="AR79" s="22" t="str">
        <f>IF($B79="","",(AP79+AQ79)*$AC79)</f>
        <v/>
      </c>
      <c r="AS79" s="22" t="str">
        <f>IF($B79="","",AP79+AQ79-AR79)</f>
        <v/>
      </c>
      <c r="AT79" s="22" t="str">
        <f>IF($B79="","",AO79-AS79)</f>
        <v/>
      </c>
      <c r="AU79" s="22" t="str">
        <f>IF($B79="","",IF($AC79=1,N($R79)-($G79-AR79),0))</f>
        <v/>
      </c>
      <c r="AV79" s="22" t="str">
        <f>IF($B79="","",($G79-$AH79)*$AA79)</f>
        <v/>
      </c>
      <c r="AW79" s="22" t="str">
        <f>IF($B79="","",IF($AJ79=0,0,($AH79-$AI79)*$AK79/$AJ79)*MAX($AA79,$AB79))</f>
        <v/>
      </c>
      <c r="AX79" s="22" t="str">
        <f>IF($B79="","",(AV79+AW79)*$AC79)</f>
        <v/>
      </c>
      <c r="AY79" s="22" t="str">
        <f>IF($B79="","",AV79+AW79-AX79)</f>
        <v/>
      </c>
      <c r="AZ79" s="22" t="str">
        <f>IF($B79="","",AO79-AY79)</f>
        <v/>
      </c>
      <c r="BA79" s="22" t="str">
        <f>IF($B79="","",IF($AC79=1,N($R79)-($G79-AX79),0))</f>
        <v/>
      </c>
      <c r="BB79" s="22" t="str">
        <f>IF($B79="","",ROUND(AQ79-AW79,0))</f>
        <v/>
      </c>
      <c r="BC79" s="22" t="str">
        <f>IF($B79="","",ROUND(BA79-AU79,0))</f>
        <v/>
      </c>
      <c r="BD79" s="22" t="str">
        <f>IF($B79="","",BB79+BC79)</f>
        <v/>
      </c>
      <c r="BE79" s="22" t="str">
        <f>IF($B79="","",ROUND(AV79-AP79,0))</f>
        <v/>
      </c>
      <c r="BF79" s="22" t="str">
        <f>IF($B79="","",ROUND(AT79-AZ79,0))</f>
        <v/>
      </c>
      <c r="BG79" s="22" t="str">
        <f>IF($B79="","",ROUND(BF79*TarifPPh,0))</f>
        <v/>
      </c>
      <c r="BH79" t="str">
        <f>IF($B79="","",IF($D79="","Kategori kosong",IF($F79="","Tgl perolehan kosong",IF(N($H79)&gt;$G79,"Residu &gt; harga perolehan",IF(AND(LEFT($U79,8)="Bangunan",$W79="Saldo Menurun"),"Bangunan wajib Garis Lurus (Ps.11 UU PPh)",IF(AND($S79="Unit Produksi",N($K79)=0),"Isi kapasitas unit",IF(AND(OR($S79="Garis Lurus",$S79="Saldo Menurun"),N($T79)&lt;=0),"Umur komersial kosong",IF(AND(OR($W79="Garis Lurus",$W79="Saldo Menurun"),N($V79)&lt;=0),"Masa manfaat fiskal kosong",IF(AND($Q79&lt;&gt;"",$Q79&lt;$F79),"Tgl pelepasan &lt; perolehan","OK")))))))))</f>
        <v/>
      </c>
    </row>
    <row r="80" spans="1:60" x14ac:dyDescent="0.25">
      <c r="A80" t="str">
        <f>IF($B80="","",ROW()-6)</f>
        <v/>
      </c>
      <c r="B80" s="9"/>
      <c r="C80" s="9"/>
      <c r="D80" s="9"/>
      <c r="E80" s="9"/>
      <c r="F80" s="17"/>
      <c r="G80" s="18"/>
      <c r="H80" s="18"/>
      <c r="I80" s="9"/>
      <c r="J80" s="9"/>
      <c r="K80" s="19"/>
      <c r="L80" s="19"/>
      <c r="M80" s="19"/>
      <c r="N80" s="9"/>
      <c r="O80" s="9"/>
      <c r="P80" s="9"/>
      <c r="Q80" s="17"/>
      <c r="R80" s="18"/>
      <c r="S80" t="str">
        <f>IF($B80="","",IF($I80&lt;&gt;"",$I80,IFERROR(INDEX(Kat_Metode,MATCH($D80,Kat_Nama,0)),"")))</f>
        <v/>
      </c>
      <c r="T80" t="str">
        <f>IF($B80="","",IF($J80&lt;&gt;"",$J80,IFERROR(INDEX(Kat_Umur,MATCH($D80,Kat_Nama,0)),0)))</f>
        <v/>
      </c>
      <c r="U80" t="str">
        <f>IF($B80="","",IF($N80&lt;&gt;"",$N80,IFERROR(INDEX(Kat_Kelompok,MATCH($D80,Kat_Nama,0)),"")))</f>
        <v/>
      </c>
      <c r="V80" t="str">
        <f>IF($B80="","",IF($U80="Masa Manfaat Sebenarnya",N($O80),IFERROR(INDEX(Kel_Masa,MATCH($U80,Kel_Nama,0)),0)))</f>
        <v/>
      </c>
      <c r="W80" t="str">
        <f>IF($B80="","",IF($P80&lt;&gt;"",$P80,IF(OR($U80="Tidak Disusutkan",$V80=0),"Tidak Disusutkan","Garis Lurus")))</f>
        <v/>
      </c>
      <c r="X80" t="str">
        <f>IF($B80="","",IF($Y80&gt;TahunBuku*12+12,"Belum Diperoleh",IF($Z80&lt;=TahunBuku*12,"Dilepas (thn lalu)",IF($AC80=1,"Dilepas thn ini",IF($AB80=1,"Perolehan baru","Aktif")))))</f>
        <v/>
      </c>
      <c r="Y80" s="20" t="str">
        <f>IF($B80="","",YEAR($F80)*12+MONTH($F80))</f>
        <v/>
      </c>
      <c r="Z80" s="20" t="str">
        <f>IF($B80="","",IF($Q80="",99999,YEAR($Q80)*12+MONTH($Q80)))</f>
        <v/>
      </c>
      <c r="AA80" s="20" t="str">
        <f>IF($B80="","",--AND($Y80&lt;=TahunBuku*12,$Z80&gt;TahunBuku*12))</f>
        <v/>
      </c>
      <c r="AB80" s="20" t="str">
        <f>IF($B80="","",--AND($Y80&gt;TahunBuku*12,$Y80&lt;=TahunBuku*12+12))</f>
        <v/>
      </c>
      <c r="AC80" s="20" t="str">
        <f>IF($B80="","",--AND($Z80&gt;TahunBuku*12,$Z80&lt;=TahunBuku*12+12,$Y80&lt;=$Z80))</f>
        <v/>
      </c>
      <c r="AD80" s="21" t="str">
        <f>IF($B80="","",IFERROR(IF($S80="Garis Lurus",$G80-($G80-$H80)*MIN($T80*12,MAX(0,TahunBuku*12-$Y80+1))/($T80*12),IF($S80="Saldo Menurun",IF(TahunBuku-1&lt;YEAR($F80),$G80,IF(TahunBuku-1&gt;=INT(($Y80+$T80*12-2)/12),$H80,MAX($H80,$G80*(1-2/$T80*(13-MONTH($F80))/12)*(1-2/$T80)^(TahunBuku-1-YEAR($F80))))),IF($S80="Unit Produksi",$G80-($G80-$H80)*MIN(1,N($L80)/$K80),$G80))),$G80))</f>
        <v/>
      </c>
      <c r="AE80" s="21" t="str">
        <f>IF($B80="","",IFERROR(IF($S80="Garis Lurus",$G80-($G80-$H80)*MIN($T80*12,MAX(0,TahunBuku*12+12-$Y80+1))/($T80*12),IF($S80="Saldo Menurun",IF(TahunBuku&lt;YEAR($F80),$G80,IF(TahunBuku&gt;=INT(($Y80+$T80*12-2)/12),$H80,MAX($H80,$G80*(1-2/$T80*(13-MONTH($F80))/12)*(1-2/$T80)^(TahunBuku-YEAR($F80))))),IF($S80="Unit Produksi",$G80-($G80-$H80)*MIN(1,(N($L80)+N($M80))/$K80),$G80))),$G80))</f>
        <v/>
      </c>
      <c r="AF80" s="20" t="str">
        <f>IF($B80="","",IF(OR($S80="Garis Lurus",$S80="Saldo Menurun",$S80="Unit Produksi"),MAX(0,IF($S80="Unit Produksi",TahunBuku*12+12,MIN(TahunBuku*12+12,$Y80+$T80*12-1))-MAX(TahunBuku*12+1,$Y80)+1),0))</f>
        <v/>
      </c>
      <c r="AG80" s="20" t="str">
        <f>IF($B80="","",IF(OR($S80="Garis Lurus",$S80="Saldo Menurun",$S80="Unit Produksi"),MAX(0,MIN($Z80,IF($S80="Unit Produksi",TahunBuku*12+12,MIN(TahunBuku*12+12,$Y80+$T80*12-1)))-MAX(TahunBuku*12+1,$Y80)+1),0))</f>
        <v/>
      </c>
      <c r="AH80" s="21" t="str">
        <f>IF($B80="","",IFERROR(IF($W80="Garis Lurus",$G80*(1-MIN($V80*12,MAX(0,TahunBuku*12-$Y80+1))/($V80*12)),IF($W80="Saldo Menurun",IF(TahunBuku-1&lt;YEAR($F80),$G80,IF(TahunBuku-1&gt;=INT(($Y80+$V80*12-2)/12),0,$G80*(1-2/$V80*(13-MONTH($F80))/12)*(1-2/$V80)^(TahunBuku-1-YEAR($F80)))),$G80)),$G80))</f>
        <v/>
      </c>
      <c r="AI80" s="21" t="str">
        <f>IF($B80="","",IFERROR(IF($W80="Garis Lurus",$G80*(1-MIN($V80*12,MAX(0,TahunBuku*12+12-$Y80+1))/($V80*12)),IF($W80="Saldo Menurun",IF(TahunBuku&lt;YEAR($F80),$G80,IF(TahunBuku&gt;=INT(($Y80+$V80*12-2)/12),0,$G80*(1-2/$V80*(13-MONTH($F80))/12)*(1-2/$V80)^(TahunBuku-YEAR($F80)))),$G80)),$G80))</f>
        <v/>
      </c>
      <c r="AJ80" s="20" t="str">
        <f>IF($B80="","",IF(OR($W80="Garis Lurus",$W80="Saldo Menurun"),MAX(0,MIN(TahunBuku*12+12,$Y80+$V80*12-1)-MAX(TahunBuku*12+1,$Y80)+1),0))</f>
        <v/>
      </c>
      <c r="AK80" s="20" t="str">
        <f>IF($B80="","",IF(OR($W80="Garis Lurus",$W80="Saldo Menurun"),MAX(0,MIN($Z80,TahunBuku*12+12,$Y80+$V80*12-1)-MAX(TahunBuku*12+1,$Y80)+1),0))</f>
        <v/>
      </c>
      <c r="AL80" s="22" t="str">
        <f>IF($B80="","",$G80*$AA80)</f>
        <v/>
      </c>
      <c r="AM80" s="22" t="str">
        <f>IF($B80="","",$G80*$AB80)</f>
        <v/>
      </c>
      <c r="AN80" s="22" t="str">
        <f>IF($B80="","",$G80*$AC80)</f>
        <v/>
      </c>
      <c r="AO80" s="22" t="str">
        <f>IF($B80="","",AL80+AM80-AN80)</f>
        <v/>
      </c>
      <c r="AP80" s="22" t="str">
        <f>IF($B80="","",($G80-$AD80)*$AA80)</f>
        <v/>
      </c>
      <c r="AQ80" s="22" t="str">
        <f>IF($B80="","",IF($AF80=0,0,($AD80-$AE80)*$AG80/$AF80)*MAX($AA80,$AB80))</f>
        <v/>
      </c>
      <c r="AR80" s="22" t="str">
        <f>IF($B80="","",(AP80+AQ80)*$AC80)</f>
        <v/>
      </c>
      <c r="AS80" s="22" t="str">
        <f>IF($B80="","",AP80+AQ80-AR80)</f>
        <v/>
      </c>
      <c r="AT80" s="22" t="str">
        <f>IF($B80="","",AO80-AS80)</f>
        <v/>
      </c>
      <c r="AU80" s="22" t="str">
        <f>IF($B80="","",IF($AC80=1,N($R80)-($G80-AR80),0))</f>
        <v/>
      </c>
      <c r="AV80" s="22" t="str">
        <f>IF($B80="","",($G80-$AH80)*$AA80)</f>
        <v/>
      </c>
      <c r="AW80" s="22" t="str">
        <f>IF($B80="","",IF($AJ80=0,0,($AH80-$AI80)*$AK80/$AJ80)*MAX($AA80,$AB80))</f>
        <v/>
      </c>
      <c r="AX80" s="22" t="str">
        <f>IF($B80="","",(AV80+AW80)*$AC80)</f>
        <v/>
      </c>
      <c r="AY80" s="22" t="str">
        <f>IF($B80="","",AV80+AW80-AX80)</f>
        <v/>
      </c>
      <c r="AZ80" s="22" t="str">
        <f>IF($B80="","",AO80-AY80)</f>
        <v/>
      </c>
      <c r="BA80" s="22" t="str">
        <f>IF($B80="","",IF($AC80=1,N($R80)-($G80-AX80),0))</f>
        <v/>
      </c>
      <c r="BB80" s="22" t="str">
        <f>IF($B80="","",ROUND(AQ80-AW80,0))</f>
        <v/>
      </c>
      <c r="BC80" s="22" t="str">
        <f>IF($B80="","",ROUND(BA80-AU80,0))</f>
        <v/>
      </c>
      <c r="BD80" s="22" t="str">
        <f>IF($B80="","",BB80+BC80)</f>
        <v/>
      </c>
      <c r="BE80" s="22" t="str">
        <f>IF($B80="","",ROUND(AV80-AP80,0))</f>
        <v/>
      </c>
      <c r="BF80" s="22" t="str">
        <f>IF($B80="","",ROUND(AT80-AZ80,0))</f>
        <v/>
      </c>
      <c r="BG80" s="22" t="str">
        <f>IF($B80="","",ROUND(BF80*TarifPPh,0))</f>
        <v/>
      </c>
      <c r="BH80" t="str">
        <f>IF($B80="","",IF($D80="","Kategori kosong",IF($F80="","Tgl perolehan kosong",IF(N($H80)&gt;$G80,"Residu &gt; harga perolehan",IF(AND(LEFT($U80,8)="Bangunan",$W80="Saldo Menurun"),"Bangunan wajib Garis Lurus (Ps.11 UU PPh)",IF(AND($S80="Unit Produksi",N($K80)=0),"Isi kapasitas unit",IF(AND(OR($S80="Garis Lurus",$S80="Saldo Menurun"),N($T80)&lt;=0),"Umur komersial kosong",IF(AND(OR($W80="Garis Lurus",$W80="Saldo Menurun"),N($V80)&lt;=0),"Masa manfaat fiskal kosong",IF(AND($Q80&lt;&gt;"",$Q80&lt;$F80),"Tgl pelepasan &lt; perolehan","OK")))))))))</f>
        <v/>
      </c>
    </row>
    <row r="81" spans="1:60" x14ac:dyDescent="0.25">
      <c r="A81" t="str">
        <f>IF($B81="","",ROW()-6)</f>
        <v/>
      </c>
      <c r="B81" s="9"/>
      <c r="C81" s="9"/>
      <c r="D81" s="9"/>
      <c r="E81" s="9"/>
      <c r="F81" s="17"/>
      <c r="G81" s="18"/>
      <c r="H81" s="18"/>
      <c r="I81" s="9"/>
      <c r="J81" s="9"/>
      <c r="K81" s="19"/>
      <c r="L81" s="19"/>
      <c r="M81" s="19"/>
      <c r="N81" s="9"/>
      <c r="O81" s="9"/>
      <c r="P81" s="9"/>
      <c r="Q81" s="17"/>
      <c r="R81" s="18"/>
      <c r="S81" t="str">
        <f>IF($B81="","",IF($I81&lt;&gt;"",$I81,IFERROR(INDEX(Kat_Metode,MATCH($D81,Kat_Nama,0)),"")))</f>
        <v/>
      </c>
      <c r="T81" t="str">
        <f>IF($B81="","",IF($J81&lt;&gt;"",$J81,IFERROR(INDEX(Kat_Umur,MATCH($D81,Kat_Nama,0)),0)))</f>
        <v/>
      </c>
      <c r="U81" t="str">
        <f>IF($B81="","",IF($N81&lt;&gt;"",$N81,IFERROR(INDEX(Kat_Kelompok,MATCH($D81,Kat_Nama,0)),"")))</f>
        <v/>
      </c>
      <c r="V81" t="str">
        <f>IF($B81="","",IF($U81="Masa Manfaat Sebenarnya",N($O81),IFERROR(INDEX(Kel_Masa,MATCH($U81,Kel_Nama,0)),0)))</f>
        <v/>
      </c>
      <c r="W81" t="str">
        <f>IF($B81="","",IF($P81&lt;&gt;"",$P81,IF(OR($U81="Tidak Disusutkan",$V81=0),"Tidak Disusutkan","Garis Lurus")))</f>
        <v/>
      </c>
      <c r="X81" t="str">
        <f>IF($B81="","",IF($Y81&gt;TahunBuku*12+12,"Belum Diperoleh",IF($Z81&lt;=TahunBuku*12,"Dilepas (thn lalu)",IF($AC81=1,"Dilepas thn ini",IF($AB81=1,"Perolehan baru","Aktif")))))</f>
        <v/>
      </c>
      <c r="Y81" s="20" t="str">
        <f>IF($B81="","",YEAR($F81)*12+MONTH($F81))</f>
        <v/>
      </c>
      <c r="Z81" s="20" t="str">
        <f>IF($B81="","",IF($Q81="",99999,YEAR($Q81)*12+MONTH($Q81)))</f>
        <v/>
      </c>
      <c r="AA81" s="20" t="str">
        <f>IF($B81="","",--AND($Y81&lt;=TahunBuku*12,$Z81&gt;TahunBuku*12))</f>
        <v/>
      </c>
      <c r="AB81" s="20" t="str">
        <f>IF($B81="","",--AND($Y81&gt;TahunBuku*12,$Y81&lt;=TahunBuku*12+12))</f>
        <v/>
      </c>
      <c r="AC81" s="20" t="str">
        <f>IF($B81="","",--AND($Z81&gt;TahunBuku*12,$Z81&lt;=TahunBuku*12+12,$Y81&lt;=$Z81))</f>
        <v/>
      </c>
      <c r="AD81" s="21" t="str">
        <f>IF($B81="","",IFERROR(IF($S81="Garis Lurus",$G81-($G81-$H81)*MIN($T81*12,MAX(0,TahunBuku*12-$Y81+1))/($T81*12),IF($S81="Saldo Menurun",IF(TahunBuku-1&lt;YEAR($F81),$G81,IF(TahunBuku-1&gt;=INT(($Y81+$T81*12-2)/12),$H81,MAX($H81,$G81*(1-2/$T81*(13-MONTH($F81))/12)*(1-2/$T81)^(TahunBuku-1-YEAR($F81))))),IF($S81="Unit Produksi",$G81-($G81-$H81)*MIN(1,N($L81)/$K81),$G81))),$G81))</f>
        <v/>
      </c>
      <c r="AE81" s="21" t="str">
        <f>IF($B81="","",IFERROR(IF($S81="Garis Lurus",$G81-($G81-$H81)*MIN($T81*12,MAX(0,TahunBuku*12+12-$Y81+1))/($T81*12),IF($S81="Saldo Menurun",IF(TahunBuku&lt;YEAR($F81),$G81,IF(TahunBuku&gt;=INT(($Y81+$T81*12-2)/12),$H81,MAX($H81,$G81*(1-2/$T81*(13-MONTH($F81))/12)*(1-2/$T81)^(TahunBuku-YEAR($F81))))),IF($S81="Unit Produksi",$G81-($G81-$H81)*MIN(1,(N($L81)+N($M81))/$K81),$G81))),$G81))</f>
        <v/>
      </c>
      <c r="AF81" s="20" t="str">
        <f>IF($B81="","",IF(OR($S81="Garis Lurus",$S81="Saldo Menurun",$S81="Unit Produksi"),MAX(0,IF($S81="Unit Produksi",TahunBuku*12+12,MIN(TahunBuku*12+12,$Y81+$T81*12-1))-MAX(TahunBuku*12+1,$Y81)+1),0))</f>
        <v/>
      </c>
      <c r="AG81" s="20" t="str">
        <f>IF($B81="","",IF(OR($S81="Garis Lurus",$S81="Saldo Menurun",$S81="Unit Produksi"),MAX(0,MIN($Z81,IF($S81="Unit Produksi",TahunBuku*12+12,MIN(TahunBuku*12+12,$Y81+$T81*12-1)))-MAX(TahunBuku*12+1,$Y81)+1),0))</f>
        <v/>
      </c>
      <c r="AH81" s="21" t="str">
        <f>IF($B81="","",IFERROR(IF($W81="Garis Lurus",$G81*(1-MIN($V81*12,MAX(0,TahunBuku*12-$Y81+1))/($V81*12)),IF($W81="Saldo Menurun",IF(TahunBuku-1&lt;YEAR($F81),$G81,IF(TahunBuku-1&gt;=INT(($Y81+$V81*12-2)/12),0,$G81*(1-2/$V81*(13-MONTH($F81))/12)*(1-2/$V81)^(TahunBuku-1-YEAR($F81)))),$G81)),$G81))</f>
        <v/>
      </c>
      <c r="AI81" s="21" t="str">
        <f>IF($B81="","",IFERROR(IF($W81="Garis Lurus",$G81*(1-MIN($V81*12,MAX(0,TahunBuku*12+12-$Y81+1))/($V81*12)),IF($W81="Saldo Menurun",IF(TahunBuku&lt;YEAR($F81),$G81,IF(TahunBuku&gt;=INT(($Y81+$V81*12-2)/12),0,$G81*(1-2/$V81*(13-MONTH($F81))/12)*(1-2/$V81)^(TahunBuku-YEAR($F81)))),$G81)),$G81))</f>
        <v/>
      </c>
      <c r="AJ81" s="20" t="str">
        <f>IF($B81="","",IF(OR($W81="Garis Lurus",$W81="Saldo Menurun"),MAX(0,MIN(TahunBuku*12+12,$Y81+$V81*12-1)-MAX(TahunBuku*12+1,$Y81)+1),0))</f>
        <v/>
      </c>
      <c r="AK81" s="20" t="str">
        <f>IF($B81="","",IF(OR($W81="Garis Lurus",$W81="Saldo Menurun"),MAX(0,MIN($Z81,TahunBuku*12+12,$Y81+$V81*12-1)-MAX(TahunBuku*12+1,$Y81)+1),0))</f>
        <v/>
      </c>
      <c r="AL81" s="22" t="str">
        <f>IF($B81="","",$G81*$AA81)</f>
        <v/>
      </c>
      <c r="AM81" s="22" t="str">
        <f>IF($B81="","",$G81*$AB81)</f>
        <v/>
      </c>
      <c r="AN81" s="22" t="str">
        <f>IF($B81="","",$G81*$AC81)</f>
        <v/>
      </c>
      <c r="AO81" s="22" t="str">
        <f>IF($B81="","",AL81+AM81-AN81)</f>
        <v/>
      </c>
      <c r="AP81" s="22" t="str">
        <f>IF($B81="","",($G81-$AD81)*$AA81)</f>
        <v/>
      </c>
      <c r="AQ81" s="22" t="str">
        <f>IF($B81="","",IF($AF81=0,0,($AD81-$AE81)*$AG81/$AF81)*MAX($AA81,$AB81))</f>
        <v/>
      </c>
      <c r="AR81" s="22" t="str">
        <f>IF($B81="","",(AP81+AQ81)*$AC81)</f>
        <v/>
      </c>
      <c r="AS81" s="22" t="str">
        <f>IF($B81="","",AP81+AQ81-AR81)</f>
        <v/>
      </c>
      <c r="AT81" s="22" t="str">
        <f>IF($B81="","",AO81-AS81)</f>
        <v/>
      </c>
      <c r="AU81" s="22" t="str">
        <f>IF($B81="","",IF($AC81=1,N($R81)-($G81-AR81),0))</f>
        <v/>
      </c>
      <c r="AV81" s="22" t="str">
        <f>IF($B81="","",($G81-$AH81)*$AA81)</f>
        <v/>
      </c>
      <c r="AW81" s="22" t="str">
        <f>IF($B81="","",IF($AJ81=0,0,($AH81-$AI81)*$AK81/$AJ81)*MAX($AA81,$AB81))</f>
        <v/>
      </c>
      <c r="AX81" s="22" t="str">
        <f>IF($B81="","",(AV81+AW81)*$AC81)</f>
        <v/>
      </c>
      <c r="AY81" s="22" t="str">
        <f>IF($B81="","",AV81+AW81-AX81)</f>
        <v/>
      </c>
      <c r="AZ81" s="22" t="str">
        <f>IF($B81="","",AO81-AY81)</f>
        <v/>
      </c>
      <c r="BA81" s="22" t="str">
        <f>IF($B81="","",IF($AC81=1,N($R81)-($G81-AX81),0))</f>
        <v/>
      </c>
      <c r="BB81" s="22" t="str">
        <f>IF($B81="","",ROUND(AQ81-AW81,0))</f>
        <v/>
      </c>
      <c r="BC81" s="22" t="str">
        <f>IF($B81="","",ROUND(BA81-AU81,0))</f>
        <v/>
      </c>
      <c r="BD81" s="22" t="str">
        <f>IF($B81="","",BB81+BC81)</f>
        <v/>
      </c>
      <c r="BE81" s="22" t="str">
        <f>IF($B81="","",ROUND(AV81-AP81,0))</f>
        <v/>
      </c>
      <c r="BF81" s="22" t="str">
        <f>IF($B81="","",ROUND(AT81-AZ81,0))</f>
        <v/>
      </c>
      <c r="BG81" s="22" t="str">
        <f>IF($B81="","",ROUND(BF81*TarifPPh,0))</f>
        <v/>
      </c>
      <c r="BH81" t="str">
        <f>IF($B81="","",IF($D81="","Kategori kosong",IF($F81="","Tgl perolehan kosong",IF(N($H81)&gt;$G81,"Residu &gt; harga perolehan",IF(AND(LEFT($U81,8)="Bangunan",$W81="Saldo Menurun"),"Bangunan wajib Garis Lurus (Ps.11 UU PPh)",IF(AND($S81="Unit Produksi",N($K81)=0),"Isi kapasitas unit",IF(AND(OR($S81="Garis Lurus",$S81="Saldo Menurun"),N($T81)&lt;=0),"Umur komersial kosong",IF(AND(OR($W81="Garis Lurus",$W81="Saldo Menurun"),N($V81)&lt;=0),"Masa manfaat fiskal kosong",IF(AND($Q81&lt;&gt;"",$Q81&lt;$F81),"Tgl pelepasan &lt; perolehan","OK")))))))))</f>
        <v/>
      </c>
    </row>
    <row r="82" spans="1:60" x14ac:dyDescent="0.25">
      <c r="A82" t="str">
        <f>IF($B82="","",ROW()-6)</f>
        <v/>
      </c>
      <c r="B82" s="9"/>
      <c r="C82" s="9"/>
      <c r="D82" s="9"/>
      <c r="E82" s="9"/>
      <c r="F82" s="17"/>
      <c r="G82" s="18"/>
      <c r="H82" s="18"/>
      <c r="I82" s="9"/>
      <c r="J82" s="9"/>
      <c r="K82" s="19"/>
      <c r="L82" s="19"/>
      <c r="M82" s="19"/>
      <c r="N82" s="9"/>
      <c r="O82" s="9"/>
      <c r="P82" s="9"/>
      <c r="Q82" s="17"/>
      <c r="R82" s="18"/>
      <c r="S82" t="str">
        <f>IF($B82="","",IF($I82&lt;&gt;"",$I82,IFERROR(INDEX(Kat_Metode,MATCH($D82,Kat_Nama,0)),"")))</f>
        <v/>
      </c>
      <c r="T82" t="str">
        <f>IF($B82="","",IF($J82&lt;&gt;"",$J82,IFERROR(INDEX(Kat_Umur,MATCH($D82,Kat_Nama,0)),0)))</f>
        <v/>
      </c>
      <c r="U82" t="str">
        <f>IF($B82="","",IF($N82&lt;&gt;"",$N82,IFERROR(INDEX(Kat_Kelompok,MATCH($D82,Kat_Nama,0)),"")))</f>
        <v/>
      </c>
      <c r="V82" t="str">
        <f>IF($B82="","",IF($U82="Masa Manfaat Sebenarnya",N($O82),IFERROR(INDEX(Kel_Masa,MATCH($U82,Kel_Nama,0)),0)))</f>
        <v/>
      </c>
      <c r="W82" t="str">
        <f>IF($B82="","",IF($P82&lt;&gt;"",$P82,IF(OR($U82="Tidak Disusutkan",$V82=0),"Tidak Disusutkan","Garis Lurus")))</f>
        <v/>
      </c>
      <c r="X82" t="str">
        <f>IF($B82="","",IF($Y82&gt;TahunBuku*12+12,"Belum Diperoleh",IF($Z82&lt;=TahunBuku*12,"Dilepas (thn lalu)",IF($AC82=1,"Dilepas thn ini",IF($AB82=1,"Perolehan baru","Aktif")))))</f>
        <v/>
      </c>
      <c r="Y82" s="20" t="str">
        <f>IF($B82="","",YEAR($F82)*12+MONTH($F82))</f>
        <v/>
      </c>
      <c r="Z82" s="20" t="str">
        <f>IF($B82="","",IF($Q82="",99999,YEAR($Q82)*12+MONTH($Q82)))</f>
        <v/>
      </c>
      <c r="AA82" s="20" t="str">
        <f>IF($B82="","",--AND($Y82&lt;=TahunBuku*12,$Z82&gt;TahunBuku*12))</f>
        <v/>
      </c>
      <c r="AB82" s="20" t="str">
        <f>IF($B82="","",--AND($Y82&gt;TahunBuku*12,$Y82&lt;=TahunBuku*12+12))</f>
        <v/>
      </c>
      <c r="AC82" s="20" t="str">
        <f>IF($B82="","",--AND($Z82&gt;TahunBuku*12,$Z82&lt;=TahunBuku*12+12,$Y82&lt;=$Z82))</f>
        <v/>
      </c>
      <c r="AD82" s="21" t="str">
        <f>IF($B82="","",IFERROR(IF($S82="Garis Lurus",$G82-($G82-$H82)*MIN($T82*12,MAX(0,TahunBuku*12-$Y82+1))/($T82*12),IF($S82="Saldo Menurun",IF(TahunBuku-1&lt;YEAR($F82),$G82,IF(TahunBuku-1&gt;=INT(($Y82+$T82*12-2)/12),$H82,MAX($H82,$G82*(1-2/$T82*(13-MONTH($F82))/12)*(1-2/$T82)^(TahunBuku-1-YEAR($F82))))),IF($S82="Unit Produksi",$G82-($G82-$H82)*MIN(1,N($L82)/$K82),$G82))),$G82))</f>
        <v/>
      </c>
      <c r="AE82" s="21" t="str">
        <f>IF($B82="","",IFERROR(IF($S82="Garis Lurus",$G82-($G82-$H82)*MIN($T82*12,MAX(0,TahunBuku*12+12-$Y82+1))/($T82*12),IF($S82="Saldo Menurun",IF(TahunBuku&lt;YEAR($F82),$G82,IF(TahunBuku&gt;=INT(($Y82+$T82*12-2)/12),$H82,MAX($H82,$G82*(1-2/$T82*(13-MONTH($F82))/12)*(1-2/$T82)^(TahunBuku-YEAR($F82))))),IF($S82="Unit Produksi",$G82-($G82-$H82)*MIN(1,(N($L82)+N($M82))/$K82),$G82))),$G82))</f>
        <v/>
      </c>
      <c r="AF82" s="20" t="str">
        <f>IF($B82="","",IF(OR($S82="Garis Lurus",$S82="Saldo Menurun",$S82="Unit Produksi"),MAX(0,IF($S82="Unit Produksi",TahunBuku*12+12,MIN(TahunBuku*12+12,$Y82+$T82*12-1))-MAX(TahunBuku*12+1,$Y82)+1),0))</f>
        <v/>
      </c>
      <c r="AG82" s="20" t="str">
        <f>IF($B82="","",IF(OR($S82="Garis Lurus",$S82="Saldo Menurun",$S82="Unit Produksi"),MAX(0,MIN($Z82,IF($S82="Unit Produksi",TahunBuku*12+12,MIN(TahunBuku*12+12,$Y82+$T82*12-1)))-MAX(TahunBuku*12+1,$Y82)+1),0))</f>
        <v/>
      </c>
      <c r="AH82" s="21" t="str">
        <f>IF($B82="","",IFERROR(IF($W82="Garis Lurus",$G82*(1-MIN($V82*12,MAX(0,TahunBuku*12-$Y82+1))/($V82*12)),IF($W82="Saldo Menurun",IF(TahunBuku-1&lt;YEAR($F82),$G82,IF(TahunBuku-1&gt;=INT(($Y82+$V82*12-2)/12),0,$G82*(1-2/$V82*(13-MONTH($F82))/12)*(1-2/$V82)^(TahunBuku-1-YEAR($F82)))),$G82)),$G82))</f>
        <v/>
      </c>
      <c r="AI82" s="21" t="str">
        <f>IF($B82="","",IFERROR(IF($W82="Garis Lurus",$G82*(1-MIN($V82*12,MAX(0,TahunBuku*12+12-$Y82+1))/($V82*12)),IF($W82="Saldo Menurun",IF(TahunBuku&lt;YEAR($F82),$G82,IF(TahunBuku&gt;=INT(($Y82+$V82*12-2)/12),0,$G82*(1-2/$V82*(13-MONTH($F82))/12)*(1-2/$V82)^(TahunBuku-YEAR($F82)))),$G82)),$G82))</f>
        <v/>
      </c>
      <c r="AJ82" s="20" t="str">
        <f>IF($B82="","",IF(OR($W82="Garis Lurus",$W82="Saldo Menurun"),MAX(0,MIN(TahunBuku*12+12,$Y82+$V82*12-1)-MAX(TahunBuku*12+1,$Y82)+1),0))</f>
        <v/>
      </c>
      <c r="AK82" s="20" t="str">
        <f>IF($B82="","",IF(OR($W82="Garis Lurus",$W82="Saldo Menurun"),MAX(0,MIN($Z82,TahunBuku*12+12,$Y82+$V82*12-1)-MAX(TahunBuku*12+1,$Y82)+1),0))</f>
        <v/>
      </c>
      <c r="AL82" s="22" t="str">
        <f>IF($B82="","",$G82*$AA82)</f>
        <v/>
      </c>
      <c r="AM82" s="22" t="str">
        <f>IF($B82="","",$G82*$AB82)</f>
        <v/>
      </c>
      <c r="AN82" s="22" t="str">
        <f>IF($B82="","",$G82*$AC82)</f>
        <v/>
      </c>
      <c r="AO82" s="22" t="str">
        <f>IF($B82="","",AL82+AM82-AN82)</f>
        <v/>
      </c>
      <c r="AP82" s="22" t="str">
        <f>IF($B82="","",($G82-$AD82)*$AA82)</f>
        <v/>
      </c>
      <c r="AQ82" s="22" t="str">
        <f>IF($B82="","",IF($AF82=0,0,($AD82-$AE82)*$AG82/$AF82)*MAX($AA82,$AB82))</f>
        <v/>
      </c>
      <c r="AR82" s="22" t="str">
        <f>IF($B82="","",(AP82+AQ82)*$AC82)</f>
        <v/>
      </c>
      <c r="AS82" s="22" t="str">
        <f>IF($B82="","",AP82+AQ82-AR82)</f>
        <v/>
      </c>
      <c r="AT82" s="22" t="str">
        <f>IF($B82="","",AO82-AS82)</f>
        <v/>
      </c>
      <c r="AU82" s="22" t="str">
        <f>IF($B82="","",IF($AC82=1,N($R82)-($G82-AR82),0))</f>
        <v/>
      </c>
      <c r="AV82" s="22" t="str">
        <f>IF($B82="","",($G82-$AH82)*$AA82)</f>
        <v/>
      </c>
      <c r="AW82" s="22" t="str">
        <f>IF($B82="","",IF($AJ82=0,0,($AH82-$AI82)*$AK82/$AJ82)*MAX($AA82,$AB82))</f>
        <v/>
      </c>
      <c r="AX82" s="22" t="str">
        <f>IF($B82="","",(AV82+AW82)*$AC82)</f>
        <v/>
      </c>
      <c r="AY82" s="22" t="str">
        <f>IF($B82="","",AV82+AW82-AX82)</f>
        <v/>
      </c>
      <c r="AZ82" s="22" t="str">
        <f>IF($B82="","",AO82-AY82)</f>
        <v/>
      </c>
      <c r="BA82" s="22" t="str">
        <f>IF($B82="","",IF($AC82=1,N($R82)-($G82-AX82),0))</f>
        <v/>
      </c>
      <c r="BB82" s="22" t="str">
        <f>IF($B82="","",ROUND(AQ82-AW82,0))</f>
        <v/>
      </c>
      <c r="BC82" s="22" t="str">
        <f>IF($B82="","",ROUND(BA82-AU82,0))</f>
        <v/>
      </c>
      <c r="BD82" s="22" t="str">
        <f>IF($B82="","",BB82+BC82)</f>
        <v/>
      </c>
      <c r="BE82" s="22" t="str">
        <f>IF($B82="","",ROUND(AV82-AP82,0))</f>
        <v/>
      </c>
      <c r="BF82" s="22" t="str">
        <f>IF($B82="","",ROUND(AT82-AZ82,0))</f>
        <v/>
      </c>
      <c r="BG82" s="22" t="str">
        <f>IF($B82="","",ROUND(BF82*TarifPPh,0))</f>
        <v/>
      </c>
      <c r="BH82" t="str">
        <f>IF($B82="","",IF($D82="","Kategori kosong",IF($F82="","Tgl perolehan kosong",IF(N($H82)&gt;$G82,"Residu &gt; harga perolehan",IF(AND(LEFT($U82,8)="Bangunan",$W82="Saldo Menurun"),"Bangunan wajib Garis Lurus (Ps.11 UU PPh)",IF(AND($S82="Unit Produksi",N($K82)=0),"Isi kapasitas unit",IF(AND(OR($S82="Garis Lurus",$S82="Saldo Menurun"),N($T82)&lt;=0),"Umur komersial kosong",IF(AND(OR($W82="Garis Lurus",$W82="Saldo Menurun"),N($V82)&lt;=0),"Masa manfaat fiskal kosong",IF(AND($Q82&lt;&gt;"",$Q82&lt;$F82),"Tgl pelepasan &lt; perolehan","OK")))))))))</f>
        <v/>
      </c>
    </row>
    <row r="83" spans="1:60" x14ac:dyDescent="0.25">
      <c r="A83" t="str">
        <f>IF($B83="","",ROW()-6)</f>
        <v/>
      </c>
      <c r="B83" s="9"/>
      <c r="C83" s="9"/>
      <c r="D83" s="9"/>
      <c r="E83" s="9"/>
      <c r="F83" s="17"/>
      <c r="G83" s="18"/>
      <c r="H83" s="18"/>
      <c r="I83" s="9"/>
      <c r="J83" s="9"/>
      <c r="K83" s="19"/>
      <c r="L83" s="19"/>
      <c r="M83" s="19"/>
      <c r="N83" s="9"/>
      <c r="O83" s="9"/>
      <c r="P83" s="9"/>
      <c r="Q83" s="17"/>
      <c r="R83" s="18"/>
      <c r="S83" t="str">
        <f>IF($B83="","",IF($I83&lt;&gt;"",$I83,IFERROR(INDEX(Kat_Metode,MATCH($D83,Kat_Nama,0)),"")))</f>
        <v/>
      </c>
      <c r="T83" t="str">
        <f>IF($B83="","",IF($J83&lt;&gt;"",$J83,IFERROR(INDEX(Kat_Umur,MATCH($D83,Kat_Nama,0)),0)))</f>
        <v/>
      </c>
      <c r="U83" t="str">
        <f>IF($B83="","",IF($N83&lt;&gt;"",$N83,IFERROR(INDEX(Kat_Kelompok,MATCH($D83,Kat_Nama,0)),"")))</f>
        <v/>
      </c>
      <c r="V83" t="str">
        <f>IF($B83="","",IF($U83="Masa Manfaat Sebenarnya",N($O83),IFERROR(INDEX(Kel_Masa,MATCH($U83,Kel_Nama,0)),0)))</f>
        <v/>
      </c>
      <c r="W83" t="str">
        <f>IF($B83="","",IF($P83&lt;&gt;"",$P83,IF(OR($U83="Tidak Disusutkan",$V83=0),"Tidak Disusutkan","Garis Lurus")))</f>
        <v/>
      </c>
      <c r="X83" t="str">
        <f>IF($B83="","",IF($Y83&gt;TahunBuku*12+12,"Belum Diperoleh",IF($Z83&lt;=TahunBuku*12,"Dilepas (thn lalu)",IF($AC83=1,"Dilepas thn ini",IF($AB83=1,"Perolehan baru","Aktif")))))</f>
        <v/>
      </c>
      <c r="Y83" s="20" t="str">
        <f>IF($B83="","",YEAR($F83)*12+MONTH($F83))</f>
        <v/>
      </c>
      <c r="Z83" s="20" t="str">
        <f>IF($B83="","",IF($Q83="",99999,YEAR($Q83)*12+MONTH($Q83)))</f>
        <v/>
      </c>
      <c r="AA83" s="20" t="str">
        <f>IF($B83="","",--AND($Y83&lt;=TahunBuku*12,$Z83&gt;TahunBuku*12))</f>
        <v/>
      </c>
      <c r="AB83" s="20" t="str">
        <f>IF($B83="","",--AND($Y83&gt;TahunBuku*12,$Y83&lt;=TahunBuku*12+12))</f>
        <v/>
      </c>
      <c r="AC83" s="20" t="str">
        <f>IF($B83="","",--AND($Z83&gt;TahunBuku*12,$Z83&lt;=TahunBuku*12+12,$Y83&lt;=$Z83))</f>
        <v/>
      </c>
      <c r="AD83" s="21" t="str">
        <f>IF($B83="","",IFERROR(IF($S83="Garis Lurus",$G83-($G83-$H83)*MIN($T83*12,MAX(0,TahunBuku*12-$Y83+1))/($T83*12),IF($S83="Saldo Menurun",IF(TahunBuku-1&lt;YEAR($F83),$G83,IF(TahunBuku-1&gt;=INT(($Y83+$T83*12-2)/12),$H83,MAX($H83,$G83*(1-2/$T83*(13-MONTH($F83))/12)*(1-2/$T83)^(TahunBuku-1-YEAR($F83))))),IF($S83="Unit Produksi",$G83-($G83-$H83)*MIN(1,N($L83)/$K83),$G83))),$G83))</f>
        <v/>
      </c>
      <c r="AE83" s="21" t="str">
        <f>IF($B83="","",IFERROR(IF($S83="Garis Lurus",$G83-($G83-$H83)*MIN($T83*12,MAX(0,TahunBuku*12+12-$Y83+1))/($T83*12),IF($S83="Saldo Menurun",IF(TahunBuku&lt;YEAR($F83),$G83,IF(TahunBuku&gt;=INT(($Y83+$T83*12-2)/12),$H83,MAX($H83,$G83*(1-2/$T83*(13-MONTH($F83))/12)*(1-2/$T83)^(TahunBuku-YEAR($F83))))),IF($S83="Unit Produksi",$G83-($G83-$H83)*MIN(1,(N($L83)+N($M83))/$K83),$G83))),$G83))</f>
        <v/>
      </c>
      <c r="AF83" s="20" t="str">
        <f>IF($B83="","",IF(OR($S83="Garis Lurus",$S83="Saldo Menurun",$S83="Unit Produksi"),MAX(0,IF($S83="Unit Produksi",TahunBuku*12+12,MIN(TahunBuku*12+12,$Y83+$T83*12-1))-MAX(TahunBuku*12+1,$Y83)+1),0))</f>
        <v/>
      </c>
      <c r="AG83" s="20" t="str">
        <f>IF($B83="","",IF(OR($S83="Garis Lurus",$S83="Saldo Menurun",$S83="Unit Produksi"),MAX(0,MIN($Z83,IF($S83="Unit Produksi",TahunBuku*12+12,MIN(TahunBuku*12+12,$Y83+$T83*12-1)))-MAX(TahunBuku*12+1,$Y83)+1),0))</f>
        <v/>
      </c>
      <c r="AH83" s="21" t="str">
        <f>IF($B83="","",IFERROR(IF($W83="Garis Lurus",$G83*(1-MIN($V83*12,MAX(0,TahunBuku*12-$Y83+1))/($V83*12)),IF($W83="Saldo Menurun",IF(TahunBuku-1&lt;YEAR($F83),$G83,IF(TahunBuku-1&gt;=INT(($Y83+$V83*12-2)/12),0,$G83*(1-2/$V83*(13-MONTH($F83))/12)*(1-2/$V83)^(TahunBuku-1-YEAR($F83)))),$G83)),$G83))</f>
        <v/>
      </c>
      <c r="AI83" s="21" t="str">
        <f>IF($B83="","",IFERROR(IF($W83="Garis Lurus",$G83*(1-MIN($V83*12,MAX(0,TahunBuku*12+12-$Y83+1))/($V83*12)),IF($W83="Saldo Menurun",IF(TahunBuku&lt;YEAR($F83),$G83,IF(TahunBuku&gt;=INT(($Y83+$V83*12-2)/12),0,$G83*(1-2/$V83*(13-MONTH($F83))/12)*(1-2/$V83)^(TahunBuku-YEAR($F83)))),$G83)),$G83))</f>
        <v/>
      </c>
      <c r="AJ83" s="20" t="str">
        <f>IF($B83="","",IF(OR($W83="Garis Lurus",$W83="Saldo Menurun"),MAX(0,MIN(TahunBuku*12+12,$Y83+$V83*12-1)-MAX(TahunBuku*12+1,$Y83)+1),0))</f>
        <v/>
      </c>
      <c r="AK83" s="20" t="str">
        <f>IF($B83="","",IF(OR($W83="Garis Lurus",$W83="Saldo Menurun"),MAX(0,MIN($Z83,TahunBuku*12+12,$Y83+$V83*12-1)-MAX(TahunBuku*12+1,$Y83)+1),0))</f>
        <v/>
      </c>
      <c r="AL83" s="22" t="str">
        <f>IF($B83="","",$G83*$AA83)</f>
        <v/>
      </c>
      <c r="AM83" s="22" t="str">
        <f>IF($B83="","",$G83*$AB83)</f>
        <v/>
      </c>
      <c r="AN83" s="22" t="str">
        <f>IF($B83="","",$G83*$AC83)</f>
        <v/>
      </c>
      <c r="AO83" s="22" t="str">
        <f>IF($B83="","",AL83+AM83-AN83)</f>
        <v/>
      </c>
      <c r="AP83" s="22" t="str">
        <f>IF($B83="","",($G83-$AD83)*$AA83)</f>
        <v/>
      </c>
      <c r="AQ83" s="22" t="str">
        <f>IF($B83="","",IF($AF83=0,0,($AD83-$AE83)*$AG83/$AF83)*MAX($AA83,$AB83))</f>
        <v/>
      </c>
      <c r="AR83" s="22" t="str">
        <f>IF($B83="","",(AP83+AQ83)*$AC83)</f>
        <v/>
      </c>
      <c r="AS83" s="22" t="str">
        <f>IF($B83="","",AP83+AQ83-AR83)</f>
        <v/>
      </c>
      <c r="AT83" s="22" t="str">
        <f>IF($B83="","",AO83-AS83)</f>
        <v/>
      </c>
      <c r="AU83" s="22" t="str">
        <f>IF($B83="","",IF($AC83=1,N($R83)-($G83-AR83),0))</f>
        <v/>
      </c>
      <c r="AV83" s="22" t="str">
        <f>IF($B83="","",($G83-$AH83)*$AA83)</f>
        <v/>
      </c>
      <c r="AW83" s="22" t="str">
        <f>IF($B83="","",IF($AJ83=0,0,($AH83-$AI83)*$AK83/$AJ83)*MAX($AA83,$AB83))</f>
        <v/>
      </c>
      <c r="AX83" s="22" t="str">
        <f>IF($B83="","",(AV83+AW83)*$AC83)</f>
        <v/>
      </c>
      <c r="AY83" s="22" t="str">
        <f>IF($B83="","",AV83+AW83-AX83)</f>
        <v/>
      </c>
      <c r="AZ83" s="22" t="str">
        <f>IF($B83="","",AO83-AY83)</f>
        <v/>
      </c>
      <c r="BA83" s="22" t="str">
        <f>IF($B83="","",IF($AC83=1,N($R83)-($G83-AX83),0))</f>
        <v/>
      </c>
      <c r="BB83" s="22" t="str">
        <f>IF($B83="","",ROUND(AQ83-AW83,0))</f>
        <v/>
      </c>
      <c r="BC83" s="22" t="str">
        <f>IF($B83="","",ROUND(BA83-AU83,0))</f>
        <v/>
      </c>
      <c r="BD83" s="22" t="str">
        <f>IF($B83="","",BB83+BC83)</f>
        <v/>
      </c>
      <c r="BE83" s="22" t="str">
        <f>IF($B83="","",ROUND(AV83-AP83,0))</f>
        <v/>
      </c>
      <c r="BF83" s="22" t="str">
        <f>IF($B83="","",ROUND(AT83-AZ83,0))</f>
        <v/>
      </c>
      <c r="BG83" s="22" t="str">
        <f>IF($B83="","",ROUND(BF83*TarifPPh,0))</f>
        <v/>
      </c>
      <c r="BH83" t="str">
        <f>IF($B83="","",IF($D83="","Kategori kosong",IF($F83="","Tgl perolehan kosong",IF(N($H83)&gt;$G83,"Residu &gt; harga perolehan",IF(AND(LEFT($U83,8)="Bangunan",$W83="Saldo Menurun"),"Bangunan wajib Garis Lurus (Ps.11 UU PPh)",IF(AND($S83="Unit Produksi",N($K83)=0),"Isi kapasitas unit",IF(AND(OR($S83="Garis Lurus",$S83="Saldo Menurun"),N($T83)&lt;=0),"Umur komersial kosong",IF(AND(OR($W83="Garis Lurus",$W83="Saldo Menurun"),N($V83)&lt;=0),"Masa manfaat fiskal kosong",IF(AND($Q83&lt;&gt;"",$Q83&lt;$F83),"Tgl pelepasan &lt; perolehan","OK")))))))))</f>
        <v/>
      </c>
    </row>
    <row r="84" spans="1:60" x14ac:dyDescent="0.25">
      <c r="A84" t="str">
        <f>IF($B84="","",ROW()-6)</f>
        <v/>
      </c>
      <c r="B84" s="9"/>
      <c r="C84" s="9"/>
      <c r="D84" s="9"/>
      <c r="E84" s="9"/>
      <c r="F84" s="17"/>
      <c r="G84" s="18"/>
      <c r="H84" s="18"/>
      <c r="I84" s="9"/>
      <c r="J84" s="9"/>
      <c r="K84" s="19"/>
      <c r="L84" s="19"/>
      <c r="M84" s="19"/>
      <c r="N84" s="9"/>
      <c r="O84" s="9"/>
      <c r="P84" s="9"/>
      <c r="Q84" s="17"/>
      <c r="R84" s="18"/>
      <c r="S84" t="str">
        <f>IF($B84="","",IF($I84&lt;&gt;"",$I84,IFERROR(INDEX(Kat_Metode,MATCH($D84,Kat_Nama,0)),"")))</f>
        <v/>
      </c>
      <c r="T84" t="str">
        <f>IF($B84="","",IF($J84&lt;&gt;"",$J84,IFERROR(INDEX(Kat_Umur,MATCH($D84,Kat_Nama,0)),0)))</f>
        <v/>
      </c>
      <c r="U84" t="str">
        <f>IF($B84="","",IF($N84&lt;&gt;"",$N84,IFERROR(INDEX(Kat_Kelompok,MATCH($D84,Kat_Nama,0)),"")))</f>
        <v/>
      </c>
      <c r="V84" t="str">
        <f>IF($B84="","",IF($U84="Masa Manfaat Sebenarnya",N($O84),IFERROR(INDEX(Kel_Masa,MATCH($U84,Kel_Nama,0)),0)))</f>
        <v/>
      </c>
      <c r="W84" t="str">
        <f>IF($B84="","",IF($P84&lt;&gt;"",$P84,IF(OR($U84="Tidak Disusutkan",$V84=0),"Tidak Disusutkan","Garis Lurus")))</f>
        <v/>
      </c>
      <c r="X84" t="str">
        <f>IF($B84="","",IF($Y84&gt;TahunBuku*12+12,"Belum Diperoleh",IF($Z84&lt;=TahunBuku*12,"Dilepas (thn lalu)",IF($AC84=1,"Dilepas thn ini",IF($AB84=1,"Perolehan baru","Aktif")))))</f>
        <v/>
      </c>
      <c r="Y84" s="20" t="str">
        <f>IF($B84="","",YEAR($F84)*12+MONTH($F84))</f>
        <v/>
      </c>
      <c r="Z84" s="20" t="str">
        <f>IF($B84="","",IF($Q84="",99999,YEAR($Q84)*12+MONTH($Q84)))</f>
        <v/>
      </c>
      <c r="AA84" s="20" t="str">
        <f>IF($B84="","",--AND($Y84&lt;=TahunBuku*12,$Z84&gt;TahunBuku*12))</f>
        <v/>
      </c>
      <c r="AB84" s="20" t="str">
        <f>IF($B84="","",--AND($Y84&gt;TahunBuku*12,$Y84&lt;=TahunBuku*12+12))</f>
        <v/>
      </c>
      <c r="AC84" s="20" t="str">
        <f>IF($B84="","",--AND($Z84&gt;TahunBuku*12,$Z84&lt;=TahunBuku*12+12,$Y84&lt;=$Z84))</f>
        <v/>
      </c>
      <c r="AD84" s="21" t="str">
        <f>IF($B84="","",IFERROR(IF($S84="Garis Lurus",$G84-($G84-$H84)*MIN($T84*12,MAX(0,TahunBuku*12-$Y84+1))/($T84*12),IF($S84="Saldo Menurun",IF(TahunBuku-1&lt;YEAR($F84),$G84,IF(TahunBuku-1&gt;=INT(($Y84+$T84*12-2)/12),$H84,MAX($H84,$G84*(1-2/$T84*(13-MONTH($F84))/12)*(1-2/$T84)^(TahunBuku-1-YEAR($F84))))),IF($S84="Unit Produksi",$G84-($G84-$H84)*MIN(1,N($L84)/$K84),$G84))),$G84))</f>
        <v/>
      </c>
      <c r="AE84" s="21" t="str">
        <f>IF($B84="","",IFERROR(IF($S84="Garis Lurus",$G84-($G84-$H84)*MIN($T84*12,MAX(0,TahunBuku*12+12-$Y84+1))/($T84*12),IF($S84="Saldo Menurun",IF(TahunBuku&lt;YEAR($F84),$G84,IF(TahunBuku&gt;=INT(($Y84+$T84*12-2)/12),$H84,MAX($H84,$G84*(1-2/$T84*(13-MONTH($F84))/12)*(1-2/$T84)^(TahunBuku-YEAR($F84))))),IF($S84="Unit Produksi",$G84-($G84-$H84)*MIN(1,(N($L84)+N($M84))/$K84),$G84))),$G84))</f>
        <v/>
      </c>
      <c r="AF84" s="20" t="str">
        <f>IF($B84="","",IF(OR($S84="Garis Lurus",$S84="Saldo Menurun",$S84="Unit Produksi"),MAX(0,IF($S84="Unit Produksi",TahunBuku*12+12,MIN(TahunBuku*12+12,$Y84+$T84*12-1))-MAX(TahunBuku*12+1,$Y84)+1),0))</f>
        <v/>
      </c>
      <c r="AG84" s="20" t="str">
        <f>IF($B84="","",IF(OR($S84="Garis Lurus",$S84="Saldo Menurun",$S84="Unit Produksi"),MAX(0,MIN($Z84,IF($S84="Unit Produksi",TahunBuku*12+12,MIN(TahunBuku*12+12,$Y84+$T84*12-1)))-MAX(TahunBuku*12+1,$Y84)+1),0))</f>
        <v/>
      </c>
      <c r="AH84" s="21" t="str">
        <f>IF($B84="","",IFERROR(IF($W84="Garis Lurus",$G84*(1-MIN($V84*12,MAX(0,TahunBuku*12-$Y84+1))/($V84*12)),IF($W84="Saldo Menurun",IF(TahunBuku-1&lt;YEAR($F84),$G84,IF(TahunBuku-1&gt;=INT(($Y84+$V84*12-2)/12),0,$G84*(1-2/$V84*(13-MONTH($F84))/12)*(1-2/$V84)^(TahunBuku-1-YEAR($F84)))),$G84)),$G84))</f>
        <v/>
      </c>
      <c r="AI84" s="21" t="str">
        <f>IF($B84="","",IFERROR(IF($W84="Garis Lurus",$G84*(1-MIN($V84*12,MAX(0,TahunBuku*12+12-$Y84+1))/($V84*12)),IF($W84="Saldo Menurun",IF(TahunBuku&lt;YEAR($F84),$G84,IF(TahunBuku&gt;=INT(($Y84+$V84*12-2)/12),0,$G84*(1-2/$V84*(13-MONTH($F84))/12)*(1-2/$V84)^(TahunBuku-YEAR($F84)))),$G84)),$G84))</f>
        <v/>
      </c>
      <c r="AJ84" s="20" t="str">
        <f>IF($B84="","",IF(OR($W84="Garis Lurus",$W84="Saldo Menurun"),MAX(0,MIN(TahunBuku*12+12,$Y84+$V84*12-1)-MAX(TahunBuku*12+1,$Y84)+1),0))</f>
        <v/>
      </c>
      <c r="AK84" s="20" t="str">
        <f>IF($B84="","",IF(OR($W84="Garis Lurus",$W84="Saldo Menurun"),MAX(0,MIN($Z84,TahunBuku*12+12,$Y84+$V84*12-1)-MAX(TahunBuku*12+1,$Y84)+1),0))</f>
        <v/>
      </c>
      <c r="AL84" s="22" t="str">
        <f>IF($B84="","",$G84*$AA84)</f>
        <v/>
      </c>
      <c r="AM84" s="22" t="str">
        <f>IF($B84="","",$G84*$AB84)</f>
        <v/>
      </c>
      <c r="AN84" s="22" t="str">
        <f>IF($B84="","",$G84*$AC84)</f>
        <v/>
      </c>
      <c r="AO84" s="22" t="str">
        <f>IF($B84="","",AL84+AM84-AN84)</f>
        <v/>
      </c>
      <c r="AP84" s="22" t="str">
        <f>IF($B84="","",($G84-$AD84)*$AA84)</f>
        <v/>
      </c>
      <c r="AQ84" s="22" t="str">
        <f>IF($B84="","",IF($AF84=0,0,($AD84-$AE84)*$AG84/$AF84)*MAX($AA84,$AB84))</f>
        <v/>
      </c>
      <c r="AR84" s="22" t="str">
        <f>IF($B84="","",(AP84+AQ84)*$AC84)</f>
        <v/>
      </c>
      <c r="AS84" s="22" t="str">
        <f>IF($B84="","",AP84+AQ84-AR84)</f>
        <v/>
      </c>
      <c r="AT84" s="22" t="str">
        <f>IF($B84="","",AO84-AS84)</f>
        <v/>
      </c>
      <c r="AU84" s="22" t="str">
        <f>IF($B84="","",IF($AC84=1,N($R84)-($G84-AR84),0))</f>
        <v/>
      </c>
      <c r="AV84" s="22" t="str">
        <f>IF($B84="","",($G84-$AH84)*$AA84)</f>
        <v/>
      </c>
      <c r="AW84" s="22" t="str">
        <f>IF($B84="","",IF($AJ84=0,0,($AH84-$AI84)*$AK84/$AJ84)*MAX($AA84,$AB84))</f>
        <v/>
      </c>
      <c r="AX84" s="22" t="str">
        <f>IF($B84="","",(AV84+AW84)*$AC84)</f>
        <v/>
      </c>
      <c r="AY84" s="22" t="str">
        <f>IF($B84="","",AV84+AW84-AX84)</f>
        <v/>
      </c>
      <c r="AZ84" s="22" t="str">
        <f>IF($B84="","",AO84-AY84)</f>
        <v/>
      </c>
      <c r="BA84" s="22" t="str">
        <f>IF($B84="","",IF($AC84=1,N($R84)-($G84-AX84),0))</f>
        <v/>
      </c>
      <c r="BB84" s="22" t="str">
        <f>IF($B84="","",ROUND(AQ84-AW84,0))</f>
        <v/>
      </c>
      <c r="BC84" s="22" t="str">
        <f>IF($B84="","",ROUND(BA84-AU84,0))</f>
        <v/>
      </c>
      <c r="BD84" s="22" t="str">
        <f>IF($B84="","",BB84+BC84)</f>
        <v/>
      </c>
      <c r="BE84" s="22" t="str">
        <f>IF($B84="","",ROUND(AV84-AP84,0))</f>
        <v/>
      </c>
      <c r="BF84" s="22" t="str">
        <f>IF($B84="","",ROUND(AT84-AZ84,0))</f>
        <v/>
      </c>
      <c r="BG84" s="22" t="str">
        <f>IF($B84="","",ROUND(BF84*TarifPPh,0))</f>
        <v/>
      </c>
      <c r="BH84" t="str">
        <f>IF($B84="","",IF($D84="","Kategori kosong",IF($F84="","Tgl perolehan kosong",IF(N($H84)&gt;$G84,"Residu &gt; harga perolehan",IF(AND(LEFT($U84,8)="Bangunan",$W84="Saldo Menurun"),"Bangunan wajib Garis Lurus (Ps.11 UU PPh)",IF(AND($S84="Unit Produksi",N($K84)=0),"Isi kapasitas unit",IF(AND(OR($S84="Garis Lurus",$S84="Saldo Menurun"),N($T84)&lt;=0),"Umur komersial kosong",IF(AND(OR($W84="Garis Lurus",$W84="Saldo Menurun"),N($V84)&lt;=0),"Masa manfaat fiskal kosong",IF(AND($Q84&lt;&gt;"",$Q84&lt;$F84),"Tgl pelepasan &lt; perolehan","OK")))))))))</f>
        <v/>
      </c>
    </row>
    <row r="85" spans="1:60" x14ac:dyDescent="0.25">
      <c r="A85" t="str">
        <f>IF($B85="","",ROW()-6)</f>
        <v/>
      </c>
      <c r="B85" s="9"/>
      <c r="C85" s="9"/>
      <c r="D85" s="9"/>
      <c r="E85" s="9"/>
      <c r="F85" s="17"/>
      <c r="G85" s="18"/>
      <c r="H85" s="18"/>
      <c r="I85" s="9"/>
      <c r="J85" s="9"/>
      <c r="K85" s="19"/>
      <c r="L85" s="19"/>
      <c r="M85" s="19"/>
      <c r="N85" s="9"/>
      <c r="O85" s="9"/>
      <c r="P85" s="9"/>
      <c r="Q85" s="17"/>
      <c r="R85" s="18"/>
      <c r="S85" t="str">
        <f>IF($B85="","",IF($I85&lt;&gt;"",$I85,IFERROR(INDEX(Kat_Metode,MATCH($D85,Kat_Nama,0)),"")))</f>
        <v/>
      </c>
      <c r="T85" t="str">
        <f>IF($B85="","",IF($J85&lt;&gt;"",$J85,IFERROR(INDEX(Kat_Umur,MATCH($D85,Kat_Nama,0)),0)))</f>
        <v/>
      </c>
      <c r="U85" t="str">
        <f>IF($B85="","",IF($N85&lt;&gt;"",$N85,IFERROR(INDEX(Kat_Kelompok,MATCH($D85,Kat_Nama,0)),"")))</f>
        <v/>
      </c>
      <c r="V85" t="str">
        <f>IF($B85="","",IF($U85="Masa Manfaat Sebenarnya",N($O85),IFERROR(INDEX(Kel_Masa,MATCH($U85,Kel_Nama,0)),0)))</f>
        <v/>
      </c>
      <c r="W85" t="str">
        <f>IF($B85="","",IF($P85&lt;&gt;"",$P85,IF(OR($U85="Tidak Disusutkan",$V85=0),"Tidak Disusutkan","Garis Lurus")))</f>
        <v/>
      </c>
      <c r="X85" t="str">
        <f>IF($B85="","",IF($Y85&gt;TahunBuku*12+12,"Belum Diperoleh",IF($Z85&lt;=TahunBuku*12,"Dilepas (thn lalu)",IF($AC85=1,"Dilepas thn ini",IF($AB85=1,"Perolehan baru","Aktif")))))</f>
        <v/>
      </c>
      <c r="Y85" s="20" t="str">
        <f>IF($B85="","",YEAR($F85)*12+MONTH($F85))</f>
        <v/>
      </c>
      <c r="Z85" s="20" t="str">
        <f>IF($B85="","",IF($Q85="",99999,YEAR($Q85)*12+MONTH($Q85)))</f>
        <v/>
      </c>
      <c r="AA85" s="20" t="str">
        <f>IF($B85="","",--AND($Y85&lt;=TahunBuku*12,$Z85&gt;TahunBuku*12))</f>
        <v/>
      </c>
      <c r="AB85" s="20" t="str">
        <f>IF($B85="","",--AND($Y85&gt;TahunBuku*12,$Y85&lt;=TahunBuku*12+12))</f>
        <v/>
      </c>
      <c r="AC85" s="20" t="str">
        <f>IF($B85="","",--AND($Z85&gt;TahunBuku*12,$Z85&lt;=TahunBuku*12+12,$Y85&lt;=$Z85))</f>
        <v/>
      </c>
      <c r="AD85" s="21" t="str">
        <f>IF($B85="","",IFERROR(IF($S85="Garis Lurus",$G85-($G85-$H85)*MIN($T85*12,MAX(0,TahunBuku*12-$Y85+1))/($T85*12),IF($S85="Saldo Menurun",IF(TahunBuku-1&lt;YEAR($F85),$G85,IF(TahunBuku-1&gt;=INT(($Y85+$T85*12-2)/12),$H85,MAX($H85,$G85*(1-2/$T85*(13-MONTH($F85))/12)*(1-2/$T85)^(TahunBuku-1-YEAR($F85))))),IF($S85="Unit Produksi",$G85-($G85-$H85)*MIN(1,N($L85)/$K85),$G85))),$G85))</f>
        <v/>
      </c>
      <c r="AE85" s="21" t="str">
        <f>IF($B85="","",IFERROR(IF($S85="Garis Lurus",$G85-($G85-$H85)*MIN($T85*12,MAX(0,TahunBuku*12+12-$Y85+1))/($T85*12),IF($S85="Saldo Menurun",IF(TahunBuku&lt;YEAR($F85),$G85,IF(TahunBuku&gt;=INT(($Y85+$T85*12-2)/12),$H85,MAX($H85,$G85*(1-2/$T85*(13-MONTH($F85))/12)*(1-2/$T85)^(TahunBuku-YEAR($F85))))),IF($S85="Unit Produksi",$G85-($G85-$H85)*MIN(1,(N($L85)+N($M85))/$K85),$G85))),$G85))</f>
        <v/>
      </c>
      <c r="AF85" s="20" t="str">
        <f>IF($B85="","",IF(OR($S85="Garis Lurus",$S85="Saldo Menurun",$S85="Unit Produksi"),MAX(0,IF($S85="Unit Produksi",TahunBuku*12+12,MIN(TahunBuku*12+12,$Y85+$T85*12-1))-MAX(TahunBuku*12+1,$Y85)+1),0))</f>
        <v/>
      </c>
      <c r="AG85" s="20" t="str">
        <f>IF($B85="","",IF(OR($S85="Garis Lurus",$S85="Saldo Menurun",$S85="Unit Produksi"),MAX(0,MIN($Z85,IF($S85="Unit Produksi",TahunBuku*12+12,MIN(TahunBuku*12+12,$Y85+$T85*12-1)))-MAX(TahunBuku*12+1,$Y85)+1),0))</f>
        <v/>
      </c>
      <c r="AH85" s="21" t="str">
        <f>IF($B85="","",IFERROR(IF($W85="Garis Lurus",$G85*(1-MIN($V85*12,MAX(0,TahunBuku*12-$Y85+1))/($V85*12)),IF($W85="Saldo Menurun",IF(TahunBuku-1&lt;YEAR($F85),$G85,IF(TahunBuku-1&gt;=INT(($Y85+$V85*12-2)/12),0,$G85*(1-2/$V85*(13-MONTH($F85))/12)*(1-2/$V85)^(TahunBuku-1-YEAR($F85)))),$G85)),$G85))</f>
        <v/>
      </c>
      <c r="AI85" s="21" t="str">
        <f>IF($B85="","",IFERROR(IF($W85="Garis Lurus",$G85*(1-MIN($V85*12,MAX(0,TahunBuku*12+12-$Y85+1))/($V85*12)),IF($W85="Saldo Menurun",IF(TahunBuku&lt;YEAR($F85),$G85,IF(TahunBuku&gt;=INT(($Y85+$V85*12-2)/12),0,$G85*(1-2/$V85*(13-MONTH($F85))/12)*(1-2/$V85)^(TahunBuku-YEAR($F85)))),$G85)),$G85))</f>
        <v/>
      </c>
      <c r="AJ85" s="20" t="str">
        <f>IF($B85="","",IF(OR($W85="Garis Lurus",$W85="Saldo Menurun"),MAX(0,MIN(TahunBuku*12+12,$Y85+$V85*12-1)-MAX(TahunBuku*12+1,$Y85)+1),0))</f>
        <v/>
      </c>
      <c r="AK85" s="20" t="str">
        <f>IF($B85="","",IF(OR($W85="Garis Lurus",$W85="Saldo Menurun"),MAX(0,MIN($Z85,TahunBuku*12+12,$Y85+$V85*12-1)-MAX(TahunBuku*12+1,$Y85)+1),0))</f>
        <v/>
      </c>
      <c r="AL85" s="22" t="str">
        <f>IF($B85="","",$G85*$AA85)</f>
        <v/>
      </c>
      <c r="AM85" s="22" t="str">
        <f>IF($B85="","",$G85*$AB85)</f>
        <v/>
      </c>
      <c r="AN85" s="22" t="str">
        <f>IF($B85="","",$G85*$AC85)</f>
        <v/>
      </c>
      <c r="AO85" s="22" t="str">
        <f>IF($B85="","",AL85+AM85-AN85)</f>
        <v/>
      </c>
      <c r="AP85" s="22" t="str">
        <f>IF($B85="","",($G85-$AD85)*$AA85)</f>
        <v/>
      </c>
      <c r="AQ85" s="22" t="str">
        <f>IF($B85="","",IF($AF85=0,0,($AD85-$AE85)*$AG85/$AF85)*MAX($AA85,$AB85))</f>
        <v/>
      </c>
      <c r="AR85" s="22" t="str">
        <f>IF($B85="","",(AP85+AQ85)*$AC85)</f>
        <v/>
      </c>
      <c r="AS85" s="22" t="str">
        <f>IF($B85="","",AP85+AQ85-AR85)</f>
        <v/>
      </c>
      <c r="AT85" s="22" t="str">
        <f>IF($B85="","",AO85-AS85)</f>
        <v/>
      </c>
      <c r="AU85" s="22" t="str">
        <f>IF($B85="","",IF($AC85=1,N($R85)-($G85-AR85),0))</f>
        <v/>
      </c>
      <c r="AV85" s="22" t="str">
        <f>IF($B85="","",($G85-$AH85)*$AA85)</f>
        <v/>
      </c>
      <c r="AW85" s="22" t="str">
        <f>IF($B85="","",IF($AJ85=0,0,($AH85-$AI85)*$AK85/$AJ85)*MAX($AA85,$AB85))</f>
        <v/>
      </c>
      <c r="AX85" s="22" t="str">
        <f>IF($B85="","",(AV85+AW85)*$AC85)</f>
        <v/>
      </c>
      <c r="AY85" s="22" t="str">
        <f>IF($B85="","",AV85+AW85-AX85)</f>
        <v/>
      </c>
      <c r="AZ85" s="22" t="str">
        <f>IF($B85="","",AO85-AY85)</f>
        <v/>
      </c>
      <c r="BA85" s="22" t="str">
        <f>IF($B85="","",IF($AC85=1,N($R85)-($G85-AX85),0))</f>
        <v/>
      </c>
      <c r="BB85" s="22" t="str">
        <f>IF($B85="","",ROUND(AQ85-AW85,0))</f>
        <v/>
      </c>
      <c r="BC85" s="22" t="str">
        <f>IF($B85="","",ROUND(BA85-AU85,0))</f>
        <v/>
      </c>
      <c r="BD85" s="22" t="str">
        <f>IF($B85="","",BB85+BC85)</f>
        <v/>
      </c>
      <c r="BE85" s="22" t="str">
        <f>IF($B85="","",ROUND(AV85-AP85,0))</f>
        <v/>
      </c>
      <c r="BF85" s="22" t="str">
        <f>IF($B85="","",ROUND(AT85-AZ85,0))</f>
        <v/>
      </c>
      <c r="BG85" s="22" t="str">
        <f>IF($B85="","",ROUND(BF85*TarifPPh,0))</f>
        <v/>
      </c>
      <c r="BH85" t="str">
        <f>IF($B85="","",IF($D85="","Kategori kosong",IF($F85="","Tgl perolehan kosong",IF(N($H85)&gt;$G85,"Residu &gt; harga perolehan",IF(AND(LEFT($U85,8)="Bangunan",$W85="Saldo Menurun"),"Bangunan wajib Garis Lurus (Ps.11 UU PPh)",IF(AND($S85="Unit Produksi",N($K85)=0),"Isi kapasitas unit",IF(AND(OR($S85="Garis Lurus",$S85="Saldo Menurun"),N($T85)&lt;=0),"Umur komersial kosong",IF(AND(OR($W85="Garis Lurus",$W85="Saldo Menurun"),N($V85)&lt;=0),"Masa manfaat fiskal kosong",IF(AND($Q85&lt;&gt;"",$Q85&lt;$F85),"Tgl pelepasan &lt; perolehan","OK")))))))))</f>
        <v/>
      </c>
    </row>
    <row r="86" spans="1:60" x14ac:dyDescent="0.25">
      <c r="A86" t="str">
        <f>IF($B86="","",ROW()-6)</f>
        <v/>
      </c>
      <c r="B86" s="9"/>
      <c r="C86" s="9"/>
      <c r="D86" s="9"/>
      <c r="E86" s="9"/>
      <c r="F86" s="17"/>
      <c r="G86" s="18"/>
      <c r="H86" s="18"/>
      <c r="I86" s="9"/>
      <c r="J86" s="9"/>
      <c r="K86" s="19"/>
      <c r="L86" s="19"/>
      <c r="M86" s="19"/>
      <c r="N86" s="9"/>
      <c r="O86" s="9"/>
      <c r="P86" s="9"/>
      <c r="Q86" s="17"/>
      <c r="R86" s="18"/>
      <c r="S86" t="str">
        <f>IF($B86="","",IF($I86&lt;&gt;"",$I86,IFERROR(INDEX(Kat_Metode,MATCH($D86,Kat_Nama,0)),"")))</f>
        <v/>
      </c>
      <c r="T86" t="str">
        <f>IF($B86="","",IF($J86&lt;&gt;"",$J86,IFERROR(INDEX(Kat_Umur,MATCH($D86,Kat_Nama,0)),0)))</f>
        <v/>
      </c>
      <c r="U86" t="str">
        <f>IF($B86="","",IF($N86&lt;&gt;"",$N86,IFERROR(INDEX(Kat_Kelompok,MATCH($D86,Kat_Nama,0)),"")))</f>
        <v/>
      </c>
      <c r="V86" t="str">
        <f>IF($B86="","",IF($U86="Masa Manfaat Sebenarnya",N($O86),IFERROR(INDEX(Kel_Masa,MATCH($U86,Kel_Nama,0)),0)))</f>
        <v/>
      </c>
      <c r="W86" t="str">
        <f>IF($B86="","",IF($P86&lt;&gt;"",$P86,IF(OR($U86="Tidak Disusutkan",$V86=0),"Tidak Disusutkan","Garis Lurus")))</f>
        <v/>
      </c>
      <c r="X86" t="str">
        <f>IF($B86="","",IF($Y86&gt;TahunBuku*12+12,"Belum Diperoleh",IF($Z86&lt;=TahunBuku*12,"Dilepas (thn lalu)",IF($AC86=1,"Dilepas thn ini",IF($AB86=1,"Perolehan baru","Aktif")))))</f>
        <v/>
      </c>
      <c r="Y86" s="20" t="str">
        <f>IF($B86="","",YEAR($F86)*12+MONTH($F86))</f>
        <v/>
      </c>
      <c r="Z86" s="20" t="str">
        <f>IF($B86="","",IF($Q86="",99999,YEAR($Q86)*12+MONTH($Q86)))</f>
        <v/>
      </c>
      <c r="AA86" s="20" t="str">
        <f>IF($B86="","",--AND($Y86&lt;=TahunBuku*12,$Z86&gt;TahunBuku*12))</f>
        <v/>
      </c>
      <c r="AB86" s="20" t="str">
        <f>IF($B86="","",--AND($Y86&gt;TahunBuku*12,$Y86&lt;=TahunBuku*12+12))</f>
        <v/>
      </c>
      <c r="AC86" s="20" t="str">
        <f>IF($B86="","",--AND($Z86&gt;TahunBuku*12,$Z86&lt;=TahunBuku*12+12,$Y86&lt;=$Z86))</f>
        <v/>
      </c>
      <c r="AD86" s="21" t="str">
        <f>IF($B86="","",IFERROR(IF($S86="Garis Lurus",$G86-($G86-$H86)*MIN($T86*12,MAX(0,TahunBuku*12-$Y86+1))/($T86*12),IF($S86="Saldo Menurun",IF(TahunBuku-1&lt;YEAR($F86),$G86,IF(TahunBuku-1&gt;=INT(($Y86+$T86*12-2)/12),$H86,MAX($H86,$G86*(1-2/$T86*(13-MONTH($F86))/12)*(1-2/$T86)^(TahunBuku-1-YEAR($F86))))),IF($S86="Unit Produksi",$G86-($G86-$H86)*MIN(1,N($L86)/$K86),$G86))),$G86))</f>
        <v/>
      </c>
      <c r="AE86" s="21" t="str">
        <f>IF($B86="","",IFERROR(IF($S86="Garis Lurus",$G86-($G86-$H86)*MIN($T86*12,MAX(0,TahunBuku*12+12-$Y86+1))/($T86*12),IF($S86="Saldo Menurun",IF(TahunBuku&lt;YEAR($F86),$G86,IF(TahunBuku&gt;=INT(($Y86+$T86*12-2)/12),$H86,MAX($H86,$G86*(1-2/$T86*(13-MONTH($F86))/12)*(1-2/$T86)^(TahunBuku-YEAR($F86))))),IF($S86="Unit Produksi",$G86-($G86-$H86)*MIN(1,(N($L86)+N($M86))/$K86),$G86))),$G86))</f>
        <v/>
      </c>
      <c r="AF86" s="20" t="str">
        <f>IF($B86="","",IF(OR($S86="Garis Lurus",$S86="Saldo Menurun",$S86="Unit Produksi"),MAX(0,IF($S86="Unit Produksi",TahunBuku*12+12,MIN(TahunBuku*12+12,$Y86+$T86*12-1))-MAX(TahunBuku*12+1,$Y86)+1),0))</f>
        <v/>
      </c>
      <c r="AG86" s="20" t="str">
        <f>IF($B86="","",IF(OR($S86="Garis Lurus",$S86="Saldo Menurun",$S86="Unit Produksi"),MAX(0,MIN($Z86,IF($S86="Unit Produksi",TahunBuku*12+12,MIN(TahunBuku*12+12,$Y86+$T86*12-1)))-MAX(TahunBuku*12+1,$Y86)+1),0))</f>
        <v/>
      </c>
      <c r="AH86" s="21" t="str">
        <f>IF($B86="","",IFERROR(IF($W86="Garis Lurus",$G86*(1-MIN($V86*12,MAX(0,TahunBuku*12-$Y86+1))/($V86*12)),IF($W86="Saldo Menurun",IF(TahunBuku-1&lt;YEAR($F86),$G86,IF(TahunBuku-1&gt;=INT(($Y86+$V86*12-2)/12),0,$G86*(1-2/$V86*(13-MONTH($F86))/12)*(1-2/$V86)^(TahunBuku-1-YEAR($F86)))),$G86)),$G86))</f>
        <v/>
      </c>
      <c r="AI86" s="21" t="str">
        <f>IF($B86="","",IFERROR(IF($W86="Garis Lurus",$G86*(1-MIN($V86*12,MAX(0,TahunBuku*12+12-$Y86+1))/($V86*12)),IF($W86="Saldo Menurun",IF(TahunBuku&lt;YEAR($F86),$G86,IF(TahunBuku&gt;=INT(($Y86+$V86*12-2)/12),0,$G86*(1-2/$V86*(13-MONTH($F86))/12)*(1-2/$V86)^(TahunBuku-YEAR($F86)))),$G86)),$G86))</f>
        <v/>
      </c>
      <c r="AJ86" s="20" t="str">
        <f>IF($B86="","",IF(OR($W86="Garis Lurus",$W86="Saldo Menurun"),MAX(0,MIN(TahunBuku*12+12,$Y86+$V86*12-1)-MAX(TahunBuku*12+1,$Y86)+1),0))</f>
        <v/>
      </c>
      <c r="AK86" s="20" t="str">
        <f>IF($B86="","",IF(OR($W86="Garis Lurus",$W86="Saldo Menurun"),MAX(0,MIN($Z86,TahunBuku*12+12,$Y86+$V86*12-1)-MAX(TahunBuku*12+1,$Y86)+1),0))</f>
        <v/>
      </c>
      <c r="AL86" s="22" t="str">
        <f>IF($B86="","",$G86*$AA86)</f>
        <v/>
      </c>
      <c r="AM86" s="22" t="str">
        <f>IF($B86="","",$G86*$AB86)</f>
        <v/>
      </c>
      <c r="AN86" s="22" t="str">
        <f>IF($B86="","",$G86*$AC86)</f>
        <v/>
      </c>
      <c r="AO86" s="22" t="str">
        <f>IF($B86="","",AL86+AM86-AN86)</f>
        <v/>
      </c>
      <c r="AP86" s="22" t="str">
        <f>IF($B86="","",($G86-$AD86)*$AA86)</f>
        <v/>
      </c>
      <c r="AQ86" s="22" t="str">
        <f>IF($B86="","",IF($AF86=0,0,($AD86-$AE86)*$AG86/$AF86)*MAX($AA86,$AB86))</f>
        <v/>
      </c>
      <c r="AR86" s="22" t="str">
        <f>IF($B86="","",(AP86+AQ86)*$AC86)</f>
        <v/>
      </c>
      <c r="AS86" s="22" t="str">
        <f>IF($B86="","",AP86+AQ86-AR86)</f>
        <v/>
      </c>
      <c r="AT86" s="22" t="str">
        <f>IF($B86="","",AO86-AS86)</f>
        <v/>
      </c>
      <c r="AU86" s="22" t="str">
        <f>IF($B86="","",IF($AC86=1,N($R86)-($G86-AR86),0))</f>
        <v/>
      </c>
      <c r="AV86" s="22" t="str">
        <f>IF($B86="","",($G86-$AH86)*$AA86)</f>
        <v/>
      </c>
      <c r="AW86" s="22" t="str">
        <f>IF($B86="","",IF($AJ86=0,0,($AH86-$AI86)*$AK86/$AJ86)*MAX($AA86,$AB86))</f>
        <v/>
      </c>
      <c r="AX86" s="22" t="str">
        <f>IF($B86="","",(AV86+AW86)*$AC86)</f>
        <v/>
      </c>
      <c r="AY86" s="22" t="str">
        <f>IF($B86="","",AV86+AW86-AX86)</f>
        <v/>
      </c>
      <c r="AZ86" s="22" t="str">
        <f>IF($B86="","",AO86-AY86)</f>
        <v/>
      </c>
      <c r="BA86" s="22" t="str">
        <f>IF($B86="","",IF($AC86=1,N($R86)-($G86-AX86),0))</f>
        <v/>
      </c>
      <c r="BB86" s="22" t="str">
        <f>IF($B86="","",ROUND(AQ86-AW86,0))</f>
        <v/>
      </c>
      <c r="BC86" s="22" t="str">
        <f>IF($B86="","",ROUND(BA86-AU86,0))</f>
        <v/>
      </c>
      <c r="BD86" s="22" t="str">
        <f>IF($B86="","",BB86+BC86)</f>
        <v/>
      </c>
      <c r="BE86" s="22" t="str">
        <f>IF($B86="","",ROUND(AV86-AP86,0))</f>
        <v/>
      </c>
      <c r="BF86" s="22" t="str">
        <f>IF($B86="","",ROUND(AT86-AZ86,0))</f>
        <v/>
      </c>
      <c r="BG86" s="22" t="str">
        <f>IF($B86="","",ROUND(BF86*TarifPPh,0))</f>
        <v/>
      </c>
      <c r="BH86" t="str">
        <f>IF($B86="","",IF($D86="","Kategori kosong",IF($F86="","Tgl perolehan kosong",IF(N($H86)&gt;$G86,"Residu &gt; harga perolehan",IF(AND(LEFT($U86,8)="Bangunan",$W86="Saldo Menurun"),"Bangunan wajib Garis Lurus (Ps.11 UU PPh)",IF(AND($S86="Unit Produksi",N($K86)=0),"Isi kapasitas unit",IF(AND(OR($S86="Garis Lurus",$S86="Saldo Menurun"),N($T86)&lt;=0),"Umur komersial kosong",IF(AND(OR($W86="Garis Lurus",$W86="Saldo Menurun"),N($V86)&lt;=0),"Masa manfaat fiskal kosong",IF(AND($Q86&lt;&gt;"",$Q86&lt;$F86),"Tgl pelepasan &lt; perolehan","OK")))))))))</f>
        <v/>
      </c>
    </row>
    <row r="87" spans="1:60" x14ac:dyDescent="0.25">
      <c r="A87" t="str">
        <f>IF($B87="","",ROW()-6)</f>
        <v/>
      </c>
      <c r="B87" s="9"/>
      <c r="C87" s="9"/>
      <c r="D87" s="9"/>
      <c r="E87" s="9"/>
      <c r="F87" s="17"/>
      <c r="G87" s="18"/>
      <c r="H87" s="18"/>
      <c r="I87" s="9"/>
      <c r="J87" s="9"/>
      <c r="K87" s="19"/>
      <c r="L87" s="19"/>
      <c r="M87" s="19"/>
      <c r="N87" s="9"/>
      <c r="O87" s="9"/>
      <c r="P87" s="9"/>
      <c r="Q87" s="17"/>
      <c r="R87" s="18"/>
      <c r="S87" t="str">
        <f>IF($B87="","",IF($I87&lt;&gt;"",$I87,IFERROR(INDEX(Kat_Metode,MATCH($D87,Kat_Nama,0)),"")))</f>
        <v/>
      </c>
      <c r="T87" t="str">
        <f>IF($B87="","",IF($J87&lt;&gt;"",$J87,IFERROR(INDEX(Kat_Umur,MATCH($D87,Kat_Nama,0)),0)))</f>
        <v/>
      </c>
      <c r="U87" t="str">
        <f>IF($B87="","",IF($N87&lt;&gt;"",$N87,IFERROR(INDEX(Kat_Kelompok,MATCH($D87,Kat_Nama,0)),"")))</f>
        <v/>
      </c>
      <c r="V87" t="str">
        <f>IF($B87="","",IF($U87="Masa Manfaat Sebenarnya",N($O87),IFERROR(INDEX(Kel_Masa,MATCH($U87,Kel_Nama,0)),0)))</f>
        <v/>
      </c>
      <c r="W87" t="str">
        <f>IF($B87="","",IF($P87&lt;&gt;"",$P87,IF(OR($U87="Tidak Disusutkan",$V87=0),"Tidak Disusutkan","Garis Lurus")))</f>
        <v/>
      </c>
      <c r="X87" t="str">
        <f>IF($B87="","",IF($Y87&gt;TahunBuku*12+12,"Belum Diperoleh",IF($Z87&lt;=TahunBuku*12,"Dilepas (thn lalu)",IF($AC87=1,"Dilepas thn ini",IF($AB87=1,"Perolehan baru","Aktif")))))</f>
        <v/>
      </c>
      <c r="Y87" s="20" t="str">
        <f>IF($B87="","",YEAR($F87)*12+MONTH($F87))</f>
        <v/>
      </c>
      <c r="Z87" s="20" t="str">
        <f>IF($B87="","",IF($Q87="",99999,YEAR($Q87)*12+MONTH($Q87)))</f>
        <v/>
      </c>
      <c r="AA87" s="20" t="str">
        <f>IF($B87="","",--AND($Y87&lt;=TahunBuku*12,$Z87&gt;TahunBuku*12))</f>
        <v/>
      </c>
      <c r="AB87" s="20" t="str">
        <f>IF($B87="","",--AND($Y87&gt;TahunBuku*12,$Y87&lt;=TahunBuku*12+12))</f>
        <v/>
      </c>
      <c r="AC87" s="20" t="str">
        <f>IF($B87="","",--AND($Z87&gt;TahunBuku*12,$Z87&lt;=TahunBuku*12+12,$Y87&lt;=$Z87))</f>
        <v/>
      </c>
      <c r="AD87" s="21" t="str">
        <f>IF($B87="","",IFERROR(IF($S87="Garis Lurus",$G87-($G87-$H87)*MIN($T87*12,MAX(0,TahunBuku*12-$Y87+1))/($T87*12),IF($S87="Saldo Menurun",IF(TahunBuku-1&lt;YEAR($F87),$G87,IF(TahunBuku-1&gt;=INT(($Y87+$T87*12-2)/12),$H87,MAX($H87,$G87*(1-2/$T87*(13-MONTH($F87))/12)*(1-2/$T87)^(TahunBuku-1-YEAR($F87))))),IF($S87="Unit Produksi",$G87-($G87-$H87)*MIN(1,N($L87)/$K87),$G87))),$G87))</f>
        <v/>
      </c>
      <c r="AE87" s="21" t="str">
        <f>IF($B87="","",IFERROR(IF($S87="Garis Lurus",$G87-($G87-$H87)*MIN($T87*12,MAX(0,TahunBuku*12+12-$Y87+1))/($T87*12),IF($S87="Saldo Menurun",IF(TahunBuku&lt;YEAR($F87),$G87,IF(TahunBuku&gt;=INT(($Y87+$T87*12-2)/12),$H87,MAX($H87,$G87*(1-2/$T87*(13-MONTH($F87))/12)*(1-2/$T87)^(TahunBuku-YEAR($F87))))),IF($S87="Unit Produksi",$G87-($G87-$H87)*MIN(1,(N($L87)+N($M87))/$K87),$G87))),$G87))</f>
        <v/>
      </c>
      <c r="AF87" s="20" t="str">
        <f>IF($B87="","",IF(OR($S87="Garis Lurus",$S87="Saldo Menurun",$S87="Unit Produksi"),MAX(0,IF($S87="Unit Produksi",TahunBuku*12+12,MIN(TahunBuku*12+12,$Y87+$T87*12-1))-MAX(TahunBuku*12+1,$Y87)+1),0))</f>
        <v/>
      </c>
      <c r="AG87" s="20" t="str">
        <f>IF($B87="","",IF(OR($S87="Garis Lurus",$S87="Saldo Menurun",$S87="Unit Produksi"),MAX(0,MIN($Z87,IF($S87="Unit Produksi",TahunBuku*12+12,MIN(TahunBuku*12+12,$Y87+$T87*12-1)))-MAX(TahunBuku*12+1,$Y87)+1),0))</f>
        <v/>
      </c>
      <c r="AH87" s="21" t="str">
        <f>IF($B87="","",IFERROR(IF($W87="Garis Lurus",$G87*(1-MIN($V87*12,MAX(0,TahunBuku*12-$Y87+1))/($V87*12)),IF($W87="Saldo Menurun",IF(TahunBuku-1&lt;YEAR($F87),$G87,IF(TahunBuku-1&gt;=INT(($Y87+$V87*12-2)/12),0,$G87*(1-2/$V87*(13-MONTH($F87))/12)*(1-2/$V87)^(TahunBuku-1-YEAR($F87)))),$G87)),$G87))</f>
        <v/>
      </c>
      <c r="AI87" s="21" t="str">
        <f>IF($B87="","",IFERROR(IF($W87="Garis Lurus",$G87*(1-MIN($V87*12,MAX(0,TahunBuku*12+12-$Y87+1))/($V87*12)),IF($W87="Saldo Menurun",IF(TahunBuku&lt;YEAR($F87),$G87,IF(TahunBuku&gt;=INT(($Y87+$V87*12-2)/12),0,$G87*(1-2/$V87*(13-MONTH($F87))/12)*(1-2/$V87)^(TahunBuku-YEAR($F87)))),$G87)),$G87))</f>
        <v/>
      </c>
      <c r="AJ87" s="20" t="str">
        <f>IF($B87="","",IF(OR($W87="Garis Lurus",$W87="Saldo Menurun"),MAX(0,MIN(TahunBuku*12+12,$Y87+$V87*12-1)-MAX(TahunBuku*12+1,$Y87)+1),0))</f>
        <v/>
      </c>
      <c r="AK87" s="20" t="str">
        <f>IF($B87="","",IF(OR($W87="Garis Lurus",$W87="Saldo Menurun"),MAX(0,MIN($Z87,TahunBuku*12+12,$Y87+$V87*12-1)-MAX(TahunBuku*12+1,$Y87)+1),0))</f>
        <v/>
      </c>
      <c r="AL87" s="22" t="str">
        <f>IF($B87="","",$G87*$AA87)</f>
        <v/>
      </c>
      <c r="AM87" s="22" t="str">
        <f>IF($B87="","",$G87*$AB87)</f>
        <v/>
      </c>
      <c r="AN87" s="22" t="str">
        <f>IF($B87="","",$G87*$AC87)</f>
        <v/>
      </c>
      <c r="AO87" s="22" t="str">
        <f>IF($B87="","",AL87+AM87-AN87)</f>
        <v/>
      </c>
      <c r="AP87" s="22" t="str">
        <f>IF($B87="","",($G87-$AD87)*$AA87)</f>
        <v/>
      </c>
      <c r="AQ87" s="22" t="str">
        <f>IF($B87="","",IF($AF87=0,0,($AD87-$AE87)*$AG87/$AF87)*MAX($AA87,$AB87))</f>
        <v/>
      </c>
      <c r="AR87" s="22" t="str">
        <f>IF($B87="","",(AP87+AQ87)*$AC87)</f>
        <v/>
      </c>
      <c r="AS87" s="22" t="str">
        <f>IF($B87="","",AP87+AQ87-AR87)</f>
        <v/>
      </c>
      <c r="AT87" s="22" t="str">
        <f>IF($B87="","",AO87-AS87)</f>
        <v/>
      </c>
      <c r="AU87" s="22" t="str">
        <f>IF($B87="","",IF($AC87=1,N($R87)-($G87-AR87),0))</f>
        <v/>
      </c>
      <c r="AV87" s="22" t="str">
        <f>IF($B87="","",($G87-$AH87)*$AA87)</f>
        <v/>
      </c>
      <c r="AW87" s="22" t="str">
        <f>IF($B87="","",IF($AJ87=0,0,($AH87-$AI87)*$AK87/$AJ87)*MAX($AA87,$AB87))</f>
        <v/>
      </c>
      <c r="AX87" s="22" t="str">
        <f>IF($B87="","",(AV87+AW87)*$AC87)</f>
        <v/>
      </c>
      <c r="AY87" s="22" t="str">
        <f>IF($B87="","",AV87+AW87-AX87)</f>
        <v/>
      </c>
      <c r="AZ87" s="22" t="str">
        <f>IF($B87="","",AO87-AY87)</f>
        <v/>
      </c>
      <c r="BA87" s="22" t="str">
        <f>IF($B87="","",IF($AC87=1,N($R87)-($G87-AX87),0))</f>
        <v/>
      </c>
      <c r="BB87" s="22" t="str">
        <f>IF($B87="","",ROUND(AQ87-AW87,0))</f>
        <v/>
      </c>
      <c r="BC87" s="22" t="str">
        <f>IF($B87="","",ROUND(BA87-AU87,0))</f>
        <v/>
      </c>
      <c r="BD87" s="22" t="str">
        <f>IF($B87="","",BB87+BC87)</f>
        <v/>
      </c>
      <c r="BE87" s="22" t="str">
        <f>IF($B87="","",ROUND(AV87-AP87,0))</f>
        <v/>
      </c>
      <c r="BF87" s="22" t="str">
        <f>IF($B87="","",ROUND(AT87-AZ87,0))</f>
        <v/>
      </c>
      <c r="BG87" s="22" t="str">
        <f>IF($B87="","",ROUND(BF87*TarifPPh,0))</f>
        <v/>
      </c>
      <c r="BH87" t="str">
        <f>IF($B87="","",IF($D87="","Kategori kosong",IF($F87="","Tgl perolehan kosong",IF(N($H87)&gt;$G87,"Residu &gt; harga perolehan",IF(AND(LEFT($U87,8)="Bangunan",$W87="Saldo Menurun"),"Bangunan wajib Garis Lurus (Ps.11 UU PPh)",IF(AND($S87="Unit Produksi",N($K87)=0),"Isi kapasitas unit",IF(AND(OR($S87="Garis Lurus",$S87="Saldo Menurun"),N($T87)&lt;=0),"Umur komersial kosong",IF(AND(OR($W87="Garis Lurus",$W87="Saldo Menurun"),N($V87)&lt;=0),"Masa manfaat fiskal kosong",IF(AND($Q87&lt;&gt;"",$Q87&lt;$F87),"Tgl pelepasan &lt; perolehan","OK")))))))))</f>
        <v/>
      </c>
    </row>
    <row r="88" spans="1:60" x14ac:dyDescent="0.25">
      <c r="A88" t="str">
        <f>IF($B88="","",ROW()-6)</f>
        <v/>
      </c>
      <c r="B88" s="9"/>
      <c r="C88" s="9"/>
      <c r="D88" s="9"/>
      <c r="E88" s="9"/>
      <c r="F88" s="17"/>
      <c r="G88" s="18"/>
      <c r="H88" s="18"/>
      <c r="I88" s="9"/>
      <c r="J88" s="9"/>
      <c r="K88" s="19"/>
      <c r="L88" s="19"/>
      <c r="M88" s="19"/>
      <c r="N88" s="9"/>
      <c r="O88" s="9"/>
      <c r="P88" s="9"/>
      <c r="Q88" s="17"/>
      <c r="R88" s="18"/>
      <c r="S88" t="str">
        <f>IF($B88="","",IF($I88&lt;&gt;"",$I88,IFERROR(INDEX(Kat_Metode,MATCH($D88,Kat_Nama,0)),"")))</f>
        <v/>
      </c>
      <c r="T88" t="str">
        <f>IF($B88="","",IF($J88&lt;&gt;"",$J88,IFERROR(INDEX(Kat_Umur,MATCH($D88,Kat_Nama,0)),0)))</f>
        <v/>
      </c>
      <c r="U88" t="str">
        <f>IF($B88="","",IF($N88&lt;&gt;"",$N88,IFERROR(INDEX(Kat_Kelompok,MATCH($D88,Kat_Nama,0)),"")))</f>
        <v/>
      </c>
      <c r="V88" t="str">
        <f>IF($B88="","",IF($U88="Masa Manfaat Sebenarnya",N($O88),IFERROR(INDEX(Kel_Masa,MATCH($U88,Kel_Nama,0)),0)))</f>
        <v/>
      </c>
      <c r="W88" t="str">
        <f>IF($B88="","",IF($P88&lt;&gt;"",$P88,IF(OR($U88="Tidak Disusutkan",$V88=0),"Tidak Disusutkan","Garis Lurus")))</f>
        <v/>
      </c>
      <c r="X88" t="str">
        <f>IF($B88="","",IF($Y88&gt;TahunBuku*12+12,"Belum Diperoleh",IF($Z88&lt;=TahunBuku*12,"Dilepas (thn lalu)",IF($AC88=1,"Dilepas thn ini",IF($AB88=1,"Perolehan baru","Aktif")))))</f>
        <v/>
      </c>
      <c r="Y88" s="20" t="str">
        <f>IF($B88="","",YEAR($F88)*12+MONTH($F88))</f>
        <v/>
      </c>
      <c r="Z88" s="20" t="str">
        <f>IF($B88="","",IF($Q88="",99999,YEAR($Q88)*12+MONTH($Q88)))</f>
        <v/>
      </c>
      <c r="AA88" s="20" t="str">
        <f>IF($B88="","",--AND($Y88&lt;=TahunBuku*12,$Z88&gt;TahunBuku*12))</f>
        <v/>
      </c>
      <c r="AB88" s="20" t="str">
        <f>IF($B88="","",--AND($Y88&gt;TahunBuku*12,$Y88&lt;=TahunBuku*12+12))</f>
        <v/>
      </c>
      <c r="AC88" s="20" t="str">
        <f>IF($B88="","",--AND($Z88&gt;TahunBuku*12,$Z88&lt;=TahunBuku*12+12,$Y88&lt;=$Z88))</f>
        <v/>
      </c>
      <c r="AD88" s="21" t="str">
        <f>IF($B88="","",IFERROR(IF($S88="Garis Lurus",$G88-($G88-$H88)*MIN($T88*12,MAX(0,TahunBuku*12-$Y88+1))/($T88*12),IF($S88="Saldo Menurun",IF(TahunBuku-1&lt;YEAR($F88),$G88,IF(TahunBuku-1&gt;=INT(($Y88+$T88*12-2)/12),$H88,MAX($H88,$G88*(1-2/$T88*(13-MONTH($F88))/12)*(1-2/$T88)^(TahunBuku-1-YEAR($F88))))),IF($S88="Unit Produksi",$G88-($G88-$H88)*MIN(1,N($L88)/$K88),$G88))),$G88))</f>
        <v/>
      </c>
      <c r="AE88" s="21" t="str">
        <f>IF($B88="","",IFERROR(IF($S88="Garis Lurus",$G88-($G88-$H88)*MIN($T88*12,MAX(0,TahunBuku*12+12-$Y88+1))/($T88*12),IF($S88="Saldo Menurun",IF(TahunBuku&lt;YEAR($F88),$G88,IF(TahunBuku&gt;=INT(($Y88+$T88*12-2)/12),$H88,MAX($H88,$G88*(1-2/$T88*(13-MONTH($F88))/12)*(1-2/$T88)^(TahunBuku-YEAR($F88))))),IF($S88="Unit Produksi",$G88-($G88-$H88)*MIN(1,(N($L88)+N($M88))/$K88),$G88))),$G88))</f>
        <v/>
      </c>
      <c r="AF88" s="20" t="str">
        <f>IF($B88="","",IF(OR($S88="Garis Lurus",$S88="Saldo Menurun",$S88="Unit Produksi"),MAX(0,IF($S88="Unit Produksi",TahunBuku*12+12,MIN(TahunBuku*12+12,$Y88+$T88*12-1))-MAX(TahunBuku*12+1,$Y88)+1),0))</f>
        <v/>
      </c>
      <c r="AG88" s="20" t="str">
        <f>IF($B88="","",IF(OR($S88="Garis Lurus",$S88="Saldo Menurun",$S88="Unit Produksi"),MAX(0,MIN($Z88,IF($S88="Unit Produksi",TahunBuku*12+12,MIN(TahunBuku*12+12,$Y88+$T88*12-1)))-MAX(TahunBuku*12+1,$Y88)+1),0))</f>
        <v/>
      </c>
      <c r="AH88" s="21" t="str">
        <f>IF($B88="","",IFERROR(IF($W88="Garis Lurus",$G88*(1-MIN($V88*12,MAX(0,TahunBuku*12-$Y88+1))/($V88*12)),IF($W88="Saldo Menurun",IF(TahunBuku-1&lt;YEAR($F88),$G88,IF(TahunBuku-1&gt;=INT(($Y88+$V88*12-2)/12),0,$G88*(1-2/$V88*(13-MONTH($F88))/12)*(1-2/$V88)^(TahunBuku-1-YEAR($F88)))),$G88)),$G88))</f>
        <v/>
      </c>
      <c r="AI88" s="21" t="str">
        <f>IF($B88="","",IFERROR(IF($W88="Garis Lurus",$G88*(1-MIN($V88*12,MAX(0,TahunBuku*12+12-$Y88+1))/($V88*12)),IF($W88="Saldo Menurun",IF(TahunBuku&lt;YEAR($F88),$G88,IF(TahunBuku&gt;=INT(($Y88+$V88*12-2)/12),0,$G88*(1-2/$V88*(13-MONTH($F88))/12)*(1-2/$V88)^(TahunBuku-YEAR($F88)))),$G88)),$G88))</f>
        <v/>
      </c>
      <c r="AJ88" s="20" t="str">
        <f>IF($B88="","",IF(OR($W88="Garis Lurus",$W88="Saldo Menurun"),MAX(0,MIN(TahunBuku*12+12,$Y88+$V88*12-1)-MAX(TahunBuku*12+1,$Y88)+1),0))</f>
        <v/>
      </c>
      <c r="AK88" s="20" t="str">
        <f>IF($B88="","",IF(OR($W88="Garis Lurus",$W88="Saldo Menurun"),MAX(0,MIN($Z88,TahunBuku*12+12,$Y88+$V88*12-1)-MAX(TahunBuku*12+1,$Y88)+1),0))</f>
        <v/>
      </c>
      <c r="AL88" s="22" t="str">
        <f>IF($B88="","",$G88*$AA88)</f>
        <v/>
      </c>
      <c r="AM88" s="22" t="str">
        <f>IF($B88="","",$G88*$AB88)</f>
        <v/>
      </c>
      <c r="AN88" s="22" t="str">
        <f>IF($B88="","",$G88*$AC88)</f>
        <v/>
      </c>
      <c r="AO88" s="22" t="str">
        <f>IF($B88="","",AL88+AM88-AN88)</f>
        <v/>
      </c>
      <c r="AP88" s="22" t="str">
        <f>IF($B88="","",($G88-$AD88)*$AA88)</f>
        <v/>
      </c>
      <c r="AQ88" s="22" t="str">
        <f>IF($B88="","",IF($AF88=0,0,($AD88-$AE88)*$AG88/$AF88)*MAX($AA88,$AB88))</f>
        <v/>
      </c>
      <c r="AR88" s="22" t="str">
        <f>IF($B88="","",(AP88+AQ88)*$AC88)</f>
        <v/>
      </c>
      <c r="AS88" s="22" t="str">
        <f>IF($B88="","",AP88+AQ88-AR88)</f>
        <v/>
      </c>
      <c r="AT88" s="22" t="str">
        <f>IF($B88="","",AO88-AS88)</f>
        <v/>
      </c>
      <c r="AU88" s="22" t="str">
        <f>IF($B88="","",IF($AC88=1,N($R88)-($G88-AR88),0))</f>
        <v/>
      </c>
      <c r="AV88" s="22" t="str">
        <f>IF($B88="","",($G88-$AH88)*$AA88)</f>
        <v/>
      </c>
      <c r="AW88" s="22" t="str">
        <f>IF($B88="","",IF($AJ88=0,0,($AH88-$AI88)*$AK88/$AJ88)*MAX($AA88,$AB88))</f>
        <v/>
      </c>
      <c r="AX88" s="22" t="str">
        <f>IF($B88="","",(AV88+AW88)*$AC88)</f>
        <v/>
      </c>
      <c r="AY88" s="22" t="str">
        <f>IF($B88="","",AV88+AW88-AX88)</f>
        <v/>
      </c>
      <c r="AZ88" s="22" t="str">
        <f>IF($B88="","",AO88-AY88)</f>
        <v/>
      </c>
      <c r="BA88" s="22" t="str">
        <f>IF($B88="","",IF($AC88=1,N($R88)-($G88-AX88),0))</f>
        <v/>
      </c>
      <c r="BB88" s="22" t="str">
        <f>IF($B88="","",ROUND(AQ88-AW88,0))</f>
        <v/>
      </c>
      <c r="BC88" s="22" t="str">
        <f>IF($B88="","",ROUND(BA88-AU88,0))</f>
        <v/>
      </c>
      <c r="BD88" s="22" t="str">
        <f>IF($B88="","",BB88+BC88)</f>
        <v/>
      </c>
      <c r="BE88" s="22" t="str">
        <f>IF($B88="","",ROUND(AV88-AP88,0))</f>
        <v/>
      </c>
      <c r="BF88" s="22" t="str">
        <f>IF($B88="","",ROUND(AT88-AZ88,0))</f>
        <v/>
      </c>
      <c r="BG88" s="22" t="str">
        <f>IF($B88="","",ROUND(BF88*TarifPPh,0))</f>
        <v/>
      </c>
      <c r="BH88" t="str">
        <f>IF($B88="","",IF($D88="","Kategori kosong",IF($F88="","Tgl perolehan kosong",IF(N($H88)&gt;$G88,"Residu &gt; harga perolehan",IF(AND(LEFT($U88,8)="Bangunan",$W88="Saldo Menurun"),"Bangunan wajib Garis Lurus (Ps.11 UU PPh)",IF(AND($S88="Unit Produksi",N($K88)=0),"Isi kapasitas unit",IF(AND(OR($S88="Garis Lurus",$S88="Saldo Menurun"),N($T88)&lt;=0),"Umur komersial kosong",IF(AND(OR($W88="Garis Lurus",$W88="Saldo Menurun"),N($V88)&lt;=0),"Masa manfaat fiskal kosong",IF(AND($Q88&lt;&gt;"",$Q88&lt;$F88),"Tgl pelepasan &lt; perolehan","OK")))))))))</f>
        <v/>
      </c>
    </row>
    <row r="89" spans="1:60" x14ac:dyDescent="0.25">
      <c r="A89" t="str">
        <f>IF($B89="","",ROW()-6)</f>
        <v/>
      </c>
      <c r="B89" s="9"/>
      <c r="C89" s="9"/>
      <c r="D89" s="9"/>
      <c r="E89" s="9"/>
      <c r="F89" s="17"/>
      <c r="G89" s="18"/>
      <c r="H89" s="18"/>
      <c r="I89" s="9"/>
      <c r="J89" s="9"/>
      <c r="K89" s="19"/>
      <c r="L89" s="19"/>
      <c r="M89" s="19"/>
      <c r="N89" s="9"/>
      <c r="O89" s="9"/>
      <c r="P89" s="9"/>
      <c r="Q89" s="17"/>
      <c r="R89" s="18"/>
      <c r="S89" t="str">
        <f>IF($B89="","",IF($I89&lt;&gt;"",$I89,IFERROR(INDEX(Kat_Metode,MATCH($D89,Kat_Nama,0)),"")))</f>
        <v/>
      </c>
      <c r="T89" t="str">
        <f>IF($B89="","",IF($J89&lt;&gt;"",$J89,IFERROR(INDEX(Kat_Umur,MATCH($D89,Kat_Nama,0)),0)))</f>
        <v/>
      </c>
      <c r="U89" t="str">
        <f>IF($B89="","",IF($N89&lt;&gt;"",$N89,IFERROR(INDEX(Kat_Kelompok,MATCH($D89,Kat_Nama,0)),"")))</f>
        <v/>
      </c>
      <c r="V89" t="str">
        <f>IF($B89="","",IF($U89="Masa Manfaat Sebenarnya",N($O89),IFERROR(INDEX(Kel_Masa,MATCH($U89,Kel_Nama,0)),0)))</f>
        <v/>
      </c>
      <c r="W89" t="str">
        <f>IF($B89="","",IF($P89&lt;&gt;"",$P89,IF(OR($U89="Tidak Disusutkan",$V89=0),"Tidak Disusutkan","Garis Lurus")))</f>
        <v/>
      </c>
      <c r="X89" t="str">
        <f>IF($B89="","",IF($Y89&gt;TahunBuku*12+12,"Belum Diperoleh",IF($Z89&lt;=TahunBuku*12,"Dilepas (thn lalu)",IF($AC89=1,"Dilepas thn ini",IF($AB89=1,"Perolehan baru","Aktif")))))</f>
        <v/>
      </c>
      <c r="Y89" s="20" t="str">
        <f>IF($B89="","",YEAR($F89)*12+MONTH($F89))</f>
        <v/>
      </c>
      <c r="Z89" s="20" t="str">
        <f>IF($B89="","",IF($Q89="",99999,YEAR($Q89)*12+MONTH($Q89)))</f>
        <v/>
      </c>
      <c r="AA89" s="20" t="str">
        <f>IF($B89="","",--AND($Y89&lt;=TahunBuku*12,$Z89&gt;TahunBuku*12))</f>
        <v/>
      </c>
      <c r="AB89" s="20" t="str">
        <f>IF($B89="","",--AND($Y89&gt;TahunBuku*12,$Y89&lt;=TahunBuku*12+12))</f>
        <v/>
      </c>
      <c r="AC89" s="20" t="str">
        <f>IF($B89="","",--AND($Z89&gt;TahunBuku*12,$Z89&lt;=TahunBuku*12+12,$Y89&lt;=$Z89))</f>
        <v/>
      </c>
      <c r="AD89" s="21" t="str">
        <f>IF($B89="","",IFERROR(IF($S89="Garis Lurus",$G89-($G89-$H89)*MIN($T89*12,MAX(0,TahunBuku*12-$Y89+1))/($T89*12),IF($S89="Saldo Menurun",IF(TahunBuku-1&lt;YEAR($F89),$G89,IF(TahunBuku-1&gt;=INT(($Y89+$T89*12-2)/12),$H89,MAX($H89,$G89*(1-2/$T89*(13-MONTH($F89))/12)*(1-2/$T89)^(TahunBuku-1-YEAR($F89))))),IF($S89="Unit Produksi",$G89-($G89-$H89)*MIN(1,N($L89)/$K89),$G89))),$G89))</f>
        <v/>
      </c>
      <c r="AE89" s="21" t="str">
        <f>IF($B89="","",IFERROR(IF($S89="Garis Lurus",$G89-($G89-$H89)*MIN($T89*12,MAX(0,TahunBuku*12+12-$Y89+1))/($T89*12),IF($S89="Saldo Menurun",IF(TahunBuku&lt;YEAR($F89),$G89,IF(TahunBuku&gt;=INT(($Y89+$T89*12-2)/12),$H89,MAX($H89,$G89*(1-2/$T89*(13-MONTH($F89))/12)*(1-2/$T89)^(TahunBuku-YEAR($F89))))),IF($S89="Unit Produksi",$G89-($G89-$H89)*MIN(1,(N($L89)+N($M89))/$K89),$G89))),$G89))</f>
        <v/>
      </c>
      <c r="AF89" s="20" t="str">
        <f>IF($B89="","",IF(OR($S89="Garis Lurus",$S89="Saldo Menurun",$S89="Unit Produksi"),MAX(0,IF($S89="Unit Produksi",TahunBuku*12+12,MIN(TahunBuku*12+12,$Y89+$T89*12-1))-MAX(TahunBuku*12+1,$Y89)+1),0))</f>
        <v/>
      </c>
      <c r="AG89" s="20" t="str">
        <f>IF($B89="","",IF(OR($S89="Garis Lurus",$S89="Saldo Menurun",$S89="Unit Produksi"),MAX(0,MIN($Z89,IF($S89="Unit Produksi",TahunBuku*12+12,MIN(TahunBuku*12+12,$Y89+$T89*12-1)))-MAX(TahunBuku*12+1,$Y89)+1),0))</f>
        <v/>
      </c>
      <c r="AH89" s="21" t="str">
        <f>IF($B89="","",IFERROR(IF($W89="Garis Lurus",$G89*(1-MIN($V89*12,MAX(0,TahunBuku*12-$Y89+1))/($V89*12)),IF($W89="Saldo Menurun",IF(TahunBuku-1&lt;YEAR($F89),$G89,IF(TahunBuku-1&gt;=INT(($Y89+$V89*12-2)/12),0,$G89*(1-2/$V89*(13-MONTH($F89))/12)*(1-2/$V89)^(TahunBuku-1-YEAR($F89)))),$G89)),$G89))</f>
        <v/>
      </c>
      <c r="AI89" s="21" t="str">
        <f>IF($B89="","",IFERROR(IF($W89="Garis Lurus",$G89*(1-MIN($V89*12,MAX(0,TahunBuku*12+12-$Y89+1))/($V89*12)),IF($W89="Saldo Menurun",IF(TahunBuku&lt;YEAR($F89),$G89,IF(TahunBuku&gt;=INT(($Y89+$V89*12-2)/12),0,$G89*(1-2/$V89*(13-MONTH($F89))/12)*(1-2/$V89)^(TahunBuku-YEAR($F89)))),$G89)),$G89))</f>
        <v/>
      </c>
      <c r="AJ89" s="20" t="str">
        <f>IF($B89="","",IF(OR($W89="Garis Lurus",$W89="Saldo Menurun"),MAX(0,MIN(TahunBuku*12+12,$Y89+$V89*12-1)-MAX(TahunBuku*12+1,$Y89)+1),0))</f>
        <v/>
      </c>
      <c r="AK89" s="20" t="str">
        <f>IF($B89="","",IF(OR($W89="Garis Lurus",$W89="Saldo Menurun"),MAX(0,MIN($Z89,TahunBuku*12+12,$Y89+$V89*12-1)-MAX(TahunBuku*12+1,$Y89)+1),0))</f>
        <v/>
      </c>
      <c r="AL89" s="22" t="str">
        <f>IF($B89="","",$G89*$AA89)</f>
        <v/>
      </c>
      <c r="AM89" s="22" t="str">
        <f>IF($B89="","",$G89*$AB89)</f>
        <v/>
      </c>
      <c r="AN89" s="22" t="str">
        <f>IF($B89="","",$G89*$AC89)</f>
        <v/>
      </c>
      <c r="AO89" s="22" t="str">
        <f>IF($B89="","",AL89+AM89-AN89)</f>
        <v/>
      </c>
      <c r="AP89" s="22" t="str">
        <f>IF($B89="","",($G89-$AD89)*$AA89)</f>
        <v/>
      </c>
      <c r="AQ89" s="22" t="str">
        <f>IF($B89="","",IF($AF89=0,0,($AD89-$AE89)*$AG89/$AF89)*MAX($AA89,$AB89))</f>
        <v/>
      </c>
      <c r="AR89" s="22" t="str">
        <f>IF($B89="","",(AP89+AQ89)*$AC89)</f>
        <v/>
      </c>
      <c r="AS89" s="22" t="str">
        <f>IF($B89="","",AP89+AQ89-AR89)</f>
        <v/>
      </c>
      <c r="AT89" s="22" t="str">
        <f>IF($B89="","",AO89-AS89)</f>
        <v/>
      </c>
      <c r="AU89" s="22" t="str">
        <f>IF($B89="","",IF($AC89=1,N($R89)-($G89-AR89),0))</f>
        <v/>
      </c>
      <c r="AV89" s="22" t="str">
        <f>IF($B89="","",($G89-$AH89)*$AA89)</f>
        <v/>
      </c>
      <c r="AW89" s="22" t="str">
        <f>IF($B89="","",IF($AJ89=0,0,($AH89-$AI89)*$AK89/$AJ89)*MAX($AA89,$AB89))</f>
        <v/>
      </c>
      <c r="AX89" s="22" t="str">
        <f>IF($B89="","",(AV89+AW89)*$AC89)</f>
        <v/>
      </c>
      <c r="AY89" s="22" t="str">
        <f>IF($B89="","",AV89+AW89-AX89)</f>
        <v/>
      </c>
      <c r="AZ89" s="22" t="str">
        <f>IF($B89="","",AO89-AY89)</f>
        <v/>
      </c>
      <c r="BA89" s="22" t="str">
        <f>IF($B89="","",IF($AC89=1,N($R89)-($G89-AX89),0))</f>
        <v/>
      </c>
      <c r="BB89" s="22" t="str">
        <f>IF($B89="","",ROUND(AQ89-AW89,0))</f>
        <v/>
      </c>
      <c r="BC89" s="22" t="str">
        <f>IF($B89="","",ROUND(BA89-AU89,0))</f>
        <v/>
      </c>
      <c r="BD89" s="22" t="str">
        <f>IF($B89="","",BB89+BC89)</f>
        <v/>
      </c>
      <c r="BE89" s="22" t="str">
        <f>IF($B89="","",ROUND(AV89-AP89,0))</f>
        <v/>
      </c>
      <c r="BF89" s="22" t="str">
        <f>IF($B89="","",ROUND(AT89-AZ89,0))</f>
        <v/>
      </c>
      <c r="BG89" s="22" t="str">
        <f>IF($B89="","",ROUND(BF89*TarifPPh,0))</f>
        <v/>
      </c>
      <c r="BH89" t="str">
        <f>IF($B89="","",IF($D89="","Kategori kosong",IF($F89="","Tgl perolehan kosong",IF(N($H89)&gt;$G89,"Residu &gt; harga perolehan",IF(AND(LEFT($U89,8)="Bangunan",$W89="Saldo Menurun"),"Bangunan wajib Garis Lurus (Ps.11 UU PPh)",IF(AND($S89="Unit Produksi",N($K89)=0),"Isi kapasitas unit",IF(AND(OR($S89="Garis Lurus",$S89="Saldo Menurun"),N($T89)&lt;=0),"Umur komersial kosong",IF(AND(OR($W89="Garis Lurus",$W89="Saldo Menurun"),N($V89)&lt;=0),"Masa manfaat fiskal kosong",IF(AND($Q89&lt;&gt;"",$Q89&lt;$F89),"Tgl pelepasan &lt; perolehan","OK")))))))))</f>
        <v/>
      </c>
    </row>
    <row r="90" spans="1:60" x14ac:dyDescent="0.25">
      <c r="A90" t="str">
        <f>IF($B90="","",ROW()-6)</f>
        <v/>
      </c>
      <c r="B90" s="9"/>
      <c r="C90" s="9"/>
      <c r="D90" s="9"/>
      <c r="E90" s="9"/>
      <c r="F90" s="17"/>
      <c r="G90" s="18"/>
      <c r="H90" s="18"/>
      <c r="I90" s="9"/>
      <c r="J90" s="9"/>
      <c r="K90" s="19"/>
      <c r="L90" s="19"/>
      <c r="M90" s="19"/>
      <c r="N90" s="9"/>
      <c r="O90" s="9"/>
      <c r="P90" s="9"/>
      <c r="Q90" s="17"/>
      <c r="R90" s="18"/>
      <c r="S90" t="str">
        <f>IF($B90="","",IF($I90&lt;&gt;"",$I90,IFERROR(INDEX(Kat_Metode,MATCH($D90,Kat_Nama,0)),"")))</f>
        <v/>
      </c>
      <c r="T90" t="str">
        <f>IF($B90="","",IF($J90&lt;&gt;"",$J90,IFERROR(INDEX(Kat_Umur,MATCH($D90,Kat_Nama,0)),0)))</f>
        <v/>
      </c>
      <c r="U90" t="str">
        <f>IF($B90="","",IF($N90&lt;&gt;"",$N90,IFERROR(INDEX(Kat_Kelompok,MATCH($D90,Kat_Nama,0)),"")))</f>
        <v/>
      </c>
      <c r="V90" t="str">
        <f>IF($B90="","",IF($U90="Masa Manfaat Sebenarnya",N($O90),IFERROR(INDEX(Kel_Masa,MATCH($U90,Kel_Nama,0)),0)))</f>
        <v/>
      </c>
      <c r="W90" t="str">
        <f>IF($B90="","",IF($P90&lt;&gt;"",$P90,IF(OR($U90="Tidak Disusutkan",$V90=0),"Tidak Disusutkan","Garis Lurus")))</f>
        <v/>
      </c>
      <c r="X90" t="str">
        <f>IF($B90="","",IF($Y90&gt;TahunBuku*12+12,"Belum Diperoleh",IF($Z90&lt;=TahunBuku*12,"Dilepas (thn lalu)",IF($AC90=1,"Dilepas thn ini",IF($AB90=1,"Perolehan baru","Aktif")))))</f>
        <v/>
      </c>
      <c r="Y90" s="20" t="str">
        <f>IF($B90="","",YEAR($F90)*12+MONTH($F90))</f>
        <v/>
      </c>
      <c r="Z90" s="20" t="str">
        <f>IF($B90="","",IF($Q90="",99999,YEAR($Q90)*12+MONTH($Q90)))</f>
        <v/>
      </c>
      <c r="AA90" s="20" t="str">
        <f>IF($B90="","",--AND($Y90&lt;=TahunBuku*12,$Z90&gt;TahunBuku*12))</f>
        <v/>
      </c>
      <c r="AB90" s="20" t="str">
        <f>IF($B90="","",--AND($Y90&gt;TahunBuku*12,$Y90&lt;=TahunBuku*12+12))</f>
        <v/>
      </c>
      <c r="AC90" s="20" t="str">
        <f>IF($B90="","",--AND($Z90&gt;TahunBuku*12,$Z90&lt;=TahunBuku*12+12,$Y90&lt;=$Z90))</f>
        <v/>
      </c>
      <c r="AD90" s="21" t="str">
        <f>IF($B90="","",IFERROR(IF($S90="Garis Lurus",$G90-($G90-$H90)*MIN($T90*12,MAX(0,TahunBuku*12-$Y90+1))/($T90*12),IF($S90="Saldo Menurun",IF(TahunBuku-1&lt;YEAR($F90),$G90,IF(TahunBuku-1&gt;=INT(($Y90+$T90*12-2)/12),$H90,MAX($H90,$G90*(1-2/$T90*(13-MONTH($F90))/12)*(1-2/$T90)^(TahunBuku-1-YEAR($F90))))),IF($S90="Unit Produksi",$G90-($G90-$H90)*MIN(1,N($L90)/$K90),$G90))),$G90))</f>
        <v/>
      </c>
      <c r="AE90" s="21" t="str">
        <f>IF($B90="","",IFERROR(IF($S90="Garis Lurus",$G90-($G90-$H90)*MIN($T90*12,MAX(0,TahunBuku*12+12-$Y90+1))/($T90*12),IF($S90="Saldo Menurun",IF(TahunBuku&lt;YEAR($F90),$G90,IF(TahunBuku&gt;=INT(($Y90+$T90*12-2)/12),$H90,MAX($H90,$G90*(1-2/$T90*(13-MONTH($F90))/12)*(1-2/$T90)^(TahunBuku-YEAR($F90))))),IF($S90="Unit Produksi",$G90-($G90-$H90)*MIN(1,(N($L90)+N($M90))/$K90),$G90))),$G90))</f>
        <v/>
      </c>
      <c r="AF90" s="20" t="str">
        <f>IF($B90="","",IF(OR($S90="Garis Lurus",$S90="Saldo Menurun",$S90="Unit Produksi"),MAX(0,IF($S90="Unit Produksi",TahunBuku*12+12,MIN(TahunBuku*12+12,$Y90+$T90*12-1))-MAX(TahunBuku*12+1,$Y90)+1),0))</f>
        <v/>
      </c>
      <c r="AG90" s="20" t="str">
        <f>IF($B90="","",IF(OR($S90="Garis Lurus",$S90="Saldo Menurun",$S90="Unit Produksi"),MAX(0,MIN($Z90,IF($S90="Unit Produksi",TahunBuku*12+12,MIN(TahunBuku*12+12,$Y90+$T90*12-1)))-MAX(TahunBuku*12+1,$Y90)+1),0))</f>
        <v/>
      </c>
      <c r="AH90" s="21" t="str">
        <f>IF($B90="","",IFERROR(IF($W90="Garis Lurus",$G90*(1-MIN($V90*12,MAX(0,TahunBuku*12-$Y90+1))/($V90*12)),IF($W90="Saldo Menurun",IF(TahunBuku-1&lt;YEAR($F90),$G90,IF(TahunBuku-1&gt;=INT(($Y90+$V90*12-2)/12),0,$G90*(1-2/$V90*(13-MONTH($F90))/12)*(1-2/$V90)^(TahunBuku-1-YEAR($F90)))),$G90)),$G90))</f>
        <v/>
      </c>
      <c r="AI90" s="21" t="str">
        <f>IF($B90="","",IFERROR(IF($W90="Garis Lurus",$G90*(1-MIN($V90*12,MAX(0,TahunBuku*12+12-$Y90+1))/($V90*12)),IF($W90="Saldo Menurun",IF(TahunBuku&lt;YEAR($F90),$G90,IF(TahunBuku&gt;=INT(($Y90+$V90*12-2)/12),0,$G90*(1-2/$V90*(13-MONTH($F90))/12)*(1-2/$V90)^(TahunBuku-YEAR($F90)))),$G90)),$G90))</f>
        <v/>
      </c>
      <c r="AJ90" s="20" t="str">
        <f>IF($B90="","",IF(OR($W90="Garis Lurus",$W90="Saldo Menurun"),MAX(0,MIN(TahunBuku*12+12,$Y90+$V90*12-1)-MAX(TahunBuku*12+1,$Y90)+1),0))</f>
        <v/>
      </c>
      <c r="AK90" s="20" t="str">
        <f>IF($B90="","",IF(OR($W90="Garis Lurus",$W90="Saldo Menurun"),MAX(0,MIN($Z90,TahunBuku*12+12,$Y90+$V90*12-1)-MAX(TahunBuku*12+1,$Y90)+1),0))</f>
        <v/>
      </c>
      <c r="AL90" s="22" t="str">
        <f>IF($B90="","",$G90*$AA90)</f>
        <v/>
      </c>
      <c r="AM90" s="22" t="str">
        <f>IF($B90="","",$G90*$AB90)</f>
        <v/>
      </c>
      <c r="AN90" s="22" t="str">
        <f>IF($B90="","",$G90*$AC90)</f>
        <v/>
      </c>
      <c r="AO90" s="22" t="str">
        <f>IF($B90="","",AL90+AM90-AN90)</f>
        <v/>
      </c>
      <c r="AP90" s="22" t="str">
        <f>IF($B90="","",($G90-$AD90)*$AA90)</f>
        <v/>
      </c>
      <c r="AQ90" s="22" t="str">
        <f>IF($B90="","",IF($AF90=0,0,($AD90-$AE90)*$AG90/$AF90)*MAX($AA90,$AB90))</f>
        <v/>
      </c>
      <c r="AR90" s="22" t="str">
        <f>IF($B90="","",(AP90+AQ90)*$AC90)</f>
        <v/>
      </c>
      <c r="AS90" s="22" t="str">
        <f>IF($B90="","",AP90+AQ90-AR90)</f>
        <v/>
      </c>
      <c r="AT90" s="22" t="str">
        <f>IF($B90="","",AO90-AS90)</f>
        <v/>
      </c>
      <c r="AU90" s="22" t="str">
        <f>IF($B90="","",IF($AC90=1,N($R90)-($G90-AR90),0))</f>
        <v/>
      </c>
      <c r="AV90" s="22" t="str">
        <f>IF($B90="","",($G90-$AH90)*$AA90)</f>
        <v/>
      </c>
      <c r="AW90" s="22" t="str">
        <f>IF($B90="","",IF($AJ90=0,0,($AH90-$AI90)*$AK90/$AJ90)*MAX($AA90,$AB90))</f>
        <v/>
      </c>
      <c r="AX90" s="22" t="str">
        <f>IF($B90="","",(AV90+AW90)*$AC90)</f>
        <v/>
      </c>
      <c r="AY90" s="22" t="str">
        <f>IF($B90="","",AV90+AW90-AX90)</f>
        <v/>
      </c>
      <c r="AZ90" s="22" t="str">
        <f>IF($B90="","",AO90-AY90)</f>
        <v/>
      </c>
      <c r="BA90" s="22" t="str">
        <f>IF($B90="","",IF($AC90=1,N($R90)-($G90-AX90),0))</f>
        <v/>
      </c>
      <c r="BB90" s="22" t="str">
        <f>IF($B90="","",ROUND(AQ90-AW90,0))</f>
        <v/>
      </c>
      <c r="BC90" s="22" t="str">
        <f>IF($B90="","",ROUND(BA90-AU90,0))</f>
        <v/>
      </c>
      <c r="BD90" s="22" t="str">
        <f>IF($B90="","",BB90+BC90)</f>
        <v/>
      </c>
      <c r="BE90" s="22" t="str">
        <f>IF($B90="","",ROUND(AV90-AP90,0))</f>
        <v/>
      </c>
      <c r="BF90" s="22" t="str">
        <f>IF($B90="","",ROUND(AT90-AZ90,0))</f>
        <v/>
      </c>
      <c r="BG90" s="22" t="str">
        <f>IF($B90="","",ROUND(BF90*TarifPPh,0))</f>
        <v/>
      </c>
      <c r="BH90" t="str">
        <f>IF($B90="","",IF($D90="","Kategori kosong",IF($F90="","Tgl perolehan kosong",IF(N($H90)&gt;$G90,"Residu &gt; harga perolehan",IF(AND(LEFT($U90,8)="Bangunan",$W90="Saldo Menurun"),"Bangunan wajib Garis Lurus (Ps.11 UU PPh)",IF(AND($S90="Unit Produksi",N($K90)=0),"Isi kapasitas unit",IF(AND(OR($S90="Garis Lurus",$S90="Saldo Menurun"),N($T90)&lt;=0),"Umur komersial kosong",IF(AND(OR($W90="Garis Lurus",$W90="Saldo Menurun"),N($V90)&lt;=0),"Masa manfaat fiskal kosong",IF(AND($Q90&lt;&gt;"",$Q90&lt;$F90),"Tgl pelepasan &lt; perolehan","OK")))))))))</f>
        <v/>
      </c>
    </row>
    <row r="91" spans="1:60" x14ac:dyDescent="0.25">
      <c r="A91" t="str">
        <f>IF($B91="","",ROW()-6)</f>
        <v/>
      </c>
      <c r="B91" s="9"/>
      <c r="C91" s="9"/>
      <c r="D91" s="9"/>
      <c r="E91" s="9"/>
      <c r="F91" s="17"/>
      <c r="G91" s="18"/>
      <c r="H91" s="18"/>
      <c r="I91" s="9"/>
      <c r="J91" s="9"/>
      <c r="K91" s="19"/>
      <c r="L91" s="19"/>
      <c r="M91" s="19"/>
      <c r="N91" s="9"/>
      <c r="O91" s="9"/>
      <c r="P91" s="9"/>
      <c r="Q91" s="17"/>
      <c r="R91" s="18"/>
      <c r="S91" t="str">
        <f>IF($B91="","",IF($I91&lt;&gt;"",$I91,IFERROR(INDEX(Kat_Metode,MATCH($D91,Kat_Nama,0)),"")))</f>
        <v/>
      </c>
      <c r="T91" t="str">
        <f>IF($B91="","",IF($J91&lt;&gt;"",$J91,IFERROR(INDEX(Kat_Umur,MATCH($D91,Kat_Nama,0)),0)))</f>
        <v/>
      </c>
      <c r="U91" t="str">
        <f>IF($B91="","",IF($N91&lt;&gt;"",$N91,IFERROR(INDEX(Kat_Kelompok,MATCH($D91,Kat_Nama,0)),"")))</f>
        <v/>
      </c>
      <c r="V91" t="str">
        <f>IF($B91="","",IF($U91="Masa Manfaat Sebenarnya",N($O91),IFERROR(INDEX(Kel_Masa,MATCH($U91,Kel_Nama,0)),0)))</f>
        <v/>
      </c>
      <c r="W91" t="str">
        <f>IF($B91="","",IF($P91&lt;&gt;"",$P91,IF(OR($U91="Tidak Disusutkan",$V91=0),"Tidak Disusutkan","Garis Lurus")))</f>
        <v/>
      </c>
      <c r="X91" t="str">
        <f>IF($B91="","",IF($Y91&gt;TahunBuku*12+12,"Belum Diperoleh",IF($Z91&lt;=TahunBuku*12,"Dilepas (thn lalu)",IF($AC91=1,"Dilepas thn ini",IF($AB91=1,"Perolehan baru","Aktif")))))</f>
        <v/>
      </c>
      <c r="Y91" s="20" t="str">
        <f>IF($B91="","",YEAR($F91)*12+MONTH($F91))</f>
        <v/>
      </c>
      <c r="Z91" s="20" t="str">
        <f>IF($B91="","",IF($Q91="",99999,YEAR($Q91)*12+MONTH($Q91)))</f>
        <v/>
      </c>
      <c r="AA91" s="20" t="str">
        <f>IF($B91="","",--AND($Y91&lt;=TahunBuku*12,$Z91&gt;TahunBuku*12))</f>
        <v/>
      </c>
      <c r="AB91" s="20" t="str">
        <f>IF($B91="","",--AND($Y91&gt;TahunBuku*12,$Y91&lt;=TahunBuku*12+12))</f>
        <v/>
      </c>
      <c r="AC91" s="20" t="str">
        <f>IF($B91="","",--AND($Z91&gt;TahunBuku*12,$Z91&lt;=TahunBuku*12+12,$Y91&lt;=$Z91))</f>
        <v/>
      </c>
      <c r="AD91" s="21" t="str">
        <f>IF($B91="","",IFERROR(IF($S91="Garis Lurus",$G91-($G91-$H91)*MIN($T91*12,MAX(0,TahunBuku*12-$Y91+1))/($T91*12),IF($S91="Saldo Menurun",IF(TahunBuku-1&lt;YEAR($F91),$G91,IF(TahunBuku-1&gt;=INT(($Y91+$T91*12-2)/12),$H91,MAX($H91,$G91*(1-2/$T91*(13-MONTH($F91))/12)*(1-2/$T91)^(TahunBuku-1-YEAR($F91))))),IF($S91="Unit Produksi",$G91-($G91-$H91)*MIN(1,N($L91)/$K91),$G91))),$G91))</f>
        <v/>
      </c>
      <c r="AE91" s="21" t="str">
        <f>IF($B91="","",IFERROR(IF($S91="Garis Lurus",$G91-($G91-$H91)*MIN($T91*12,MAX(0,TahunBuku*12+12-$Y91+1))/($T91*12),IF($S91="Saldo Menurun",IF(TahunBuku&lt;YEAR($F91),$G91,IF(TahunBuku&gt;=INT(($Y91+$T91*12-2)/12),$H91,MAX($H91,$G91*(1-2/$T91*(13-MONTH($F91))/12)*(1-2/$T91)^(TahunBuku-YEAR($F91))))),IF($S91="Unit Produksi",$G91-($G91-$H91)*MIN(1,(N($L91)+N($M91))/$K91),$G91))),$G91))</f>
        <v/>
      </c>
      <c r="AF91" s="20" t="str">
        <f>IF($B91="","",IF(OR($S91="Garis Lurus",$S91="Saldo Menurun",$S91="Unit Produksi"),MAX(0,IF($S91="Unit Produksi",TahunBuku*12+12,MIN(TahunBuku*12+12,$Y91+$T91*12-1))-MAX(TahunBuku*12+1,$Y91)+1),0))</f>
        <v/>
      </c>
      <c r="AG91" s="20" t="str">
        <f>IF($B91="","",IF(OR($S91="Garis Lurus",$S91="Saldo Menurun",$S91="Unit Produksi"),MAX(0,MIN($Z91,IF($S91="Unit Produksi",TahunBuku*12+12,MIN(TahunBuku*12+12,$Y91+$T91*12-1)))-MAX(TahunBuku*12+1,$Y91)+1),0))</f>
        <v/>
      </c>
      <c r="AH91" s="21" t="str">
        <f>IF($B91="","",IFERROR(IF($W91="Garis Lurus",$G91*(1-MIN($V91*12,MAX(0,TahunBuku*12-$Y91+1))/($V91*12)),IF($W91="Saldo Menurun",IF(TahunBuku-1&lt;YEAR($F91),$G91,IF(TahunBuku-1&gt;=INT(($Y91+$V91*12-2)/12),0,$G91*(1-2/$V91*(13-MONTH($F91))/12)*(1-2/$V91)^(TahunBuku-1-YEAR($F91)))),$G91)),$G91))</f>
        <v/>
      </c>
      <c r="AI91" s="21" t="str">
        <f>IF($B91="","",IFERROR(IF($W91="Garis Lurus",$G91*(1-MIN($V91*12,MAX(0,TahunBuku*12+12-$Y91+1))/($V91*12)),IF($W91="Saldo Menurun",IF(TahunBuku&lt;YEAR($F91),$G91,IF(TahunBuku&gt;=INT(($Y91+$V91*12-2)/12),0,$G91*(1-2/$V91*(13-MONTH($F91))/12)*(1-2/$V91)^(TahunBuku-YEAR($F91)))),$G91)),$G91))</f>
        <v/>
      </c>
      <c r="AJ91" s="20" t="str">
        <f>IF($B91="","",IF(OR($W91="Garis Lurus",$W91="Saldo Menurun"),MAX(0,MIN(TahunBuku*12+12,$Y91+$V91*12-1)-MAX(TahunBuku*12+1,$Y91)+1),0))</f>
        <v/>
      </c>
      <c r="AK91" s="20" t="str">
        <f>IF($B91="","",IF(OR($W91="Garis Lurus",$W91="Saldo Menurun"),MAX(0,MIN($Z91,TahunBuku*12+12,$Y91+$V91*12-1)-MAX(TahunBuku*12+1,$Y91)+1),0))</f>
        <v/>
      </c>
      <c r="AL91" s="22" t="str">
        <f>IF($B91="","",$G91*$AA91)</f>
        <v/>
      </c>
      <c r="AM91" s="22" t="str">
        <f>IF($B91="","",$G91*$AB91)</f>
        <v/>
      </c>
      <c r="AN91" s="22" t="str">
        <f>IF($B91="","",$G91*$AC91)</f>
        <v/>
      </c>
      <c r="AO91" s="22" t="str">
        <f>IF($B91="","",AL91+AM91-AN91)</f>
        <v/>
      </c>
      <c r="AP91" s="22" t="str">
        <f>IF($B91="","",($G91-$AD91)*$AA91)</f>
        <v/>
      </c>
      <c r="AQ91" s="22" t="str">
        <f>IF($B91="","",IF($AF91=0,0,($AD91-$AE91)*$AG91/$AF91)*MAX($AA91,$AB91))</f>
        <v/>
      </c>
      <c r="AR91" s="22" t="str">
        <f>IF($B91="","",(AP91+AQ91)*$AC91)</f>
        <v/>
      </c>
      <c r="AS91" s="22" t="str">
        <f>IF($B91="","",AP91+AQ91-AR91)</f>
        <v/>
      </c>
      <c r="AT91" s="22" t="str">
        <f>IF($B91="","",AO91-AS91)</f>
        <v/>
      </c>
      <c r="AU91" s="22" t="str">
        <f>IF($B91="","",IF($AC91=1,N($R91)-($G91-AR91),0))</f>
        <v/>
      </c>
      <c r="AV91" s="22" t="str">
        <f>IF($B91="","",($G91-$AH91)*$AA91)</f>
        <v/>
      </c>
      <c r="AW91" s="22" t="str">
        <f>IF($B91="","",IF($AJ91=0,0,($AH91-$AI91)*$AK91/$AJ91)*MAX($AA91,$AB91))</f>
        <v/>
      </c>
      <c r="AX91" s="22" t="str">
        <f>IF($B91="","",(AV91+AW91)*$AC91)</f>
        <v/>
      </c>
      <c r="AY91" s="22" t="str">
        <f>IF($B91="","",AV91+AW91-AX91)</f>
        <v/>
      </c>
      <c r="AZ91" s="22" t="str">
        <f>IF($B91="","",AO91-AY91)</f>
        <v/>
      </c>
      <c r="BA91" s="22" t="str">
        <f>IF($B91="","",IF($AC91=1,N($R91)-($G91-AX91),0))</f>
        <v/>
      </c>
      <c r="BB91" s="22" t="str">
        <f>IF($B91="","",ROUND(AQ91-AW91,0))</f>
        <v/>
      </c>
      <c r="BC91" s="22" t="str">
        <f>IF($B91="","",ROUND(BA91-AU91,0))</f>
        <v/>
      </c>
      <c r="BD91" s="22" t="str">
        <f>IF($B91="","",BB91+BC91)</f>
        <v/>
      </c>
      <c r="BE91" s="22" t="str">
        <f>IF($B91="","",ROUND(AV91-AP91,0))</f>
        <v/>
      </c>
      <c r="BF91" s="22" t="str">
        <f>IF($B91="","",ROUND(AT91-AZ91,0))</f>
        <v/>
      </c>
      <c r="BG91" s="22" t="str">
        <f>IF($B91="","",ROUND(BF91*TarifPPh,0))</f>
        <v/>
      </c>
      <c r="BH91" t="str">
        <f>IF($B91="","",IF($D91="","Kategori kosong",IF($F91="","Tgl perolehan kosong",IF(N($H91)&gt;$G91,"Residu &gt; harga perolehan",IF(AND(LEFT($U91,8)="Bangunan",$W91="Saldo Menurun"),"Bangunan wajib Garis Lurus (Ps.11 UU PPh)",IF(AND($S91="Unit Produksi",N($K91)=0),"Isi kapasitas unit",IF(AND(OR($S91="Garis Lurus",$S91="Saldo Menurun"),N($T91)&lt;=0),"Umur komersial kosong",IF(AND(OR($W91="Garis Lurus",$W91="Saldo Menurun"),N($V91)&lt;=0),"Masa manfaat fiskal kosong",IF(AND($Q91&lt;&gt;"",$Q91&lt;$F91),"Tgl pelepasan &lt; perolehan","OK")))))))))</f>
        <v/>
      </c>
    </row>
    <row r="92" spans="1:60" x14ac:dyDescent="0.25">
      <c r="A92" t="str">
        <f>IF($B92="","",ROW()-6)</f>
        <v/>
      </c>
      <c r="B92" s="9"/>
      <c r="C92" s="9"/>
      <c r="D92" s="9"/>
      <c r="E92" s="9"/>
      <c r="F92" s="17"/>
      <c r="G92" s="18"/>
      <c r="H92" s="18"/>
      <c r="I92" s="9"/>
      <c r="J92" s="9"/>
      <c r="K92" s="19"/>
      <c r="L92" s="19"/>
      <c r="M92" s="19"/>
      <c r="N92" s="9"/>
      <c r="O92" s="9"/>
      <c r="P92" s="9"/>
      <c r="Q92" s="17"/>
      <c r="R92" s="18"/>
      <c r="S92" t="str">
        <f>IF($B92="","",IF($I92&lt;&gt;"",$I92,IFERROR(INDEX(Kat_Metode,MATCH($D92,Kat_Nama,0)),"")))</f>
        <v/>
      </c>
      <c r="T92" t="str">
        <f>IF($B92="","",IF($J92&lt;&gt;"",$J92,IFERROR(INDEX(Kat_Umur,MATCH($D92,Kat_Nama,0)),0)))</f>
        <v/>
      </c>
      <c r="U92" t="str">
        <f>IF($B92="","",IF($N92&lt;&gt;"",$N92,IFERROR(INDEX(Kat_Kelompok,MATCH($D92,Kat_Nama,0)),"")))</f>
        <v/>
      </c>
      <c r="V92" t="str">
        <f>IF($B92="","",IF($U92="Masa Manfaat Sebenarnya",N($O92),IFERROR(INDEX(Kel_Masa,MATCH($U92,Kel_Nama,0)),0)))</f>
        <v/>
      </c>
      <c r="W92" t="str">
        <f>IF($B92="","",IF($P92&lt;&gt;"",$P92,IF(OR($U92="Tidak Disusutkan",$V92=0),"Tidak Disusutkan","Garis Lurus")))</f>
        <v/>
      </c>
      <c r="X92" t="str">
        <f>IF($B92="","",IF($Y92&gt;TahunBuku*12+12,"Belum Diperoleh",IF($Z92&lt;=TahunBuku*12,"Dilepas (thn lalu)",IF($AC92=1,"Dilepas thn ini",IF($AB92=1,"Perolehan baru","Aktif")))))</f>
        <v/>
      </c>
      <c r="Y92" s="20" t="str">
        <f>IF($B92="","",YEAR($F92)*12+MONTH($F92))</f>
        <v/>
      </c>
      <c r="Z92" s="20" t="str">
        <f>IF($B92="","",IF($Q92="",99999,YEAR($Q92)*12+MONTH($Q92)))</f>
        <v/>
      </c>
      <c r="AA92" s="20" t="str">
        <f>IF($B92="","",--AND($Y92&lt;=TahunBuku*12,$Z92&gt;TahunBuku*12))</f>
        <v/>
      </c>
      <c r="AB92" s="20" t="str">
        <f>IF($B92="","",--AND($Y92&gt;TahunBuku*12,$Y92&lt;=TahunBuku*12+12))</f>
        <v/>
      </c>
      <c r="AC92" s="20" t="str">
        <f>IF($B92="","",--AND($Z92&gt;TahunBuku*12,$Z92&lt;=TahunBuku*12+12,$Y92&lt;=$Z92))</f>
        <v/>
      </c>
      <c r="AD92" s="21" t="str">
        <f>IF($B92="","",IFERROR(IF($S92="Garis Lurus",$G92-($G92-$H92)*MIN($T92*12,MAX(0,TahunBuku*12-$Y92+1))/($T92*12),IF($S92="Saldo Menurun",IF(TahunBuku-1&lt;YEAR($F92),$G92,IF(TahunBuku-1&gt;=INT(($Y92+$T92*12-2)/12),$H92,MAX($H92,$G92*(1-2/$T92*(13-MONTH($F92))/12)*(1-2/$T92)^(TahunBuku-1-YEAR($F92))))),IF($S92="Unit Produksi",$G92-($G92-$H92)*MIN(1,N($L92)/$K92),$G92))),$G92))</f>
        <v/>
      </c>
      <c r="AE92" s="21" t="str">
        <f>IF($B92="","",IFERROR(IF($S92="Garis Lurus",$G92-($G92-$H92)*MIN($T92*12,MAX(0,TahunBuku*12+12-$Y92+1))/($T92*12),IF($S92="Saldo Menurun",IF(TahunBuku&lt;YEAR($F92),$G92,IF(TahunBuku&gt;=INT(($Y92+$T92*12-2)/12),$H92,MAX($H92,$G92*(1-2/$T92*(13-MONTH($F92))/12)*(1-2/$T92)^(TahunBuku-YEAR($F92))))),IF($S92="Unit Produksi",$G92-($G92-$H92)*MIN(1,(N($L92)+N($M92))/$K92),$G92))),$G92))</f>
        <v/>
      </c>
      <c r="AF92" s="20" t="str">
        <f>IF($B92="","",IF(OR($S92="Garis Lurus",$S92="Saldo Menurun",$S92="Unit Produksi"),MAX(0,IF($S92="Unit Produksi",TahunBuku*12+12,MIN(TahunBuku*12+12,$Y92+$T92*12-1))-MAX(TahunBuku*12+1,$Y92)+1),0))</f>
        <v/>
      </c>
      <c r="AG92" s="20" t="str">
        <f>IF($B92="","",IF(OR($S92="Garis Lurus",$S92="Saldo Menurun",$S92="Unit Produksi"),MAX(0,MIN($Z92,IF($S92="Unit Produksi",TahunBuku*12+12,MIN(TahunBuku*12+12,$Y92+$T92*12-1)))-MAX(TahunBuku*12+1,$Y92)+1),0))</f>
        <v/>
      </c>
      <c r="AH92" s="21" t="str">
        <f>IF($B92="","",IFERROR(IF($W92="Garis Lurus",$G92*(1-MIN($V92*12,MAX(0,TahunBuku*12-$Y92+1))/($V92*12)),IF($W92="Saldo Menurun",IF(TahunBuku-1&lt;YEAR($F92),$G92,IF(TahunBuku-1&gt;=INT(($Y92+$V92*12-2)/12),0,$G92*(1-2/$V92*(13-MONTH($F92))/12)*(1-2/$V92)^(TahunBuku-1-YEAR($F92)))),$G92)),$G92))</f>
        <v/>
      </c>
      <c r="AI92" s="21" t="str">
        <f>IF($B92="","",IFERROR(IF($W92="Garis Lurus",$G92*(1-MIN($V92*12,MAX(0,TahunBuku*12+12-$Y92+1))/($V92*12)),IF($W92="Saldo Menurun",IF(TahunBuku&lt;YEAR($F92),$G92,IF(TahunBuku&gt;=INT(($Y92+$V92*12-2)/12),0,$G92*(1-2/$V92*(13-MONTH($F92))/12)*(1-2/$V92)^(TahunBuku-YEAR($F92)))),$G92)),$G92))</f>
        <v/>
      </c>
      <c r="AJ92" s="20" t="str">
        <f>IF($B92="","",IF(OR($W92="Garis Lurus",$W92="Saldo Menurun"),MAX(0,MIN(TahunBuku*12+12,$Y92+$V92*12-1)-MAX(TahunBuku*12+1,$Y92)+1),0))</f>
        <v/>
      </c>
      <c r="AK92" s="20" t="str">
        <f>IF($B92="","",IF(OR($W92="Garis Lurus",$W92="Saldo Menurun"),MAX(0,MIN($Z92,TahunBuku*12+12,$Y92+$V92*12-1)-MAX(TahunBuku*12+1,$Y92)+1),0))</f>
        <v/>
      </c>
      <c r="AL92" s="22" t="str">
        <f>IF($B92="","",$G92*$AA92)</f>
        <v/>
      </c>
      <c r="AM92" s="22" t="str">
        <f>IF($B92="","",$G92*$AB92)</f>
        <v/>
      </c>
      <c r="AN92" s="22" t="str">
        <f>IF($B92="","",$G92*$AC92)</f>
        <v/>
      </c>
      <c r="AO92" s="22" t="str">
        <f>IF($B92="","",AL92+AM92-AN92)</f>
        <v/>
      </c>
      <c r="AP92" s="22" t="str">
        <f>IF($B92="","",($G92-$AD92)*$AA92)</f>
        <v/>
      </c>
      <c r="AQ92" s="22" t="str">
        <f>IF($B92="","",IF($AF92=0,0,($AD92-$AE92)*$AG92/$AF92)*MAX($AA92,$AB92))</f>
        <v/>
      </c>
      <c r="AR92" s="22" t="str">
        <f>IF($B92="","",(AP92+AQ92)*$AC92)</f>
        <v/>
      </c>
      <c r="AS92" s="22" t="str">
        <f>IF($B92="","",AP92+AQ92-AR92)</f>
        <v/>
      </c>
      <c r="AT92" s="22" t="str">
        <f>IF($B92="","",AO92-AS92)</f>
        <v/>
      </c>
      <c r="AU92" s="22" t="str">
        <f>IF($B92="","",IF($AC92=1,N($R92)-($G92-AR92),0))</f>
        <v/>
      </c>
      <c r="AV92" s="22" t="str">
        <f>IF($B92="","",($G92-$AH92)*$AA92)</f>
        <v/>
      </c>
      <c r="AW92" s="22" t="str">
        <f>IF($B92="","",IF($AJ92=0,0,($AH92-$AI92)*$AK92/$AJ92)*MAX($AA92,$AB92))</f>
        <v/>
      </c>
      <c r="AX92" s="22" t="str">
        <f>IF($B92="","",(AV92+AW92)*$AC92)</f>
        <v/>
      </c>
      <c r="AY92" s="22" t="str">
        <f>IF($B92="","",AV92+AW92-AX92)</f>
        <v/>
      </c>
      <c r="AZ92" s="22" t="str">
        <f>IF($B92="","",AO92-AY92)</f>
        <v/>
      </c>
      <c r="BA92" s="22" t="str">
        <f>IF($B92="","",IF($AC92=1,N($R92)-($G92-AX92),0))</f>
        <v/>
      </c>
      <c r="BB92" s="22" t="str">
        <f>IF($B92="","",ROUND(AQ92-AW92,0))</f>
        <v/>
      </c>
      <c r="BC92" s="22" t="str">
        <f>IF($B92="","",ROUND(BA92-AU92,0))</f>
        <v/>
      </c>
      <c r="BD92" s="22" t="str">
        <f>IF($B92="","",BB92+BC92)</f>
        <v/>
      </c>
      <c r="BE92" s="22" t="str">
        <f>IF($B92="","",ROUND(AV92-AP92,0))</f>
        <v/>
      </c>
      <c r="BF92" s="22" t="str">
        <f>IF($B92="","",ROUND(AT92-AZ92,0))</f>
        <v/>
      </c>
      <c r="BG92" s="22" t="str">
        <f>IF($B92="","",ROUND(BF92*TarifPPh,0))</f>
        <v/>
      </c>
      <c r="BH92" t="str">
        <f>IF($B92="","",IF($D92="","Kategori kosong",IF($F92="","Tgl perolehan kosong",IF(N($H92)&gt;$G92,"Residu &gt; harga perolehan",IF(AND(LEFT($U92,8)="Bangunan",$W92="Saldo Menurun"),"Bangunan wajib Garis Lurus (Ps.11 UU PPh)",IF(AND($S92="Unit Produksi",N($K92)=0),"Isi kapasitas unit",IF(AND(OR($S92="Garis Lurus",$S92="Saldo Menurun"),N($T92)&lt;=0),"Umur komersial kosong",IF(AND(OR($W92="Garis Lurus",$W92="Saldo Menurun"),N($V92)&lt;=0),"Masa manfaat fiskal kosong",IF(AND($Q92&lt;&gt;"",$Q92&lt;$F92),"Tgl pelepasan &lt; perolehan","OK")))))))))</f>
        <v/>
      </c>
    </row>
    <row r="93" spans="1:60" x14ac:dyDescent="0.25">
      <c r="A93" t="str">
        <f>IF($B93="","",ROW()-6)</f>
        <v/>
      </c>
      <c r="B93" s="9"/>
      <c r="C93" s="9"/>
      <c r="D93" s="9"/>
      <c r="E93" s="9"/>
      <c r="F93" s="17"/>
      <c r="G93" s="18"/>
      <c r="H93" s="18"/>
      <c r="I93" s="9"/>
      <c r="J93" s="9"/>
      <c r="K93" s="19"/>
      <c r="L93" s="19"/>
      <c r="M93" s="19"/>
      <c r="N93" s="9"/>
      <c r="O93" s="9"/>
      <c r="P93" s="9"/>
      <c r="Q93" s="17"/>
      <c r="R93" s="18"/>
      <c r="S93" t="str">
        <f>IF($B93="","",IF($I93&lt;&gt;"",$I93,IFERROR(INDEX(Kat_Metode,MATCH($D93,Kat_Nama,0)),"")))</f>
        <v/>
      </c>
      <c r="T93" t="str">
        <f>IF($B93="","",IF($J93&lt;&gt;"",$J93,IFERROR(INDEX(Kat_Umur,MATCH($D93,Kat_Nama,0)),0)))</f>
        <v/>
      </c>
      <c r="U93" t="str">
        <f>IF($B93="","",IF($N93&lt;&gt;"",$N93,IFERROR(INDEX(Kat_Kelompok,MATCH($D93,Kat_Nama,0)),"")))</f>
        <v/>
      </c>
      <c r="V93" t="str">
        <f>IF($B93="","",IF($U93="Masa Manfaat Sebenarnya",N($O93),IFERROR(INDEX(Kel_Masa,MATCH($U93,Kel_Nama,0)),0)))</f>
        <v/>
      </c>
      <c r="W93" t="str">
        <f>IF($B93="","",IF($P93&lt;&gt;"",$P93,IF(OR($U93="Tidak Disusutkan",$V93=0),"Tidak Disusutkan","Garis Lurus")))</f>
        <v/>
      </c>
      <c r="X93" t="str">
        <f>IF($B93="","",IF($Y93&gt;TahunBuku*12+12,"Belum Diperoleh",IF($Z93&lt;=TahunBuku*12,"Dilepas (thn lalu)",IF($AC93=1,"Dilepas thn ini",IF($AB93=1,"Perolehan baru","Aktif")))))</f>
        <v/>
      </c>
      <c r="Y93" s="20" t="str">
        <f>IF($B93="","",YEAR($F93)*12+MONTH($F93))</f>
        <v/>
      </c>
      <c r="Z93" s="20" t="str">
        <f>IF($B93="","",IF($Q93="",99999,YEAR($Q93)*12+MONTH($Q93)))</f>
        <v/>
      </c>
      <c r="AA93" s="20" t="str">
        <f>IF($B93="","",--AND($Y93&lt;=TahunBuku*12,$Z93&gt;TahunBuku*12))</f>
        <v/>
      </c>
      <c r="AB93" s="20" t="str">
        <f>IF($B93="","",--AND($Y93&gt;TahunBuku*12,$Y93&lt;=TahunBuku*12+12))</f>
        <v/>
      </c>
      <c r="AC93" s="20" t="str">
        <f>IF($B93="","",--AND($Z93&gt;TahunBuku*12,$Z93&lt;=TahunBuku*12+12,$Y93&lt;=$Z93))</f>
        <v/>
      </c>
      <c r="AD93" s="21" t="str">
        <f>IF($B93="","",IFERROR(IF($S93="Garis Lurus",$G93-($G93-$H93)*MIN($T93*12,MAX(0,TahunBuku*12-$Y93+1))/($T93*12),IF($S93="Saldo Menurun",IF(TahunBuku-1&lt;YEAR($F93),$G93,IF(TahunBuku-1&gt;=INT(($Y93+$T93*12-2)/12),$H93,MAX($H93,$G93*(1-2/$T93*(13-MONTH($F93))/12)*(1-2/$T93)^(TahunBuku-1-YEAR($F93))))),IF($S93="Unit Produksi",$G93-($G93-$H93)*MIN(1,N($L93)/$K93),$G93))),$G93))</f>
        <v/>
      </c>
      <c r="AE93" s="21" t="str">
        <f>IF($B93="","",IFERROR(IF($S93="Garis Lurus",$G93-($G93-$H93)*MIN($T93*12,MAX(0,TahunBuku*12+12-$Y93+1))/($T93*12),IF($S93="Saldo Menurun",IF(TahunBuku&lt;YEAR($F93),$G93,IF(TahunBuku&gt;=INT(($Y93+$T93*12-2)/12),$H93,MAX($H93,$G93*(1-2/$T93*(13-MONTH($F93))/12)*(1-2/$T93)^(TahunBuku-YEAR($F93))))),IF($S93="Unit Produksi",$G93-($G93-$H93)*MIN(1,(N($L93)+N($M93))/$K93),$G93))),$G93))</f>
        <v/>
      </c>
      <c r="AF93" s="20" t="str">
        <f>IF($B93="","",IF(OR($S93="Garis Lurus",$S93="Saldo Menurun",$S93="Unit Produksi"),MAX(0,IF($S93="Unit Produksi",TahunBuku*12+12,MIN(TahunBuku*12+12,$Y93+$T93*12-1))-MAX(TahunBuku*12+1,$Y93)+1),0))</f>
        <v/>
      </c>
      <c r="AG93" s="20" t="str">
        <f>IF($B93="","",IF(OR($S93="Garis Lurus",$S93="Saldo Menurun",$S93="Unit Produksi"),MAX(0,MIN($Z93,IF($S93="Unit Produksi",TahunBuku*12+12,MIN(TahunBuku*12+12,$Y93+$T93*12-1)))-MAX(TahunBuku*12+1,$Y93)+1),0))</f>
        <v/>
      </c>
      <c r="AH93" s="21" t="str">
        <f>IF($B93="","",IFERROR(IF($W93="Garis Lurus",$G93*(1-MIN($V93*12,MAX(0,TahunBuku*12-$Y93+1))/($V93*12)),IF($W93="Saldo Menurun",IF(TahunBuku-1&lt;YEAR($F93),$G93,IF(TahunBuku-1&gt;=INT(($Y93+$V93*12-2)/12),0,$G93*(1-2/$V93*(13-MONTH($F93))/12)*(1-2/$V93)^(TahunBuku-1-YEAR($F93)))),$G93)),$G93))</f>
        <v/>
      </c>
      <c r="AI93" s="21" t="str">
        <f>IF($B93="","",IFERROR(IF($W93="Garis Lurus",$G93*(1-MIN($V93*12,MAX(0,TahunBuku*12+12-$Y93+1))/($V93*12)),IF($W93="Saldo Menurun",IF(TahunBuku&lt;YEAR($F93),$G93,IF(TahunBuku&gt;=INT(($Y93+$V93*12-2)/12),0,$G93*(1-2/$V93*(13-MONTH($F93))/12)*(1-2/$V93)^(TahunBuku-YEAR($F93)))),$G93)),$G93))</f>
        <v/>
      </c>
      <c r="AJ93" s="20" t="str">
        <f>IF($B93="","",IF(OR($W93="Garis Lurus",$W93="Saldo Menurun"),MAX(0,MIN(TahunBuku*12+12,$Y93+$V93*12-1)-MAX(TahunBuku*12+1,$Y93)+1),0))</f>
        <v/>
      </c>
      <c r="AK93" s="20" t="str">
        <f>IF($B93="","",IF(OR($W93="Garis Lurus",$W93="Saldo Menurun"),MAX(0,MIN($Z93,TahunBuku*12+12,$Y93+$V93*12-1)-MAX(TahunBuku*12+1,$Y93)+1),0))</f>
        <v/>
      </c>
      <c r="AL93" s="22" t="str">
        <f>IF($B93="","",$G93*$AA93)</f>
        <v/>
      </c>
      <c r="AM93" s="22" t="str">
        <f>IF($B93="","",$G93*$AB93)</f>
        <v/>
      </c>
      <c r="AN93" s="22" t="str">
        <f>IF($B93="","",$G93*$AC93)</f>
        <v/>
      </c>
      <c r="AO93" s="22" t="str">
        <f>IF($B93="","",AL93+AM93-AN93)</f>
        <v/>
      </c>
      <c r="AP93" s="22" t="str">
        <f>IF($B93="","",($G93-$AD93)*$AA93)</f>
        <v/>
      </c>
      <c r="AQ93" s="22" t="str">
        <f>IF($B93="","",IF($AF93=0,0,($AD93-$AE93)*$AG93/$AF93)*MAX($AA93,$AB93))</f>
        <v/>
      </c>
      <c r="AR93" s="22" t="str">
        <f>IF($B93="","",(AP93+AQ93)*$AC93)</f>
        <v/>
      </c>
      <c r="AS93" s="22" t="str">
        <f>IF($B93="","",AP93+AQ93-AR93)</f>
        <v/>
      </c>
      <c r="AT93" s="22" t="str">
        <f>IF($B93="","",AO93-AS93)</f>
        <v/>
      </c>
      <c r="AU93" s="22" t="str">
        <f>IF($B93="","",IF($AC93=1,N($R93)-($G93-AR93),0))</f>
        <v/>
      </c>
      <c r="AV93" s="22" t="str">
        <f>IF($B93="","",($G93-$AH93)*$AA93)</f>
        <v/>
      </c>
      <c r="AW93" s="22" t="str">
        <f>IF($B93="","",IF($AJ93=0,0,($AH93-$AI93)*$AK93/$AJ93)*MAX($AA93,$AB93))</f>
        <v/>
      </c>
      <c r="AX93" s="22" t="str">
        <f>IF($B93="","",(AV93+AW93)*$AC93)</f>
        <v/>
      </c>
      <c r="AY93" s="22" t="str">
        <f>IF($B93="","",AV93+AW93-AX93)</f>
        <v/>
      </c>
      <c r="AZ93" s="22" t="str">
        <f>IF($B93="","",AO93-AY93)</f>
        <v/>
      </c>
      <c r="BA93" s="22" t="str">
        <f>IF($B93="","",IF($AC93=1,N($R93)-($G93-AX93),0))</f>
        <v/>
      </c>
      <c r="BB93" s="22" t="str">
        <f>IF($B93="","",ROUND(AQ93-AW93,0))</f>
        <v/>
      </c>
      <c r="BC93" s="22" t="str">
        <f>IF($B93="","",ROUND(BA93-AU93,0))</f>
        <v/>
      </c>
      <c r="BD93" s="22" t="str">
        <f>IF($B93="","",BB93+BC93)</f>
        <v/>
      </c>
      <c r="BE93" s="22" t="str">
        <f>IF($B93="","",ROUND(AV93-AP93,0))</f>
        <v/>
      </c>
      <c r="BF93" s="22" t="str">
        <f>IF($B93="","",ROUND(AT93-AZ93,0))</f>
        <v/>
      </c>
      <c r="BG93" s="22" t="str">
        <f>IF($B93="","",ROUND(BF93*TarifPPh,0))</f>
        <v/>
      </c>
      <c r="BH93" t="str">
        <f>IF($B93="","",IF($D93="","Kategori kosong",IF($F93="","Tgl perolehan kosong",IF(N($H93)&gt;$G93,"Residu &gt; harga perolehan",IF(AND(LEFT($U93,8)="Bangunan",$W93="Saldo Menurun"),"Bangunan wajib Garis Lurus (Ps.11 UU PPh)",IF(AND($S93="Unit Produksi",N($K93)=0),"Isi kapasitas unit",IF(AND(OR($S93="Garis Lurus",$S93="Saldo Menurun"),N($T93)&lt;=0),"Umur komersial kosong",IF(AND(OR($W93="Garis Lurus",$W93="Saldo Menurun"),N($V93)&lt;=0),"Masa manfaat fiskal kosong",IF(AND($Q93&lt;&gt;"",$Q93&lt;$F93),"Tgl pelepasan &lt; perolehan","OK")))))))))</f>
        <v/>
      </c>
    </row>
    <row r="94" spans="1:60" x14ac:dyDescent="0.25">
      <c r="A94" t="str">
        <f>IF($B94="","",ROW()-6)</f>
        <v/>
      </c>
      <c r="B94" s="9"/>
      <c r="C94" s="9"/>
      <c r="D94" s="9"/>
      <c r="E94" s="9"/>
      <c r="F94" s="17"/>
      <c r="G94" s="18"/>
      <c r="H94" s="18"/>
      <c r="I94" s="9"/>
      <c r="J94" s="9"/>
      <c r="K94" s="19"/>
      <c r="L94" s="19"/>
      <c r="M94" s="19"/>
      <c r="N94" s="9"/>
      <c r="O94" s="9"/>
      <c r="P94" s="9"/>
      <c r="Q94" s="17"/>
      <c r="R94" s="18"/>
      <c r="S94" t="str">
        <f>IF($B94="","",IF($I94&lt;&gt;"",$I94,IFERROR(INDEX(Kat_Metode,MATCH($D94,Kat_Nama,0)),"")))</f>
        <v/>
      </c>
      <c r="T94" t="str">
        <f>IF($B94="","",IF($J94&lt;&gt;"",$J94,IFERROR(INDEX(Kat_Umur,MATCH($D94,Kat_Nama,0)),0)))</f>
        <v/>
      </c>
      <c r="U94" t="str">
        <f>IF($B94="","",IF($N94&lt;&gt;"",$N94,IFERROR(INDEX(Kat_Kelompok,MATCH($D94,Kat_Nama,0)),"")))</f>
        <v/>
      </c>
      <c r="V94" t="str">
        <f>IF($B94="","",IF($U94="Masa Manfaat Sebenarnya",N($O94),IFERROR(INDEX(Kel_Masa,MATCH($U94,Kel_Nama,0)),0)))</f>
        <v/>
      </c>
      <c r="W94" t="str">
        <f>IF($B94="","",IF($P94&lt;&gt;"",$P94,IF(OR($U94="Tidak Disusutkan",$V94=0),"Tidak Disusutkan","Garis Lurus")))</f>
        <v/>
      </c>
      <c r="X94" t="str">
        <f>IF($B94="","",IF($Y94&gt;TahunBuku*12+12,"Belum Diperoleh",IF($Z94&lt;=TahunBuku*12,"Dilepas (thn lalu)",IF($AC94=1,"Dilepas thn ini",IF($AB94=1,"Perolehan baru","Aktif")))))</f>
        <v/>
      </c>
      <c r="Y94" s="20" t="str">
        <f>IF($B94="","",YEAR($F94)*12+MONTH($F94))</f>
        <v/>
      </c>
      <c r="Z94" s="20" t="str">
        <f>IF($B94="","",IF($Q94="",99999,YEAR($Q94)*12+MONTH($Q94)))</f>
        <v/>
      </c>
      <c r="AA94" s="20" t="str">
        <f>IF($B94="","",--AND($Y94&lt;=TahunBuku*12,$Z94&gt;TahunBuku*12))</f>
        <v/>
      </c>
      <c r="AB94" s="20" t="str">
        <f>IF($B94="","",--AND($Y94&gt;TahunBuku*12,$Y94&lt;=TahunBuku*12+12))</f>
        <v/>
      </c>
      <c r="AC94" s="20" t="str">
        <f>IF($B94="","",--AND($Z94&gt;TahunBuku*12,$Z94&lt;=TahunBuku*12+12,$Y94&lt;=$Z94))</f>
        <v/>
      </c>
      <c r="AD94" s="21" t="str">
        <f>IF($B94="","",IFERROR(IF($S94="Garis Lurus",$G94-($G94-$H94)*MIN($T94*12,MAX(0,TahunBuku*12-$Y94+1))/($T94*12),IF($S94="Saldo Menurun",IF(TahunBuku-1&lt;YEAR($F94),$G94,IF(TahunBuku-1&gt;=INT(($Y94+$T94*12-2)/12),$H94,MAX($H94,$G94*(1-2/$T94*(13-MONTH($F94))/12)*(1-2/$T94)^(TahunBuku-1-YEAR($F94))))),IF($S94="Unit Produksi",$G94-($G94-$H94)*MIN(1,N($L94)/$K94),$G94))),$G94))</f>
        <v/>
      </c>
      <c r="AE94" s="21" t="str">
        <f>IF($B94="","",IFERROR(IF($S94="Garis Lurus",$G94-($G94-$H94)*MIN($T94*12,MAX(0,TahunBuku*12+12-$Y94+1))/($T94*12),IF($S94="Saldo Menurun",IF(TahunBuku&lt;YEAR($F94),$G94,IF(TahunBuku&gt;=INT(($Y94+$T94*12-2)/12),$H94,MAX($H94,$G94*(1-2/$T94*(13-MONTH($F94))/12)*(1-2/$T94)^(TahunBuku-YEAR($F94))))),IF($S94="Unit Produksi",$G94-($G94-$H94)*MIN(1,(N($L94)+N($M94))/$K94),$G94))),$G94))</f>
        <v/>
      </c>
      <c r="AF94" s="20" t="str">
        <f>IF($B94="","",IF(OR($S94="Garis Lurus",$S94="Saldo Menurun",$S94="Unit Produksi"),MAX(0,IF($S94="Unit Produksi",TahunBuku*12+12,MIN(TahunBuku*12+12,$Y94+$T94*12-1))-MAX(TahunBuku*12+1,$Y94)+1),0))</f>
        <v/>
      </c>
      <c r="AG94" s="20" t="str">
        <f>IF($B94="","",IF(OR($S94="Garis Lurus",$S94="Saldo Menurun",$S94="Unit Produksi"),MAX(0,MIN($Z94,IF($S94="Unit Produksi",TahunBuku*12+12,MIN(TahunBuku*12+12,$Y94+$T94*12-1)))-MAX(TahunBuku*12+1,$Y94)+1),0))</f>
        <v/>
      </c>
      <c r="AH94" s="21" t="str">
        <f>IF($B94="","",IFERROR(IF($W94="Garis Lurus",$G94*(1-MIN($V94*12,MAX(0,TahunBuku*12-$Y94+1))/($V94*12)),IF($W94="Saldo Menurun",IF(TahunBuku-1&lt;YEAR($F94),$G94,IF(TahunBuku-1&gt;=INT(($Y94+$V94*12-2)/12),0,$G94*(1-2/$V94*(13-MONTH($F94))/12)*(1-2/$V94)^(TahunBuku-1-YEAR($F94)))),$G94)),$G94))</f>
        <v/>
      </c>
      <c r="AI94" s="21" t="str">
        <f>IF($B94="","",IFERROR(IF($W94="Garis Lurus",$G94*(1-MIN($V94*12,MAX(0,TahunBuku*12+12-$Y94+1))/($V94*12)),IF($W94="Saldo Menurun",IF(TahunBuku&lt;YEAR($F94),$G94,IF(TahunBuku&gt;=INT(($Y94+$V94*12-2)/12),0,$G94*(1-2/$V94*(13-MONTH($F94))/12)*(1-2/$V94)^(TahunBuku-YEAR($F94)))),$G94)),$G94))</f>
        <v/>
      </c>
      <c r="AJ94" s="20" t="str">
        <f>IF($B94="","",IF(OR($W94="Garis Lurus",$W94="Saldo Menurun"),MAX(0,MIN(TahunBuku*12+12,$Y94+$V94*12-1)-MAX(TahunBuku*12+1,$Y94)+1),0))</f>
        <v/>
      </c>
      <c r="AK94" s="20" t="str">
        <f>IF($B94="","",IF(OR($W94="Garis Lurus",$W94="Saldo Menurun"),MAX(0,MIN($Z94,TahunBuku*12+12,$Y94+$V94*12-1)-MAX(TahunBuku*12+1,$Y94)+1),0))</f>
        <v/>
      </c>
      <c r="AL94" s="22" t="str">
        <f>IF($B94="","",$G94*$AA94)</f>
        <v/>
      </c>
      <c r="AM94" s="22" t="str">
        <f>IF($B94="","",$G94*$AB94)</f>
        <v/>
      </c>
      <c r="AN94" s="22" t="str">
        <f>IF($B94="","",$G94*$AC94)</f>
        <v/>
      </c>
      <c r="AO94" s="22" t="str">
        <f>IF($B94="","",AL94+AM94-AN94)</f>
        <v/>
      </c>
      <c r="AP94" s="22" t="str">
        <f>IF($B94="","",($G94-$AD94)*$AA94)</f>
        <v/>
      </c>
      <c r="AQ94" s="22" t="str">
        <f>IF($B94="","",IF($AF94=0,0,($AD94-$AE94)*$AG94/$AF94)*MAX($AA94,$AB94))</f>
        <v/>
      </c>
      <c r="AR94" s="22" t="str">
        <f>IF($B94="","",(AP94+AQ94)*$AC94)</f>
        <v/>
      </c>
      <c r="AS94" s="22" t="str">
        <f>IF($B94="","",AP94+AQ94-AR94)</f>
        <v/>
      </c>
      <c r="AT94" s="22" t="str">
        <f>IF($B94="","",AO94-AS94)</f>
        <v/>
      </c>
      <c r="AU94" s="22" t="str">
        <f>IF($B94="","",IF($AC94=1,N($R94)-($G94-AR94),0))</f>
        <v/>
      </c>
      <c r="AV94" s="22" t="str">
        <f>IF($B94="","",($G94-$AH94)*$AA94)</f>
        <v/>
      </c>
      <c r="AW94" s="22" t="str">
        <f>IF($B94="","",IF($AJ94=0,0,($AH94-$AI94)*$AK94/$AJ94)*MAX($AA94,$AB94))</f>
        <v/>
      </c>
      <c r="AX94" s="22" t="str">
        <f>IF($B94="","",(AV94+AW94)*$AC94)</f>
        <v/>
      </c>
      <c r="AY94" s="22" t="str">
        <f>IF($B94="","",AV94+AW94-AX94)</f>
        <v/>
      </c>
      <c r="AZ94" s="22" t="str">
        <f>IF($B94="","",AO94-AY94)</f>
        <v/>
      </c>
      <c r="BA94" s="22" t="str">
        <f>IF($B94="","",IF($AC94=1,N($R94)-($G94-AX94),0))</f>
        <v/>
      </c>
      <c r="BB94" s="22" t="str">
        <f>IF($B94="","",ROUND(AQ94-AW94,0))</f>
        <v/>
      </c>
      <c r="BC94" s="22" t="str">
        <f>IF($B94="","",ROUND(BA94-AU94,0))</f>
        <v/>
      </c>
      <c r="BD94" s="22" t="str">
        <f>IF($B94="","",BB94+BC94)</f>
        <v/>
      </c>
      <c r="BE94" s="22" t="str">
        <f>IF($B94="","",ROUND(AV94-AP94,0))</f>
        <v/>
      </c>
      <c r="BF94" s="22" t="str">
        <f>IF($B94="","",ROUND(AT94-AZ94,0))</f>
        <v/>
      </c>
      <c r="BG94" s="22" t="str">
        <f>IF($B94="","",ROUND(BF94*TarifPPh,0))</f>
        <v/>
      </c>
      <c r="BH94" t="str">
        <f>IF($B94="","",IF($D94="","Kategori kosong",IF($F94="","Tgl perolehan kosong",IF(N($H94)&gt;$G94,"Residu &gt; harga perolehan",IF(AND(LEFT($U94,8)="Bangunan",$W94="Saldo Menurun"),"Bangunan wajib Garis Lurus (Ps.11 UU PPh)",IF(AND($S94="Unit Produksi",N($K94)=0),"Isi kapasitas unit",IF(AND(OR($S94="Garis Lurus",$S94="Saldo Menurun"),N($T94)&lt;=0),"Umur komersial kosong",IF(AND(OR($W94="Garis Lurus",$W94="Saldo Menurun"),N($V94)&lt;=0),"Masa manfaat fiskal kosong",IF(AND($Q94&lt;&gt;"",$Q94&lt;$F94),"Tgl pelepasan &lt; perolehan","OK")))))))))</f>
        <v/>
      </c>
    </row>
    <row r="95" spans="1:60" x14ac:dyDescent="0.25">
      <c r="A95" t="str">
        <f>IF($B95="","",ROW()-6)</f>
        <v/>
      </c>
      <c r="B95" s="9"/>
      <c r="C95" s="9"/>
      <c r="D95" s="9"/>
      <c r="E95" s="9"/>
      <c r="F95" s="17"/>
      <c r="G95" s="18"/>
      <c r="H95" s="18"/>
      <c r="I95" s="9"/>
      <c r="J95" s="9"/>
      <c r="K95" s="19"/>
      <c r="L95" s="19"/>
      <c r="M95" s="19"/>
      <c r="N95" s="9"/>
      <c r="O95" s="9"/>
      <c r="P95" s="9"/>
      <c r="Q95" s="17"/>
      <c r="R95" s="18"/>
      <c r="S95" t="str">
        <f>IF($B95="","",IF($I95&lt;&gt;"",$I95,IFERROR(INDEX(Kat_Metode,MATCH($D95,Kat_Nama,0)),"")))</f>
        <v/>
      </c>
      <c r="T95" t="str">
        <f>IF($B95="","",IF($J95&lt;&gt;"",$J95,IFERROR(INDEX(Kat_Umur,MATCH($D95,Kat_Nama,0)),0)))</f>
        <v/>
      </c>
      <c r="U95" t="str">
        <f>IF($B95="","",IF($N95&lt;&gt;"",$N95,IFERROR(INDEX(Kat_Kelompok,MATCH($D95,Kat_Nama,0)),"")))</f>
        <v/>
      </c>
      <c r="V95" t="str">
        <f>IF($B95="","",IF($U95="Masa Manfaat Sebenarnya",N($O95),IFERROR(INDEX(Kel_Masa,MATCH($U95,Kel_Nama,0)),0)))</f>
        <v/>
      </c>
      <c r="W95" t="str">
        <f>IF($B95="","",IF($P95&lt;&gt;"",$P95,IF(OR($U95="Tidak Disusutkan",$V95=0),"Tidak Disusutkan","Garis Lurus")))</f>
        <v/>
      </c>
      <c r="X95" t="str">
        <f>IF($B95="","",IF($Y95&gt;TahunBuku*12+12,"Belum Diperoleh",IF($Z95&lt;=TahunBuku*12,"Dilepas (thn lalu)",IF($AC95=1,"Dilepas thn ini",IF($AB95=1,"Perolehan baru","Aktif")))))</f>
        <v/>
      </c>
      <c r="Y95" s="20" t="str">
        <f>IF($B95="","",YEAR($F95)*12+MONTH($F95))</f>
        <v/>
      </c>
      <c r="Z95" s="20" t="str">
        <f>IF($B95="","",IF($Q95="",99999,YEAR($Q95)*12+MONTH($Q95)))</f>
        <v/>
      </c>
      <c r="AA95" s="20" t="str">
        <f>IF($B95="","",--AND($Y95&lt;=TahunBuku*12,$Z95&gt;TahunBuku*12))</f>
        <v/>
      </c>
      <c r="AB95" s="20" t="str">
        <f>IF($B95="","",--AND($Y95&gt;TahunBuku*12,$Y95&lt;=TahunBuku*12+12))</f>
        <v/>
      </c>
      <c r="AC95" s="20" t="str">
        <f>IF($B95="","",--AND($Z95&gt;TahunBuku*12,$Z95&lt;=TahunBuku*12+12,$Y95&lt;=$Z95))</f>
        <v/>
      </c>
      <c r="AD95" s="21" t="str">
        <f>IF($B95="","",IFERROR(IF($S95="Garis Lurus",$G95-($G95-$H95)*MIN($T95*12,MAX(0,TahunBuku*12-$Y95+1))/($T95*12),IF($S95="Saldo Menurun",IF(TahunBuku-1&lt;YEAR($F95),$G95,IF(TahunBuku-1&gt;=INT(($Y95+$T95*12-2)/12),$H95,MAX($H95,$G95*(1-2/$T95*(13-MONTH($F95))/12)*(1-2/$T95)^(TahunBuku-1-YEAR($F95))))),IF($S95="Unit Produksi",$G95-($G95-$H95)*MIN(1,N($L95)/$K95),$G95))),$G95))</f>
        <v/>
      </c>
      <c r="AE95" s="21" t="str">
        <f>IF($B95="","",IFERROR(IF($S95="Garis Lurus",$G95-($G95-$H95)*MIN($T95*12,MAX(0,TahunBuku*12+12-$Y95+1))/($T95*12),IF($S95="Saldo Menurun",IF(TahunBuku&lt;YEAR($F95),$G95,IF(TahunBuku&gt;=INT(($Y95+$T95*12-2)/12),$H95,MAX($H95,$G95*(1-2/$T95*(13-MONTH($F95))/12)*(1-2/$T95)^(TahunBuku-YEAR($F95))))),IF($S95="Unit Produksi",$G95-($G95-$H95)*MIN(1,(N($L95)+N($M95))/$K95),$G95))),$G95))</f>
        <v/>
      </c>
      <c r="AF95" s="20" t="str">
        <f>IF($B95="","",IF(OR($S95="Garis Lurus",$S95="Saldo Menurun",$S95="Unit Produksi"),MAX(0,IF($S95="Unit Produksi",TahunBuku*12+12,MIN(TahunBuku*12+12,$Y95+$T95*12-1))-MAX(TahunBuku*12+1,$Y95)+1),0))</f>
        <v/>
      </c>
      <c r="AG95" s="20" t="str">
        <f>IF($B95="","",IF(OR($S95="Garis Lurus",$S95="Saldo Menurun",$S95="Unit Produksi"),MAX(0,MIN($Z95,IF($S95="Unit Produksi",TahunBuku*12+12,MIN(TahunBuku*12+12,$Y95+$T95*12-1)))-MAX(TahunBuku*12+1,$Y95)+1),0))</f>
        <v/>
      </c>
      <c r="AH95" s="21" t="str">
        <f>IF($B95="","",IFERROR(IF($W95="Garis Lurus",$G95*(1-MIN($V95*12,MAX(0,TahunBuku*12-$Y95+1))/($V95*12)),IF($W95="Saldo Menurun",IF(TahunBuku-1&lt;YEAR($F95),$G95,IF(TahunBuku-1&gt;=INT(($Y95+$V95*12-2)/12),0,$G95*(1-2/$V95*(13-MONTH($F95))/12)*(1-2/$V95)^(TahunBuku-1-YEAR($F95)))),$G95)),$G95))</f>
        <v/>
      </c>
      <c r="AI95" s="21" t="str">
        <f>IF($B95="","",IFERROR(IF($W95="Garis Lurus",$G95*(1-MIN($V95*12,MAX(0,TahunBuku*12+12-$Y95+1))/($V95*12)),IF($W95="Saldo Menurun",IF(TahunBuku&lt;YEAR($F95),$G95,IF(TahunBuku&gt;=INT(($Y95+$V95*12-2)/12),0,$G95*(1-2/$V95*(13-MONTH($F95))/12)*(1-2/$V95)^(TahunBuku-YEAR($F95)))),$G95)),$G95))</f>
        <v/>
      </c>
      <c r="AJ95" s="20" t="str">
        <f>IF($B95="","",IF(OR($W95="Garis Lurus",$W95="Saldo Menurun"),MAX(0,MIN(TahunBuku*12+12,$Y95+$V95*12-1)-MAX(TahunBuku*12+1,$Y95)+1),0))</f>
        <v/>
      </c>
      <c r="AK95" s="20" t="str">
        <f>IF($B95="","",IF(OR($W95="Garis Lurus",$W95="Saldo Menurun"),MAX(0,MIN($Z95,TahunBuku*12+12,$Y95+$V95*12-1)-MAX(TahunBuku*12+1,$Y95)+1),0))</f>
        <v/>
      </c>
      <c r="AL95" s="22" t="str">
        <f>IF($B95="","",$G95*$AA95)</f>
        <v/>
      </c>
      <c r="AM95" s="22" t="str">
        <f>IF($B95="","",$G95*$AB95)</f>
        <v/>
      </c>
      <c r="AN95" s="22" t="str">
        <f>IF($B95="","",$G95*$AC95)</f>
        <v/>
      </c>
      <c r="AO95" s="22" t="str">
        <f>IF($B95="","",AL95+AM95-AN95)</f>
        <v/>
      </c>
      <c r="AP95" s="22" t="str">
        <f>IF($B95="","",($G95-$AD95)*$AA95)</f>
        <v/>
      </c>
      <c r="AQ95" s="22" t="str">
        <f>IF($B95="","",IF($AF95=0,0,($AD95-$AE95)*$AG95/$AF95)*MAX($AA95,$AB95))</f>
        <v/>
      </c>
      <c r="AR95" s="22" t="str">
        <f>IF($B95="","",(AP95+AQ95)*$AC95)</f>
        <v/>
      </c>
      <c r="AS95" s="22" t="str">
        <f>IF($B95="","",AP95+AQ95-AR95)</f>
        <v/>
      </c>
      <c r="AT95" s="22" t="str">
        <f>IF($B95="","",AO95-AS95)</f>
        <v/>
      </c>
      <c r="AU95" s="22" t="str">
        <f>IF($B95="","",IF($AC95=1,N($R95)-($G95-AR95),0))</f>
        <v/>
      </c>
      <c r="AV95" s="22" t="str">
        <f>IF($B95="","",($G95-$AH95)*$AA95)</f>
        <v/>
      </c>
      <c r="AW95" s="22" t="str">
        <f>IF($B95="","",IF($AJ95=0,0,($AH95-$AI95)*$AK95/$AJ95)*MAX($AA95,$AB95))</f>
        <v/>
      </c>
      <c r="AX95" s="22" t="str">
        <f>IF($B95="","",(AV95+AW95)*$AC95)</f>
        <v/>
      </c>
      <c r="AY95" s="22" t="str">
        <f>IF($B95="","",AV95+AW95-AX95)</f>
        <v/>
      </c>
      <c r="AZ95" s="22" t="str">
        <f>IF($B95="","",AO95-AY95)</f>
        <v/>
      </c>
      <c r="BA95" s="22" t="str">
        <f>IF($B95="","",IF($AC95=1,N($R95)-($G95-AX95),0))</f>
        <v/>
      </c>
      <c r="BB95" s="22" t="str">
        <f>IF($B95="","",ROUND(AQ95-AW95,0))</f>
        <v/>
      </c>
      <c r="BC95" s="22" t="str">
        <f>IF($B95="","",ROUND(BA95-AU95,0))</f>
        <v/>
      </c>
      <c r="BD95" s="22" t="str">
        <f>IF($B95="","",BB95+BC95)</f>
        <v/>
      </c>
      <c r="BE95" s="22" t="str">
        <f>IF($B95="","",ROUND(AV95-AP95,0))</f>
        <v/>
      </c>
      <c r="BF95" s="22" t="str">
        <f>IF($B95="","",ROUND(AT95-AZ95,0))</f>
        <v/>
      </c>
      <c r="BG95" s="22" t="str">
        <f>IF($B95="","",ROUND(BF95*TarifPPh,0))</f>
        <v/>
      </c>
      <c r="BH95" t="str">
        <f>IF($B95="","",IF($D95="","Kategori kosong",IF($F95="","Tgl perolehan kosong",IF(N($H95)&gt;$G95,"Residu &gt; harga perolehan",IF(AND(LEFT($U95,8)="Bangunan",$W95="Saldo Menurun"),"Bangunan wajib Garis Lurus (Ps.11 UU PPh)",IF(AND($S95="Unit Produksi",N($K95)=0),"Isi kapasitas unit",IF(AND(OR($S95="Garis Lurus",$S95="Saldo Menurun"),N($T95)&lt;=0),"Umur komersial kosong",IF(AND(OR($W95="Garis Lurus",$W95="Saldo Menurun"),N($V95)&lt;=0),"Masa manfaat fiskal kosong",IF(AND($Q95&lt;&gt;"",$Q95&lt;$F95),"Tgl pelepasan &lt; perolehan","OK")))))))))</f>
        <v/>
      </c>
    </row>
    <row r="96" spans="1:60" x14ac:dyDescent="0.25">
      <c r="A96" t="str">
        <f>IF($B96="","",ROW()-6)</f>
        <v/>
      </c>
      <c r="B96" s="9"/>
      <c r="C96" s="9"/>
      <c r="D96" s="9"/>
      <c r="E96" s="9"/>
      <c r="F96" s="17"/>
      <c r="G96" s="18"/>
      <c r="H96" s="18"/>
      <c r="I96" s="9"/>
      <c r="J96" s="9"/>
      <c r="K96" s="19"/>
      <c r="L96" s="19"/>
      <c r="M96" s="19"/>
      <c r="N96" s="9"/>
      <c r="O96" s="9"/>
      <c r="P96" s="9"/>
      <c r="Q96" s="17"/>
      <c r="R96" s="18"/>
      <c r="S96" t="str">
        <f>IF($B96="","",IF($I96&lt;&gt;"",$I96,IFERROR(INDEX(Kat_Metode,MATCH($D96,Kat_Nama,0)),"")))</f>
        <v/>
      </c>
      <c r="T96" t="str">
        <f>IF($B96="","",IF($J96&lt;&gt;"",$J96,IFERROR(INDEX(Kat_Umur,MATCH($D96,Kat_Nama,0)),0)))</f>
        <v/>
      </c>
      <c r="U96" t="str">
        <f>IF($B96="","",IF($N96&lt;&gt;"",$N96,IFERROR(INDEX(Kat_Kelompok,MATCH($D96,Kat_Nama,0)),"")))</f>
        <v/>
      </c>
      <c r="V96" t="str">
        <f>IF($B96="","",IF($U96="Masa Manfaat Sebenarnya",N($O96),IFERROR(INDEX(Kel_Masa,MATCH($U96,Kel_Nama,0)),0)))</f>
        <v/>
      </c>
      <c r="W96" t="str">
        <f>IF($B96="","",IF($P96&lt;&gt;"",$P96,IF(OR($U96="Tidak Disusutkan",$V96=0),"Tidak Disusutkan","Garis Lurus")))</f>
        <v/>
      </c>
      <c r="X96" t="str">
        <f>IF($B96="","",IF($Y96&gt;TahunBuku*12+12,"Belum Diperoleh",IF($Z96&lt;=TahunBuku*12,"Dilepas (thn lalu)",IF($AC96=1,"Dilepas thn ini",IF($AB96=1,"Perolehan baru","Aktif")))))</f>
        <v/>
      </c>
      <c r="Y96" s="20" t="str">
        <f>IF($B96="","",YEAR($F96)*12+MONTH($F96))</f>
        <v/>
      </c>
      <c r="Z96" s="20" t="str">
        <f>IF($B96="","",IF($Q96="",99999,YEAR($Q96)*12+MONTH($Q96)))</f>
        <v/>
      </c>
      <c r="AA96" s="20" t="str">
        <f>IF($B96="","",--AND($Y96&lt;=TahunBuku*12,$Z96&gt;TahunBuku*12))</f>
        <v/>
      </c>
      <c r="AB96" s="20" t="str">
        <f>IF($B96="","",--AND($Y96&gt;TahunBuku*12,$Y96&lt;=TahunBuku*12+12))</f>
        <v/>
      </c>
      <c r="AC96" s="20" t="str">
        <f>IF($B96="","",--AND($Z96&gt;TahunBuku*12,$Z96&lt;=TahunBuku*12+12,$Y96&lt;=$Z96))</f>
        <v/>
      </c>
      <c r="AD96" s="21" t="str">
        <f>IF($B96="","",IFERROR(IF($S96="Garis Lurus",$G96-($G96-$H96)*MIN($T96*12,MAX(0,TahunBuku*12-$Y96+1))/($T96*12),IF($S96="Saldo Menurun",IF(TahunBuku-1&lt;YEAR($F96),$G96,IF(TahunBuku-1&gt;=INT(($Y96+$T96*12-2)/12),$H96,MAX($H96,$G96*(1-2/$T96*(13-MONTH($F96))/12)*(1-2/$T96)^(TahunBuku-1-YEAR($F96))))),IF($S96="Unit Produksi",$G96-($G96-$H96)*MIN(1,N($L96)/$K96),$G96))),$G96))</f>
        <v/>
      </c>
      <c r="AE96" s="21" t="str">
        <f>IF($B96="","",IFERROR(IF($S96="Garis Lurus",$G96-($G96-$H96)*MIN($T96*12,MAX(0,TahunBuku*12+12-$Y96+1))/($T96*12),IF($S96="Saldo Menurun",IF(TahunBuku&lt;YEAR($F96),$G96,IF(TahunBuku&gt;=INT(($Y96+$T96*12-2)/12),$H96,MAX($H96,$G96*(1-2/$T96*(13-MONTH($F96))/12)*(1-2/$T96)^(TahunBuku-YEAR($F96))))),IF($S96="Unit Produksi",$G96-($G96-$H96)*MIN(1,(N($L96)+N($M96))/$K96),$G96))),$G96))</f>
        <v/>
      </c>
      <c r="AF96" s="20" t="str">
        <f>IF($B96="","",IF(OR($S96="Garis Lurus",$S96="Saldo Menurun",$S96="Unit Produksi"),MAX(0,IF($S96="Unit Produksi",TahunBuku*12+12,MIN(TahunBuku*12+12,$Y96+$T96*12-1))-MAX(TahunBuku*12+1,$Y96)+1),0))</f>
        <v/>
      </c>
      <c r="AG96" s="20" t="str">
        <f>IF($B96="","",IF(OR($S96="Garis Lurus",$S96="Saldo Menurun",$S96="Unit Produksi"),MAX(0,MIN($Z96,IF($S96="Unit Produksi",TahunBuku*12+12,MIN(TahunBuku*12+12,$Y96+$T96*12-1)))-MAX(TahunBuku*12+1,$Y96)+1),0))</f>
        <v/>
      </c>
      <c r="AH96" s="21" t="str">
        <f>IF($B96="","",IFERROR(IF($W96="Garis Lurus",$G96*(1-MIN($V96*12,MAX(0,TahunBuku*12-$Y96+1))/($V96*12)),IF($W96="Saldo Menurun",IF(TahunBuku-1&lt;YEAR($F96),$G96,IF(TahunBuku-1&gt;=INT(($Y96+$V96*12-2)/12),0,$G96*(1-2/$V96*(13-MONTH($F96))/12)*(1-2/$V96)^(TahunBuku-1-YEAR($F96)))),$G96)),$G96))</f>
        <v/>
      </c>
      <c r="AI96" s="21" t="str">
        <f>IF($B96="","",IFERROR(IF($W96="Garis Lurus",$G96*(1-MIN($V96*12,MAX(0,TahunBuku*12+12-$Y96+1))/($V96*12)),IF($W96="Saldo Menurun",IF(TahunBuku&lt;YEAR($F96),$G96,IF(TahunBuku&gt;=INT(($Y96+$V96*12-2)/12),0,$G96*(1-2/$V96*(13-MONTH($F96))/12)*(1-2/$V96)^(TahunBuku-YEAR($F96)))),$G96)),$G96))</f>
        <v/>
      </c>
      <c r="AJ96" s="20" t="str">
        <f>IF($B96="","",IF(OR($W96="Garis Lurus",$W96="Saldo Menurun"),MAX(0,MIN(TahunBuku*12+12,$Y96+$V96*12-1)-MAX(TahunBuku*12+1,$Y96)+1),0))</f>
        <v/>
      </c>
      <c r="AK96" s="20" t="str">
        <f>IF($B96="","",IF(OR($W96="Garis Lurus",$W96="Saldo Menurun"),MAX(0,MIN($Z96,TahunBuku*12+12,$Y96+$V96*12-1)-MAX(TahunBuku*12+1,$Y96)+1),0))</f>
        <v/>
      </c>
      <c r="AL96" s="22" t="str">
        <f>IF($B96="","",$G96*$AA96)</f>
        <v/>
      </c>
      <c r="AM96" s="22" t="str">
        <f>IF($B96="","",$G96*$AB96)</f>
        <v/>
      </c>
      <c r="AN96" s="22" t="str">
        <f>IF($B96="","",$G96*$AC96)</f>
        <v/>
      </c>
      <c r="AO96" s="22" t="str">
        <f>IF($B96="","",AL96+AM96-AN96)</f>
        <v/>
      </c>
      <c r="AP96" s="22" t="str">
        <f>IF($B96="","",($G96-$AD96)*$AA96)</f>
        <v/>
      </c>
      <c r="AQ96" s="22" t="str">
        <f>IF($B96="","",IF($AF96=0,0,($AD96-$AE96)*$AG96/$AF96)*MAX($AA96,$AB96))</f>
        <v/>
      </c>
      <c r="AR96" s="22" t="str">
        <f>IF($B96="","",(AP96+AQ96)*$AC96)</f>
        <v/>
      </c>
      <c r="AS96" s="22" t="str">
        <f>IF($B96="","",AP96+AQ96-AR96)</f>
        <v/>
      </c>
      <c r="AT96" s="22" t="str">
        <f>IF($B96="","",AO96-AS96)</f>
        <v/>
      </c>
      <c r="AU96" s="22" t="str">
        <f>IF($B96="","",IF($AC96=1,N($R96)-($G96-AR96),0))</f>
        <v/>
      </c>
      <c r="AV96" s="22" t="str">
        <f>IF($B96="","",($G96-$AH96)*$AA96)</f>
        <v/>
      </c>
      <c r="AW96" s="22" t="str">
        <f>IF($B96="","",IF($AJ96=0,0,($AH96-$AI96)*$AK96/$AJ96)*MAX($AA96,$AB96))</f>
        <v/>
      </c>
      <c r="AX96" s="22" t="str">
        <f>IF($B96="","",(AV96+AW96)*$AC96)</f>
        <v/>
      </c>
      <c r="AY96" s="22" t="str">
        <f>IF($B96="","",AV96+AW96-AX96)</f>
        <v/>
      </c>
      <c r="AZ96" s="22" t="str">
        <f>IF($B96="","",AO96-AY96)</f>
        <v/>
      </c>
      <c r="BA96" s="22" t="str">
        <f>IF($B96="","",IF($AC96=1,N($R96)-($G96-AX96),0))</f>
        <v/>
      </c>
      <c r="BB96" s="22" t="str">
        <f>IF($B96="","",ROUND(AQ96-AW96,0))</f>
        <v/>
      </c>
      <c r="BC96" s="22" t="str">
        <f>IF($B96="","",ROUND(BA96-AU96,0))</f>
        <v/>
      </c>
      <c r="BD96" s="22" t="str">
        <f>IF($B96="","",BB96+BC96)</f>
        <v/>
      </c>
      <c r="BE96" s="22" t="str">
        <f>IF($B96="","",ROUND(AV96-AP96,0))</f>
        <v/>
      </c>
      <c r="BF96" s="22" t="str">
        <f>IF($B96="","",ROUND(AT96-AZ96,0))</f>
        <v/>
      </c>
      <c r="BG96" s="22" t="str">
        <f>IF($B96="","",ROUND(BF96*TarifPPh,0))</f>
        <v/>
      </c>
      <c r="BH96" t="str">
        <f>IF($B96="","",IF($D96="","Kategori kosong",IF($F96="","Tgl perolehan kosong",IF(N($H96)&gt;$G96,"Residu &gt; harga perolehan",IF(AND(LEFT($U96,8)="Bangunan",$W96="Saldo Menurun"),"Bangunan wajib Garis Lurus (Ps.11 UU PPh)",IF(AND($S96="Unit Produksi",N($K96)=0),"Isi kapasitas unit",IF(AND(OR($S96="Garis Lurus",$S96="Saldo Menurun"),N($T96)&lt;=0),"Umur komersial kosong",IF(AND(OR($W96="Garis Lurus",$W96="Saldo Menurun"),N($V96)&lt;=0),"Masa manfaat fiskal kosong",IF(AND($Q96&lt;&gt;"",$Q96&lt;$F96),"Tgl pelepasan &lt; perolehan","OK")))))))))</f>
        <v/>
      </c>
    </row>
    <row r="97" spans="1:60" x14ac:dyDescent="0.25">
      <c r="A97" t="str">
        <f>IF($B97="","",ROW()-6)</f>
        <v/>
      </c>
      <c r="B97" s="9"/>
      <c r="C97" s="9"/>
      <c r="D97" s="9"/>
      <c r="E97" s="9"/>
      <c r="F97" s="17"/>
      <c r="G97" s="18"/>
      <c r="H97" s="18"/>
      <c r="I97" s="9"/>
      <c r="J97" s="9"/>
      <c r="K97" s="19"/>
      <c r="L97" s="19"/>
      <c r="M97" s="19"/>
      <c r="N97" s="9"/>
      <c r="O97" s="9"/>
      <c r="P97" s="9"/>
      <c r="Q97" s="17"/>
      <c r="R97" s="18"/>
      <c r="S97" t="str">
        <f>IF($B97="","",IF($I97&lt;&gt;"",$I97,IFERROR(INDEX(Kat_Metode,MATCH($D97,Kat_Nama,0)),"")))</f>
        <v/>
      </c>
      <c r="T97" t="str">
        <f>IF($B97="","",IF($J97&lt;&gt;"",$J97,IFERROR(INDEX(Kat_Umur,MATCH($D97,Kat_Nama,0)),0)))</f>
        <v/>
      </c>
      <c r="U97" t="str">
        <f>IF($B97="","",IF($N97&lt;&gt;"",$N97,IFERROR(INDEX(Kat_Kelompok,MATCH($D97,Kat_Nama,0)),"")))</f>
        <v/>
      </c>
      <c r="V97" t="str">
        <f>IF($B97="","",IF($U97="Masa Manfaat Sebenarnya",N($O97),IFERROR(INDEX(Kel_Masa,MATCH($U97,Kel_Nama,0)),0)))</f>
        <v/>
      </c>
      <c r="W97" t="str">
        <f>IF($B97="","",IF($P97&lt;&gt;"",$P97,IF(OR($U97="Tidak Disusutkan",$V97=0),"Tidak Disusutkan","Garis Lurus")))</f>
        <v/>
      </c>
      <c r="X97" t="str">
        <f>IF($B97="","",IF($Y97&gt;TahunBuku*12+12,"Belum Diperoleh",IF($Z97&lt;=TahunBuku*12,"Dilepas (thn lalu)",IF($AC97=1,"Dilepas thn ini",IF($AB97=1,"Perolehan baru","Aktif")))))</f>
        <v/>
      </c>
      <c r="Y97" s="20" t="str">
        <f>IF($B97="","",YEAR($F97)*12+MONTH($F97))</f>
        <v/>
      </c>
      <c r="Z97" s="20" t="str">
        <f>IF($B97="","",IF($Q97="",99999,YEAR($Q97)*12+MONTH($Q97)))</f>
        <v/>
      </c>
      <c r="AA97" s="20" t="str">
        <f>IF($B97="","",--AND($Y97&lt;=TahunBuku*12,$Z97&gt;TahunBuku*12))</f>
        <v/>
      </c>
      <c r="AB97" s="20" t="str">
        <f>IF($B97="","",--AND($Y97&gt;TahunBuku*12,$Y97&lt;=TahunBuku*12+12))</f>
        <v/>
      </c>
      <c r="AC97" s="20" t="str">
        <f>IF($B97="","",--AND($Z97&gt;TahunBuku*12,$Z97&lt;=TahunBuku*12+12,$Y97&lt;=$Z97))</f>
        <v/>
      </c>
      <c r="AD97" s="21" t="str">
        <f>IF($B97="","",IFERROR(IF($S97="Garis Lurus",$G97-($G97-$H97)*MIN($T97*12,MAX(0,TahunBuku*12-$Y97+1))/($T97*12),IF($S97="Saldo Menurun",IF(TahunBuku-1&lt;YEAR($F97),$G97,IF(TahunBuku-1&gt;=INT(($Y97+$T97*12-2)/12),$H97,MAX($H97,$G97*(1-2/$T97*(13-MONTH($F97))/12)*(1-2/$T97)^(TahunBuku-1-YEAR($F97))))),IF($S97="Unit Produksi",$G97-($G97-$H97)*MIN(1,N($L97)/$K97),$G97))),$G97))</f>
        <v/>
      </c>
      <c r="AE97" s="21" t="str">
        <f>IF($B97="","",IFERROR(IF($S97="Garis Lurus",$G97-($G97-$H97)*MIN($T97*12,MAX(0,TahunBuku*12+12-$Y97+1))/($T97*12),IF($S97="Saldo Menurun",IF(TahunBuku&lt;YEAR($F97),$G97,IF(TahunBuku&gt;=INT(($Y97+$T97*12-2)/12),$H97,MAX($H97,$G97*(1-2/$T97*(13-MONTH($F97))/12)*(1-2/$T97)^(TahunBuku-YEAR($F97))))),IF($S97="Unit Produksi",$G97-($G97-$H97)*MIN(1,(N($L97)+N($M97))/$K97),$G97))),$G97))</f>
        <v/>
      </c>
      <c r="AF97" s="20" t="str">
        <f>IF($B97="","",IF(OR($S97="Garis Lurus",$S97="Saldo Menurun",$S97="Unit Produksi"),MAX(0,IF($S97="Unit Produksi",TahunBuku*12+12,MIN(TahunBuku*12+12,$Y97+$T97*12-1))-MAX(TahunBuku*12+1,$Y97)+1),0))</f>
        <v/>
      </c>
      <c r="AG97" s="20" t="str">
        <f>IF($B97="","",IF(OR($S97="Garis Lurus",$S97="Saldo Menurun",$S97="Unit Produksi"),MAX(0,MIN($Z97,IF($S97="Unit Produksi",TahunBuku*12+12,MIN(TahunBuku*12+12,$Y97+$T97*12-1)))-MAX(TahunBuku*12+1,$Y97)+1),0))</f>
        <v/>
      </c>
      <c r="AH97" s="21" t="str">
        <f>IF($B97="","",IFERROR(IF($W97="Garis Lurus",$G97*(1-MIN($V97*12,MAX(0,TahunBuku*12-$Y97+1))/($V97*12)),IF($W97="Saldo Menurun",IF(TahunBuku-1&lt;YEAR($F97),$G97,IF(TahunBuku-1&gt;=INT(($Y97+$V97*12-2)/12),0,$G97*(1-2/$V97*(13-MONTH($F97))/12)*(1-2/$V97)^(TahunBuku-1-YEAR($F97)))),$G97)),$G97))</f>
        <v/>
      </c>
      <c r="AI97" s="21" t="str">
        <f>IF($B97="","",IFERROR(IF($W97="Garis Lurus",$G97*(1-MIN($V97*12,MAX(0,TahunBuku*12+12-$Y97+1))/($V97*12)),IF($W97="Saldo Menurun",IF(TahunBuku&lt;YEAR($F97),$G97,IF(TahunBuku&gt;=INT(($Y97+$V97*12-2)/12),0,$G97*(1-2/$V97*(13-MONTH($F97))/12)*(1-2/$V97)^(TahunBuku-YEAR($F97)))),$G97)),$G97))</f>
        <v/>
      </c>
      <c r="AJ97" s="20" t="str">
        <f>IF($B97="","",IF(OR($W97="Garis Lurus",$W97="Saldo Menurun"),MAX(0,MIN(TahunBuku*12+12,$Y97+$V97*12-1)-MAX(TahunBuku*12+1,$Y97)+1),0))</f>
        <v/>
      </c>
      <c r="AK97" s="20" t="str">
        <f>IF($B97="","",IF(OR($W97="Garis Lurus",$W97="Saldo Menurun"),MAX(0,MIN($Z97,TahunBuku*12+12,$Y97+$V97*12-1)-MAX(TahunBuku*12+1,$Y97)+1),0))</f>
        <v/>
      </c>
      <c r="AL97" s="22" t="str">
        <f>IF($B97="","",$G97*$AA97)</f>
        <v/>
      </c>
      <c r="AM97" s="22" t="str">
        <f>IF($B97="","",$G97*$AB97)</f>
        <v/>
      </c>
      <c r="AN97" s="22" t="str">
        <f>IF($B97="","",$G97*$AC97)</f>
        <v/>
      </c>
      <c r="AO97" s="22" t="str">
        <f>IF($B97="","",AL97+AM97-AN97)</f>
        <v/>
      </c>
      <c r="AP97" s="22" t="str">
        <f>IF($B97="","",($G97-$AD97)*$AA97)</f>
        <v/>
      </c>
      <c r="AQ97" s="22" t="str">
        <f>IF($B97="","",IF($AF97=0,0,($AD97-$AE97)*$AG97/$AF97)*MAX($AA97,$AB97))</f>
        <v/>
      </c>
      <c r="AR97" s="22" t="str">
        <f>IF($B97="","",(AP97+AQ97)*$AC97)</f>
        <v/>
      </c>
      <c r="AS97" s="22" t="str">
        <f>IF($B97="","",AP97+AQ97-AR97)</f>
        <v/>
      </c>
      <c r="AT97" s="22" t="str">
        <f>IF($B97="","",AO97-AS97)</f>
        <v/>
      </c>
      <c r="AU97" s="22" t="str">
        <f>IF($B97="","",IF($AC97=1,N($R97)-($G97-AR97),0))</f>
        <v/>
      </c>
      <c r="AV97" s="22" t="str">
        <f>IF($B97="","",($G97-$AH97)*$AA97)</f>
        <v/>
      </c>
      <c r="AW97" s="22" t="str">
        <f>IF($B97="","",IF($AJ97=0,0,($AH97-$AI97)*$AK97/$AJ97)*MAX($AA97,$AB97))</f>
        <v/>
      </c>
      <c r="AX97" s="22" t="str">
        <f>IF($B97="","",(AV97+AW97)*$AC97)</f>
        <v/>
      </c>
      <c r="AY97" s="22" t="str">
        <f>IF($B97="","",AV97+AW97-AX97)</f>
        <v/>
      </c>
      <c r="AZ97" s="22" t="str">
        <f>IF($B97="","",AO97-AY97)</f>
        <v/>
      </c>
      <c r="BA97" s="22" t="str">
        <f>IF($B97="","",IF($AC97=1,N($R97)-($G97-AX97),0))</f>
        <v/>
      </c>
      <c r="BB97" s="22" t="str">
        <f>IF($B97="","",ROUND(AQ97-AW97,0))</f>
        <v/>
      </c>
      <c r="BC97" s="22" t="str">
        <f>IF($B97="","",ROUND(BA97-AU97,0))</f>
        <v/>
      </c>
      <c r="BD97" s="22" t="str">
        <f>IF($B97="","",BB97+BC97)</f>
        <v/>
      </c>
      <c r="BE97" s="22" t="str">
        <f>IF($B97="","",ROUND(AV97-AP97,0))</f>
        <v/>
      </c>
      <c r="BF97" s="22" t="str">
        <f>IF($B97="","",ROUND(AT97-AZ97,0))</f>
        <v/>
      </c>
      <c r="BG97" s="22" t="str">
        <f>IF($B97="","",ROUND(BF97*TarifPPh,0))</f>
        <v/>
      </c>
      <c r="BH97" t="str">
        <f>IF($B97="","",IF($D97="","Kategori kosong",IF($F97="","Tgl perolehan kosong",IF(N($H97)&gt;$G97,"Residu &gt; harga perolehan",IF(AND(LEFT($U97,8)="Bangunan",$W97="Saldo Menurun"),"Bangunan wajib Garis Lurus (Ps.11 UU PPh)",IF(AND($S97="Unit Produksi",N($K97)=0),"Isi kapasitas unit",IF(AND(OR($S97="Garis Lurus",$S97="Saldo Menurun"),N($T97)&lt;=0),"Umur komersial kosong",IF(AND(OR($W97="Garis Lurus",$W97="Saldo Menurun"),N($V97)&lt;=0),"Masa manfaat fiskal kosong",IF(AND($Q97&lt;&gt;"",$Q97&lt;$F97),"Tgl pelepasan &lt; perolehan","OK")))))))))</f>
        <v/>
      </c>
    </row>
    <row r="98" spans="1:60" x14ac:dyDescent="0.25">
      <c r="A98" t="str">
        <f>IF($B98="","",ROW()-6)</f>
        <v/>
      </c>
      <c r="B98" s="9"/>
      <c r="C98" s="9"/>
      <c r="D98" s="9"/>
      <c r="E98" s="9"/>
      <c r="F98" s="17"/>
      <c r="G98" s="18"/>
      <c r="H98" s="18"/>
      <c r="I98" s="9"/>
      <c r="J98" s="9"/>
      <c r="K98" s="19"/>
      <c r="L98" s="19"/>
      <c r="M98" s="19"/>
      <c r="N98" s="9"/>
      <c r="O98" s="9"/>
      <c r="P98" s="9"/>
      <c r="Q98" s="17"/>
      <c r="R98" s="18"/>
      <c r="S98" t="str">
        <f>IF($B98="","",IF($I98&lt;&gt;"",$I98,IFERROR(INDEX(Kat_Metode,MATCH($D98,Kat_Nama,0)),"")))</f>
        <v/>
      </c>
      <c r="T98" t="str">
        <f>IF($B98="","",IF($J98&lt;&gt;"",$J98,IFERROR(INDEX(Kat_Umur,MATCH($D98,Kat_Nama,0)),0)))</f>
        <v/>
      </c>
      <c r="U98" t="str">
        <f>IF($B98="","",IF($N98&lt;&gt;"",$N98,IFERROR(INDEX(Kat_Kelompok,MATCH($D98,Kat_Nama,0)),"")))</f>
        <v/>
      </c>
      <c r="V98" t="str">
        <f>IF($B98="","",IF($U98="Masa Manfaat Sebenarnya",N($O98),IFERROR(INDEX(Kel_Masa,MATCH($U98,Kel_Nama,0)),0)))</f>
        <v/>
      </c>
      <c r="W98" t="str">
        <f>IF($B98="","",IF($P98&lt;&gt;"",$P98,IF(OR($U98="Tidak Disusutkan",$V98=0),"Tidak Disusutkan","Garis Lurus")))</f>
        <v/>
      </c>
      <c r="X98" t="str">
        <f>IF($B98="","",IF($Y98&gt;TahunBuku*12+12,"Belum Diperoleh",IF($Z98&lt;=TahunBuku*12,"Dilepas (thn lalu)",IF($AC98=1,"Dilepas thn ini",IF($AB98=1,"Perolehan baru","Aktif")))))</f>
        <v/>
      </c>
      <c r="Y98" s="20" t="str">
        <f>IF($B98="","",YEAR($F98)*12+MONTH($F98))</f>
        <v/>
      </c>
      <c r="Z98" s="20" t="str">
        <f>IF($B98="","",IF($Q98="",99999,YEAR($Q98)*12+MONTH($Q98)))</f>
        <v/>
      </c>
      <c r="AA98" s="20" t="str">
        <f>IF($B98="","",--AND($Y98&lt;=TahunBuku*12,$Z98&gt;TahunBuku*12))</f>
        <v/>
      </c>
      <c r="AB98" s="20" t="str">
        <f>IF($B98="","",--AND($Y98&gt;TahunBuku*12,$Y98&lt;=TahunBuku*12+12))</f>
        <v/>
      </c>
      <c r="AC98" s="20" t="str">
        <f>IF($B98="","",--AND($Z98&gt;TahunBuku*12,$Z98&lt;=TahunBuku*12+12,$Y98&lt;=$Z98))</f>
        <v/>
      </c>
      <c r="AD98" s="21" t="str">
        <f>IF($B98="","",IFERROR(IF($S98="Garis Lurus",$G98-($G98-$H98)*MIN($T98*12,MAX(0,TahunBuku*12-$Y98+1))/($T98*12),IF($S98="Saldo Menurun",IF(TahunBuku-1&lt;YEAR($F98),$G98,IF(TahunBuku-1&gt;=INT(($Y98+$T98*12-2)/12),$H98,MAX($H98,$G98*(1-2/$T98*(13-MONTH($F98))/12)*(1-2/$T98)^(TahunBuku-1-YEAR($F98))))),IF($S98="Unit Produksi",$G98-($G98-$H98)*MIN(1,N($L98)/$K98),$G98))),$G98))</f>
        <v/>
      </c>
      <c r="AE98" s="21" t="str">
        <f>IF($B98="","",IFERROR(IF($S98="Garis Lurus",$G98-($G98-$H98)*MIN($T98*12,MAX(0,TahunBuku*12+12-$Y98+1))/($T98*12),IF($S98="Saldo Menurun",IF(TahunBuku&lt;YEAR($F98),$G98,IF(TahunBuku&gt;=INT(($Y98+$T98*12-2)/12),$H98,MAX($H98,$G98*(1-2/$T98*(13-MONTH($F98))/12)*(1-2/$T98)^(TahunBuku-YEAR($F98))))),IF($S98="Unit Produksi",$G98-($G98-$H98)*MIN(1,(N($L98)+N($M98))/$K98),$G98))),$G98))</f>
        <v/>
      </c>
      <c r="AF98" s="20" t="str">
        <f>IF($B98="","",IF(OR($S98="Garis Lurus",$S98="Saldo Menurun",$S98="Unit Produksi"),MAX(0,IF($S98="Unit Produksi",TahunBuku*12+12,MIN(TahunBuku*12+12,$Y98+$T98*12-1))-MAX(TahunBuku*12+1,$Y98)+1),0))</f>
        <v/>
      </c>
      <c r="AG98" s="20" t="str">
        <f>IF($B98="","",IF(OR($S98="Garis Lurus",$S98="Saldo Menurun",$S98="Unit Produksi"),MAX(0,MIN($Z98,IF($S98="Unit Produksi",TahunBuku*12+12,MIN(TahunBuku*12+12,$Y98+$T98*12-1)))-MAX(TahunBuku*12+1,$Y98)+1),0))</f>
        <v/>
      </c>
      <c r="AH98" s="21" t="str">
        <f>IF($B98="","",IFERROR(IF($W98="Garis Lurus",$G98*(1-MIN($V98*12,MAX(0,TahunBuku*12-$Y98+1))/($V98*12)),IF($W98="Saldo Menurun",IF(TahunBuku-1&lt;YEAR($F98),$G98,IF(TahunBuku-1&gt;=INT(($Y98+$V98*12-2)/12),0,$G98*(1-2/$V98*(13-MONTH($F98))/12)*(1-2/$V98)^(TahunBuku-1-YEAR($F98)))),$G98)),$G98))</f>
        <v/>
      </c>
      <c r="AI98" s="21" t="str">
        <f>IF($B98="","",IFERROR(IF($W98="Garis Lurus",$G98*(1-MIN($V98*12,MAX(0,TahunBuku*12+12-$Y98+1))/($V98*12)),IF($W98="Saldo Menurun",IF(TahunBuku&lt;YEAR($F98),$G98,IF(TahunBuku&gt;=INT(($Y98+$V98*12-2)/12),0,$G98*(1-2/$V98*(13-MONTH($F98))/12)*(1-2/$V98)^(TahunBuku-YEAR($F98)))),$G98)),$G98))</f>
        <v/>
      </c>
      <c r="AJ98" s="20" t="str">
        <f>IF($B98="","",IF(OR($W98="Garis Lurus",$W98="Saldo Menurun"),MAX(0,MIN(TahunBuku*12+12,$Y98+$V98*12-1)-MAX(TahunBuku*12+1,$Y98)+1),0))</f>
        <v/>
      </c>
      <c r="AK98" s="20" t="str">
        <f>IF($B98="","",IF(OR($W98="Garis Lurus",$W98="Saldo Menurun"),MAX(0,MIN($Z98,TahunBuku*12+12,$Y98+$V98*12-1)-MAX(TahunBuku*12+1,$Y98)+1),0))</f>
        <v/>
      </c>
      <c r="AL98" s="22" t="str">
        <f>IF($B98="","",$G98*$AA98)</f>
        <v/>
      </c>
      <c r="AM98" s="22" t="str">
        <f>IF($B98="","",$G98*$AB98)</f>
        <v/>
      </c>
      <c r="AN98" s="22" t="str">
        <f>IF($B98="","",$G98*$AC98)</f>
        <v/>
      </c>
      <c r="AO98" s="22" t="str">
        <f>IF($B98="","",AL98+AM98-AN98)</f>
        <v/>
      </c>
      <c r="AP98" s="22" t="str">
        <f>IF($B98="","",($G98-$AD98)*$AA98)</f>
        <v/>
      </c>
      <c r="AQ98" s="22" t="str">
        <f>IF($B98="","",IF($AF98=0,0,($AD98-$AE98)*$AG98/$AF98)*MAX($AA98,$AB98))</f>
        <v/>
      </c>
      <c r="AR98" s="22" t="str">
        <f>IF($B98="","",(AP98+AQ98)*$AC98)</f>
        <v/>
      </c>
      <c r="AS98" s="22" t="str">
        <f>IF($B98="","",AP98+AQ98-AR98)</f>
        <v/>
      </c>
      <c r="AT98" s="22" t="str">
        <f>IF($B98="","",AO98-AS98)</f>
        <v/>
      </c>
      <c r="AU98" s="22" t="str">
        <f>IF($B98="","",IF($AC98=1,N($R98)-($G98-AR98),0))</f>
        <v/>
      </c>
      <c r="AV98" s="22" t="str">
        <f>IF($B98="","",($G98-$AH98)*$AA98)</f>
        <v/>
      </c>
      <c r="AW98" s="22" t="str">
        <f>IF($B98="","",IF($AJ98=0,0,($AH98-$AI98)*$AK98/$AJ98)*MAX($AA98,$AB98))</f>
        <v/>
      </c>
      <c r="AX98" s="22" t="str">
        <f>IF($B98="","",(AV98+AW98)*$AC98)</f>
        <v/>
      </c>
      <c r="AY98" s="22" t="str">
        <f>IF($B98="","",AV98+AW98-AX98)</f>
        <v/>
      </c>
      <c r="AZ98" s="22" t="str">
        <f>IF($B98="","",AO98-AY98)</f>
        <v/>
      </c>
      <c r="BA98" s="22" t="str">
        <f>IF($B98="","",IF($AC98=1,N($R98)-($G98-AX98),0))</f>
        <v/>
      </c>
      <c r="BB98" s="22" t="str">
        <f>IF($B98="","",ROUND(AQ98-AW98,0))</f>
        <v/>
      </c>
      <c r="BC98" s="22" t="str">
        <f>IF($B98="","",ROUND(BA98-AU98,0))</f>
        <v/>
      </c>
      <c r="BD98" s="22" t="str">
        <f>IF($B98="","",BB98+BC98)</f>
        <v/>
      </c>
      <c r="BE98" s="22" t="str">
        <f>IF($B98="","",ROUND(AV98-AP98,0))</f>
        <v/>
      </c>
      <c r="BF98" s="22" t="str">
        <f>IF($B98="","",ROUND(AT98-AZ98,0))</f>
        <v/>
      </c>
      <c r="BG98" s="22" t="str">
        <f>IF($B98="","",ROUND(BF98*TarifPPh,0))</f>
        <v/>
      </c>
      <c r="BH98" t="str">
        <f>IF($B98="","",IF($D98="","Kategori kosong",IF($F98="","Tgl perolehan kosong",IF(N($H98)&gt;$G98,"Residu &gt; harga perolehan",IF(AND(LEFT($U98,8)="Bangunan",$W98="Saldo Menurun"),"Bangunan wajib Garis Lurus (Ps.11 UU PPh)",IF(AND($S98="Unit Produksi",N($K98)=0),"Isi kapasitas unit",IF(AND(OR($S98="Garis Lurus",$S98="Saldo Menurun"),N($T98)&lt;=0),"Umur komersial kosong",IF(AND(OR($W98="Garis Lurus",$W98="Saldo Menurun"),N($V98)&lt;=0),"Masa manfaat fiskal kosong",IF(AND($Q98&lt;&gt;"",$Q98&lt;$F98),"Tgl pelepasan &lt; perolehan","OK")))))))))</f>
        <v/>
      </c>
    </row>
    <row r="99" spans="1:60" x14ac:dyDescent="0.25">
      <c r="A99" t="str">
        <f>IF($B99="","",ROW()-6)</f>
        <v/>
      </c>
      <c r="B99" s="9"/>
      <c r="C99" s="9"/>
      <c r="D99" s="9"/>
      <c r="E99" s="9"/>
      <c r="F99" s="17"/>
      <c r="G99" s="18"/>
      <c r="H99" s="18"/>
      <c r="I99" s="9"/>
      <c r="J99" s="9"/>
      <c r="K99" s="19"/>
      <c r="L99" s="19"/>
      <c r="M99" s="19"/>
      <c r="N99" s="9"/>
      <c r="O99" s="9"/>
      <c r="P99" s="9"/>
      <c r="Q99" s="17"/>
      <c r="R99" s="18"/>
      <c r="S99" t="str">
        <f>IF($B99="","",IF($I99&lt;&gt;"",$I99,IFERROR(INDEX(Kat_Metode,MATCH($D99,Kat_Nama,0)),"")))</f>
        <v/>
      </c>
      <c r="T99" t="str">
        <f>IF($B99="","",IF($J99&lt;&gt;"",$J99,IFERROR(INDEX(Kat_Umur,MATCH($D99,Kat_Nama,0)),0)))</f>
        <v/>
      </c>
      <c r="U99" t="str">
        <f>IF($B99="","",IF($N99&lt;&gt;"",$N99,IFERROR(INDEX(Kat_Kelompok,MATCH($D99,Kat_Nama,0)),"")))</f>
        <v/>
      </c>
      <c r="V99" t="str">
        <f>IF($B99="","",IF($U99="Masa Manfaat Sebenarnya",N($O99),IFERROR(INDEX(Kel_Masa,MATCH($U99,Kel_Nama,0)),0)))</f>
        <v/>
      </c>
      <c r="W99" t="str">
        <f>IF($B99="","",IF($P99&lt;&gt;"",$P99,IF(OR($U99="Tidak Disusutkan",$V99=0),"Tidak Disusutkan","Garis Lurus")))</f>
        <v/>
      </c>
      <c r="X99" t="str">
        <f>IF($B99="","",IF($Y99&gt;TahunBuku*12+12,"Belum Diperoleh",IF($Z99&lt;=TahunBuku*12,"Dilepas (thn lalu)",IF($AC99=1,"Dilepas thn ini",IF($AB99=1,"Perolehan baru","Aktif")))))</f>
        <v/>
      </c>
      <c r="Y99" s="20" t="str">
        <f>IF($B99="","",YEAR($F99)*12+MONTH($F99))</f>
        <v/>
      </c>
      <c r="Z99" s="20" t="str">
        <f>IF($B99="","",IF($Q99="",99999,YEAR($Q99)*12+MONTH($Q99)))</f>
        <v/>
      </c>
      <c r="AA99" s="20" t="str">
        <f>IF($B99="","",--AND($Y99&lt;=TahunBuku*12,$Z99&gt;TahunBuku*12))</f>
        <v/>
      </c>
      <c r="AB99" s="20" t="str">
        <f>IF($B99="","",--AND($Y99&gt;TahunBuku*12,$Y99&lt;=TahunBuku*12+12))</f>
        <v/>
      </c>
      <c r="AC99" s="20" t="str">
        <f>IF($B99="","",--AND($Z99&gt;TahunBuku*12,$Z99&lt;=TahunBuku*12+12,$Y99&lt;=$Z99))</f>
        <v/>
      </c>
      <c r="AD99" s="21" t="str">
        <f>IF($B99="","",IFERROR(IF($S99="Garis Lurus",$G99-($G99-$H99)*MIN($T99*12,MAX(0,TahunBuku*12-$Y99+1))/($T99*12),IF($S99="Saldo Menurun",IF(TahunBuku-1&lt;YEAR($F99),$G99,IF(TahunBuku-1&gt;=INT(($Y99+$T99*12-2)/12),$H99,MAX($H99,$G99*(1-2/$T99*(13-MONTH($F99))/12)*(1-2/$T99)^(TahunBuku-1-YEAR($F99))))),IF($S99="Unit Produksi",$G99-($G99-$H99)*MIN(1,N($L99)/$K99),$G99))),$G99))</f>
        <v/>
      </c>
      <c r="AE99" s="21" t="str">
        <f>IF($B99="","",IFERROR(IF($S99="Garis Lurus",$G99-($G99-$H99)*MIN($T99*12,MAX(0,TahunBuku*12+12-$Y99+1))/($T99*12),IF($S99="Saldo Menurun",IF(TahunBuku&lt;YEAR($F99),$G99,IF(TahunBuku&gt;=INT(($Y99+$T99*12-2)/12),$H99,MAX($H99,$G99*(1-2/$T99*(13-MONTH($F99))/12)*(1-2/$T99)^(TahunBuku-YEAR($F99))))),IF($S99="Unit Produksi",$G99-($G99-$H99)*MIN(1,(N($L99)+N($M99))/$K99),$G99))),$G99))</f>
        <v/>
      </c>
      <c r="AF99" s="20" t="str">
        <f>IF($B99="","",IF(OR($S99="Garis Lurus",$S99="Saldo Menurun",$S99="Unit Produksi"),MAX(0,IF($S99="Unit Produksi",TahunBuku*12+12,MIN(TahunBuku*12+12,$Y99+$T99*12-1))-MAX(TahunBuku*12+1,$Y99)+1),0))</f>
        <v/>
      </c>
      <c r="AG99" s="20" t="str">
        <f>IF($B99="","",IF(OR($S99="Garis Lurus",$S99="Saldo Menurun",$S99="Unit Produksi"),MAX(0,MIN($Z99,IF($S99="Unit Produksi",TahunBuku*12+12,MIN(TahunBuku*12+12,$Y99+$T99*12-1)))-MAX(TahunBuku*12+1,$Y99)+1),0))</f>
        <v/>
      </c>
      <c r="AH99" s="21" t="str">
        <f>IF($B99="","",IFERROR(IF($W99="Garis Lurus",$G99*(1-MIN($V99*12,MAX(0,TahunBuku*12-$Y99+1))/($V99*12)),IF($W99="Saldo Menurun",IF(TahunBuku-1&lt;YEAR($F99),$G99,IF(TahunBuku-1&gt;=INT(($Y99+$V99*12-2)/12),0,$G99*(1-2/$V99*(13-MONTH($F99))/12)*(1-2/$V99)^(TahunBuku-1-YEAR($F99)))),$G99)),$G99))</f>
        <v/>
      </c>
      <c r="AI99" s="21" t="str">
        <f>IF($B99="","",IFERROR(IF($W99="Garis Lurus",$G99*(1-MIN($V99*12,MAX(0,TahunBuku*12+12-$Y99+1))/($V99*12)),IF($W99="Saldo Menurun",IF(TahunBuku&lt;YEAR($F99),$G99,IF(TahunBuku&gt;=INT(($Y99+$V99*12-2)/12),0,$G99*(1-2/$V99*(13-MONTH($F99))/12)*(1-2/$V99)^(TahunBuku-YEAR($F99)))),$G99)),$G99))</f>
        <v/>
      </c>
      <c r="AJ99" s="20" t="str">
        <f>IF($B99="","",IF(OR($W99="Garis Lurus",$W99="Saldo Menurun"),MAX(0,MIN(TahunBuku*12+12,$Y99+$V99*12-1)-MAX(TahunBuku*12+1,$Y99)+1),0))</f>
        <v/>
      </c>
      <c r="AK99" s="20" t="str">
        <f>IF($B99="","",IF(OR($W99="Garis Lurus",$W99="Saldo Menurun"),MAX(0,MIN($Z99,TahunBuku*12+12,$Y99+$V99*12-1)-MAX(TahunBuku*12+1,$Y99)+1),0))</f>
        <v/>
      </c>
      <c r="AL99" s="22" t="str">
        <f>IF($B99="","",$G99*$AA99)</f>
        <v/>
      </c>
      <c r="AM99" s="22" t="str">
        <f>IF($B99="","",$G99*$AB99)</f>
        <v/>
      </c>
      <c r="AN99" s="22" t="str">
        <f>IF($B99="","",$G99*$AC99)</f>
        <v/>
      </c>
      <c r="AO99" s="22" t="str">
        <f>IF($B99="","",AL99+AM99-AN99)</f>
        <v/>
      </c>
      <c r="AP99" s="22" t="str">
        <f>IF($B99="","",($G99-$AD99)*$AA99)</f>
        <v/>
      </c>
      <c r="AQ99" s="22" t="str">
        <f>IF($B99="","",IF($AF99=0,0,($AD99-$AE99)*$AG99/$AF99)*MAX($AA99,$AB99))</f>
        <v/>
      </c>
      <c r="AR99" s="22" t="str">
        <f>IF($B99="","",(AP99+AQ99)*$AC99)</f>
        <v/>
      </c>
      <c r="AS99" s="22" t="str">
        <f>IF($B99="","",AP99+AQ99-AR99)</f>
        <v/>
      </c>
      <c r="AT99" s="22" t="str">
        <f>IF($B99="","",AO99-AS99)</f>
        <v/>
      </c>
      <c r="AU99" s="22" t="str">
        <f>IF($B99="","",IF($AC99=1,N($R99)-($G99-AR99),0))</f>
        <v/>
      </c>
      <c r="AV99" s="22" t="str">
        <f>IF($B99="","",($G99-$AH99)*$AA99)</f>
        <v/>
      </c>
      <c r="AW99" s="22" t="str">
        <f>IF($B99="","",IF($AJ99=0,0,($AH99-$AI99)*$AK99/$AJ99)*MAX($AA99,$AB99))</f>
        <v/>
      </c>
      <c r="AX99" s="22" t="str">
        <f>IF($B99="","",(AV99+AW99)*$AC99)</f>
        <v/>
      </c>
      <c r="AY99" s="22" t="str">
        <f>IF($B99="","",AV99+AW99-AX99)</f>
        <v/>
      </c>
      <c r="AZ99" s="22" t="str">
        <f>IF($B99="","",AO99-AY99)</f>
        <v/>
      </c>
      <c r="BA99" s="22" t="str">
        <f>IF($B99="","",IF($AC99=1,N($R99)-($G99-AX99),0))</f>
        <v/>
      </c>
      <c r="BB99" s="22" t="str">
        <f>IF($B99="","",ROUND(AQ99-AW99,0))</f>
        <v/>
      </c>
      <c r="BC99" s="22" t="str">
        <f>IF($B99="","",ROUND(BA99-AU99,0))</f>
        <v/>
      </c>
      <c r="BD99" s="22" t="str">
        <f>IF($B99="","",BB99+BC99)</f>
        <v/>
      </c>
      <c r="BE99" s="22" t="str">
        <f>IF($B99="","",ROUND(AV99-AP99,0))</f>
        <v/>
      </c>
      <c r="BF99" s="22" t="str">
        <f>IF($B99="","",ROUND(AT99-AZ99,0))</f>
        <v/>
      </c>
      <c r="BG99" s="22" t="str">
        <f>IF($B99="","",ROUND(BF99*TarifPPh,0))</f>
        <v/>
      </c>
      <c r="BH99" t="str">
        <f>IF($B99="","",IF($D99="","Kategori kosong",IF($F99="","Tgl perolehan kosong",IF(N($H99)&gt;$G99,"Residu &gt; harga perolehan",IF(AND(LEFT($U99,8)="Bangunan",$W99="Saldo Menurun"),"Bangunan wajib Garis Lurus (Ps.11 UU PPh)",IF(AND($S99="Unit Produksi",N($K99)=0),"Isi kapasitas unit",IF(AND(OR($S99="Garis Lurus",$S99="Saldo Menurun"),N($T99)&lt;=0),"Umur komersial kosong",IF(AND(OR($W99="Garis Lurus",$W99="Saldo Menurun"),N($V99)&lt;=0),"Masa manfaat fiskal kosong",IF(AND($Q99&lt;&gt;"",$Q99&lt;$F99),"Tgl pelepasan &lt; perolehan","OK")))))))))</f>
        <v/>
      </c>
    </row>
    <row r="100" spans="1:60" x14ac:dyDescent="0.25">
      <c r="A100" t="str">
        <f>IF($B100="","",ROW()-6)</f>
        <v/>
      </c>
      <c r="B100" s="9"/>
      <c r="C100" s="9"/>
      <c r="D100" s="9"/>
      <c r="E100" s="9"/>
      <c r="F100" s="17"/>
      <c r="G100" s="18"/>
      <c r="H100" s="18"/>
      <c r="I100" s="9"/>
      <c r="J100" s="9"/>
      <c r="K100" s="19"/>
      <c r="L100" s="19"/>
      <c r="M100" s="19"/>
      <c r="N100" s="9"/>
      <c r="O100" s="9"/>
      <c r="P100" s="9"/>
      <c r="Q100" s="17"/>
      <c r="R100" s="18"/>
      <c r="S100" t="str">
        <f>IF($B100="","",IF($I100&lt;&gt;"",$I100,IFERROR(INDEX(Kat_Metode,MATCH($D100,Kat_Nama,0)),"")))</f>
        <v/>
      </c>
      <c r="T100" t="str">
        <f>IF($B100="","",IF($J100&lt;&gt;"",$J100,IFERROR(INDEX(Kat_Umur,MATCH($D100,Kat_Nama,0)),0)))</f>
        <v/>
      </c>
      <c r="U100" t="str">
        <f>IF($B100="","",IF($N100&lt;&gt;"",$N100,IFERROR(INDEX(Kat_Kelompok,MATCH($D100,Kat_Nama,0)),"")))</f>
        <v/>
      </c>
      <c r="V100" t="str">
        <f>IF($B100="","",IF($U100="Masa Manfaat Sebenarnya",N($O100),IFERROR(INDEX(Kel_Masa,MATCH($U100,Kel_Nama,0)),0)))</f>
        <v/>
      </c>
      <c r="W100" t="str">
        <f>IF($B100="","",IF($P100&lt;&gt;"",$P100,IF(OR($U100="Tidak Disusutkan",$V100=0),"Tidak Disusutkan","Garis Lurus")))</f>
        <v/>
      </c>
      <c r="X100" t="str">
        <f>IF($B100="","",IF($Y100&gt;TahunBuku*12+12,"Belum Diperoleh",IF($Z100&lt;=TahunBuku*12,"Dilepas (thn lalu)",IF($AC100=1,"Dilepas thn ini",IF($AB100=1,"Perolehan baru","Aktif")))))</f>
        <v/>
      </c>
      <c r="Y100" s="20" t="str">
        <f>IF($B100="","",YEAR($F100)*12+MONTH($F100))</f>
        <v/>
      </c>
      <c r="Z100" s="20" t="str">
        <f>IF($B100="","",IF($Q100="",99999,YEAR($Q100)*12+MONTH($Q100)))</f>
        <v/>
      </c>
      <c r="AA100" s="20" t="str">
        <f>IF($B100="","",--AND($Y100&lt;=TahunBuku*12,$Z100&gt;TahunBuku*12))</f>
        <v/>
      </c>
      <c r="AB100" s="20" t="str">
        <f>IF($B100="","",--AND($Y100&gt;TahunBuku*12,$Y100&lt;=TahunBuku*12+12))</f>
        <v/>
      </c>
      <c r="AC100" s="20" t="str">
        <f>IF($B100="","",--AND($Z100&gt;TahunBuku*12,$Z100&lt;=TahunBuku*12+12,$Y100&lt;=$Z100))</f>
        <v/>
      </c>
      <c r="AD100" s="21" t="str">
        <f>IF($B100="","",IFERROR(IF($S100="Garis Lurus",$G100-($G100-$H100)*MIN($T100*12,MAX(0,TahunBuku*12-$Y100+1))/($T100*12),IF($S100="Saldo Menurun",IF(TahunBuku-1&lt;YEAR($F100),$G100,IF(TahunBuku-1&gt;=INT(($Y100+$T100*12-2)/12),$H100,MAX($H100,$G100*(1-2/$T100*(13-MONTH($F100))/12)*(1-2/$T100)^(TahunBuku-1-YEAR($F100))))),IF($S100="Unit Produksi",$G100-($G100-$H100)*MIN(1,N($L100)/$K100),$G100))),$G100))</f>
        <v/>
      </c>
      <c r="AE100" s="21" t="str">
        <f>IF($B100="","",IFERROR(IF($S100="Garis Lurus",$G100-($G100-$H100)*MIN($T100*12,MAX(0,TahunBuku*12+12-$Y100+1))/($T100*12),IF($S100="Saldo Menurun",IF(TahunBuku&lt;YEAR($F100),$G100,IF(TahunBuku&gt;=INT(($Y100+$T100*12-2)/12),$H100,MAX($H100,$G100*(1-2/$T100*(13-MONTH($F100))/12)*(1-2/$T100)^(TahunBuku-YEAR($F100))))),IF($S100="Unit Produksi",$G100-($G100-$H100)*MIN(1,(N($L100)+N($M100))/$K100),$G100))),$G100))</f>
        <v/>
      </c>
      <c r="AF100" s="20" t="str">
        <f>IF($B100="","",IF(OR($S100="Garis Lurus",$S100="Saldo Menurun",$S100="Unit Produksi"),MAX(0,IF($S100="Unit Produksi",TahunBuku*12+12,MIN(TahunBuku*12+12,$Y100+$T100*12-1))-MAX(TahunBuku*12+1,$Y100)+1),0))</f>
        <v/>
      </c>
      <c r="AG100" s="20" t="str">
        <f>IF($B100="","",IF(OR($S100="Garis Lurus",$S100="Saldo Menurun",$S100="Unit Produksi"),MAX(0,MIN($Z100,IF($S100="Unit Produksi",TahunBuku*12+12,MIN(TahunBuku*12+12,$Y100+$T100*12-1)))-MAX(TahunBuku*12+1,$Y100)+1),0))</f>
        <v/>
      </c>
      <c r="AH100" s="21" t="str">
        <f>IF($B100="","",IFERROR(IF($W100="Garis Lurus",$G100*(1-MIN($V100*12,MAX(0,TahunBuku*12-$Y100+1))/($V100*12)),IF($W100="Saldo Menurun",IF(TahunBuku-1&lt;YEAR($F100),$G100,IF(TahunBuku-1&gt;=INT(($Y100+$V100*12-2)/12),0,$G100*(1-2/$V100*(13-MONTH($F100))/12)*(1-2/$V100)^(TahunBuku-1-YEAR($F100)))),$G100)),$G100))</f>
        <v/>
      </c>
      <c r="AI100" s="21" t="str">
        <f>IF($B100="","",IFERROR(IF($W100="Garis Lurus",$G100*(1-MIN($V100*12,MAX(0,TahunBuku*12+12-$Y100+1))/($V100*12)),IF($W100="Saldo Menurun",IF(TahunBuku&lt;YEAR($F100),$G100,IF(TahunBuku&gt;=INT(($Y100+$V100*12-2)/12),0,$G100*(1-2/$V100*(13-MONTH($F100))/12)*(1-2/$V100)^(TahunBuku-YEAR($F100)))),$G100)),$G100))</f>
        <v/>
      </c>
      <c r="AJ100" s="20" t="str">
        <f>IF($B100="","",IF(OR($W100="Garis Lurus",$W100="Saldo Menurun"),MAX(0,MIN(TahunBuku*12+12,$Y100+$V100*12-1)-MAX(TahunBuku*12+1,$Y100)+1),0))</f>
        <v/>
      </c>
      <c r="AK100" s="20" t="str">
        <f>IF($B100="","",IF(OR($W100="Garis Lurus",$W100="Saldo Menurun"),MAX(0,MIN($Z100,TahunBuku*12+12,$Y100+$V100*12-1)-MAX(TahunBuku*12+1,$Y100)+1),0))</f>
        <v/>
      </c>
      <c r="AL100" s="22" t="str">
        <f>IF($B100="","",$G100*$AA100)</f>
        <v/>
      </c>
      <c r="AM100" s="22" t="str">
        <f>IF($B100="","",$G100*$AB100)</f>
        <v/>
      </c>
      <c r="AN100" s="22" t="str">
        <f>IF($B100="","",$G100*$AC100)</f>
        <v/>
      </c>
      <c r="AO100" s="22" t="str">
        <f>IF($B100="","",AL100+AM100-AN100)</f>
        <v/>
      </c>
      <c r="AP100" s="22" t="str">
        <f>IF($B100="","",($G100-$AD100)*$AA100)</f>
        <v/>
      </c>
      <c r="AQ100" s="22" t="str">
        <f>IF($B100="","",IF($AF100=0,0,($AD100-$AE100)*$AG100/$AF100)*MAX($AA100,$AB100))</f>
        <v/>
      </c>
      <c r="AR100" s="22" t="str">
        <f>IF($B100="","",(AP100+AQ100)*$AC100)</f>
        <v/>
      </c>
      <c r="AS100" s="22" t="str">
        <f>IF($B100="","",AP100+AQ100-AR100)</f>
        <v/>
      </c>
      <c r="AT100" s="22" t="str">
        <f>IF($B100="","",AO100-AS100)</f>
        <v/>
      </c>
      <c r="AU100" s="22" t="str">
        <f>IF($B100="","",IF($AC100=1,N($R100)-($G100-AR100),0))</f>
        <v/>
      </c>
      <c r="AV100" s="22" t="str">
        <f>IF($B100="","",($G100-$AH100)*$AA100)</f>
        <v/>
      </c>
      <c r="AW100" s="22" t="str">
        <f>IF($B100="","",IF($AJ100=0,0,($AH100-$AI100)*$AK100/$AJ100)*MAX($AA100,$AB100))</f>
        <v/>
      </c>
      <c r="AX100" s="22" t="str">
        <f>IF($B100="","",(AV100+AW100)*$AC100)</f>
        <v/>
      </c>
      <c r="AY100" s="22" t="str">
        <f>IF($B100="","",AV100+AW100-AX100)</f>
        <v/>
      </c>
      <c r="AZ100" s="22" t="str">
        <f>IF($B100="","",AO100-AY100)</f>
        <v/>
      </c>
      <c r="BA100" s="22" t="str">
        <f>IF($B100="","",IF($AC100=1,N($R100)-($G100-AX100),0))</f>
        <v/>
      </c>
      <c r="BB100" s="22" t="str">
        <f>IF($B100="","",ROUND(AQ100-AW100,0))</f>
        <v/>
      </c>
      <c r="BC100" s="22" t="str">
        <f>IF($B100="","",ROUND(BA100-AU100,0))</f>
        <v/>
      </c>
      <c r="BD100" s="22" t="str">
        <f>IF($B100="","",BB100+BC100)</f>
        <v/>
      </c>
      <c r="BE100" s="22" t="str">
        <f>IF($B100="","",ROUND(AV100-AP100,0))</f>
        <v/>
      </c>
      <c r="BF100" s="22" t="str">
        <f>IF($B100="","",ROUND(AT100-AZ100,0))</f>
        <v/>
      </c>
      <c r="BG100" s="22" t="str">
        <f>IF($B100="","",ROUND(BF100*TarifPPh,0))</f>
        <v/>
      </c>
      <c r="BH100" t="str">
        <f>IF($B100="","",IF($D100="","Kategori kosong",IF($F100="","Tgl perolehan kosong",IF(N($H100)&gt;$G100,"Residu &gt; harga perolehan",IF(AND(LEFT($U100,8)="Bangunan",$W100="Saldo Menurun"),"Bangunan wajib Garis Lurus (Ps.11 UU PPh)",IF(AND($S100="Unit Produksi",N($K100)=0),"Isi kapasitas unit",IF(AND(OR($S100="Garis Lurus",$S100="Saldo Menurun"),N($T100)&lt;=0),"Umur komersial kosong",IF(AND(OR($W100="Garis Lurus",$W100="Saldo Menurun"),N($V100)&lt;=0),"Masa manfaat fiskal kosong",IF(AND($Q100&lt;&gt;"",$Q100&lt;$F100),"Tgl pelepasan &lt; perolehan","OK")))))))))</f>
        <v/>
      </c>
    </row>
    <row r="101" spans="1:60" x14ac:dyDescent="0.25">
      <c r="A101" t="str">
        <f>IF($B101="","",ROW()-6)</f>
        <v/>
      </c>
      <c r="B101" s="9"/>
      <c r="C101" s="9"/>
      <c r="D101" s="9"/>
      <c r="E101" s="9"/>
      <c r="F101" s="17"/>
      <c r="G101" s="18"/>
      <c r="H101" s="18"/>
      <c r="I101" s="9"/>
      <c r="J101" s="9"/>
      <c r="K101" s="19"/>
      <c r="L101" s="19"/>
      <c r="M101" s="19"/>
      <c r="N101" s="9"/>
      <c r="O101" s="9"/>
      <c r="P101" s="9"/>
      <c r="Q101" s="17"/>
      <c r="R101" s="18"/>
      <c r="S101" t="str">
        <f>IF($B101="","",IF($I101&lt;&gt;"",$I101,IFERROR(INDEX(Kat_Metode,MATCH($D101,Kat_Nama,0)),"")))</f>
        <v/>
      </c>
      <c r="T101" t="str">
        <f>IF($B101="","",IF($J101&lt;&gt;"",$J101,IFERROR(INDEX(Kat_Umur,MATCH($D101,Kat_Nama,0)),0)))</f>
        <v/>
      </c>
      <c r="U101" t="str">
        <f>IF($B101="","",IF($N101&lt;&gt;"",$N101,IFERROR(INDEX(Kat_Kelompok,MATCH($D101,Kat_Nama,0)),"")))</f>
        <v/>
      </c>
      <c r="V101" t="str">
        <f>IF($B101="","",IF($U101="Masa Manfaat Sebenarnya",N($O101),IFERROR(INDEX(Kel_Masa,MATCH($U101,Kel_Nama,0)),0)))</f>
        <v/>
      </c>
      <c r="W101" t="str">
        <f>IF($B101="","",IF($P101&lt;&gt;"",$P101,IF(OR($U101="Tidak Disusutkan",$V101=0),"Tidak Disusutkan","Garis Lurus")))</f>
        <v/>
      </c>
      <c r="X101" t="str">
        <f>IF($B101="","",IF($Y101&gt;TahunBuku*12+12,"Belum Diperoleh",IF($Z101&lt;=TahunBuku*12,"Dilepas (thn lalu)",IF($AC101=1,"Dilepas thn ini",IF($AB101=1,"Perolehan baru","Aktif")))))</f>
        <v/>
      </c>
      <c r="Y101" s="20" t="str">
        <f>IF($B101="","",YEAR($F101)*12+MONTH($F101))</f>
        <v/>
      </c>
      <c r="Z101" s="20" t="str">
        <f>IF($B101="","",IF($Q101="",99999,YEAR($Q101)*12+MONTH($Q101)))</f>
        <v/>
      </c>
      <c r="AA101" s="20" t="str">
        <f>IF($B101="","",--AND($Y101&lt;=TahunBuku*12,$Z101&gt;TahunBuku*12))</f>
        <v/>
      </c>
      <c r="AB101" s="20" t="str">
        <f>IF($B101="","",--AND($Y101&gt;TahunBuku*12,$Y101&lt;=TahunBuku*12+12))</f>
        <v/>
      </c>
      <c r="AC101" s="20" t="str">
        <f>IF($B101="","",--AND($Z101&gt;TahunBuku*12,$Z101&lt;=TahunBuku*12+12,$Y101&lt;=$Z101))</f>
        <v/>
      </c>
      <c r="AD101" s="21" t="str">
        <f>IF($B101="","",IFERROR(IF($S101="Garis Lurus",$G101-($G101-$H101)*MIN($T101*12,MAX(0,TahunBuku*12-$Y101+1))/($T101*12),IF($S101="Saldo Menurun",IF(TahunBuku-1&lt;YEAR($F101),$G101,IF(TahunBuku-1&gt;=INT(($Y101+$T101*12-2)/12),$H101,MAX($H101,$G101*(1-2/$T101*(13-MONTH($F101))/12)*(1-2/$T101)^(TahunBuku-1-YEAR($F101))))),IF($S101="Unit Produksi",$G101-($G101-$H101)*MIN(1,N($L101)/$K101),$G101))),$G101))</f>
        <v/>
      </c>
      <c r="AE101" s="21" t="str">
        <f>IF($B101="","",IFERROR(IF($S101="Garis Lurus",$G101-($G101-$H101)*MIN($T101*12,MAX(0,TahunBuku*12+12-$Y101+1))/($T101*12),IF($S101="Saldo Menurun",IF(TahunBuku&lt;YEAR($F101),$G101,IF(TahunBuku&gt;=INT(($Y101+$T101*12-2)/12),$H101,MAX($H101,$G101*(1-2/$T101*(13-MONTH($F101))/12)*(1-2/$T101)^(TahunBuku-YEAR($F101))))),IF($S101="Unit Produksi",$G101-($G101-$H101)*MIN(1,(N($L101)+N($M101))/$K101),$G101))),$G101))</f>
        <v/>
      </c>
      <c r="AF101" s="20" t="str">
        <f>IF($B101="","",IF(OR($S101="Garis Lurus",$S101="Saldo Menurun",$S101="Unit Produksi"),MAX(0,IF($S101="Unit Produksi",TahunBuku*12+12,MIN(TahunBuku*12+12,$Y101+$T101*12-1))-MAX(TahunBuku*12+1,$Y101)+1),0))</f>
        <v/>
      </c>
      <c r="AG101" s="20" t="str">
        <f>IF($B101="","",IF(OR($S101="Garis Lurus",$S101="Saldo Menurun",$S101="Unit Produksi"),MAX(0,MIN($Z101,IF($S101="Unit Produksi",TahunBuku*12+12,MIN(TahunBuku*12+12,$Y101+$T101*12-1)))-MAX(TahunBuku*12+1,$Y101)+1),0))</f>
        <v/>
      </c>
      <c r="AH101" s="21" t="str">
        <f>IF($B101="","",IFERROR(IF($W101="Garis Lurus",$G101*(1-MIN($V101*12,MAX(0,TahunBuku*12-$Y101+1))/($V101*12)),IF($W101="Saldo Menurun",IF(TahunBuku-1&lt;YEAR($F101),$G101,IF(TahunBuku-1&gt;=INT(($Y101+$V101*12-2)/12),0,$G101*(1-2/$V101*(13-MONTH($F101))/12)*(1-2/$V101)^(TahunBuku-1-YEAR($F101)))),$G101)),$G101))</f>
        <v/>
      </c>
      <c r="AI101" s="21" t="str">
        <f>IF($B101="","",IFERROR(IF($W101="Garis Lurus",$G101*(1-MIN($V101*12,MAX(0,TahunBuku*12+12-$Y101+1))/($V101*12)),IF($W101="Saldo Menurun",IF(TahunBuku&lt;YEAR($F101),$G101,IF(TahunBuku&gt;=INT(($Y101+$V101*12-2)/12),0,$G101*(1-2/$V101*(13-MONTH($F101))/12)*(1-2/$V101)^(TahunBuku-YEAR($F101)))),$G101)),$G101))</f>
        <v/>
      </c>
      <c r="AJ101" s="20" t="str">
        <f>IF($B101="","",IF(OR($W101="Garis Lurus",$W101="Saldo Menurun"),MAX(0,MIN(TahunBuku*12+12,$Y101+$V101*12-1)-MAX(TahunBuku*12+1,$Y101)+1),0))</f>
        <v/>
      </c>
      <c r="AK101" s="20" t="str">
        <f>IF($B101="","",IF(OR($W101="Garis Lurus",$W101="Saldo Menurun"),MAX(0,MIN($Z101,TahunBuku*12+12,$Y101+$V101*12-1)-MAX(TahunBuku*12+1,$Y101)+1),0))</f>
        <v/>
      </c>
      <c r="AL101" s="22" t="str">
        <f>IF($B101="","",$G101*$AA101)</f>
        <v/>
      </c>
      <c r="AM101" s="22" t="str">
        <f>IF($B101="","",$G101*$AB101)</f>
        <v/>
      </c>
      <c r="AN101" s="22" t="str">
        <f>IF($B101="","",$G101*$AC101)</f>
        <v/>
      </c>
      <c r="AO101" s="22" t="str">
        <f>IF($B101="","",AL101+AM101-AN101)</f>
        <v/>
      </c>
      <c r="AP101" s="22" t="str">
        <f>IF($B101="","",($G101-$AD101)*$AA101)</f>
        <v/>
      </c>
      <c r="AQ101" s="22" t="str">
        <f>IF($B101="","",IF($AF101=0,0,($AD101-$AE101)*$AG101/$AF101)*MAX($AA101,$AB101))</f>
        <v/>
      </c>
      <c r="AR101" s="22" t="str">
        <f>IF($B101="","",(AP101+AQ101)*$AC101)</f>
        <v/>
      </c>
      <c r="AS101" s="22" t="str">
        <f>IF($B101="","",AP101+AQ101-AR101)</f>
        <v/>
      </c>
      <c r="AT101" s="22" t="str">
        <f>IF($B101="","",AO101-AS101)</f>
        <v/>
      </c>
      <c r="AU101" s="22" t="str">
        <f>IF($B101="","",IF($AC101=1,N($R101)-($G101-AR101),0))</f>
        <v/>
      </c>
      <c r="AV101" s="22" t="str">
        <f>IF($B101="","",($G101-$AH101)*$AA101)</f>
        <v/>
      </c>
      <c r="AW101" s="22" t="str">
        <f>IF($B101="","",IF($AJ101=0,0,($AH101-$AI101)*$AK101/$AJ101)*MAX($AA101,$AB101))</f>
        <v/>
      </c>
      <c r="AX101" s="22" t="str">
        <f>IF($B101="","",(AV101+AW101)*$AC101)</f>
        <v/>
      </c>
      <c r="AY101" s="22" t="str">
        <f>IF($B101="","",AV101+AW101-AX101)</f>
        <v/>
      </c>
      <c r="AZ101" s="22" t="str">
        <f>IF($B101="","",AO101-AY101)</f>
        <v/>
      </c>
      <c r="BA101" s="22" t="str">
        <f>IF($B101="","",IF($AC101=1,N($R101)-($G101-AX101),0))</f>
        <v/>
      </c>
      <c r="BB101" s="22" t="str">
        <f>IF($B101="","",ROUND(AQ101-AW101,0))</f>
        <v/>
      </c>
      <c r="BC101" s="22" t="str">
        <f>IF($B101="","",ROUND(BA101-AU101,0))</f>
        <v/>
      </c>
      <c r="BD101" s="22" t="str">
        <f>IF($B101="","",BB101+BC101)</f>
        <v/>
      </c>
      <c r="BE101" s="22" t="str">
        <f>IF($B101="","",ROUND(AV101-AP101,0))</f>
        <v/>
      </c>
      <c r="BF101" s="22" t="str">
        <f>IF($B101="","",ROUND(AT101-AZ101,0))</f>
        <v/>
      </c>
      <c r="BG101" s="22" t="str">
        <f>IF($B101="","",ROUND(BF101*TarifPPh,0))</f>
        <v/>
      </c>
      <c r="BH101" t="str">
        <f>IF($B101="","",IF($D101="","Kategori kosong",IF($F101="","Tgl perolehan kosong",IF(N($H101)&gt;$G101,"Residu &gt; harga perolehan",IF(AND(LEFT($U101,8)="Bangunan",$W101="Saldo Menurun"),"Bangunan wajib Garis Lurus (Ps.11 UU PPh)",IF(AND($S101="Unit Produksi",N($K101)=0),"Isi kapasitas unit",IF(AND(OR($S101="Garis Lurus",$S101="Saldo Menurun"),N($T101)&lt;=0),"Umur komersial kosong",IF(AND(OR($W101="Garis Lurus",$W101="Saldo Menurun"),N($V101)&lt;=0),"Masa manfaat fiskal kosong",IF(AND($Q101&lt;&gt;"",$Q101&lt;$F101),"Tgl pelepasan &lt; perolehan","OK")))))))))</f>
        <v/>
      </c>
    </row>
    <row r="102" spans="1:60" x14ac:dyDescent="0.25">
      <c r="A102" t="str">
        <f>IF($B102="","",ROW()-6)</f>
        <v/>
      </c>
      <c r="B102" s="9"/>
      <c r="C102" s="9"/>
      <c r="D102" s="9"/>
      <c r="E102" s="9"/>
      <c r="F102" s="17"/>
      <c r="G102" s="18"/>
      <c r="H102" s="18"/>
      <c r="I102" s="9"/>
      <c r="J102" s="9"/>
      <c r="K102" s="19"/>
      <c r="L102" s="19"/>
      <c r="M102" s="19"/>
      <c r="N102" s="9"/>
      <c r="O102" s="9"/>
      <c r="P102" s="9"/>
      <c r="Q102" s="17"/>
      <c r="R102" s="18"/>
      <c r="S102" t="str">
        <f>IF($B102="","",IF($I102&lt;&gt;"",$I102,IFERROR(INDEX(Kat_Metode,MATCH($D102,Kat_Nama,0)),"")))</f>
        <v/>
      </c>
      <c r="T102" t="str">
        <f>IF($B102="","",IF($J102&lt;&gt;"",$J102,IFERROR(INDEX(Kat_Umur,MATCH($D102,Kat_Nama,0)),0)))</f>
        <v/>
      </c>
      <c r="U102" t="str">
        <f>IF($B102="","",IF($N102&lt;&gt;"",$N102,IFERROR(INDEX(Kat_Kelompok,MATCH($D102,Kat_Nama,0)),"")))</f>
        <v/>
      </c>
      <c r="V102" t="str">
        <f>IF($B102="","",IF($U102="Masa Manfaat Sebenarnya",N($O102),IFERROR(INDEX(Kel_Masa,MATCH($U102,Kel_Nama,0)),0)))</f>
        <v/>
      </c>
      <c r="W102" t="str">
        <f>IF($B102="","",IF($P102&lt;&gt;"",$P102,IF(OR($U102="Tidak Disusutkan",$V102=0),"Tidak Disusutkan","Garis Lurus")))</f>
        <v/>
      </c>
      <c r="X102" t="str">
        <f>IF($B102="","",IF($Y102&gt;TahunBuku*12+12,"Belum Diperoleh",IF($Z102&lt;=TahunBuku*12,"Dilepas (thn lalu)",IF($AC102=1,"Dilepas thn ini",IF($AB102=1,"Perolehan baru","Aktif")))))</f>
        <v/>
      </c>
      <c r="Y102" s="20" t="str">
        <f>IF($B102="","",YEAR($F102)*12+MONTH($F102))</f>
        <v/>
      </c>
      <c r="Z102" s="20" t="str">
        <f>IF($B102="","",IF($Q102="",99999,YEAR($Q102)*12+MONTH($Q102)))</f>
        <v/>
      </c>
      <c r="AA102" s="20" t="str">
        <f>IF($B102="","",--AND($Y102&lt;=TahunBuku*12,$Z102&gt;TahunBuku*12))</f>
        <v/>
      </c>
      <c r="AB102" s="20" t="str">
        <f>IF($B102="","",--AND($Y102&gt;TahunBuku*12,$Y102&lt;=TahunBuku*12+12))</f>
        <v/>
      </c>
      <c r="AC102" s="20" t="str">
        <f>IF($B102="","",--AND($Z102&gt;TahunBuku*12,$Z102&lt;=TahunBuku*12+12,$Y102&lt;=$Z102))</f>
        <v/>
      </c>
      <c r="AD102" s="21" t="str">
        <f>IF($B102="","",IFERROR(IF($S102="Garis Lurus",$G102-($G102-$H102)*MIN($T102*12,MAX(0,TahunBuku*12-$Y102+1))/($T102*12),IF($S102="Saldo Menurun",IF(TahunBuku-1&lt;YEAR($F102),$G102,IF(TahunBuku-1&gt;=INT(($Y102+$T102*12-2)/12),$H102,MAX($H102,$G102*(1-2/$T102*(13-MONTH($F102))/12)*(1-2/$T102)^(TahunBuku-1-YEAR($F102))))),IF($S102="Unit Produksi",$G102-($G102-$H102)*MIN(1,N($L102)/$K102),$G102))),$G102))</f>
        <v/>
      </c>
      <c r="AE102" s="21" t="str">
        <f>IF($B102="","",IFERROR(IF($S102="Garis Lurus",$G102-($G102-$H102)*MIN($T102*12,MAX(0,TahunBuku*12+12-$Y102+1))/($T102*12),IF($S102="Saldo Menurun",IF(TahunBuku&lt;YEAR($F102),$G102,IF(TahunBuku&gt;=INT(($Y102+$T102*12-2)/12),$H102,MAX($H102,$G102*(1-2/$T102*(13-MONTH($F102))/12)*(1-2/$T102)^(TahunBuku-YEAR($F102))))),IF($S102="Unit Produksi",$G102-($G102-$H102)*MIN(1,(N($L102)+N($M102))/$K102),$G102))),$G102))</f>
        <v/>
      </c>
      <c r="AF102" s="20" t="str">
        <f>IF($B102="","",IF(OR($S102="Garis Lurus",$S102="Saldo Menurun",$S102="Unit Produksi"),MAX(0,IF($S102="Unit Produksi",TahunBuku*12+12,MIN(TahunBuku*12+12,$Y102+$T102*12-1))-MAX(TahunBuku*12+1,$Y102)+1),0))</f>
        <v/>
      </c>
      <c r="AG102" s="20" t="str">
        <f>IF($B102="","",IF(OR($S102="Garis Lurus",$S102="Saldo Menurun",$S102="Unit Produksi"),MAX(0,MIN($Z102,IF($S102="Unit Produksi",TahunBuku*12+12,MIN(TahunBuku*12+12,$Y102+$T102*12-1)))-MAX(TahunBuku*12+1,$Y102)+1),0))</f>
        <v/>
      </c>
      <c r="AH102" s="21" t="str">
        <f>IF($B102="","",IFERROR(IF($W102="Garis Lurus",$G102*(1-MIN($V102*12,MAX(0,TahunBuku*12-$Y102+1))/($V102*12)),IF($W102="Saldo Menurun",IF(TahunBuku-1&lt;YEAR($F102),$G102,IF(TahunBuku-1&gt;=INT(($Y102+$V102*12-2)/12),0,$G102*(1-2/$V102*(13-MONTH($F102))/12)*(1-2/$V102)^(TahunBuku-1-YEAR($F102)))),$G102)),$G102))</f>
        <v/>
      </c>
      <c r="AI102" s="21" t="str">
        <f>IF($B102="","",IFERROR(IF($W102="Garis Lurus",$G102*(1-MIN($V102*12,MAX(0,TahunBuku*12+12-$Y102+1))/($V102*12)),IF($W102="Saldo Menurun",IF(TahunBuku&lt;YEAR($F102),$G102,IF(TahunBuku&gt;=INT(($Y102+$V102*12-2)/12),0,$G102*(1-2/$V102*(13-MONTH($F102))/12)*(1-2/$V102)^(TahunBuku-YEAR($F102)))),$G102)),$G102))</f>
        <v/>
      </c>
      <c r="AJ102" s="20" t="str">
        <f>IF($B102="","",IF(OR($W102="Garis Lurus",$W102="Saldo Menurun"),MAX(0,MIN(TahunBuku*12+12,$Y102+$V102*12-1)-MAX(TahunBuku*12+1,$Y102)+1),0))</f>
        <v/>
      </c>
      <c r="AK102" s="20" t="str">
        <f>IF($B102="","",IF(OR($W102="Garis Lurus",$W102="Saldo Menurun"),MAX(0,MIN($Z102,TahunBuku*12+12,$Y102+$V102*12-1)-MAX(TahunBuku*12+1,$Y102)+1),0))</f>
        <v/>
      </c>
      <c r="AL102" s="22" t="str">
        <f>IF($B102="","",$G102*$AA102)</f>
        <v/>
      </c>
      <c r="AM102" s="22" t="str">
        <f>IF($B102="","",$G102*$AB102)</f>
        <v/>
      </c>
      <c r="AN102" s="22" t="str">
        <f>IF($B102="","",$G102*$AC102)</f>
        <v/>
      </c>
      <c r="AO102" s="22" t="str">
        <f>IF($B102="","",AL102+AM102-AN102)</f>
        <v/>
      </c>
      <c r="AP102" s="22" t="str">
        <f>IF($B102="","",($G102-$AD102)*$AA102)</f>
        <v/>
      </c>
      <c r="AQ102" s="22" t="str">
        <f>IF($B102="","",IF($AF102=0,0,($AD102-$AE102)*$AG102/$AF102)*MAX($AA102,$AB102))</f>
        <v/>
      </c>
      <c r="AR102" s="22" t="str">
        <f>IF($B102="","",(AP102+AQ102)*$AC102)</f>
        <v/>
      </c>
      <c r="AS102" s="22" t="str">
        <f>IF($B102="","",AP102+AQ102-AR102)</f>
        <v/>
      </c>
      <c r="AT102" s="22" t="str">
        <f>IF($B102="","",AO102-AS102)</f>
        <v/>
      </c>
      <c r="AU102" s="22" t="str">
        <f>IF($B102="","",IF($AC102=1,N($R102)-($G102-AR102),0))</f>
        <v/>
      </c>
      <c r="AV102" s="22" t="str">
        <f>IF($B102="","",($G102-$AH102)*$AA102)</f>
        <v/>
      </c>
      <c r="AW102" s="22" t="str">
        <f>IF($B102="","",IF($AJ102=0,0,($AH102-$AI102)*$AK102/$AJ102)*MAX($AA102,$AB102))</f>
        <v/>
      </c>
      <c r="AX102" s="22" t="str">
        <f>IF($B102="","",(AV102+AW102)*$AC102)</f>
        <v/>
      </c>
      <c r="AY102" s="22" t="str">
        <f>IF($B102="","",AV102+AW102-AX102)</f>
        <v/>
      </c>
      <c r="AZ102" s="22" t="str">
        <f>IF($B102="","",AO102-AY102)</f>
        <v/>
      </c>
      <c r="BA102" s="22" t="str">
        <f>IF($B102="","",IF($AC102=1,N($R102)-($G102-AX102),0))</f>
        <v/>
      </c>
      <c r="BB102" s="22" t="str">
        <f>IF($B102="","",ROUND(AQ102-AW102,0))</f>
        <v/>
      </c>
      <c r="BC102" s="22" t="str">
        <f>IF($B102="","",ROUND(BA102-AU102,0))</f>
        <v/>
      </c>
      <c r="BD102" s="22" t="str">
        <f>IF($B102="","",BB102+BC102)</f>
        <v/>
      </c>
      <c r="BE102" s="22" t="str">
        <f>IF($B102="","",ROUND(AV102-AP102,0))</f>
        <v/>
      </c>
      <c r="BF102" s="22" t="str">
        <f>IF($B102="","",ROUND(AT102-AZ102,0))</f>
        <v/>
      </c>
      <c r="BG102" s="22" t="str">
        <f>IF($B102="","",ROUND(BF102*TarifPPh,0))</f>
        <v/>
      </c>
      <c r="BH102" t="str">
        <f>IF($B102="","",IF($D102="","Kategori kosong",IF($F102="","Tgl perolehan kosong",IF(N($H102)&gt;$G102,"Residu &gt; harga perolehan",IF(AND(LEFT($U102,8)="Bangunan",$W102="Saldo Menurun"),"Bangunan wajib Garis Lurus (Ps.11 UU PPh)",IF(AND($S102="Unit Produksi",N($K102)=0),"Isi kapasitas unit",IF(AND(OR($S102="Garis Lurus",$S102="Saldo Menurun"),N($T102)&lt;=0),"Umur komersial kosong",IF(AND(OR($W102="Garis Lurus",$W102="Saldo Menurun"),N($V102)&lt;=0),"Masa manfaat fiskal kosong",IF(AND($Q102&lt;&gt;"",$Q102&lt;$F102),"Tgl pelepasan &lt; perolehan","OK")))))))))</f>
        <v/>
      </c>
    </row>
    <row r="103" spans="1:60" x14ac:dyDescent="0.25">
      <c r="A103" t="str">
        <f>IF($B103="","",ROW()-6)</f>
        <v/>
      </c>
      <c r="B103" s="9"/>
      <c r="C103" s="9"/>
      <c r="D103" s="9"/>
      <c r="E103" s="9"/>
      <c r="F103" s="17"/>
      <c r="G103" s="18"/>
      <c r="H103" s="18"/>
      <c r="I103" s="9"/>
      <c r="J103" s="9"/>
      <c r="K103" s="19"/>
      <c r="L103" s="19"/>
      <c r="M103" s="19"/>
      <c r="N103" s="9"/>
      <c r="O103" s="9"/>
      <c r="P103" s="9"/>
      <c r="Q103" s="17"/>
      <c r="R103" s="18"/>
      <c r="S103" t="str">
        <f>IF($B103="","",IF($I103&lt;&gt;"",$I103,IFERROR(INDEX(Kat_Metode,MATCH($D103,Kat_Nama,0)),"")))</f>
        <v/>
      </c>
      <c r="T103" t="str">
        <f>IF($B103="","",IF($J103&lt;&gt;"",$J103,IFERROR(INDEX(Kat_Umur,MATCH($D103,Kat_Nama,0)),0)))</f>
        <v/>
      </c>
      <c r="U103" t="str">
        <f>IF($B103="","",IF($N103&lt;&gt;"",$N103,IFERROR(INDEX(Kat_Kelompok,MATCH($D103,Kat_Nama,0)),"")))</f>
        <v/>
      </c>
      <c r="V103" t="str">
        <f>IF($B103="","",IF($U103="Masa Manfaat Sebenarnya",N($O103),IFERROR(INDEX(Kel_Masa,MATCH($U103,Kel_Nama,0)),0)))</f>
        <v/>
      </c>
      <c r="W103" t="str">
        <f>IF($B103="","",IF($P103&lt;&gt;"",$P103,IF(OR($U103="Tidak Disusutkan",$V103=0),"Tidak Disusutkan","Garis Lurus")))</f>
        <v/>
      </c>
      <c r="X103" t="str">
        <f>IF($B103="","",IF($Y103&gt;TahunBuku*12+12,"Belum Diperoleh",IF($Z103&lt;=TahunBuku*12,"Dilepas (thn lalu)",IF($AC103=1,"Dilepas thn ini",IF($AB103=1,"Perolehan baru","Aktif")))))</f>
        <v/>
      </c>
      <c r="Y103" s="20" t="str">
        <f>IF($B103="","",YEAR($F103)*12+MONTH($F103))</f>
        <v/>
      </c>
      <c r="Z103" s="20" t="str">
        <f>IF($B103="","",IF($Q103="",99999,YEAR($Q103)*12+MONTH($Q103)))</f>
        <v/>
      </c>
      <c r="AA103" s="20" t="str">
        <f>IF($B103="","",--AND($Y103&lt;=TahunBuku*12,$Z103&gt;TahunBuku*12))</f>
        <v/>
      </c>
      <c r="AB103" s="20" t="str">
        <f>IF($B103="","",--AND($Y103&gt;TahunBuku*12,$Y103&lt;=TahunBuku*12+12))</f>
        <v/>
      </c>
      <c r="AC103" s="20" t="str">
        <f>IF($B103="","",--AND($Z103&gt;TahunBuku*12,$Z103&lt;=TahunBuku*12+12,$Y103&lt;=$Z103))</f>
        <v/>
      </c>
      <c r="AD103" s="21" t="str">
        <f>IF($B103="","",IFERROR(IF($S103="Garis Lurus",$G103-($G103-$H103)*MIN($T103*12,MAX(0,TahunBuku*12-$Y103+1))/($T103*12),IF($S103="Saldo Menurun",IF(TahunBuku-1&lt;YEAR($F103),$G103,IF(TahunBuku-1&gt;=INT(($Y103+$T103*12-2)/12),$H103,MAX($H103,$G103*(1-2/$T103*(13-MONTH($F103))/12)*(1-2/$T103)^(TahunBuku-1-YEAR($F103))))),IF($S103="Unit Produksi",$G103-($G103-$H103)*MIN(1,N($L103)/$K103),$G103))),$G103))</f>
        <v/>
      </c>
      <c r="AE103" s="21" t="str">
        <f>IF($B103="","",IFERROR(IF($S103="Garis Lurus",$G103-($G103-$H103)*MIN($T103*12,MAX(0,TahunBuku*12+12-$Y103+1))/($T103*12),IF($S103="Saldo Menurun",IF(TahunBuku&lt;YEAR($F103),$G103,IF(TahunBuku&gt;=INT(($Y103+$T103*12-2)/12),$H103,MAX($H103,$G103*(1-2/$T103*(13-MONTH($F103))/12)*(1-2/$T103)^(TahunBuku-YEAR($F103))))),IF($S103="Unit Produksi",$G103-($G103-$H103)*MIN(1,(N($L103)+N($M103))/$K103),$G103))),$G103))</f>
        <v/>
      </c>
      <c r="AF103" s="20" t="str">
        <f>IF($B103="","",IF(OR($S103="Garis Lurus",$S103="Saldo Menurun",$S103="Unit Produksi"),MAX(0,IF($S103="Unit Produksi",TahunBuku*12+12,MIN(TahunBuku*12+12,$Y103+$T103*12-1))-MAX(TahunBuku*12+1,$Y103)+1),0))</f>
        <v/>
      </c>
      <c r="AG103" s="20" t="str">
        <f>IF($B103="","",IF(OR($S103="Garis Lurus",$S103="Saldo Menurun",$S103="Unit Produksi"),MAX(0,MIN($Z103,IF($S103="Unit Produksi",TahunBuku*12+12,MIN(TahunBuku*12+12,$Y103+$T103*12-1)))-MAX(TahunBuku*12+1,$Y103)+1),0))</f>
        <v/>
      </c>
      <c r="AH103" s="21" t="str">
        <f>IF($B103="","",IFERROR(IF($W103="Garis Lurus",$G103*(1-MIN($V103*12,MAX(0,TahunBuku*12-$Y103+1))/($V103*12)),IF($W103="Saldo Menurun",IF(TahunBuku-1&lt;YEAR($F103),$G103,IF(TahunBuku-1&gt;=INT(($Y103+$V103*12-2)/12),0,$G103*(1-2/$V103*(13-MONTH($F103))/12)*(1-2/$V103)^(TahunBuku-1-YEAR($F103)))),$G103)),$G103))</f>
        <v/>
      </c>
      <c r="AI103" s="21" t="str">
        <f>IF($B103="","",IFERROR(IF($W103="Garis Lurus",$G103*(1-MIN($V103*12,MAX(0,TahunBuku*12+12-$Y103+1))/($V103*12)),IF($W103="Saldo Menurun",IF(TahunBuku&lt;YEAR($F103),$G103,IF(TahunBuku&gt;=INT(($Y103+$V103*12-2)/12),0,$G103*(1-2/$V103*(13-MONTH($F103))/12)*(1-2/$V103)^(TahunBuku-YEAR($F103)))),$G103)),$G103))</f>
        <v/>
      </c>
      <c r="AJ103" s="20" t="str">
        <f>IF($B103="","",IF(OR($W103="Garis Lurus",$W103="Saldo Menurun"),MAX(0,MIN(TahunBuku*12+12,$Y103+$V103*12-1)-MAX(TahunBuku*12+1,$Y103)+1),0))</f>
        <v/>
      </c>
      <c r="AK103" s="20" t="str">
        <f>IF($B103="","",IF(OR($W103="Garis Lurus",$W103="Saldo Menurun"),MAX(0,MIN($Z103,TahunBuku*12+12,$Y103+$V103*12-1)-MAX(TahunBuku*12+1,$Y103)+1),0))</f>
        <v/>
      </c>
      <c r="AL103" s="22" t="str">
        <f>IF($B103="","",$G103*$AA103)</f>
        <v/>
      </c>
      <c r="AM103" s="22" t="str">
        <f>IF($B103="","",$G103*$AB103)</f>
        <v/>
      </c>
      <c r="AN103" s="22" t="str">
        <f>IF($B103="","",$G103*$AC103)</f>
        <v/>
      </c>
      <c r="AO103" s="22" t="str">
        <f>IF($B103="","",AL103+AM103-AN103)</f>
        <v/>
      </c>
      <c r="AP103" s="22" t="str">
        <f>IF($B103="","",($G103-$AD103)*$AA103)</f>
        <v/>
      </c>
      <c r="AQ103" s="22" t="str">
        <f>IF($B103="","",IF($AF103=0,0,($AD103-$AE103)*$AG103/$AF103)*MAX($AA103,$AB103))</f>
        <v/>
      </c>
      <c r="AR103" s="22" t="str">
        <f>IF($B103="","",(AP103+AQ103)*$AC103)</f>
        <v/>
      </c>
      <c r="AS103" s="22" t="str">
        <f>IF($B103="","",AP103+AQ103-AR103)</f>
        <v/>
      </c>
      <c r="AT103" s="22" t="str">
        <f>IF($B103="","",AO103-AS103)</f>
        <v/>
      </c>
      <c r="AU103" s="22" t="str">
        <f>IF($B103="","",IF($AC103=1,N($R103)-($G103-AR103),0))</f>
        <v/>
      </c>
      <c r="AV103" s="22" t="str">
        <f>IF($B103="","",($G103-$AH103)*$AA103)</f>
        <v/>
      </c>
      <c r="AW103" s="22" t="str">
        <f>IF($B103="","",IF($AJ103=0,0,($AH103-$AI103)*$AK103/$AJ103)*MAX($AA103,$AB103))</f>
        <v/>
      </c>
      <c r="AX103" s="22" t="str">
        <f>IF($B103="","",(AV103+AW103)*$AC103)</f>
        <v/>
      </c>
      <c r="AY103" s="22" t="str">
        <f>IF($B103="","",AV103+AW103-AX103)</f>
        <v/>
      </c>
      <c r="AZ103" s="22" t="str">
        <f>IF($B103="","",AO103-AY103)</f>
        <v/>
      </c>
      <c r="BA103" s="22" t="str">
        <f>IF($B103="","",IF($AC103=1,N($R103)-($G103-AX103),0))</f>
        <v/>
      </c>
      <c r="BB103" s="22" t="str">
        <f>IF($B103="","",ROUND(AQ103-AW103,0))</f>
        <v/>
      </c>
      <c r="BC103" s="22" t="str">
        <f>IF($B103="","",ROUND(BA103-AU103,0))</f>
        <v/>
      </c>
      <c r="BD103" s="22" t="str">
        <f>IF($B103="","",BB103+BC103)</f>
        <v/>
      </c>
      <c r="BE103" s="22" t="str">
        <f>IF($B103="","",ROUND(AV103-AP103,0))</f>
        <v/>
      </c>
      <c r="BF103" s="22" t="str">
        <f>IF($B103="","",ROUND(AT103-AZ103,0))</f>
        <v/>
      </c>
      <c r="BG103" s="22" t="str">
        <f>IF($B103="","",ROUND(BF103*TarifPPh,0))</f>
        <v/>
      </c>
      <c r="BH103" t="str">
        <f>IF($B103="","",IF($D103="","Kategori kosong",IF($F103="","Tgl perolehan kosong",IF(N($H103)&gt;$G103,"Residu &gt; harga perolehan",IF(AND(LEFT($U103,8)="Bangunan",$W103="Saldo Menurun"),"Bangunan wajib Garis Lurus (Ps.11 UU PPh)",IF(AND($S103="Unit Produksi",N($K103)=0),"Isi kapasitas unit",IF(AND(OR($S103="Garis Lurus",$S103="Saldo Menurun"),N($T103)&lt;=0),"Umur komersial kosong",IF(AND(OR($W103="Garis Lurus",$W103="Saldo Menurun"),N($V103)&lt;=0),"Masa manfaat fiskal kosong",IF(AND($Q103&lt;&gt;"",$Q103&lt;$F103),"Tgl pelepasan &lt; perolehan","OK")))))))))</f>
        <v/>
      </c>
    </row>
    <row r="104" spans="1:60" x14ac:dyDescent="0.25">
      <c r="A104" t="str">
        <f>IF($B104="","",ROW()-6)</f>
        <v/>
      </c>
      <c r="B104" s="9"/>
      <c r="C104" s="9"/>
      <c r="D104" s="9"/>
      <c r="E104" s="9"/>
      <c r="F104" s="17"/>
      <c r="G104" s="18"/>
      <c r="H104" s="18"/>
      <c r="I104" s="9"/>
      <c r="J104" s="9"/>
      <c r="K104" s="19"/>
      <c r="L104" s="19"/>
      <c r="M104" s="19"/>
      <c r="N104" s="9"/>
      <c r="O104" s="9"/>
      <c r="P104" s="9"/>
      <c r="Q104" s="17"/>
      <c r="R104" s="18"/>
      <c r="S104" t="str">
        <f>IF($B104="","",IF($I104&lt;&gt;"",$I104,IFERROR(INDEX(Kat_Metode,MATCH($D104,Kat_Nama,0)),"")))</f>
        <v/>
      </c>
      <c r="T104" t="str">
        <f>IF($B104="","",IF($J104&lt;&gt;"",$J104,IFERROR(INDEX(Kat_Umur,MATCH($D104,Kat_Nama,0)),0)))</f>
        <v/>
      </c>
      <c r="U104" t="str">
        <f>IF($B104="","",IF($N104&lt;&gt;"",$N104,IFERROR(INDEX(Kat_Kelompok,MATCH($D104,Kat_Nama,0)),"")))</f>
        <v/>
      </c>
      <c r="V104" t="str">
        <f>IF($B104="","",IF($U104="Masa Manfaat Sebenarnya",N($O104),IFERROR(INDEX(Kel_Masa,MATCH($U104,Kel_Nama,0)),0)))</f>
        <v/>
      </c>
      <c r="W104" t="str">
        <f>IF($B104="","",IF($P104&lt;&gt;"",$P104,IF(OR($U104="Tidak Disusutkan",$V104=0),"Tidak Disusutkan","Garis Lurus")))</f>
        <v/>
      </c>
      <c r="X104" t="str">
        <f>IF($B104="","",IF($Y104&gt;TahunBuku*12+12,"Belum Diperoleh",IF($Z104&lt;=TahunBuku*12,"Dilepas (thn lalu)",IF($AC104=1,"Dilepas thn ini",IF($AB104=1,"Perolehan baru","Aktif")))))</f>
        <v/>
      </c>
      <c r="Y104" s="20" t="str">
        <f>IF($B104="","",YEAR($F104)*12+MONTH($F104))</f>
        <v/>
      </c>
      <c r="Z104" s="20" t="str">
        <f>IF($B104="","",IF($Q104="",99999,YEAR($Q104)*12+MONTH($Q104)))</f>
        <v/>
      </c>
      <c r="AA104" s="20" t="str">
        <f>IF($B104="","",--AND($Y104&lt;=TahunBuku*12,$Z104&gt;TahunBuku*12))</f>
        <v/>
      </c>
      <c r="AB104" s="20" t="str">
        <f>IF($B104="","",--AND($Y104&gt;TahunBuku*12,$Y104&lt;=TahunBuku*12+12))</f>
        <v/>
      </c>
      <c r="AC104" s="20" t="str">
        <f>IF($B104="","",--AND($Z104&gt;TahunBuku*12,$Z104&lt;=TahunBuku*12+12,$Y104&lt;=$Z104))</f>
        <v/>
      </c>
      <c r="AD104" s="21" t="str">
        <f>IF($B104="","",IFERROR(IF($S104="Garis Lurus",$G104-($G104-$H104)*MIN($T104*12,MAX(0,TahunBuku*12-$Y104+1))/($T104*12),IF($S104="Saldo Menurun",IF(TahunBuku-1&lt;YEAR($F104),$G104,IF(TahunBuku-1&gt;=INT(($Y104+$T104*12-2)/12),$H104,MAX($H104,$G104*(1-2/$T104*(13-MONTH($F104))/12)*(1-2/$T104)^(TahunBuku-1-YEAR($F104))))),IF($S104="Unit Produksi",$G104-($G104-$H104)*MIN(1,N($L104)/$K104),$G104))),$G104))</f>
        <v/>
      </c>
      <c r="AE104" s="21" t="str">
        <f>IF($B104="","",IFERROR(IF($S104="Garis Lurus",$G104-($G104-$H104)*MIN($T104*12,MAX(0,TahunBuku*12+12-$Y104+1))/($T104*12),IF($S104="Saldo Menurun",IF(TahunBuku&lt;YEAR($F104),$G104,IF(TahunBuku&gt;=INT(($Y104+$T104*12-2)/12),$H104,MAX($H104,$G104*(1-2/$T104*(13-MONTH($F104))/12)*(1-2/$T104)^(TahunBuku-YEAR($F104))))),IF($S104="Unit Produksi",$G104-($G104-$H104)*MIN(1,(N($L104)+N($M104))/$K104),$G104))),$G104))</f>
        <v/>
      </c>
      <c r="AF104" s="20" t="str">
        <f>IF($B104="","",IF(OR($S104="Garis Lurus",$S104="Saldo Menurun",$S104="Unit Produksi"),MAX(0,IF($S104="Unit Produksi",TahunBuku*12+12,MIN(TahunBuku*12+12,$Y104+$T104*12-1))-MAX(TahunBuku*12+1,$Y104)+1),0))</f>
        <v/>
      </c>
      <c r="AG104" s="20" t="str">
        <f>IF($B104="","",IF(OR($S104="Garis Lurus",$S104="Saldo Menurun",$S104="Unit Produksi"),MAX(0,MIN($Z104,IF($S104="Unit Produksi",TahunBuku*12+12,MIN(TahunBuku*12+12,$Y104+$T104*12-1)))-MAX(TahunBuku*12+1,$Y104)+1),0))</f>
        <v/>
      </c>
      <c r="AH104" s="21" t="str">
        <f>IF($B104="","",IFERROR(IF($W104="Garis Lurus",$G104*(1-MIN($V104*12,MAX(0,TahunBuku*12-$Y104+1))/($V104*12)),IF($W104="Saldo Menurun",IF(TahunBuku-1&lt;YEAR($F104),$G104,IF(TahunBuku-1&gt;=INT(($Y104+$V104*12-2)/12),0,$G104*(1-2/$V104*(13-MONTH($F104))/12)*(1-2/$V104)^(TahunBuku-1-YEAR($F104)))),$G104)),$G104))</f>
        <v/>
      </c>
      <c r="AI104" s="21" t="str">
        <f>IF($B104="","",IFERROR(IF($W104="Garis Lurus",$G104*(1-MIN($V104*12,MAX(0,TahunBuku*12+12-$Y104+1))/($V104*12)),IF($W104="Saldo Menurun",IF(TahunBuku&lt;YEAR($F104),$G104,IF(TahunBuku&gt;=INT(($Y104+$V104*12-2)/12),0,$G104*(1-2/$V104*(13-MONTH($F104))/12)*(1-2/$V104)^(TahunBuku-YEAR($F104)))),$G104)),$G104))</f>
        <v/>
      </c>
      <c r="AJ104" s="20" t="str">
        <f>IF($B104="","",IF(OR($W104="Garis Lurus",$W104="Saldo Menurun"),MAX(0,MIN(TahunBuku*12+12,$Y104+$V104*12-1)-MAX(TahunBuku*12+1,$Y104)+1),0))</f>
        <v/>
      </c>
      <c r="AK104" s="20" t="str">
        <f>IF($B104="","",IF(OR($W104="Garis Lurus",$W104="Saldo Menurun"),MAX(0,MIN($Z104,TahunBuku*12+12,$Y104+$V104*12-1)-MAX(TahunBuku*12+1,$Y104)+1),0))</f>
        <v/>
      </c>
      <c r="AL104" s="22" t="str">
        <f>IF($B104="","",$G104*$AA104)</f>
        <v/>
      </c>
      <c r="AM104" s="22" t="str">
        <f>IF($B104="","",$G104*$AB104)</f>
        <v/>
      </c>
      <c r="AN104" s="22" t="str">
        <f>IF($B104="","",$G104*$AC104)</f>
        <v/>
      </c>
      <c r="AO104" s="22" t="str">
        <f>IF($B104="","",AL104+AM104-AN104)</f>
        <v/>
      </c>
      <c r="AP104" s="22" t="str">
        <f>IF($B104="","",($G104-$AD104)*$AA104)</f>
        <v/>
      </c>
      <c r="AQ104" s="22" t="str">
        <f>IF($B104="","",IF($AF104=0,0,($AD104-$AE104)*$AG104/$AF104)*MAX($AA104,$AB104))</f>
        <v/>
      </c>
      <c r="AR104" s="22" t="str">
        <f>IF($B104="","",(AP104+AQ104)*$AC104)</f>
        <v/>
      </c>
      <c r="AS104" s="22" t="str">
        <f>IF($B104="","",AP104+AQ104-AR104)</f>
        <v/>
      </c>
      <c r="AT104" s="22" t="str">
        <f>IF($B104="","",AO104-AS104)</f>
        <v/>
      </c>
      <c r="AU104" s="22" t="str">
        <f>IF($B104="","",IF($AC104=1,N($R104)-($G104-AR104),0))</f>
        <v/>
      </c>
      <c r="AV104" s="22" t="str">
        <f>IF($B104="","",($G104-$AH104)*$AA104)</f>
        <v/>
      </c>
      <c r="AW104" s="22" t="str">
        <f>IF($B104="","",IF($AJ104=0,0,($AH104-$AI104)*$AK104/$AJ104)*MAX($AA104,$AB104))</f>
        <v/>
      </c>
      <c r="AX104" s="22" t="str">
        <f>IF($B104="","",(AV104+AW104)*$AC104)</f>
        <v/>
      </c>
      <c r="AY104" s="22" t="str">
        <f>IF($B104="","",AV104+AW104-AX104)</f>
        <v/>
      </c>
      <c r="AZ104" s="22" t="str">
        <f>IF($B104="","",AO104-AY104)</f>
        <v/>
      </c>
      <c r="BA104" s="22" t="str">
        <f>IF($B104="","",IF($AC104=1,N($R104)-($G104-AX104),0))</f>
        <v/>
      </c>
      <c r="BB104" s="22" t="str">
        <f>IF($B104="","",ROUND(AQ104-AW104,0))</f>
        <v/>
      </c>
      <c r="BC104" s="22" t="str">
        <f>IF($B104="","",ROUND(BA104-AU104,0))</f>
        <v/>
      </c>
      <c r="BD104" s="22" t="str">
        <f>IF($B104="","",BB104+BC104)</f>
        <v/>
      </c>
      <c r="BE104" s="22" t="str">
        <f>IF($B104="","",ROUND(AV104-AP104,0))</f>
        <v/>
      </c>
      <c r="BF104" s="22" t="str">
        <f>IF($B104="","",ROUND(AT104-AZ104,0))</f>
        <v/>
      </c>
      <c r="BG104" s="22" t="str">
        <f>IF($B104="","",ROUND(BF104*TarifPPh,0))</f>
        <v/>
      </c>
      <c r="BH104" t="str">
        <f>IF($B104="","",IF($D104="","Kategori kosong",IF($F104="","Tgl perolehan kosong",IF(N($H104)&gt;$G104,"Residu &gt; harga perolehan",IF(AND(LEFT($U104,8)="Bangunan",$W104="Saldo Menurun"),"Bangunan wajib Garis Lurus (Ps.11 UU PPh)",IF(AND($S104="Unit Produksi",N($K104)=0),"Isi kapasitas unit",IF(AND(OR($S104="Garis Lurus",$S104="Saldo Menurun"),N($T104)&lt;=0),"Umur komersial kosong",IF(AND(OR($W104="Garis Lurus",$W104="Saldo Menurun"),N($V104)&lt;=0),"Masa manfaat fiskal kosong",IF(AND($Q104&lt;&gt;"",$Q104&lt;$F104),"Tgl pelepasan &lt; perolehan","OK")))))))))</f>
        <v/>
      </c>
    </row>
    <row r="105" spans="1:60" x14ac:dyDescent="0.25">
      <c r="A105" t="str">
        <f>IF($B105="","",ROW()-6)</f>
        <v/>
      </c>
      <c r="B105" s="9"/>
      <c r="C105" s="9"/>
      <c r="D105" s="9"/>
      <c r="E105" s="9"/>
      <c r="F105" s="17"/>
      <c r="G105" s="18"/>
      <c r="H105" s="18"/>
      <c r="I105" s="9"/>
      <c r="J105" s="9"/>
      <c r="K105" s="19"/>
      <c r="L105" s="19"/>
      <c r="M105" s="19"/>
      <c r="N105" s="9"/>
      <c r="O105" s="9"/>
      <c r="P105" s="9"/>
      <c r="Q105" s="17"/>
      <c r="R105" s="18"/>
      <c r="S105" t="str">
        <f>IF($B105="","",IF($I105&lt;&gt;"",$I105,IFERROR(INDEX(Kat_Metode,MATCH($D105,Kat_Nama,0)),"")))</f>
        <v/>
      </c>
      <c r="T105" t="str">
        <f>IF($B105="","",IF($J105&lt;&gt;"",$J105,IFERROR(INDEX(Kat_Umur,MATCH($D105,Kat_Nama,0)),0)))</f>
        <v/>
      </c>
      <c r="U105" t="str">
        <f>IF($B105="","",IF($N105&lt;&gt;"",$N105,IFERROR(INDEX(Kat_Kelompok,MATCH($D105,Kat_Nama,0)),"")))</f>
        <v/>
      </c>
      <c r="V105" t="str">
        <f>IF($B105="","",IF($U105="Masa Manfaat Sebenarnya",N($O105),IFERROR(INDEX(Kel_Masa,MATCH($U105,Kel_Nama,0)),0)))</f>
        <v/>
      </c>
      <c r="W105" t="str">
        <f>IF($B105="","",IF($P105&lt;&gt;"",$P105,IF(OR($U105="Tidak Disusutkan",$V105=0),"Tidak Disusutkan","Garis Lurus")))</f>
        <v/>
      </c>
      <c r="X105" t="str">
        <f>IF($B105="","",IF($Y105&gt;TahunBuku*12+12,"Belum Diperoleh",IF($Z105&lt;=TahunBuku*12,"Dilepas (thn lalu)",IF($AC105=1,"Dilepas thn ini",IF($AB105=1,"Perolehan baru","Aktif")))))</f>
        <v/>
      </c>
      <c r="Y105" s="20" t="str">
        <f>IF($B105="","",YEAR($F105)*12+MONTH($F105))</f>
        <v/>
      </c>
      <c r="Z105" s="20" t="str">
        <f>IF($B105="","",IF($Q105="",99999,YEAR($Q105)*12+MONTH($Q105)))</f>
        <v/>
      </c>
      <c r="AA105" s="20" t="str">
        <f>IF($B105="","",--AND($Y105&lt;=TahunBuku*12,$Z105&gt;TahunBuku*12))</f>
        <v/>
      </c>
      <c r="AB105" s="20" t="str">
        <f>IF($B105="","",--AND($Y105&gt;TahunBuku*12,$Y105&lt;=TahunBuku*12+12))</f>
        <v/>
      </c>
      <c r="AC105" s="20" t="str">
        <f>IF($B105="","",--AND($Z105&gt;TahunBuku*12,$Z105&lt;=TahunBuku*12+12,$Y105&lt;=$Z105))</f>
        <v/>
      </c>
      <c r="AD105" s="21" t="str">
        <f>IF($B105="","",IFERROR(IF($S105="Garis Lurus",$G105-($G105-$H105)*MIN($T105*12,MAX(0,TahunBuku*12-$Y105+1))/($T105*12),IF($S105="Saldo Menurun",IF(TahunBuku-1&lt;YEAR($F105),$G105,IF(TahunBuku-1&gt;=INT(($Y105+$T105*12-2)/12),$H105,MAX($H105,$G105*(1-2/$T105*(13-MONTH($F105))/12)*(1-2/$T105)^(TahunBuku-1-YEAR($F105))))),IF($S105="Unit Produksi",$G105-($G105-$H105)*MIN(1,N($L105)/$K105),$G105))),$G105))</f>
        <v/>
      </c>
      <c r="AE105" s="21" t="str">
        <f>IF($B105="","",IFERROR(IF($S105="Garis Lurus",$G105-($G105-$H105)*MIN($T105*12,MAX(0,TahunBuku*12+12-$Y105+1))/($T105*12),IF($S105="Saldo Menurun",IF(TahunBuku&lt;YEAR($F105),$G105,IF(TahunBuku&gt;=INT(($Y105+$T105*12-2)/12),$H105,MAX($H105,$G105*(1-2/$T105*(13-MONTH($F105))/12)*(1-2/$T105)^(TahunBuku-YEAR($F105))))),IF($S105="Unit Produksi",$G105-($G105-$H105)*MIN(1,(N($L105)+N($M105))/$K105),$G105))),$G105))</f>
        <v/>
      </c>
      <c r="AF105" s="20" t="str">
        <f>IF($B105="","",IF(OR($S105="Garis Lurus",$S105="Saldo Menurun",$S105="Unit Produksi"),MAX(0,IF($S105="Unit Produksi",TahunBuku*12+12,MIN(TahunBuku*12+12,$Y105+$T105*12-1))-MAX(TahunBuku*12+1,$Y105)+1),0))</f>
        <v/>
      </c>
      <c r="AG105" s="20" t="str">
        <f>IF($B105="","",IF(OR($S105="Garis Lurus",$S105="Saldo Menurun",$S105="Unit Produksi"),MAX(0,MIN($Z105,IF($S105="Unit Produksi",TahunBuku*12+12,MIN(TahunBuku*12+12,$Y105+$T105*12-1)))-MAX(TahunBuku*12+1,$Y105)+1),0))</f>
        <v/>
      </c>
      <c r="AH105" s="21" t="str">
        <f>IF($B105="","",IFERROR(IF($W105="Garis Lurus",$G105*(1-MIN($V105*12,MAX(0,TahunBuku*12-$Y105+1))/($V105*12)),IF($W105="Saldo Menurun",IF(TahunBuku-1&lt;YEAR($F105),$G105,IF(TahunBuku-1&gt;=INT(($Y105+$V105*12-2)/12),0,$G105*(1-2/$V105*(13-MONTH($F105))/12)*(1-2/$V105)^(TahunBuku-1-YEAR($F105)))),$G105)),$G105))</f>
        <v/>
      </c>
      <c r="AI105" s="21" t="str">
        <f>IF($B105="","",IFERROR(IF($W105="Garis Lurus",$G105*(1-MIN($V105*12,MAX(0,TahunBuku*12+12-$Y105+1))/($V105*12)),IF($W105="Saldo Menurun",IF(TahunBuku&lt;YEAR($F105),$G105,IF(TahunBuku&gt;=INT(($Y105+$V105*12-2)/12),0,$G105*(1-2/$V105*(13-MONTH($F105))/12)*(1-2/$V105)^(TahunBuku-YEAR($F105)))),$G105)),$G105))</f>
        <v/>
      </c>
      <c r="AJ105" s="20" t="str">
        <f>IF($B105="","",IF(OR($W105="Garis Lurus",$W105="Saldo Menurun"),MAX(0,MIN(TahunBuku*12+12,$Y105+$V105*12-1)-MAX(TahunBuku*12+1,$Y105)+1),0))</f>
        <v/>
      </c>
      <c r="AK105" s="20" t="str">
        <f>IF($B105="","",IF(OR($W105="Garis Lurus",$W105="Saldo Menurun"),MAX(0,MIN($Z105,TahunBuku*12+12,$Y105+$V105*12-1)-MAX(TahunBuku*12+1,$Y105)+1),0))</f>
        <v/>
      </c>
      <c r="AL105" s="22" t="str">
        <f>IF($B105="","",$G105*$AA105)</f>
        <v/>
      </c>
      <c r="AM105" s="22" t="str">
        <f>IF($B105="","",$G105*$AB105)</f>
        <v/>
      </c>
      <c r="AN105" s="22" t="str">
        <f>IF($B105="","",$G105*$AC105)</f>
        <v/>
      </c>
      <c r="AO105" s="22" t="str">
        <f>IF($B105="","",AL105+AM105-AN105)</f>
        <v/>
      </c>
      <c r="AP105" s="22" t="str">
        <f>IF($B105="","",($G105-$AD105)*$AA105)</f>
        <v/>
      </c>
      <c r="AQ105" s="22" t="str">
        <f>IF($B105="","",IF($AF105=0,0,($AD105-$AE105)*$AG105/$AF105)*MAX($AA105,$AB105))</f>
        <v/>
      </c>
      <c r="AR105" s="22" t="str">
        <f>IF($B105="","",(AP105+AQ105)*$AC105)</f>
        <v/>
      </c>
      <c r="AS105" s="22" t="str">
        <f>IF($B105="","",AP105+AQ105-AR105)</f>
        <v/>
      </c>
      <c r="AT105" s="22" t="str">
        <f>IF($B105="","",AO105-AS105)</f>
        <v/>
      </c>
      <c r="AU105" s="22" t="str">
        <f>IF($B105="","",IF($AC105=1,N($R105)-($G105-AR105),0))</f>
        <v/>
      </c>
      <c r="AV105" s="22" t="str">
        <f>IF($B105="","",($G105-$AH105)*$AA105)</f>
        <v/>
      </c>
      <c r="AW105" s="22" t="str">
        <f>IF($B105="","",IF($AJ105=0,0,($AH105-$AI105)*$AK105/$AJ105)*MAX($AA105,$AB105))</f>
        <v/>
      </c>
      <c r="AX105" s="22" t="str">
        <f>IF($B105="","",(AV105+AW105)*$AC105)</f>
        <v/>
      </c>
      <c r="AY105" s="22" t="str">
        <f>IF($B105="","",AV105+AW105-AX105)</f>
        <v/>
      </c>
      <c r="AZ105" s="22" t="str">
        <f>IF($B105="","",AO105-AY105)</f>
        <v/>
      </c>
      <c r="BA105" s="22" t="str">
        <f>IF($B105="","",IF($AC105=1,N($R105)-($G105-AX105),0))</f>
        <v/>
      </c>
      <c r="BB105" s="22" t="str">
        <f>IF($B105="","",ROUND(AQ105-AW105,0))</f>
        <v/>
      </c>
      <c r="BC105" s="22" t="str">
        <f>IF($B105="","",ROUND(BA105-AU105,0))</f>
        <v/>
      </c>
      <c r="BD105" s="22" t="str">
        <f>IF($B105="","",BB105+BC105)</f>
        <v/>
      </c>
      <c r="BE105" s="22" t="str">
        <f>IF($B105="","",ROUND(AV105-AP105,0))</f>
        <v/>
      </c>
      <c r="BF105" s="22" t="str">
        <f>IF($B105="","",ROUND(AT105-AZ105,0))</f>
        <v/>
      </c>
      <c r="BG105" s="22" t="str">
        <f>IF($B105="","",ROUND(BF105*TarifPPh,0))</f>
        <v/>
      </c>
      <c r="BH105" t="str">
        <f>IF($B105="","",IF($D105="","Kategori kosong",IF($F105="","Tgl perolehan kosong",IF(N($H105)&gt;$G105,"Residu &gt; harga perolehan",IF(AND(LEFT($U105,8)="Bangunan",$W105="Saldo Menurun"),"Bangunan wajib Garis Lurus (Ps.11 UU PPh)",IF(AND($S105="Unit Produksi",N($K105)=0),"Isi kapasitas unit",IF(AND(OR($S105="Garis Lurus",$S105="Saldo Menurun"),N($T105)&lt;=0),"Umur komersial kosong",IF(AND(OR($W105="Garis Lurus",$W105="Saldo Menurun"),N($V105)&lt;=0),"Masa manfaat fiskal kosong",IF(AND($Q105&lt;&gt;"",$Q105&lt;$F105),"Tgl pelepasan &lt; perolehan","OK")))))))))</f>
        <v/>
      </c>
    </row>
    <row r="106" spans="1:60" x14ac:dyDescent="0.25">
      <c r="A106" t="str">
        <f>IF($B106="","",ROW()-6)</f>
        <v/>
      </c>
      <c r="B106" s="9"/>
      <c r="C106" s="9"/>
      <c r="D106" s="9"/>
      <c r="E106" s="9"/>
      <c r="F106" s="17"/>
      <c r="G106" s="18"/>
      <c r="H106" s="18"/>
      <c r="I106" s="9"/>
      <c r="J106" s="9"/>
      <c r="K106" s="19"/>
      <c r="L106" s="19"/>
      <c r="M106" s="19"/>
      <c r="N106" s="9"/>
      <c r="O106" s="9"/>
      <c r="P106" s="9"/>
      <c r="Q106" s="17"/>
      <c r="R106" s="18"/>
      <c r="S106" t="str">
        <f>IF($B106="","",IF($I106&lt;&gt;"",$I106,IFERROR(INDEX(Kat_Metode,MATCH($D106,Kat_Nama,0)),"")))</f>
        <v/>
      </c>
      <c r="T106" t="str">
        <f>IF($B106="","",IF($J106&lt;&gt;"",$J106,IFERROR(INDEX(Kat_Umur,MATCH($D106,Kat_Nama,0)),0)))</f>
        <v/>
      </c>
      <c r="U106" t="str">
        <f>IF($B106="","",IF($N106&lt;&gt;"",$N106,IFERROR(INDEX(Kat_Kelompok,MATCH($D106,Kat_Nama,0)),"")))</f>
        <v/>
      </c>
      <c r="V106" t="str">
        <f>IF($B106="","",IF($U106="Masa Manfaat Sebenarnya",N($O106),IFERROR(INDEX(Kel_Masa,MATCH($U106,Kel_Nama,0)),0)))</f>
        <v/>
      </c>
      <c r="W106" t="str">
        <f>IF($B106="","",IF($P106&lt;&gt;"",$P106,IF(OR($U106="Tidak Disusutkan",$V106=0),"Tidak Disusutkan","Garis Lurus")))</f>
        <v/>
      </c>
      <c r="X106" t="str">
        <f>IF($B106="","",IF($Y106&gt;TahunBuku*12+12,"Belum Diperoleh",IF($Z106&lt;=TahunBuku*12,"Dilepas (thn lalu)",IF($AC106=1,"Dilepas thn ini",IF($AB106=1,"Perolehan baru","Aktif")))))</f>
        <v/>
      </c>
      <c r="Y106" s="20" t="str">
        <f>IF($B106="","",YEAR($F106)*12+MONTH($F106))</f>
        <v/>
      </c>
      <c r="Z106" s="20" t="str">
        <f>IF($B106="","",IF($Q106="",99999,YEAR($Q106)*12+MONTH($Q106)))</f>
        <v/>
      </c>
      <c r="AA106" s="20" t="str">
        <f>IF($B106="","",--AND($Y106&lt;=TahunBuku*12,$Z106&gt;TahunBuku*12))</f>
        <v/>
      </c>
      <c r="AB106" s="20" t="str">
        <f>IF($B106="","",--AND($Y106&gt;TahunBuku*12,$Y106&lt;=TahunBuku*12+12))</f>
        <v/>
      </c>
      <c r="AC106" s="20" t="str">
        <f>IF($B106="","",--AND($Z106&gt;TahunBuku*12,$Z106&lt;=TahunBuku*12+12,$Y106&lt;=$Z106))</f>
        <v/>
      </c>
      <c r="AD106" s="21" t="str">
        <f>IF($B106="","",IFERROR(IF($S106="Garis Lurus",$G106-($G106-$H106)*MIN($T106*12,MAX(0,TahunBuku*12-$Y106+1))/($T106*12),IF($S106="Saldo Menurun",IF(TahunBuku-1&lt;YEAR($F106),$G106,IF(TahunBuku-1&gt;=INT(($Y106+$T106*12-2)/12),$H106,MAX($H106,$G106*(1-2/$T106*(13-MONTH($F106))/12)*(1-2/$T106)^(TahunBuku-1-YEAR($F106))))),IF($S106="Unit Produksi",$G106-($G106-$H106)*MIN(1,N($L106)/$K106),$G106))),$G106))</f>
        <v/>
      </c>
      <c r="AE106" s="21" t="str">
        <f>IF($B106="","",IFERROR(IF($S106="Garis Lurus",$G106-($G106-$H106)*MIN($T106*12,MAX(0,TahunBuku*12+12-$Y106+1))/($T106*12),IF($S106="Saldo Menurun",IF(TahunBuku&lt;YEAR($F106),$G106,IF(TahunBuku&gt;=INT(($Y106+$T106*12-2)/12),$H106,MAX($H106,$G106*(1-2/$T106*(13-MONTH($F106))/12)*(1-2/$T106)^(TahunBuku-YEAR($F106))))),IF($S106="Unit Produksi",$G106-($G106-$H106)*MIN(1,(N($L106)+N($M106))/$K106),$G106))),$G106))</f>
        <v/>
      </c>
      <c r="AF106" s="20" t="str">
        <f>IF($B106="","",IF(OR($S106="Garis Lurus",$S106="Saldo Menurun",$S106="Unit Produksi"),MAX(0,IF($S106="Unit Produksi",TahunBuku*12+12,MIN(TahunBuku*12+12,$Y106+$T106*12-1))-MAX(TahunBuku*12+1,$Y106)+1),0))</f>
        <v/>
      </c>
      <c r="AG106" s="20" t="str">
        <f>IF($B106="","",IF(OR($S106="Garis Lurus",$S106="Saldo Menurun",$S106="Unit Produksi"),MAX(0,MIN($Z106,IF($S106="Unit Produksi",TahunBuku*12+12,MIN(TahunBuku*12+12,$Y106+$T106*12-1)))-MAX(TahunBuku*12+1,$Y106)+1),0))</f>
        <v/>
      </c>
      <c r="AH106" s="21" t="str">
        <f>IF($B106="","",IFERROR(IF($W106="Garis Lurus",$G106*(1-MIN($V106*12,MAX(0,TahunBuku*12-$Y106+1))/($V106*12)),IF($W106="Saldo Menurun",IF(TahunBuku-1&lt;YEAR($F106),$G106,IF(TahunBuku-1&gt;=INT(($Y106+$V106*12-2)/12),0,$G106*(1-2/$V106*(13-MONTH($F106))/12)*(1-2/$V106)^(TahunBuku-1-YEAR($F106)))),$G106)),$G106))</f>
        <v/>
      </c>
      <c r="AI106" s="21" t="str">
        <f>IF($B106="","",IFERROR(IF($W106="Garis Lurus",$G106*(1-MIN($V106*12,MAX(0,TahunBuku*12+12-$Y106+1))/($V106*12)),IF($W106="Saldo Menurun",IF(TahunBuku&lt;YEAR($F106),$G106,IF(TahunBuku&gt;=INT(($Y106+$V106*12-2)/12),0,$G106*(1-2/$V106*(13-MONTH($F106))/12)*(1-2/$V106)^(TahunBuku-YEAR($F106)))),$G106)),$G106))</f>
        <v/>
      </c>
      <c r="AJ106" s="20" t="str">
        <f>IF($B106="","",IF(OR($W106="Garis Lurus",$W106="Saldo Menurun"),MAX(0,MIN(TahunBuku*12+12,$Y106+$V106*12-1)-MAX(TahunBuku*12+1,$Y106)+1),0))</f>
        <v/>
      </c>
      <c r="AK106" s="20" t="str">
        <f>IF($B106="","",IF(OR($W106="Garis Lurus",$W106="Saldo Menurun"),MAX(0,MIN($Z106,TahunBuku*12+12,$Y106+$V106*12-1)-MAX(TahunBuku*12+1,$Y106)+1),0))</f>
        <v/>
      </c>
      <c r="AL106" s="22" t="str">
        <f>IF($B106="","",$G106*$AA106)</f>
        <v/>
      </c>
      <c r="AM106" s="22" t="str">
        <f>IF($B106="","",$G106*$AB106)</f>
        <v/>
      </c>
      <c r="AN106" s="22" t="str">
        <f>IF($B106="","",$G106*$AC106)</f>
        <v/>
      </c>
      <c r="AO106" s="22" t="str">
        <f>IF($B106="","",AL106+AM106-AN106)</f>
        <v/>
      </c>
      <c r="AP106" s="22" t="str">
        <f>IF($B106="","",($G106-$AD106)*$AA106)</f>
        <v/>
      </c>
      <c r="AQ106" s="22" t="str">
        <f>IF($B106="","",IF($AF106=0,0,($AD106-$AE106)*$AG106/$AF106)*MAX($AA106,$AB106))</f>
        <v/>
      </c>
      <c r="AR106" s="22" t="str">
        <f>IF($B106="","",(AP106+AQ106)*$AC106)</f>
        <v/>
      </c>
      <c r="AS106" s="22" t="str">
        <f>IF($B106="","",AP106+AQ106-AR106)</f>
        <v/>
      </c>
      <c r="AT106" s="22" t="str">
        <f>IF($B106="","",AO106-AS106)</f>
        <v/>
      </c>
      <c r="AU106" s="22" t="str">
        <f>IF($B106="","",IF($AC106=1,N($R106)-($G106-AR106),0))</f>
        <v/>
      </c>
      <c r="AV106" s="22" t="str">
        <f>IF($B106="","",($G106-$AH106)*$AA106)</f>
        <v/>
      </c>
      <c r="AW106" s="22" t="str">
        <f>IF($B106="","",IF($AJ106=0,0,($AH106-$AI106)*$AK106/$AJ106)*MAX($AA106,$AB106))</f>
        <v/>
      </c>
      <c r="AX106" s="22" t="str">
        <f>IF($B106="","",(AV106+AW106)*$AC106)</f>
        <v/>
      </c>
      <c r="AY106" s="22" t="str">
        <f>IF($B106="","",AV106+AW106-AX106)</f>
        <v/>
      </c>
      <c r="AZ106" s="22" t="str">
        <f>IF($B106="","",AO106-AY106)</f>
        <v/>
      </c>
      <c r="BA106" s="22" t="str">
        <f>IF($B106="","",IF($AC106=1,N($R106)-($G106-AX106),0))</f>
        <v/>
      </c>
      <c r="BB106" s="22" t="str">
        <f>IF($B106="","",ROUND(AQ106-AW106,0))</f>
        <v/>
      </c>
      <c r="BC106" s="22" t="str">
        <f>IF($B106="","",ROUND(BA106-AU106,0))</f>
        <v/>
      </c>
      <c r="BD106" s="22" t="str">
        <f>IF($B106="","",BB106+BC106)</f>
        <v/>
      </c>
      <c r="BE106" s="22" t="str">
        <f>IF($B106="","",ROUND(AV106-AP106,0))</f>
        <v/>
      </c>
      <c r="BF106" s="22" t="str">
        <f>IF($B106="","",ROUND(AT106-AZ106,0))</f>
        <v/>
      </c>
      <c r="BG106" s="22" t="str">
        <f>IF($B106="","",ROUND(BF106*TarifPPh,0))</f>
        <v/>
      </c>
      <c r="BH106" t="str">
        <f>IF($B106="","",IF($D106="","Kategori kosong",IF($F106="","Tgl perolehan kosong",IF(N($H106)&gt;$G106,"Residu &gt; harga perolehan",IF(AND(LEFT($U106,8)="Bangunan",$W106="Saldo Menurun"),"Bangunan wajib Garis Lurus (Ps.11 UU PPh)",IF(AND($S106="Unit Produksi",N($K106)=0),"Isi kapasitas unit",IF(AND(OR($S106="Garis Lurus",$S106="Saldo Menurun"),N($T106)&lt;=0),"Umur komersial kosong",IF(AND(OR($W106="Garis Lurus",$W106="Saldo Menurun"),N($V106)&lt;=0),"Masa manfaat fiskal kosong",IF(AND($Q106&lt;&gt;"",$Q106&lt;$F106),"Tgl pelepasan &lt; perolehan","OK")))))))))</f>
        <v/>
      </c>
    </row>
    <row r="107" spans="1:60" x14ac:dyDescent="0.25">
      <c r="A107" t="str">
        <f>IF($B107="","",ROW()-6)</f>
        <v/>
      </c>
      <c r="B107" s="9"/>
      <c r="C107" s="9"/>
      <c r="D107" s="9"/>
      <c r="E107" s="9"/>
      <c r="F107" s="17"/>
      <c r="G107" s="18"/>
      <c r="H107" s="18"/>
      <c r="I107" s="9"/>
      <c r="J107" s="9"/>
      <c r="K107" s="19"/>
      <c r="L107" s="19"/>
      <c r="M107" s="19"/>
      <c r="N107" s="9"/>
      <c r="O107" s="9"/>
      <c r="P107" s="9"/>
      <c r="Q107" s="17"/>
      <c r="R107" s="18"/>
      <c r="S107" t="str">
        <f>IF($B107="","",IF($I107&lt;&gt;"",$I107,IFERROR(INDEX(Kat_Metode,MATCH($D107,Kat_Nama,0)),"")))</f>
        <v/>
      </c>
      <c r="T107" t="str">
        <f>IF($B107="","",IF($J107&lt;&gt;"",$J107,IFERROR(INDEX(Kat_Umur,MATCH($D107,Kat_Nama,0)),0)))</f>
        <v/>
      </c>
      <c r="U107" t="str">
        <f>IF($B107="","",IF($N107&lt;&gt;"",$N107,IFERROR(INDEX(Kat_Kelompok,MATCH($D107,Kat_Nama,0)),"")))</f>
        <v/>
      </c>
      <c r="V107" t="str">
        <f>IF($B107="","",IF($U107="Masa Manfaat Sebenarnya",N($O107),IFERROR(INDEX(Kel_Masa,MATCH($U107,Kel_Nama,0)),0)))</f>
        <v/>
      </c>
      <c r="W107" t="str">
        <f>IF($B107="","",IF($P107&lt;&gt;"",$P107,IF(OR($U107="Tidak Disusutkan",$V107=0),"Tidak Disusutkan","Garis Lurus")))</f>
        <v/>
      </c>
      <c r="X107" t="str">
        <f>IF($B107="","",IF($Y107&gt;TahunBuku*12+12,"Belum Diperoleh",IF($Z107&lt;=TahunBuku*12,"Dilepas (thn lalu)",IF($AC107=1,"Dilepas thn ini",IF($AB107=1,"Perolehan baru","Aktif")))))</f>
        <v/>
      </c>
      <c r="Y107" s="20" t="str">
        <f>IF($B107="","",YEAR($F107)*12+MONTH($F107))</f>
        <v/>
      </c>
      <c r="Z107" s="20" t="str">
        <f>IF($B107="","",IF($Q107="",99999,YEAR($Q107)*12+MONTH($Q107)))</f>
        <v/>
      </c>
      <c r="AA107" s="20" t="str">
        <f>IF($B107="","",--AND($Y107&lt;=TahunBuku*12,$Z107&gt;TahunBuku*12))</f>
        <v/>
      </c>
      <c r="AB107" s="20" t="str">
        <f>IF($B107="","",--AND($Y107&gt;TahunBuku*12,$Y107&lt;=TahunBuku*12+12))</f>
        <v/>
      </c>
      <c r="AC107" s="20" t="str">
        <f>IF($B107="","",--AND($Z107&gt;TahunBuku*12,$Z107&lt;=TahunBuku*12+12,$Y107&lt;=$Z107))</f>
        <v/>
      </c>
      <c r="AD107" s="21" t="str">
        <f>IF($B107="","",IFERROR(IF($S107="Garis Lurus",$G107-($G107-$H107)*MIN($T107*12,MAX(0,TahunBuku*12-$Y107+1))/($T107*12),IF($S107="Saldo Menurun",IF(TahunBuku-1&lt;YEAR($F107),$G107,IF(TahunBuku-1&gt;=INT(($Y107+$T107*12-2)/12),$H107,MAX($H107,$G107*(1-2/$T107*(13-MONTH($F107))/12)*(1-2/$T107)^(TahunBuku-1-YEAR($F107))))),IF($S107="Unit Produksi",$G107-($G107-$H107)*MIN(1,N($L107)/$K107),$G107))),$G107))</f>
        <v/>
      </c>
      <c r="AE107" s="21" t="str">
        <f>IF($B107="","",IFERROR(IF($S107="Garis Lurus",$G107-($G107-$H107)*MIN($T107*12,MAX(0,TahunBuku*12+12-$Y107+1))/($T107*12),IF($S107="Saldo Menurun",IF(TahunBuku&lt;YEAR($F107),$G107,IF(TahunBuku&gt;=INT(($Y107+$T107*12-2)/12),$H107,MAX($H107,$G107*(1-2/$T107*(13-MONTH($F107))/12)*(1-2/$T107)^(TahunBuku-YEAR($F107))))),IF($S107="Unit Produksi",$G107-($G107-$H107)*MIN(1,(N($L107)+N($M107))/$K107),$G107))),$G107))</f>
        <v/>
      </c>
      <c r="AF107" s="20" t="str">
        <f>IF($B107="","",IF(OR($S107="Garis Lurus",$S107="Saldo Menurun",$S107="Unit Produksi"),MAX(0,IF($S107="Unit Produksi",TahunBuku*12+12,MIN(TahunBuku*12+12,$Y107+$T107*12-1))-MAX(TahunBuku*12+1,$Y107)+1),0))</f>
        <v/>
      </c>
      <c r="AG107" s="20" t="str">
        <f>IF($B107="","",IF(OR($S107="Garis Lurus",$S107="Saldo Menurun",$S107="Unit Produksi"),MAX(0,MIN($Z107,IF($S107="Unit Produksi",TahunBuku*12+12,MIN(TahunBuku*12+12,$Y107+$T107*12-1)))-MAX(TahunBuku*12+1,$Y107)+1),0))</f>
        <v/>
      </c>
      <c r="AH107" s="21" t="str">
        <f>IF($B107="","",IFERROR(IF($W107="Garis Lurus",$G107*(1-MIN($V107*12,MAX(0,TahunBuku*12-$Y107+1))/($V107*12)),IF($W107="Saldo Menurun",IF(TahunBuku-1&lt;YEAR($F107),$G107,IF(TahunBuku-1&gt;=INT(($Y107+$V107*12-2)/12),0,$G107*(1-2/$V107*(13-MONTH($F107))/12)*(1-2/$V107)^(TahunBuku-1-YEAR($F107)))),$G107)),$G107))</f>
        <v/>
      </c>
      <c r="AI107" s="21" t="str">
        <f>IF($B107="","",IFERROR(IF($W107="Garis Lurus",$G107*(1-MIN($V107*12,MAX(0,TahunBuku*12+12-$Y107+1))/($V107*12)),IF($W107="Saldo Menurun",IF(TahunBuku&lt;YEAR($F107),$G107,IF(TahunBuku&gt;=INT(($Y107+$V107*12-2)/12),0,$G107*(1-2/$V107*(13-MONTH($F107))/12)*(1-2/$V107)^(TahunBuku-YEAR($F107)))),$G107)),$G107))</f>
        <v/>
      </c>
      <c r="AJ107" s="20" t="str">
        <f>IF($B107="","",IF(OR($W107="Garis Lurus",$W107="Saldo Menurun"),MAX(0,MIN(TahunBuku*12+12,$Y107+$V107*12-1)-MAX(TahunBuku*12+1,$Y107)+1),0))</f>
        <v/>
      </c>
      <c r="AK107" s="20" t="str">
        <f>IF($B107="","",IF(OR($W107="Garis Lurus",$W107="Saldo Menurun"),MAX(0,MIN($Z107,TahunBuku*12+12,$Y107+$V107*12-1)-MAX(TahunBuku*12+1,$Y107)+1),0))</f>
        <v/>
      </c>
      <c r="AL107" s="22" t="str">
        <f>IF($B107="","",$G107*$AA107)</f>
        <v/>
      </c>
      <c r="AM107" s="22" t="str">
        <f>IF($B107="","",$G107*$AB107)</f>
        <v/>
      </c>
      <c r="AN107" s="22" t="str">
        <f>IF($B107="","",$G107*$AC107)</f>
        <v/>
      </c>
      <c r="AO107" s="22" t="str">
        <f>IF($B107="","",AL107+AM107-AN107)</f>
        <v/>
      </c>
      <c r="AP107" s="22" t="str">
        <f>IF($B107="","",($G107-$AD107)*$AA107)</f>
        <v/>
      </c>
      <c r="AQ107" s="22" t="str">
        <f>IF($B107="","",IF($AF107=0,0,($AD107-$AE107)*$AG107/$AF107)*MAX($AA107,$AB107))</f>
        <v/>
      </c>
      <c r="AR107" s="22" t="str">
        <f>IF($B107="","",(AP107+AQ107)*$AC107)</f>
        <v/>
      </c>
      <c r="AS107" s="22" t="str">
        <f>IF($B107="","",AP107+AQ107-AR107)</f>
        <v/>
      </c>
      <c r="AT107" s="22" t="str">
        <f>IF($B107="","",AO107-AS107)</f>
        <v/>
      </c>
      <c r="AU107" s="22" t="str">
        <f>IF($B107="","",IF($AC107=1,N($R107)-($G107-AR107),0))</f>
        <v/>
      </c>
      <c r="AV107" s="22" t="str">
        <f>IF($B107="","",($G107-$AH107)*$AA107)</f>
        <v/>
      </c>
      <c r="AW107" s="22" t="str">
        <f>IF($B107="","",IF($AJ107=0,0,($AH107-$AI107)*$AK107/$AJ107)*MAX($AA107,$AB107))</f>
        <v/>
      </c>
      <c r="AX107" s="22" t="str">
        <f>IF($B107="","",(AV107+AW107)*$AC107)</f>
        <v/>
      </c>
      <c r="AY107" s="22" t="str">
        <f>IF($B107="","",AV107+AW107-AX107)</f>
        <v/>
      </c>
      <c r="AZ107" s="22" t="str">
        <f>IF($B107="","",AO107-AY107)</f>
        <v/>
      </c>
      <c r="BA107" s="22" t="str">
        <f>IF($B107="","",IF($AC107=1,N($R107)-($G107-AX107),0))</f>
        <v/>
      </c>
      <c r="BB107" s="22" t="str">
        <f>IF($B107="","",ROUND(AQ107-AW107,0))</f>
        <v/>
      </c>
      <c r="BC107" s="22" t="str">
        <f>IF($B107="","",ROUND(BA107-AU107,0))</f>
        <v/>
      </c>
      <c r="BD107" s="22" t="str">
        <f>IF($B107="","",BB107+BC107)</f>
        <v/>
      </c>
      <c r="BE107" s="22" t="str">
        <f>IF($B107="","",ROUND(AV107-AP107,0))</f>
        <v/>
      </c>
      <c r="BF107" s="22" t="str">
        <f>IF($B107="","",ROUND(AT107-AZ107,0))</f>
        <v/>
      </c>
      <c r="BG107" s="22" t="str">
        <f>IF($B107="","",ROUND(BF107*TarifPPh,0))</f>
        <v/>
      </c>
      <c r="BH107" t="str">
        <f>IF($B107="","",IF($D107="","Kategori kosong",IF($F107="","Tgl perolehan kosong",IF(N($H107)&gt;$G107,"Residu &gt; harga perolehan",IF(AND(LEFT($U107,8)="Bangunan",$W107="Saldo Menurun"),"Bangunan wajib Garis Lurus (Ps.11 UU PPh)",IF(AND($S107="Unit Produksi",N($K107)=0),"Isi kapasitas unit",IF(AND(OR($S107="Garis Lurus",$S107="Saldo Menurun"),N($T107)&lt;=0),"Umur komersial kosong",IF(AND(OR($W107="Garis Lurus",$W107="Saldo Menurun"),N($V107)&lt;=0),"Masa manfaat fiskal kosong",IF(AND($Q107&lt;&gt;"",$Q107&lt;$F107),"Tgl pelepasan &lt; perolehan","OK")))))))))</f>
        <v/>
      </c>
    </row>
    <row r="108" spans="1:60" x14ac:dyDescent="0.25">
      <c r="A108" t="str">
        <f>IF($B108="","",ROW()-6)</f>
        <v/>
      </c>
      <c r="B108" s="9"/>
      <c r="C108" s="9"/>
      <c r="D108" s="9"/>
      <c r="E108" s="9"/>
      <c r="F108" s="17"/>
      <c r="G108" s="18"/>
      <c r="H108" s="18"/>
      <c r="I108" s="9"/>
      <c r="J108" s="9"/>
      <c r="K108" s="19"/>
      <c r="L108" s="19"/>
      <c r="M108" s="19"/>
      <c r="N108" s="9"/>
      <c r="O108" s="9"/>
      <c r="P108" s="9"/>
      <c r="Q108" s="17"/>
      <c r="R108" s="18"/>
      <c r="S108" t="str">
        <f>IF($B108="","",IF($I108&lt;&gt;"",$I108,IFERROR(INDEX(Kat_Metode,MATCH($D108,Kat_Nama,0)),"")))</f>
        <v/>
      </c>
      <c r="T108" t="str">
        <f>IF($B108="","",IF($J108&lt;&gt;"",$J108,IFERROR(INDEX(Kat_Umur,MATCH($D108,Kat_Nama,0)),0)))</f>
        <v/>
      </c>
      <c r="U108" t="str">
        <f>IF($B108="","",IF($N108&lt;&gt;"",$N108,IFERROR(INDEX(Kat_Kelompok,MATCH($D108,Kat_Nama,0)),"")))</f>
        <v/>
      </c>
      <c r="V108" t="str">
        <f>IF($B108="","",IF($U108="Masa Manfaat Sebenarnya",N($O108),IFERROR(INDEX(Kel_Masa,MATCH($U108,Kel_Nama,0)),0)))</f>
        <v/>
      </c>
      <c r="W108" t="str">
        <f>IF($B108="","",IF($P108&lt;&gt;"",$P108,IF(OR($U108="Tidak Disusutkan",$V108=0),"Tidak Disusutkan","Garis Lurus")))</f>
        <v/>
      </c>
      <c r="X108" t="str">
        <f>IF($B108="","",IF($Y108&gt;TahunBuku*12+12,"Belum Diperoleh",IF($Z108&lt;=TahunBuku*12,"Dilepas (thn lalu)",IF($AC108=1,"Dilepas thn ini",IF($AB108=1,"Perolehan baru","Aktif")))))</f>
        <v/>
      </c>
      <c r="Y108" s="20" t="str">
        <f>IF($B108="","",YEAR($F108)*12+MONTH($F108))</f>
        <v/>
      </c>
      <c r="Z108" s="20" t="str">
        <f>IF($B108="","",IF($Q108="",99999,YEAR($Q108)*12+MONTH($Q108)))</f>
        <v/>
      </c>
      <c r="AA108" s="20" t="str">
        <f>IF($B108="","",--AND($Y108&lt;=TahunBuku*12,$Z108&gt;TahunBuku*12))</f>
        <v/>
      </c>
      <c r="AB108" s="20" t="str">
        <f>IF($B108="","",--AND($Y108&gt;TahunBuku*12,$Y108&lt;=TahunBuku*12+12))</f>
        <v/>
      </c>
      <c r="AC108" s="20" t="str">
        <f>IF($B108="","",--AND($Z108&gt;TahunBuku*12,$Z108&lt;=TahunBuku*12+12,$Y108&lt;=$Z108))</f>
        <v/>
      </c>
      <c r="AD108" s="21" t="str">
        <f>IF($B108="","",IFERROR(IF($S108="Garis Lurus",$G108-($G108-$H108)*MIN($T108*12,MAX(0,TahunBuku*12-$Y108+1))/($T108*12),IF($S108="Saldo Menurun",IF(TahunBuku-1&lt;YEAR($F108),$G108,IF(TahunBuku-1&gt;=INT(($Y108+$T108*12-2)/12),$H108,MAX($H108,$G108*(1-2/$T108*(13-MONTH($F108))/12)*(1-2/$T108)^(TahunBuku-1-YEAR($F108))))),IF($S108="Unit Produksi",$G108-($G108-$H108)*MIN(1,N($L108)/$K108),$G108))),$G108))</f>
        <v/>
      </c>
      <c r="AE108" s="21" t="str">
        <f>IF($B108="","",IFERROR(IF($S108="Garis Lurus",$G108-($G108-$H108)*MIN($T108*12,MAX(0,TahunBuku*12+12-$Y108+1))/($T108*12),IF($S108="Saldo Menurun",IF(TahunBuku&lt;YEAR($F108),$G108,IF(TahunBuku&gt;=INT(($Y108+$T108*12-2)/12),$H108,MAX($H108,$G108*(1-2/$T108*(13-MONTH($F108))/12)*(1-2/$T108)^(TahunBuku-YEAR($F108))))),IF($S108="Unit Produksi",$G108-($G108-$H108)*MIN(1,(N($L108)+N($M108))/$K108),$G108))),$G108))</f>
        <v/>
      </c>
      <c r="AF108" s="20" t="str">
        <f>IF($B108="","",IF(OR($S108="Garis Lurus",$S108="Saldo Menurun",$S108="Unit Produksi"),MAX(0,IF($S108="Unit Produksi",TahunBuku*12+12,MIN(TahunBuku*12+12,$Y108+$T108*12-1))-MAX(TahunBuku*12+1,$Y108)+1),0))</f>
        <v/>
      </c>
      <c r="AG108" s="20" t="str">
        <f>IF($B108="","",IF(OR($S108="Garis Lurus",$S108="Saldo Menurun",$S108="Unit Produksi"),MAX(0,MIN($Z108,IF($S108="Unit Produksi",TahunBuku*12+12,MIN(TahunBuku*12+12,$Y108+$T108*12-1)))-MAX(TahunBuku*12+1,$Y108)+1),0))</f>
        <v/>
      </c>
      <c r="AH108" s="21" t="str">
        <f>IF($B108="","",IFERROR(IF($W108="Garis Lurus",$G108*(1-MIN($V108*12,MAX(0,TahunBuku*12-$Y108+1))/($V108*12)),IF($W108="Saldo Menurun",IF(TahunBuku-1&lt;YEAR($F108),$G108,IF(TahunBuku-1&gt;=INT(($Y108+$V108*12-2)/12),0,$G108*(1-2/$V108*(13-MONTH($F108))/12)*(1-2/$V108)^(TahunBuku-1-YEAR($F108)))),$G108)),$G108))</f>
        <v/>
      </c>
      <c r="AI108" s="21" t="str">
        <f>IF($B108="","",IFERROR(IF($W108="Garis Lurus",$G108*(1-MIN($V108*12,MAX(0,TahunBuku*12+12-$Y108+1))/($V108*12)),IF($W108="Saldo Menurun",IF(TahunBuku&lt;YEAR($F108),$G108,IF(TahunBuku&gt;=INT(($Y108+$V108*12-2)/12),0,$G108*(1-2/$V108*(13-MONTH($F108))/12)*(1-2/$V108)^(TahunBuku-YEAR($F108)))),$G108)),$G108))</f>
        <v/>
      </c>
      <c r="AJ108" s="20" t="str">
        <f>IF($B108="","",IF(OR($W108="Garis Lurus",$W108="Saldo Menurun"),MAX(0,MIN(TahunBuku*12+12,$Y108+$V108*12-1)-MAX(TahunBuku*12+1,$Y108)+1),0))</f>
        <v/>
      </c>
      <c r="AK108" s="20" t="str">
        <f>IF($B108="","",IF(OR($W108="Garis Lurus",$W108="Saldo Menurun"),MAX(0,MIN($Z108,TahunBuku*12+12,$Y108+$V108*12-1)-MAX(TahunBuku*12+1,$Y108)+1),0))</f>
        <v/>
      </c>
      <c r="AL108" s="22" t="str">
        <f>IF($B108="","",$G108*$AA108)</f>
        <v/>
      </c>
      <c r="AM108" s="22" t="str">
        <f>IF($B108="","",$G108*$AB108)</f>
        <v/>
      </c>
      <c r="AN108" s="22" t="str">
        <f>IF($B108="","",$G108*$AC108)</f>
        <v/>
      </c>
      <c r="AO108" s="22" t="str">
        <f>IF($B108="","",AL108+AM108-AN108)</f>
        <v/>
      </c>
      <c r="AP108" s="22" t="str">
        <f>IF($B108="","",($G108-$AD108)*$AA108)</f>
        <v/>
      </c>
      <c r="AQ108" s="22" t="str">
        <f>IF($B108="","",IF($AF108=0,0,($AD108-$AE108)*$AG108/$AF108)*MAX($AA108,$AB108))</f>
        <v/>
      </c>
      <c r="AR108" s="22" t="str">
        <f>IF($B108="","",(AP108+AQ108)*$AC108)</f>
        <v/>
      </c>
      <c r="AS108" s="22" t="str">
        <f>IF($B108="","",AP108+AQ108-AR108)</f>
        <v/>
      </c>
      <c r="AT108" s="22" t="str">
        <f>IF($B108="","",AO108-AS108)</f>
        <v/>
      </c>
      <c r="AU108" s="22" t="str">
        <f>IF($B108="","",IF($AC108=1,N($R108)-($G108-AR108),0))</f>
        <v/>
      </c>
      <c r="AV108" s="22" t="str">
        <f>IF($B108="","",($G108-$AH108)*$AA108)</f>
        <v/>
      </c>
      <c r="AW108" s="22" t="str">
        <f>IF($B108="","",IF($AJ108=0,0,($AH108-$AI108)*$AK108/$AJ108)*MAX($AA108,$AB108))</f>
        <v/>
      </c>
      <c r="AX108" s="22" t="str">
        <f>IF($B108="","",(AV108+AW108)*$AC108)</f>
        <v/>
      </c>
      <c r="AY108" s="22" t="str">
        <f>IF($B108="","",AV108+AW108-AX108)</f>
        <v/>
      </c>
      <c r="AZ108" s="22" t="str">
        <f>IF($B108="","",AO108-AY108)</f>
        <v/>
      </c>
      <c r="BA108" s="22" t="str">
        <f>IF($B108="","",IF($AC108=1,N($R108)-($G108-AX108),0))</f>
        <v/>
      </c>
      <c r="BB108" s="22" t="str">
        <f>IF($B108="","",ROUND(AQ108-AW108,0))</f>
        <v/>
      </c>
      <c r="BC108" s="22" t="str">
        <f>IF($B108="","",ROUND(BA108-AU108,0))</f>
        <v/>
      </c>
      <c r="BD108" s="22" t="str">
        <f>IF($B108="","",BB108+BC108)</f>
        <v/>
      </c>
      <c r="BE108" s="22" t="str">
        <f>IF($B108="","",ROUND(AV108-AP108,0))</f>
        <v/>
      </c>
      <c r="BF108" s="22" t="str">
        <f>IF($B108="","",ROUND(AT108-AZ108,0))</f>
        <v/>
      </c>
      <c r="BG108" s="22" t="str">
        <f>IF($B108="","",ROUND(BF108*TarifPPh,0))</f>
        <v/>
      </c>
      <c r="BH108" t="str">
        <f>IF($B108="","",IF($D108="","Kategori kosong",IF($F108="","Tgl perolehan kosong",IF(N($H108)&gt;$G108,"Residu &gt; harga perolehan",IF(AND(LEFT($U108,8)="Bangunan",$W108="Saldo Menurun"),"Bangunan wajib Garis Lurus (Ps.11 UU PPh)",IF(AND($S108="Unit Produksi",N($K108)=0),"Isi kapasitas unit",IF(AND(OR($S108="Garis Lurus",$S108="Saldo Menurun"),N($T108)&lt;=0),"Umur komersial kosong",IF(AND(OR($W108="Garis Lurus",$W108="Saldo Menurun"),N($V108)&lt;=0),"Masa manfaat fiskal kosong",IF(AND($Q108&lt;&gt;"",$Q108&lt;$F108),"Tgl pelepasan &lt; perolehan","OK")))))))))</f>
        <v/>
      </c>
    </row>
    <row r="109" spans="1:60" x14ac:dyDescent="0.25">
      <c r="A109" t="str">
        <f>IF($B109="","",ROW()-6)</f>
        <v/>
      </c>
      <c r="B109" s="9"/>
      <c r="C109" s="9"/>
      <c r="D109" s="9"/>
      <c r="E109" s="9"/>
      <c r="F109" s="17"/>
      <c r="G109" s="18"/>
      <c r="H109" s="18"/>
      <c r="I109" s="9"/>
      <c r="J109" s="9"/>
      <c r="K109" s="19"/>
      <c r="L109" s="19"/>
      <c r="M109" s="19"/>
      <c r="N109" s="9"/>
      <c r="O109" s="9"/>
      <c r="P109" s="9"/>
      <c r="Q109" s="17"/>
      <c r="R109" s="18"/>
      <c r="S109" t="str">
        <f>IF($B109="","",IF($I109&lt;&gt;"",$I109,IFERROR(INDEX(Kat_Metode,MATCH($D109,Kat_Nama,0)),"")))</f>
        <v/>
      </c>
      <c r="T109" t="str">
        <f>IF($B109="","",IF($J109&lt;&gt;"",$J109,IFERROR(INDEX(Kat_Umur,MATCH($D109,Kat_Nama,0)),0)))</f>
        <v/>
      </c>
      <c r="U109" t="str">
        <f>IF($B109="","",IF($N109&lt;&gt;"",$N109,IFERROR(INDEX(Kat_Kelompok,MATCH($D109,Kat_Nama,0)),"")))</f>
        <v/>
      </c>
      <c r="V109" t="str">
        <f>IF($B109="","",IF($U109="Masa Manfaat Sebenarnya",N($O109),IFERROR(INDEX(Kel_Masa,MATCH($U109,Kel_Nama,0)),0)))</f>
        <v/>
      </c>
      <c r="W109" t="str">
        <f>IF($B109="","",IF($P109&lt;&gt;"",$P109,IF(OR($U109="Tidak Disusutkan",$V109=0),"Tidak Disusutkan","Garis Lurus")))</f>
        <v/>
      </c>
      <c r="X109" t="str">
        <f>IF($B109="","",IF($Y109&gt;TahunBuku*12+12,"Belum Diperoleh",IF($Z109&lt;=TahunBuku*12,"Dilepas (thn lalu)",IF($AC109=1,"Dilepas thn ini",IF($AB109=1,"Perolehan baru","Aktif")))))</f>
        <v/>
      </c>
      <c r="Y109" s="20" t="str">
        <f>IF($B109="","",YEAR($F109)*12+MONTH($F109))</f>
        <v/>
      </c>
      <c r="Z109" s="20" t="str">
        <f>IF($B109="","",IF($Q109="",99999,YEAR($Q109)*12+MONTH($Q109)))</f>
        <v/>
      </c>
      <c r="AA109" s="20" t="str">
        <f>IF($B109="","",--AND($Y109&lt;=TahunBuku*12,$Z109&gt;TahunBuku*12))</f>
        <v/>
      </c>
      <c r="AB109" s="20" t="str">
        <f>IF($B109="","",--AND($Y109&gt;TahunBuku*12,$Y109&lt;=TahunBuku*12+12))</f>
        <v/>
      </c>
      <c r="AC109" s="20" t="str">
        <f>IF($B109="","",--AND($Z109&gt;TahunBuku*12,$Z109&lt;=TahunBuku*12+12,$Y109&lt;=$Z109))</f>
        <v/>
      </c>
      <c r="AD109" s="21" t="str">
        <f>IF($B109="","",IFERROR(IF($S109="Garis Lurus",$G109-($G109-$H109)*MIN($T109*12,MAX(0,TahunBuku*12-$Y109+1))/($T109*12),IF($S109="Saldo Menurun",IF(TahunBuku-1&lt;YEAR($F109),$G109,IF(TahunBuku-1&gt;=INT(($Y109+$T109*12-2)/12),$H109,MAX($H109,$G109*(1-2/$T109*(13-MONTH($F109))/12)*(1-2/$T109)^(TahunBuku-1-YEAR($F109))))),IF($S109="Unit Produksi",$G109-($G109-$H109)*MIN(1,N($L109)/$K109),$G109))),$G109))</f>
        <v/>
      </c>
      <c r="AE109" s="21" t="str">
        <f>IF($B109="","",IFERROR(IF($S109="Garis Lurus",$G109-($G109-$H109)*MIN($T109*12,MAX(0,TahunBuku*12+12-$Y109+1))/($T109*12),IF($S109="Saldo Menurun",IF(TahunBuku&lt;YEAR($F109),$G109,IF(TahunBuku&gt;=INT(($Y109+$T109*12-2)/12),$H109,MAX($H109,$G109*(1-2/$T109*(13-MONTH($F109))/12)*(1-2/$T109)^(TahunBuku-YEAR($F109))))),IF($S109="Unit Produksi",$G109-($G109-$H109)*MIN(1,(N($L109)+N($M109))/$K109),$G109))),$G109))</f>
        <v/>
      </c>
      <c r="AF109" s="20" t="str">
        <f>IF($B109="","",IF(OR($S109="Garis Lurus",$S109="Saldo Menurun",$S109="Unit Produksi"),MAX(0,IF($S109="Unit Produksi",TahunBuku*12+12,MIN(TahunBuku*12+12,$Y109+$T109*12-1))-MAX(TahunBuku*12+1,$Y109)+1),0))</f>
        <v/>
      </c>
      <c r="AG109" s="20" t="str">
        <f>IF($B109="","",IF(OR($S109="Garis Lurus",$S109="Saldo Menurun",$S109="Unit Produksi"),MAX(0,MIN($Z109,IF($S109="Unit Produksi",TahunBuku*12+12,MIN(TahunBuku*12+12,$Y109+$T109*12-1)))-MAX(TahunBuku*12+1,$Y109)+1),0))</f>
        <v/>
      </c>
      <c r="AH109" s="21" t="str">
        <f>IF($B109="","",IFERROR(IF($W109="Garis Lurus",$G109*(1-MIN($V109*12,MAX(0,TahunBuku*12-$Y109+1))/($V109*12)),IF($W109="Saldo Menurun",IF(TahunBuku-1&lt;YEAR($F109),$G109,IF(TahunBuku-1&gt;=INT(($Y109+$V109*12-2)/12),0,$G109*(1-2/$V109*(13-MONTH($F109))/12)*(1-2/$V109)^(TahunBuku-1-YEAR($F109)))),$G109)),$G109))</f>
        <v/>
      </c>
      <c r="AI109" s="21" t="str">
        <f>IF($B109="","",IFERROR(IF($W109="Garis Lurus",$G109*(1-MIN($V109*12,MAX(0,TahunBuku*12+12-$Y109+1))/($V109*12)),IF($W109="Saldo Menurun",IF(TahunBuku&lt;YEAR($F109),$G109,IF(TahunBuku&gt;=INT(($Y109+$V109*12-2)/12),0,$G109*(1-2/$V109*(13-MONTH($F109))/12)*(1-2/$V109)^(TahunBuku-YEAR($F109)))),$G109)),$G109))</f>
        <v/>
      </c>
      <c r="AJ109" s="20" t="str">
        <f>IF($B109="","",IF(OR($W109="Garis Lurus",$W109="Saldo Menurun"),MAX(0,MIN(TahunBuku*12+12,$Y109+$V109*12-1)-MAX(TahunBuku*12+1,$Y109)+1),0))</f>
        <v/>
      </c>
      <c r="AK109" s="20" t="str">
        <f>IF($B109="","",IF(OR($W109="Garis Lurus",$W109="Saldo Menurun"),MAX(0,MIN($Z109,TahunBuku*12+12,$Y109+$V109*12-1)-MAX(TahunBuku*12+1,$Y109)+1),0))</f>
        <v/>
      </c>
      <c r="AL109" s="22" t="str">
        <f>IF($B109="","",$G109*$AA109)</f>
        <v/>
      </c>
      <c r="AM109" s="22" t="str">
        <f>IF($B109="","",$G109*$AB109)</f>
        <v/>
      </c>
      <c r="AN109" s="22" t="str">
        <f>IF($B109="","",$G109*$AC109)</f>
        <v/>
      </c>
      <c r="AO109" s="22" t="str">
        <f>IF($B109="","",AL109+AM109-AN109)</f>
        <v/>
      </c>
      <c r="AP109" s="22" t="str">
        <f>IF($B109="","",($G109-$AD109)*$AA109)</f>
        <v/>
      </c>
      <c r="AQ109" s="22" t="str">
        <f>IF($B109="","",IF($AF109=0,0,($AD109-$AE109)*$AG109/$AF109)*MAX($AA109,$AB109))</f>
        <v/>
      </c>
      <c r="AR109" s="22" t="str">
        <f>IF($B109="","",(AP109+AQ109)*$AC109)</f>
        <v/>
      </c>
      <c r="AS109" s="22" t="str">
        <f>IF($B109="","",AP109+AQ109-AR109)</f>
        <v/>
      </c>
      <c r="AT109" s="22" t="str">
        <f>IF($B109="","",AO109-AS109)</f>
        <v/>
      </c>
      <c r="AU109" s="22" t="str">
        <f>IF($B109="","",IF($AC109=1,N($R109)-($G109-AR109),0))</f>
        <v/>
      </c>
      <c r="AV109" s="22" t="str">
        <f>IF($B109="","",($G109-$AH109)*$AA109)</f>
        <v/>
      </c>
      <c r="AW109" s="22" t="str">
        <f>IF($B109="","",IF($AJ109=0,0,($AH109-$AI109)*$AK109/$AJ109)*MAX($AA109,$AB109))</f>
        <v/>
      </c>
      <c r="AX109" s="22" t="str">
        <f>IF($B109="","",(AV109+AW109)*$AC109)</f>
        <v/>
      </c>
      <c r="AY109" s="22" t="str">
        <f>IF($B109="","",AV109+AW109-AX109)</f>
        <v/>
      </c>
      <c r="AZ109" s="22" t="str">
        <f>IF($B109="","",AO109-AY109)</f>
        <v/>
      </c>
      <c r="BA109" s="22" t="str">
        <f>IF($B109="","",IF($AC109=1,N($R109)-($G109-AX109),0))</f>
        <v/>
      </c>
      <c r="BB109" s="22" t="str">
        <f>IF($B109="","",ROUND(AQ109-AW109,0))</f>
        <v/>
      </c>
      <c r="BC109" s="22" t="str">
        <f>IF($B109="","",ROUND(BA109-AU109,0))</f>
        <v/>
      </c>
      <c r="BD109" s="22" t="str">
        <f>IF($B109="","",BB109+BC109)</f>
        <v/>
      </c>
      <c r="BE109" s="22" t="str">
        <f>IF($B109="","",ROUND(AV109-AP109,0))</f>
        <v/>
      </c>
      <c r="BF109" s="22" t="str">
        <f>IF($B109="","",ROUND(AT109-AZ109,0))</f>
        <v/>
      </c>
      <c r="BG109" s="22" t="str">
        <f>IF($B109="","",ROUND(BF109*TarifPPh,0))</f>
        <v/>
      </c>
      <c r="BH109" t="str">
        <f>IF($B109="","",IF($D109="","Kategori kosong",IF($F109="","Tgl perolehan kosong",IF(N($H109)&gt;$G109,"Residu &gt; harga perolehan",IF(AND(LEFT($U109,8)="Bangunan",$W109="Saldo Menurun"),"Bangunan wajib Garis Lurus (Ps.11 UU PPh)",IF(AND($S109="Unit Produksi",N($K109)=0),"Isi kapasitas unit",IF(AND(OR($S109="Garis Lurus",$S109="Saldo Menurun"),N($T109)&lt;=0),"Umur komersial kosong",IF(AND(OR($W109="Garis Lurus",$W109="Saldo Menurun"),N($V109)&lt;=0),"Masa manfaat fiskal kosong",IF(AND($Q109&lt;&gt;"",$Q109&lt;$F109),"Tgl pelepasan &lt; perolehan","OK")))))))))</f>
        <v/>
      </c>
    </row>
    <row r="110" spans="1:60" x14ac:dyDescent="0.25">
      <c r="A110" t="str">
        <f>IF($B110="","",ROW()-6)</f>
        <v/>
      </c>
      <c r="B110" s="9"/>
      <c r="C110" s="9"/>
      <c r="D110" s="9"/>
      <c r="E110" s="9"/>
      <c r="F110" s="17"/>
      <c r="G110" s="18"/>
      <c r="H110" s="18"/>
      <c r="I110" s="9"/>
      <c r="J110" s="9"/>
      <c r="K110" s="19"/>
      <c r="L110" s="19"/>
      <c r="M110" s="19"/>
      <c r="N110" s="9"/>
      <c r="O110" s="9"/>
      <c r="P110" s="9"/>
      <c r="Q110" s="17"/>
      <c r="R110" s="18"/>
      <c r="S110" t="str">
        <f>IF($B110="","",IF($I110&lt;&gt;"",$I110,IFERROR(INDEX(Kat_Metode,MATCH($D110,Kat_Nama,0)),"")))</f>
        <v/>
      </c>
      <c r="T110" t="str">
        <f>IF($B110="","",IF($J110&lt;&gt;"",$J110,IFERROR(INDEX(Kat_Umur,MATCH($D110,Kat_Nama,0)),0)))</f>
        <v/>
      </c>
      <c r="U110" t="str">
        <f>IF($B110="","",IF($N110&lt;&gt;"",$N110,IFERROR(INDEX(Kat_Kelompok,MATCH($D110,Kat_Nama,0)),"")))</f>
        <v/>
      </c>
      <c r="V110" t="str">
        <f>IF($B110="","",IF($U110="Masa Manfaat Sebenarnya",N($O110),IFERROR(INDEX(Kel_Masa,MATCH($U110,Kel_Nama,0)),0)))</f>
        <v/>
      </c>
      <c r="W110" t="str">
        <f>IF($B110="","",IF($P110&lt;&gt;"",$P110,IF(OR($U110="Tidak Disusutkan",$V110=0),"Tidak Disusutkan","Garis Lurus")))</f>
        <v/>
      </c>
      <c r="X110" t="str">
        <f>IF($B110="","",IF($Y110&gt;TahunBuku*12+12,"Belum Diperoleh",IF($Z110&lt;=TahunBuku*12,"Dilepas (thn lalu)",IF($AC110=1,"Dilepas thn ini",IF($AB110=1,"Perolehan baru","Aktif")))))</f>
        <v/>
      </c>
      <c r="Y110" s="20" t="str">
        <f>IF($B110="","",YEAR($F110)*12+MONTH($F110))</f>
        <v/>
      </c>
      <c r="Z110" s="20" t="str">
        <f>IF($B110="","",IF($Q110="",99999,YEAR($Q110)*12+MONTH($Q110)))</f>
        <v/>
      </c>
      <c r="AA110" s="20" t="str">
        <f>IF($B110="","",--AND($Y110&lt;=TahunBuku*12,$Z110&gt;TahunBuku*12))</f>
        <v/>
      </c>
      <c r="AB110" s="20" t="str">
        <f>IF($B110="","",--AND($Y110&gt;TahunBuku*12,$Y110&lt;=TahunBuku*12+12))</f>
        <v/>
      </c>
      <c r="AC110" s="20" t="str">
        <f>IF($B110="","",--AND($Z110&gt;TahunBuku*12,$Z110&lt;=TahunBuku*12+12,$Y110&lt;=$Z110))</f>
        <v/>
      </c>
      <c r="AD110" s="21" t="str">
        <f>IF($B110="","",IFERROR(IF($S110="Garis Lurus",$G110-($G110-$H110)*MIN($T110*12,MAX(0,TahunBuku*12-$Y110+1))/($T110*12),IF($S110="Saldo Menurun",IF(TahunBuku-1&lt;YEAR($F110),$G110,IF(TahunBuku-1&gt;=INT(($Y110+$T110*12-2)/12),$H110,MAX($H110,$G110*(1-2/$T110*(13-MONTH($F110))/12)*(1-2/$T110)^(TahunBuku-1-YEAR($F110))))),IF($S110="Unit Produksi",$G110-($G110-$H110)*MIN(1,N($L110)/$K110),$G110))),$G110))</f>
        <v/>
      </c>
      <c r="AE110" s="21" t="str">
        <f>IF($B110="","",IFERROR(IF($S110="Garis Lurus",$G110-($G110-$H110)*MIN($T110*12,MAX(0,TahunBuku*12+12-$Y110+1))/($T110*12),IF($S110="Saldo Menurun",IF(TahunBuku&lt;YEAR($F110),$G110,IF(TahunBuku&gt;=INT(($Y110+$T110*12-2)/12),$H110,MAX($H110,$G110*(1-2/$T110*(13-MONTH($F110))/12)*(1-2/$T110)^(TahunBuku-YEAR($F110))))),IF($S110="Unit Produksi",$G110-($G110-$H110)*MIN(1,(N($L110)+N($M110))/$K110),$G110))),$G110))</f>
        <v/>
      </c>
      <c r="AF110" s="20" t="str">
        <f>IF($B110="","",IF(OR($S110="Garis Lurus",$S110="Saldo Menurun",$S110="Unit Produksi"),MAX(0,IF($S110="Unit Produksi",TahunBuku*12+12,MIN(TahunBuku*12+12,$Y110+$T110*12-1))-MAX(TahunBuku*12+1,$Y110)+1),0))</f>
        <v/>
      </c>
      <c r="AG110" s="20" t="str">
        <f>IF($B110="","",IF(OR($S110="Garis Lurus",$S110="Saldo Menurun",$S110="Unit Produksi"),MAX(0,MIN($Z110,IF($S110="Unit Produksi",TahunBuku*12+12,MIN(TahunBuku*12+12,$Y110+$T110*12-1)))-MAX(TahunBuku*12+1,$Y110)+1),0))</f>
        <v/>
      </c>
      <c r="AH110" s="21" t="str">
        <f>IF($B110="","",IFERROR(IF($W110="Garis Lurus",$G110*(1-MIN($V110*12,MAX(0,TahunBuku*12-$Y110+1))/($V110*12)),IF($W110="Saldo Menurun",IF(TahunBuku-1&lt;YEAR($F110),$G110,IF(TahunBuku-1&gt;=INT(($Y110+$V110*12-2)/12),0,$G110*(1-2/$V110*(13-MONTH($F110))/12)*(1-2/$V110)^(TahunBuku-1-YEAR($F110)))),$G110)),$G110))</f>
        <v/>
      </c>
      <c r="AI110" s="21" t="str">
        <f>IF($B110="","",IFERROR(IF($W110="Garis Lurus",$G110*(1-MIN($V110*12,MAX(0,TahunBuku*12+12-$Y110+1))/($V110*12)),IF($W110="Saldo Menurun",IF(TahunBuku&lt;YEAR($F110),$G110,IF(TahunBuku&gt;=INT(($Y110+$V110*12-2)/12),0,$G110*(1-2/$V110*(13-MONTH($F110))/12)*(1-2/$V110)^(TahunBuku-YEAR($F110)))),$G110)),$G110))</f>
        <v/>
      </c>
      <c r="AJ110" s="20" t="str">
        <f>IF($B110="","",IF(OR($W110="Garis Lurus",$W110="Saldo Menurun"),MAX(0,MIN(TahunBuku*12+12,$Y110+$V110*12-1)-MAX(TahunBuku*12+1,$Y110)+1),0))</f>
        <v/>
      </c>
      <c r="AK110" s="20" t="str">
        <f>IF($B110="","",IF(OR($W110="Garis Lurus",$W110="Saldo Menurun"),MAX(0,MIN($Z110,TahunBuku*12+12,$Y110+$V110*12-1)-MAX(TahunBuku*12+1,$Y110)+1),0))</f>
        <v/>
      </c>
      <c r="AL110" s="22" t="str">
        <f>IF($B110="","",$G110*$AA110)</f>
        <v/>
      </c>
      <c r="AM110" s="22" t="str">
        <f>IF($B110="","",$G110*$AB110)</f>
        <v/>
      </c>
      <c r="AN110" s="22" t="str">
        <f>IF($B110="","",$G110*$AC110)</f>
        <v/>
      </c>
      <c r="AO110" s="22" t="str">
        <f>IF($B110="","",AL110+AM110-AN110)</f>
        <v/>
      </c>
      <c r="AP110" s="22" t="str">
        <f>IF($B110="","",($G110-$AD110)*$AA110)</f>
        <v/>
      </c>
      <c r="AQ110" s="22" t="str">
        <f>IF($B110="","",IF($AF110=0,0,($AD110-$AE110)*$AG110/$AF110)*MAX($AA110,$AB110))</f>
        <v/>
      </c>
      <c r="AR110" s="22" t="str">
        <f>IF($B110="","",(AP110+AQ110)*$AC110)</f>
        <v/>
      </c>
      <c r="AS110" s="22" t="str">
        <f>IF($B110="","",AP110+AQ110-AR110)</f>
        <v/>
      </c>
      <c r="AT110" s="22" t="str">
        <f>IF($B110="","",AO110-AS110)</f>
        <v/>
      </c>
      <c r="AU110" s="22" t="str">
        <f>IF($B110="","",IF($AC110=1,N($R110)-($G110-AR110),0))</f>
        <v/>
      </c>
      <c r="AV110" s="22" t="str">
        <f>IF($B110="","",($G110-$AH110)*$AA110)</f>
        <v/>
      </c>
      <c r="AW110" s="22" t="str">
        <f>IF($B110="","",IF($AJ110=0,0,($AH110-$AI110)*$AK110/$AJ110)*MAX($AA110,$AB110))</f>
        <v/>
      </c>
      <c r="AX110" s="22" t="str">
        <f>IF($B110="","",(AV110+AW110)*$AC110)</f>
        <v/>
      </c>
      <c r="AY110" s="22" t="str">
        <f>IF($B110="","",AV110+AW110-AX110)</f>
        <v/>
      </c>
      <c r="AZ110" s="22" t="str">
        <f>IF($B110="","",AO110-AY110)</f>
        <v/>
      </c>
      <c r="BA110" s="22" t="str">
        <f>IF($B110="","",IF($AC110=1,N($R110)-($G110-AX110),0))</f>
        <v/>
      </c>
      <c r="BB110" s="22" t="str">
        <f>IF($B110="","",ROUND(AQ110-AW110,0))</f>
        <v/>
      </c>
      <c r="BC110" s="22" t="str">
        <f>IF($B110="","",ROUND(BA110-AU110,0))</f>
        <v/>
      </c>
      <c r="BD110" s="22" t="str">
        <f>IF($B110="","",BB110+BC110)</f>
        <v/>
      </c>
      <c r="BE110" s="22" t="str">
        <f>IF($B110="","",ROUND(AV110-AP110,0))</f>
        <v/>
      </c>
      <c r="BF110" s="22" t="str">
        <f>IF($B110="","",ROUND(AT110-AZ110,0))</f>
        <v/>
      </c>
      <c r="BG110" s="22" t="str">
        <f>IF($B110="","",ROUND(BF110*TarifPPh,0))</f>
        <v/>
      </c>
      <c r="BH110" t="str">
        <f>IF($B110="","",IF($D110="","Kategori kosong",IF($F110="","Tgl perolehan kosong",IF(N($H110)&gt;$G110,"Residu &gt; harga perolehan",IF(AND(LEFT($U110,8)="Bangunan",$W110="Saldo Menurun"),"Bangunan wajib Garis Lurus (Ps.11 UU PPh)",IF(AND($S110="Unit Produksi",N($K110)=0),"Isi kapasitas unit",IF(AND(OR($S110="Garis Lurus",$S110="Saldo Menurun"),N($T110)&lt;=0),"Umur komersial kosong",IF(AND(OR($W110="Garis Lurus",$W110="Saldo Menurun"),N($V110)&lt;=0),"Masa manfaat fiskal kosong",IF(AND($Q110&lt;&gt;"",$Q110&lt;$F110),"Tgl pelepasan &lt; perolehan","OK")))))))))</f>
        <v/>
      </c>
    </row>
    <row r="111" spans="1:60" x14ac:dyDescent="0.25">
      <c r="A111" t="str">
        <f>IF($B111="","",ROW()-6)</f>
        <v/>
      </c>
      <c r="B111" s="9"/>
      <c r="C111" s="9"/>
      <c r="D111" s="9"/>
      <c r="E111" s="9"/>
      <c r="F111" s="17"/>
      <c r="G111" s="18"/>
      <c r="H111" s="18"/>
      <c r="I111" s="9"/>
      <c r="J111" s="9"/>
      <c r="K111" s="19"/>
      <c r="L111" s="19"/>
      <c r="M111" s="19"/>
      <c r="N111" s="9"/>
      <c r="O111" s="9"/>
      <c r="P111" s="9"/>
      <c r="Q111" s="17"/>
      <c r="R111" s="18"/>
      <c r="S111" t="str">
        <f>IF($B111="","",IF($I111&lt;&gt;"",$I111,IFERROR(INDEX(Kat_Metode,MATCH($D111,Kat_Nama,0)),"")))</f>
        <v/>
      </c>
      <c r="T111" t="str">
        <f>IF($B111="","",IF($J111&lt;&gt;"",$J111,IFERROR(INDEX(Kat_Umur,MATCH($D111,Kat_Nama,0)),0)))</f>
        <v/>
      </c>
      <c r="U111" t="str">
        <f>IF($B111="","",IF($N111&lt;&gt;"",$N111,IFERROR(INDEX(Kat_Kelompok,MATCH($D111,Kat_Nama,0)),"")))</f>
        <v/>
      </c>
      <c r="V111" t="str">
        <f>IF($B111="","",IF($U111="Masa Manfaat Sebenarnya",N($O111),IFERROR(INDEX(Kel_Masa,MATCH($U111,Kel_Nama,0)),0)))</f>
        <v/>
      </c>
      <c r="W111" t="str">
        <f>IF($B111="","",IF($P111&lt;&gt;"",$P111,IF(OR($U111="Tidak Disusutkan",$V111=0),"Tidak Disusutkan","Garis Lurus")))</f>
        <v/>
      </c>
      <c r="X111" t="str">
        <f>IF($B111="","",IF($Y111&gt;TahunBuku*12+12,"Belum Diperoleh",IF($Z111&lt;=TahunBuku*12,"Dilepas (thn lalu)",IF($AC111=1,"Dilepas thn ini",IF($AB111=1,"Perolehan baru","Aktif")))))</f>
        <v/>
      </c>
      <c r="Y111" s="20" t="str">
        <f>IF($B111="","",YEAR($F111)*12+MONTH($F111))</f>
        <v/>
      </c>
      <c r="Z111" s="20" t="str">
        <f>IF($B111="","",IF($Q111="",99999,YEAR($Q111)*12+MONTH($Q111)))</f>
        <v/>
      </c>
      <c r="AA111" s="20" t="str">
        <f>IF($B111="","",--AND($Y111&lt;=TahunBuku*12,$Z111&gt;TahunBuku*12))</f>
        <v/>
      </c>
      <c r="AB111" s="20" t="str">
        <f>IF($B111="","",--AND($Y111&gt;TahunBuku*12,$Y111&lt;=TahunBuku*12+12))</f>
        <v/>
      </c>
      <c r="AC111" s="20" t="str">
        <f>IF($B111="","",--AND($Z111&gt;TahunBuku*12,$Z111&lt;=TahunBuku*12+12,$Y111&lt;=$Z111))</f>
        <v/>
      </c>
      <c r="AD111" s="21" t="str">
        <f>IF($B111="","",IFERROR(IF($S111="Garis Lurus",$G111-($G111-$H111)*MIN($T111*12,MAX(0,TahunBuku*12-$Y111+1))/($T111*12),IF($S111="Saldo Menurun",IF(TahunBuku-1&lt;YEAR($F111),$G111,IF(TahunBuku-1&gt;=INT(($Y111+$T111*12-2)/12),$H111,MAX($H111,$G111*(1-2/$T111*(13-MONTH($F111))/12)*(1-2/$T111)^(TahunBuku-1-YEAR($F111))))),IF($S111="Unit Produksi",$G111-($G111-$H111)*MIN(1,N($L111)/$K111),$G111))),$G111))</f>
        <v/>
      </c>
      <c r="AE111" s="21" t="str">
        <f>IF($B111="","",IFERROR(IF($S111="Garis Lurus",$G111-($G111-$H111)*MIN($T111*12,MAX(0,TahunBuku*12+12-$Y111+1))/($T111*12),IF($S111="Saldo Menurun",IF(TahunBuku&lt;YEAR($F111),$G111,IF(TahunBuku&gt;=INT(($Y111+$T111*12-2)/12),$H111,MAX($H111,$G111*(1-2/$T111*(13-MONTH($F111))/12)*(1-2/$T111)^(TahunBuku-YEAR($F111))))),IF($S111="Unit Produksi",$G111-($G111-$H111)*MIN(1,(N($L111)+N($M111))/$K111),$G111))),$G111))</f>
        <v/>
      </c>
      <c r="AF111" s="20" t="str">
        <f>IF($B111="","",IF(OR($S111="Garis Lurus",$S111="Saldo Menurun",$S111="Unit Produksi"),MAX(0,IF($S111="Unit Produksi",TahunBuku*12+12,MIN(TahunBuku*12+12,$Y111+$T111*12-1))-MAX(TahunBuku*12+1,$Y111)+1),0))</f>
        <v/>
      </c>
      <c r="AG111" s="20" t="str">
        <f>IF($B111="","",IF(OR($S111="Garis Lurus",$S111="Saldo Menurun",$S111="Unit Produksi"),MAX(0,MIN($Z111,IF($S111="Unit Produksi",TahunBuku*12+12,MIN(TahunBuku*12+12,$Y111+$T111*12-1)))-MAX(TahunBuku*12+1,$Y111)+1),0))</f>
        <v/>
      </c>
      <c r="AH111" s="21" t="str">
        <f>IF($B111="","",IFERROR(IF($W111="Garis Lurus",$G111*(1-MIN($V111*12,MAX(0,TahunBuku*12-$Y111+1))/($V111*12)),IF($W111="Saldo Menurun",IF(TahunBuku-1&lt;YEAR($F111),$G111,IF(TahunBuku-1&gt;=INT(($Y111+$V111*12-2)/12),0,$G111*(1-2/$V111*(13-MONTH($F111))/12)*(1-2/$V111)^(TahunBuku-1-YEAR($F111)))),$G111)),$G111))</f>
        <v/>
      </c>
      <c r="AI111" s="21" t="str">
        <f>IF($B111="","",IFERROR(IF($W111="Garis Lurus",$G111*(1-MIN($V111*12,MAX(0,TahunBuku*12+12-$Y111+1))/($V111*12)),IF($W111="Saldo Menurun",IF(TahunBuku&lt;YEAR($F111),$G111,IF(TahunBuku&gt;=INT(($Y111+$V111*12-2)/12),0,$G111*(1-2/$V111*(13-MONTH($F111))/12)*(1-2/$V111)^(TahunBuku-YEAR($F111)))),$G111)),$G111))</f>
        <v/>
      </c>
      <c r="AJ111" s="20" t="str">
        <f>IF($B111="","",IF(OR($W111="Garis Lurus",$W111="Saldo Menurun"),MAX(0,MIN(TahunBuku*12+12,$Y111+$V111*12-1)-MAX(TahunBuku*12+1,$Y111)+1),0))</f>
        <v/>
      </c>
      <c r="AK111" s="20" t="str">
        <f>IF($B111="","",IF(OR($W111="Garis Lurus",$W111="Saldo Menurun"),MAX(0,MIN($Z111,TahunBuku*12+12,$Y111+$V111*12-1)-MAX(TahunBuku*12+1,$Y111)+1),0))</f>
        <v/>
      </c>
      <c r="AL111" s="22" t="str">
        <f>IF($B111="","",$G111*$AA111)</f>
        <v/>
      </c>
      <c r="AM111" s="22" t="str">
        <f>IF($B111="","",$G111*$AB111)</f>
        <v/>
      </c>
      <c r="AN111" s="22" t="str">
        <f>IF($B111="","",$G111*$AC111)</f>
        <v/>
      </c>
      <c r="AO111" s="22" t="str">
        <f>IF($B111="","",AL111+AM111-AN111)</f>
        <v/>
      </c>
      <c r="AP111" s="22" t="str">
        <f>IF($B111="","",($G111-$AD111)*$AA111)</f>
        <v/>
      </c>
      <c r="AQ111" s="22" t="str">
        <f>IF($B111="","",IF($AF111=0,0,($AD111-$AE111)*$AG111/$AF111)*MAX($AA111,$AB111))</f>
        <v/>
      </c>
      <c r="AR111" s="22" t="str">
        <f>IF($B111="","",(AP111+AQ111)*$AC111)</f>
        <v/>
      </c>
      <c r="AS111" s="22" t="str">
        <f>IF($B111="","",AP111+AQ111-AR111)</f>
        <v/>
      </c>
      <c r="AT111" s="22" t="str">
        <f>IF($B111="","",AO111-AS111)</f>
        <v/>
      </c>
      <c r="AU111" s="22" t="str">
        <f>IF($B111="","",IF($AC111=1,N($R111)-($G111-AR111),0))</f>
        <v/>
      </c>
      <c r="AV111" s="22" t="str">
        <f>IF($B111="","",($G111-$AH111)*$AA111)</f>
        <v/>
      </c>
      <c r="AW111" s="22" t="str">
        <f>IF($B111="","",IF($AJ111=0,0,($AH111-$AI111)*$AK111/$AJ111)*MAX($AA111,$AB111))</f>
        <v/>
      </c>
      <c r="AX111" s="22" t="str">
        <f>IF($B111="","",(AV111+AW111)*$AC111)</f>
        <v/>
      </c>
      <c r="AY111" s="22" t="str">
        <f>IF($B111="","",AV111+AW111-AX111)</f>
        <v/>
      </c>
      <c r="AZ111" s="22" t="str">
        <f>IF($B111="","",AO111-AY111)</f>
        <v/>
      </c>
      <c r="BA111" s="22" t="str">
        <f>IF($B111="","",IF($AC111=1,N($R111)-($G111-AX111),0))</f>
        <v/>
      </c>
      <c r="BB111" s="22" t="str">
        <f>IF($B111="","",ROUND(AQ111-AW111,0))</f>
        <v/>
      </c>
      <c r="BC111" s="22" t="str">
        <f>IF($B111="","",ROUND(BA111-AU111,0))</f>
        <v/>
      </c>
      <c r="BD111" s="22" t="str">
        <f>IF($B111="","",BB111+BC111)</f>
        <v/>
      </c>
      <c r="BE111" s="22" t="str">
        <f>IF($B111="","",ROUND(AV111-AP111,0))</f>
        <v/>
      </c>
      <c r="BF111" s="22" t="str">
        <f>IF($B111="","",ROUND(AT111-AZ111,0))</f>
        <v/>
      </c>
      <c r="BG111" s="22" t="str">
        <f>IF($B111="","",ROUND(BF111*TarifPPh,0))</f>
        <v/>
      </c>
      <c r="BH111" t="str">
        <f>IF($B111="","",IF($D111="","Kategori kosong",IF($F111="","Tgl perolehan kosong",IF(N($H111)&gt;$G111,"Residu &gt; harga perolehan",IF(AND(LEFT($U111,8)="Bangunan",$W111="Saldo Menurun"),"Bangunan wajib Garis Lurus (Ps.11 UU PPh)",IF(AND($S111="Unit Produksi",N($K111)=0),"Isi kapasitas unit",IF(AND(OR($S111="Garis Lurus",$S111="Saldo Menurun"),N($T111)&lt;=0),"Umur komersial kosong",IF(AND(OR($W111="Garis Lurus",$W111="Saldo Menurun"),N($V111)&lt;=0),"Masa manfaat fiskal kosong",IF(AND($Q111&lt;&gt;"",$Q111&lt;$F111),"Tgl pelepasan &lt; perolehan","OK")))))))))</f>
        <v/>
      </c>
    </row>
    <row r="112" spans="1:60" x14ac:dyDescent="0.25">
      <c r="A112" t="str">
        <f>IF($B112="","",ROW()-6)</f>
        <v/>
      </c>
      <c r="B112" s="9"/>
      <c r="C112" s="9"/>
      <c r="D112" s="9"/>
      <c r="E112" s="9"/>
      <c r="F112" s="17"/>
      <c r="G112" s="18"/>
      <c r="H112" s="18"/>
      <c r="I112" s="9"/>
      <c r="J112" s="9"/>
      <c r="K112" s="19"/>
      <c r="L112" s="19"/>
      <c r="M112" s="19"/>
      <c r="N112" s="9"/>
      <c r="O112" s="9"/>
      <c r="P112" s="9"/>
      <c r="Q112" s="17"/>
      <c r="R112" s="18"/>
      <c r="S112" t="str">
        <f>IF($B112="","",IF($I112&lt;&gt;"",$I112,IFERROR(INDEX(Kat_Metode,MATCH($D112,Kat_Nama,0)),"")))</f>
        <v/>
      </c>
      <c r="T112" t="str">
        <f>IF($B112="","",IF($J112&lt;&gt;"",$J112,IFERROR(INDEX(Kat_Umur,MATCH($D112,Kat_Nama,0)),0)))</f>
        <v/>
      </c>
      <c r="U112" t="str">
        <f>IF($B112="","",IF($N112&lt;&gt;"",$N112,IFERROR(INDEX(Kat_Kelompok,MATCH($D112,Kat_Nama,0)),"")))</f>
        <v/>
      </c>
      <c r="V112" t="str">
        <f>IF($B112="","",IF($U112="Masa Manfaat Sebenarnya",N($O112),IFERROR(INDEX(Kel_Masa,MATCH($U112,Kel_Nama,0)),0)))</f>
        <v/>
      </c>
      <c r="W112" t="str">
        <f>IF($B112="","",IF($P112&lt;&gt;"",$P112,IF(OR($U112="Tidak Disusutkan",$V112=0),"Tidak Disusutkan","Garis Lurus")))</f>
        <v/>
      </c>
      <c r="X112" t="str">
        <f>IF($B112="","",IF($Y112&gt;TahunBuku*12+12,"Belum Diperoleh",IF($Z112&lt;=TahunBuku*12,"Dilepas (thn lalu)",IF($AC112=1,"Dilepas thn ini",IF($AB112=1,"Perolehan baru","Aktif")))))</f>
        <v/>
      </c>
      <c r="Y112" s="20" t="str">
        <f>IF($B112="","",YEAR($F112)*12+MONTH($F112))</f>
        <v/>
      </c>
      <c r="Z112" s="20" t="str">
        <f>IF($B112="","",IF($Q112="",99999,YEAR($Q112)*12+MONTH($Q112)))</f>
        <v/>
      </c>
      <c r="AA112" s="20" t="str">
        <f>IF($B112="","",--AND($Y112&lt;=TahunBuku*12,$Z112&gt;TahunBuku*12))</f>
        <v/>
      </c>
      <c r="AB112" s="20" t="str">
        <f>IF($B112="","",--AND($Y112&gt;TahunBuku*12,$Y112&lt;=TahunBuku*12+12))</f>
        <v/>
      </c>
      <c r="AC112" s="20" t="str">
        <f>IF($B112="","",--AND($Z112&gt;TahunBuku*12,$Z112&lt;=TahunBuku*12+12,$Y112&lt;=$Z112))</f>
        <v/>
      </c>
      <c r="AD112" s="21" t="str">
        <f>IF($B112="","",IFERROR(IF($S112="Garis Lurus",$G112-($G112-$H112)*MIN($T112*12,MAX(0,TahunBuku*12-$Y112+1))/($T112*12),IF($S112="Saldo Menurun",IF(TahunBuku-1&lt;YEAR($F112),$G112,IF(TahunBuku-1&gt;=INT(($Y112+$T112*12-2)/12),$H112,MAX($H112,$G112*(1-2/$T112*(13-MONTH($F112))/12)*(1-2/$T112)^(TahunBuku-1-YEAR($F112))))),IF($S112="Unit Produksi",$G112-($G112-$H112)*MIN(1,N($L112)/$K112),$G112))),$G112))</f>
        <v/>
      </c>
      <c r="AE112" s="21" t="str">
        <f>IF($B112="","",IFERROR(IF($S112="Garis Lurus",$G112-($G112-$H112)*MIN($T112*12,MAX(0,TahunBuku*12+12-$Y112+1))/($T112*12),IF($S112="Saldo Menurun",IF(TahunBuku&lt;YEAR($F112),$G112,IF(TahunBuku&gt;=INT(($Y112+$T112*12-2)/12),$H112,MAX($H112,$G112*(1-2/$T112*(13-MONTH($F112))/12)*(1-2/$T112)^(TahunBuku-YEAR($F112))))),IF($S112="Unit Produksi",$G112-($G112-$H112)*MIN(1,(N($L112)+N($M112))/$K112),$G112))),$G112))</f>
        <v/>
      </c>
      <c r="AF112" s="20" t="str">
        <f>IF($B112="","",IF(OR($S112="Garis Lurus",$S112="Saldo Menurun",$S112="Unit Produksi"),MAX(0,IF($S112="Unit Produksi",TahunBuku*12+12,MIN(TahunBuku*12+12,$Y112+$T112*12-1))-MAX(TahunBuku*12+1,$Y112)+1),0))</f>
        <v/>
      </c>
      <c r="AG112" s="20" t="str">
        <f>IF($B112="","",IF(OR($S112="Garis Lurus",$S112="Saldo Menurun",$S112="Unit Produksi"),MAX(0,MIN($Z112,IF($S112="Unit Produksi",TahunBuku*12+12,MIN(TahunBuku*12+12,$Y112+$T112*12-1)))-MAX(TahunBuku*12+1,$Y112)+1),0))</f>
        <v/>
      </c>
      <c r="AH112" s="21" t="str">
        <f>IF($B112="","",IFERROR(IF($W112="Garis Lurus",$G112*(1-MIN($V112*12,MAX(0,TahunBuku*12-$Y112+1))/($V112*12)),IF($W112="Saldo Menurun",IF(TahunBuku-1&lt;YEAR($F112),$G112,IF(TahunBuku-1&gt;=INT(($Y112+$V112*12-2)/12),0,$G112*(1-2/$V112*(13-MONTH($F112))/12)*(1-2/$V112)^(TahunBuku-1-YEAR($F112)))),$G112)),$G112))</f>
        <v/>
      </c>
      <c r="AI112" s="21" t="str">
        <f>IF($B112="","",IFERROR(IF($W112="Garis Lurus",$G112*(1-MIN($V112*12,MAX(0,TahunBuku*12+12-$Y112+1))/($V112*12)),IF($W112="Saldo Menurun",IF(TahunBuku&lt;YEAR($F112),$G112,IF(TahunBuku&gt;=INT(($Y112+$V112*12-2)/12),0,$G112*(1-2/$V112*(13-MONTH($F112))/12)*(1-2/$V112)^(TahunBuku-YEAR($F112)))),$G112)),$G112))</f>
        <v/>
      </c>
      <c r="AJ112" s="20" t="str">
        <f>IF($B112="","",IF(OR($W112="Garis Lurus",$W112="Saldo Menurun"),MAX(0,MIN(TahunBuku*12+12,$Y112+$V112*12-1)-MAX(TahunBuku*12+1,$Y112)+1),0))</f>
        <v/>
      </c>
      <c r="AK112" s="20" t="str">
        <f>IF($B112="","",IF(OR($W112="Garis Lurus",$W112="Saldo Menurun"),MAX(0,MIN($Z112,TahunBuku*12+12,$Y112+$V112*12-1)-MAX(TahunBuku*12+1,$Y112)+1),0))</f>
        <v/>
      </c>
      <c r="AL112" s="22" t="str">
        <f>IF($B112="","",$G112*$AA112)</f>
        <v/>
      </c>
      <c r="AM112" s="22" t="str">
        <f>IF($B112="","",$G112*$AB112)</f>
        <v/>
      </c>
      <c r="AN112" s="22" t="str">
        <f>IF($B112="","",$G112*$AC112)</f>
        <v/>
      </c>
      <c r="AO112" s="22" t="str">
        <f>IF($B112="","",AL112+AM112-AN112)</f>
        <v/>
      </c>
      <c r="AP112" s="22" t="str">
        <f>IF($B112="","",($G112-$AD112)*$AA112)</f>
        <v/>
      </c>
      <c r="AQ112" s="22" t="str">
        <f>IF($B112="","",IF($AF112=0,0,($AD112-$AE112)*$AG112/$AF112)*MAX($AA112,$AB112))</f>
        <v/>
      </c>
      <c r="AR112" s="22" t="str">
        <f>IF($B112="","",(AP112+AQ112)*$AC112)</f>
        <v/>
      </c>
      <c r="AS112" s="22" t="str">
        <f>IF($B112="","",AP112+AQ112-AR112)</f>
        <v/>
      </c>
      <c r="AT112" s="22" t="str">
        <f>IF($B112="","",AO112-AS112)</f>
        <v/>
      </c>
      <c r="AU112" s="22" t="str">
        <f>IF($B112="","",IF($AC112=1,N($R112)-($G112-AR112),0))</f>
        <v/>
      </c>
      <c r="AV112" s="22" t="str">
        <f>IF($B112="","",($G112-$AH112)*$AA112)</f>
        <v/>
      </c>
      <c r="AW112" s="22" t="str">
        <f>IF($B112="","",IF($AJ112=0,0,($AH112-$AI112)*$AK112/$AJ112)*MAX($AA112,$AB112))</f>
        <v/>
      </c>
      <c r="AX112" s="22" t="str">
        <f>IF($B112="","",(AV112+AW112)*$AC112)</f>
        <v/>
      </c>
      <c r="AY112" s="22" t="str">
        <f>IF($B112="","",AV112+AW112-AX112)</f>
        <v/>
      </c>
      <c r="AZ112" s="22" t="str">
        <f>IF($B112="","",AO112-AY112)</f>
        <v/>
      </c>
      <c r="BA112" s="22" t="str">
        <f>IF($B112="","",IF($AC112=1,N($R112)-($G112-AX112),0))</f>
        <v/>
      </c>
      <c r="BB112" s="22" t="str">
        <f>IF($B112="","",ROUND(AQ112-AW112,0))</f>
        <v/>
      </c>
      <c r="BC112" s="22" t="str">
        <f>IF($B112="","",ROUND(BA112-AU112,0))</f>
        <v/>
      </c>
      <c r="BD112" s="22" t="str">
        <f>IF($B112="","",BB112+BC112)</f>
        <v/>
      </c>
      <c r="BE112" s="22" t="str">
        <f>IF($B112="","",ROUND(AV112-AP112,0))</f>
        <v/>
      </c>
      <c r="BF112" s="22" t="str">
        <f>IF($B112="","",ROUND(AT112-AZ112,0))</f>
        <v/>
      </c>
      <c r="BG112" s="22" t="str">
        <f>IF($B112="","",ROUND(BF112*TarifPPh,0))</f>
        <v/>
      </c>
      <c r="BH112" t="str">
        <f>IF($B112="","",IF($D112="","Kategori kosong",IF($F112="","Tgl perolehan kosong",IF(N($H112)&gt;$G112,"Residu &gt; harga perolehan",IF(AND(LEFT($U112,8)="Bangunan",$W112="Saldo Menurun"),"Bangunan wajib Garis Lurus (Ps.11 UU PPh)",IF(AND($S112="Unit Produksi",N($K112)=0),"Isi kapasitas unit",IF(AND(OR($S112="Garis Lurus",$S112="Saldo Menurun"),N($T112)&lt;=0),"Umur komersial kosong",IF(AND(OR($W112="Garis Lurus",$W112="Saldo Menurun"),N($V112)&lt;=0),"Masa manfaat fiskal kosong",IF(AND($Q112&lt;&gt;"",$Q112&lt;$F112),"Tgl pelepasan &lt; perolehan","OK")))))))))</f>
        <v/>
      </c>
    </row>
    <row r="113" spans="1:60" x14ac:dyDescent="0.25">
      <c r="A113" t="str">
        <f>IF($B113="","",ROW()-6)</f>
        <v/>
      </c>
      <c r="B113" s="9"/>
      <c r="C113" s="9"/>
      <c r="D113" s="9"/>
      <c r="E113" s="9"/>
      <c r="F113" s="17"/>
      <c r="G113" s="18"/>
      <c r="H113" s="18"/>
      <c r="I113" s="9"/>
      <c r="J113" s="9"/>
      <c r="K113" s="19"/>
      <c r="L113" s="19"/>
      <c r="M113" s="19"/>
      <c r="N113" s="9"/>
      <c r="O113" s="9"/>
      <c r="P113" s="9"/>
      <c r="Q113" s="17"/>
      <c r="R113" s="18"/>
      <c r="S113" t="str">
        <f>IF($B113="","",IF($I113&lt;&gt;"",$I113,IFERROR(INDEX(Kat_Metode,MATCH($D113,Kat_Nama,0)),"")))</f>
        <v/>
      </c>
      <c r="T113" t="str">
        <f>IF($B113="","",IF($J113&lt;&gt;"",$J113,IFERROR(INDEX(Kat_Umur,MATCH($D113,Kat_Nama,0)),0)))</f>
        <v/>
      </c>
      <c r="U113" t="str">
        <f>IF($B113="","",IF($N113&lt;&gt;"",$N113,IFERROR(INDEX(Kat_Kelompok,MATCH($D113,Kat_Nama,0)),"")))</f>
        <v/>
      </c>
      <c r="V113" t="str">
        <f>IF($B113="","",IF($U113="Masa Manfaat Sebenarnya",N($O113),IFERROR(INDEX(Kel_Masa,MATCH($U113,Kel_Nama,0)),0)))</f>
        <v/>
      </c>
      <c r="W113" t="str">
        <f>IF($B113="","",IF($P113&lt;&gt;"",$P113,IF(OR($U113="Tidak Disusutkan",$V113=0),"Tidak Disusutkan","Garis Lurus")))</f>
        <v/>
      </c>
      <c r="X113" t="str">
        <f>IF($B113="","",IF($Y113&gt;TahunBuku*12+12,"Belum Diperoleh",IF($Z113&lt;=TahunBuku*12,"Dilepas (thn lalu)",IF($AC113=1,"Dilepas thn ini",IF($AB113=1,"Perolehan baru","Aktif")))))</f>
        <v/>
      </c>
      <c r="Y113" s="20" t="str">
        <f>IF($B113="","",YEAR($F113)*12+MONTH($F113))</f>
        <v/>
      </c>
      <c r="Z113" s="20" t="str">
        <f>IF($B113="","",IF($Q113="",99999,YEAR($Q113)*12+MONTH($Q113)))</f>
        <v/>
      </c>
      <c r="AA113" s="20" t="str">
        <f>IF($B113="","",--AND($Y113&lt;=TahunBuku*12,$Z113&gt;TahunBuku*12))</f>
        <v/>
      </c>
      <c r="AB113" s="20" t="str">
        <f>IF($B113="","",--AND($Y113&gt;TahunBuku*12,$Y113&lt;=TahunBuku*12+12))</f>
        <v/>
      </c>
      <c r="AC113" s="20" t="str">
        <f>IF($B113="","",--AND($Z113&gt;TahunBuku*12,$Z113&lt;=TahunBuku*12+12,$Y113&lt;=$Z113))</f>
        <v/>
      </c>
      <c r="AD113" s="21" t="str">
        <f>IF($B113="","",IFERROR(IF($S113="Garis Lurus",$G113-($G113-$H113)*MIN($T113*12,MAX(0,TahunBuku*12-$Y113+1))/($T113*12),IF($S113="Saldo Menurun",IF(TahunBuku-1&lt;YEAR($F113),$G113,IF(TahunBuku-1&gt;=INT(($Y113+$T113*12-2)/12),$H113,MAX($H113,$G113*(1-2/$T113*(13-MONTH($F113))/12)*(1-2/$T113)^(TahunBuku-1-YEAR($F113))))),IF($S113="Unit Produksi",$G113-($G113-$H113)*MIN(1,N($L113)/$K113),$G113))),$G113))</f>
        <v/>
      </c>
      <c r="AE113" s="21" t="str">
        <f>IF($B113="","",IFERROR(IF($S113="Garis Lurus",$G113-($G113-$H113)*MIN($T113*12,MAX(0,TahunBuku*12+12-$Y113+1))/($T113*12),IF($S113="Saldo Menurun",IF(TahunBuku&lt;YEAR($F113),$G113,IF(TahunBuku&gt;=INT(($Y113+$T113*12-2)/12),$H113,MAX($H113,$G113*(1-2/$T113*(13-MONTH($F113))/12)*(1-2/$T113)^(TahunBuku-YEAR($F113))))),IF($S113="Unit Produksi",$G113-($G113-$H113)*MIN(1,(N($L113)+N($M113))/$K113),$G113))),$G113))</f>
        <v/>
      </c>
      <c r="AF113" s="20" t="str">
        <f>IF($B113="","",IF(OR($S113="Garis Lurus",$S113="Saldo Menurun",$S113="Unit Produksi"),MAX(0,IF($S113="Unit Produksi",TahunBuku*12+12,MIN(TahunBuku*12+12,$Y113+$T113*12-1))-MAX(TahunBuku*12+1,$Y113)+1),0))</f>
        <v/>
      </c>
      <c r="AG113" s="20" t="str">
        <f>IF($B113="","",IF(OR($S113="Garis Lurus",$S113="Saldo Menurun",$S113="Unit Produksi"),MAX(0,MIN($Z113,IF($S113="Unit Produksi",TahunBuku*12+12,MIN(TahunBuku*12+12,$Y113+$T113*12-1)))-MAX(TahunBuku*12+1,$Y113)+1),0))</f>
        <v/>
      </c>
      <c r="AH113" s="21" t="str">
        <f>IF($B113="","",IFERROR(IF($W113="Garis Lurus",$G113*(1-MIN($V113*12,MAX(0,TahunBuku*12-$Y113+1))/($V113*12)),IF($W113="Saldo Menurun",IF(TahunBuku-1&lt;YEAR($F113),$G113,IF(TahunBuku-1&gt;=INT(($Y113+$V113*12-2)/12),0,$G113*(1-2/$V113*(13-MONTH($F113))/12)*(1-2/$V113)^(TahunBuku-1-YEAR($F113)))),$G113)),$G113))</f>
        <v/>
      </c>
      <c r="AI113" s="21" t="str">
        <f>IF($B113="","",IFERROR(IF($W113="Garis Lurus",$G113*(1-MIN($V113*12,MAX(0,TahunBuku*12+12-$Y113+1))/($V113*12)),IF($W113="Saldo Menurun",IF(TahunBuku&lt;YEAR($F113),$G113,IF(TahunBuku&gt;=INT(($Y113+$V113*12-2)/12),0,$G113*(1-2/$V113*(13-MONTH($F113))/12)*(1-2/$V113)^(TahunBuku-YEAR($F113)))),$G113)),$G113))</f>
        <v/>
      </c>
      <c r="AJ113" s="20" t="str">
        <f>IF($B113="","",IF(OR($W113="Garis Lurus",$W113="Saldo Menurun"),MAX(0,MIN(TahunBuku*12+12,$Y113+$V113*12-1)-MAX(TahunBuku*12+1,$Y113)+1),0))</f>
        <v/>
      </c>
      <c r="AK113" s="20" t="str">
        <f>IF($B113="","",IF(OR($W113="Garis Lurus",$W113="Saldo Menurun"),MAX(0,MIN($Z113,TahunBuku*12+12,$Y113+$V113*12-1)-MAX(TahunBuku*12+1,$Y113)+1),0))</f>
        <v/>
      </c>
      <c r="AL113" s="22" t="str">
        <f>IF($B113="","",$G113*$AA113)</f>
        <v/>
      </c>
      <c r="AM113" s="22" t="str">
        <f>IF($B113="","",$G113*$AB113)</f>
        <v/>
      </c>
      <c r="AN113" s="22" t="str">
        <f>IF($B113="","",$G113*$AC113)</f>
        <v/>
      </c>
      <c r="AO113" s="22" t="str">
        <f>IF($B113="","",AL113+AM113-AN113)</f>
        <v/>
      </c>
      <c r="AP113" s="22" t="str">
        <f>IF($B113="","",($G113-$AD113)*$AA113)</f>
        <v/>
      </c>
      <c r="AQ113" s="22" t="str">
        <f>IF($B113="","",IF($AF113=0,0,($AD113-$AE113)*$AG113/$AF113)*MAX($AA113,$AB113))</f>
        <v/>
      </c>
      <c r="AR113" s="22" t="str">
        <f>IF($B113="","",(AP113+AQ113)*$AC113)</f>
        <v/>
      </c>
      <c r="AS113" s="22" t="str">
        <f>IF($B113="","",AP113+AQ113-AR113)</f>
        <v/>
      </c>
      <c r="AT113" s="22" t="str">
        <f>IF($B113="","",AO113-AS113)</f>
        <v/>
      </c>
      <c r="AU113" s="22" t="str">
        <f>IF($B113="","",IF($AC113=1,N($R113)-($G113-AR113),0))</f>
        <v/>
      </c>
      <c r="AV113" s="22" t="str">
        <f>IF($B113="","",($G113-$AH113)*$AA113)</f>
        <v/>
      </c>
      <c r="AW113" s="22" t="str">
        <f>IF($B113="","",IF($AJ113=0,0,($AH113-$AI113)*$AK113/$AJ113)*MAX($AA113,$AB113))</f>
        <v/>
      </c>
      <c r="AX113" s="22" t="str">
        <f>IF($B113="","",(AV113+AW113)*$AC113)</f>
        <v/>
      </c>
      <c r="AY113" s="22" t="str">
        <f>IF($B113="","",AV113+AW113-AX113)</f>
        <v/>
      </c>
      <c r="AZ113" s="22" t="str">
        <f>IF($B113="","",AO113-AY113)</f>
        <v/>
      </c>
      <c r="BA113" s="22" t="str">
        <f>IF($B113="","",IF($AC113=1,N($R113)-($G113-AX113),0))</f>
        <v/>
      </c>
      <c r="BB113" s="22" t="str">
        <f>IF($B113="","",ROUND(AQ113-AW113,0))</f>
        <v/>
      </c>
      <c r="BC113" s="22" t="str">
        <f>IF($B113="","",ROUND(BA113-AU113,0))</f>
        <v/>
      </c>
      <c r="BD113" s="22" t="str">
        <f>IF($B113="","",BB113+BC113)</f>
        <v/>
      </c>
      <c r="BE113" s="22" t="str">
        <f>IF($B113="","",ROUND(AV113-AP113,0))</f>
        <v/>
      </c>
      <c r="BF113" s="22" t="str">
        <f>IF($B113="","",ROUND(AT113-AZ113,0))</f>
        <v/>
      </c>
      <c r="BG113" s="22" t="str">
        <f>IF($B113="","",ROUND(BF113*TarifPPh,0))</f>
        <v/>
      </c>
      <c r="BH113" t="str">
        <f>IF($B113="","",IF($D113="","Kategori kosong",IF($F113="","Tgl perolehan kosong",IF(N($H113)&gt;$G113,"Residu &gt; harga perolehan",IF(AND(LEFT($U113,8)="Bangunan",$W113="Saldo Menurun"),"Bangunan wajib Garis Lurus (Ps.11 UU PPh)",IF(AND($S113="Unit Produksi",N($K113)=0),"Isi kapasitas unit",IF(AND(OR($S113="Garis Lurus",$S113="Saldo Menurun"),N($T113)&lt;=0),"Umur komersial kosong",IF(AND(OR($W113="Garis Lurus",$W113="Saldo Menurun"),N($V113)&lt;=0),"Masa manfaat fiskal kosong",IF(AND($Q113&lt;&gt;"",$Q113&lt;$F113),"Tgl pelepasan &lt; perolehan","OK")))))))))</f>
        <v/>
      </c>
    </row>
    <row r="114" spans="1:60" x14ac:dyDescent="0.25">
      <c r="A114" t="str">
        <f>IF($B114="","",ROW()-6)</f>
        <v/>
      </c>
      <c r="B114" s="9"/>
      <c r="C114" s="9"/>
      <c r="D114" s="9"/>
      <c r="E114" s="9"/>
      <c r="F114" s="17"/>
      <c r="G114" s="18"/>
      <c r="H114" s="18"/>
      <c r="I114" s="9"/>
      <c r="J114" s="9"/>
      <c r="K114" s="19"/>
      <c r="L114" s="19"/>
      <c r="M114" s="19"/>
      <c r="N114" s="9"/>
      <c r="O114" s="9"/>
      <c r="P114" s="9"/>
      <c r="Q114" s="17"/>
      <c r="R114" s="18"/>
      <c r="S114" t="str">
        <f>IF($B114="","",IF($I114&lt;&gt;"",$I114,IFERROR(INDEX(Kat_Metode,MATCH($D114,Kat_Nama,0)),"")))</f>
        <v/>
      </c>
      <c r="T114" t="str">
        <f>IF($B114="","",IF($J114&lt;&gt;"",$J114,IFERROR(INDEX(Kat_Umur,MATCH($D114,Kat_Nama,0)),0)))</f>
        <v/>
      </c>
      <c r="U114" t="str">
        <f>IF($B114="","",IF($N114&lt;&gt;"",$N114,IFERROR(INDEX(Kat_Kelompok,MATCH($D114,Kat_Nama,0)),"")))</f>
        <v/>
      </c>
      <c r="V114" t="str">
        <f>IF($B114="","",IF($U114="Masa Manfaat Sebenarnya",N($O114),IFERROR(INDEX(Kel_Masa,MATCH($U114,Kel_Nama,0)),0)))</f>
        <v/>
      </c>
      <c r="W114" t="str">
        <f>IF($B114="","",IF($P114&lt;&gt;"",$P114,IF(OR($U114="Tidak Disusutkan",$V114=0),"Tidak Disusutkan","Garis Lurus")))</f>
        <v/>
      </c>
      <c r="X114" t="str">
        <f>IF($B114="","",IF($Y114&gt;TahunBuku*12+12,"Belum Diperoleh",IF($Z114&lt;=TahunBuku*12,"Dilepas (thn lalu)",IF($AC114=1,"Dilepas thn ini",IF($AB114=1,"Perolehan baru","Aktif")))))</f>
        <v/>
      </c>
      <c r="Y114" s="20" t="str">
        <f>IF($B114="","",YEAR($F114)*12+MONTH($F114))</f>
        <v/>
      </c>
      <c r="Z114" s="20" t="str">
        <f>IF($B114="","",IF($Q114="",99999,YEAR($Q114)*12+MONTH($Q114)))</f>
        <v/>
      </c>
      <c r="AA114" s="20" t="str">
        <f>IF($B114="","",--AND($Y114&lt;=TahunBuku*12,$Z114&gt;TahunBuku*12))</f>
        <v/>
      </c>
      <c r="AB114" s="20" t="str">
        <f>IF($B114="","",--AND($Y114&gt;TahunBuku*12,$Y114&lt;=TahunBuku*12+12))</f>
        <v/>
      </c>
      <c r="AC114" s="20" t="str">
        <f>IF($B114="","",--AND($Z114&gt;TahunBuku*12,$Z114&lt;=TahunBuku*12+12,$Y114&lt;=$Z114))</f>
        <v/>
      </c>
      <c r="AD114" s="21" t="str">
        <f>IF($B114="","",IFERROR(IF($S114="Garis Lurus",$G114-($G114-$H114)*MIN($T114*12,MAX(0,TahunBuku*12-$Y114+1))/($T114*12),IF($S114="Saldo Menurun",IF(TahunBuku-1&lt;YEAR($F114),$G114,IF(TahunBuku-1&gt;=INT(($Y114+$T114*12-2)/12),$H114,MAX($H114,$G114*(1-2/$T114*(13-MONTH($F114))/12)*(1-2/$T114)^(TahunBuku-1-YEAR($F114))))),IF($S114="Unit Produksi",$G114-($G114-$H114)*MIN(1,N($L114)/$K114),$G114))),$G114))</f>
        <v/>
      </c>
      <c r="AE114" s="21" t="str">
        <f>IF($B114="","",IFERROR(IF($S114="Garis Lurus",$G114-($G114-$H114)*MIN($T114*12,MAX(0,TahunBuku*12+12-$Y114+1))/($T114*12),IF($S114="Saldo Menurun",IF(TahunBuku&lt;YEAR($F114),$G114,IF(TahunBuku&gt;=INT(($Y114+$T114*12-2)/12),$H114,MAX($H114,$G114*(1-2/$T114*(13-MONTH($F114))/12)*(1-2/$T114)^(TahunBuku-YEAR($F114))))),IF($S114="Unit Produksi",$G114-($G114-$H114)*MIN(1,(N($L114)+N($M114))/$K114),$G114))),$G114))</f>
        <v/>
      </c>
      <c r="AF114" s="20" t="str">
        <f>IF($B114="","",IF(OR($S114="Garis Lurus",$S114="Saldo Menurun",$S114="Unit Produksi"),MAX(0,IF($S114="Unit Produksi",TahunBuku*12+12,MIN(TahunBuku*12+12,$Y114+$T114*12-1))-MAX(TahunBuku*12+1,$Y114)+1),0))</f>
        <v/>
      </c>
      <c r="AG114" s="20" t="str">
        <f>IF($B114="","",IF(OR($S114="Garis Lurus",$S114="Saldo Menurun",$S114="Unit Produksi"),MAX(0,MIN($Z114,IF($S114="Unit Produksi",TahunBuku*12+12,MIN(TahunBuku*12+12,$Y114+$T114*12-1)))-MAX(TahunBuku*12+1,$Y114)+1),0))</f>
        <v/>
      </c>
      <c r="AH114" s="21" t="str">
        <f>IF($B114="","",IFERROR(IF($W114="Garis Lurus",$G114*(1-MIN($V114*12,MAX(0,TahunBuku*12-$Y114+1))/($V114*12)),IF($W114="Saldo Menurun",IF(TahunBuku-1&lt;YEAR($F114),$G114,IF(TahunBuku-1&gt;=INT(($Y114+$V114*12-2)/12),0,$G114*(1-2/$V114*(13-MONTH($F114))/12)*(1-2/$V114)^(TahunBuku-1-YEAR($F114)))),$G114)),$G114))</f>
        <v/>
      </c>
      <c r="AI114" s="21" t="str">
        <f>IF($B114="","",IFERROR(IF($W114="Garis Lurus",$G114*(1-MIN($V114*12,MAX(0,TahunBuku*12+12-$Y114+1))/($V114*12)),IF($W114="Saldo Menurun",IF(TahunBuku&lt;YEAR($F114),$G114,IF(TahunBuku&gt;=INT(($Y114+$V114*12-2)/12),0,$G114*(1-2/$V114*(13-MONTH($F114))/12)*(1-2/$V114)^(TahunBuku-YEAR($F114)))),$G114)),$G114))</f>
        <v/>
      </c>
      <c r="AJ114" s="20" t="str">
        <f>IF($B114="","",IF(OR($W114="Garis Lurus",$W114="Saldo Menurun"),MAX(0,MIN(TahunBuku*12+12,$Y114+$V114*12-1)-MAX(TahunBuku*12+1,$Y114)+1),0))</f>
        <v/>
      </c>
      <c r="AK114" s="20" t="str">
        <f>IF($B114="","",IF(OR($W114="Garis Lurus",$W114="Saldo Menurun"),MAX(0,MIN($Z114,TahunBuku*12+12,$Y114+$V114*12-1)-MAX(TahunBuku*12+1,$Y114)+1),0))</f>
        <v/>
      </c>
      <c r="AL114" s="22" t="str">
        <f>IF($B114="","",$G114*$AA114)</f>
        <v/>
      </c>
      <c r="AM114" s="22" t="str">
        <f>IF($B114="","",$G114*$AB114)</f>
        <v/>
      </c>
      <c r="AN114" s="22" t="str">
        <f>IF($B114="","",$G114*$AC114)</f>
        <v/>
      </c>
      <c r="AO114" s="22" t="str">
        <f>IF($B114="","",AL114+AM114-AN114)</f>
        <v/>
      </c>
      <c r="AP114" s="22" t="str">
        <f>IF($B114="","",($G114-$AD114)*$AA114)</f>
        <v/>
      </c>
      <c r="AQ114" s="22" t="str">
        <f>IF($B114="","",IF($AF114=0,0,($AD114-$AE114)*$AG114/$AF114)*MAX($AA114,$AB114))</f>
        <v/>
      </c>
      <c r="AR114" s="22" t="str">
        <f>IF($B114="","",(AP114+AQ114)*$AC114)</f>
        <v/>
      </c>
      <c r="AS114" s="22" t="str">
        <f>IF($B114="","",AP114+AQ114-AR114)</f>
        <v/>
      </c>
      <c r="AT114" s="22" t="str">
        <f>IF($B114="","",AO114-AS114)</f>
        <v/>
      </c>
      <c r="AU114" s="22" t="str">
        <f>IF($B114="","",IF($AC114=1,N($R114)-($G114-AR114),0))</f>
        <v/>
      </c>
      <c r="AV114" s="22" t="str">
        <f>IF($B114="","",($G114-$AH114)*$AA114)</f>
        <v/>
      </c>
      <c r="AW114" s="22" t="str">
        <f>IF($B114="","",IF($AJ114=0,0,($AH114-$AI114)*$AK114/$AJ114)*MAX($AA114,$AB114))</f>
        <v/>
      </c>
      <c r="AX114" s="22" t="str">
        <f>IF($B114="","",(AV114+AW114)*$AC114)</f>
        <v/>
      </c>
      <c r="AY114" s="22" t="str">
        <f>IF($B114="","",AV114+AW114-AX114)</f>
        <v/>
      </c>
      <c r="AZ114" s="22" t="str">
        <f>IF($B114="","",AO114-AY114)</f>
        <v/>
      </c>
      <c r="BA114" s="22" t="str">
        <f>IF($B114="","",IF($AC114=1,N($R114)-($G114-AX114),0))</f>
        <v/>
      </c>
      <c r="BB114" s="22" t="str">
        <f>IF($B114="","",ROUND(AQ114-AW114,0))</f>
        <v/>
      </c>
      <c r="BC114" s="22" t="str">
        <f>IF($B114="","",ROUND(BA114-AU114,0))</f>
        <v/>
      </c>
      <c r="BD114" s="22" t="str">
        <f>IF($B114="","",BB114+BC114)</f>
        <v/>
      </c>
      <c r="BE114" s="22" t="str">
        <f>IF($B114="","",ROUND(AV114-AP114,0))</f>
        <v/>
      </c>
      <c r="BF114" s="22" t="str">
        <f>IF($B114="","",ROUND(AT114-AZ114,0))</f>
        <v/>
      </c>
      <c r="BG114" s="22" t="str">
        <f>IF($B114="","",ROUND(BF114*TarifPPh,0))</f>
        <v/>
      </c>
      <c r="BH114" t="str">
        <f>IF($B114="","",IF($D114="","Kategori kosong",IF($F114="","Tgl perolehan kosong",IF(N($H114)&gt;$G114,"Residu &gt; harga perolehan",IF(AND(LEFT($U114,8)="Bangunan",$W114="Saldo Menurun"),"Bangunan wajib Garis Lurus (Ps.11 UU PPh)",IF(AND($S114="Unit Produksi",N($K114)=0),"Isi kapasitas unit",IF(AND(OR($S114="Garis Lurus",$S114="Saldo Menurun"),N($T114)&lt;=0),"Umur komersial kosong",IF(AND(OR($W114="Garis Lurus",$W114="Saldo Menurun"),N($V114)&lt;=0),"Masa manfaat fiskal kosong",IF(AND($Q114&lt;&gt;"",$Q114&lt;$F114),"Tgl pelepasan &lt; perolehan","OK")))))))))</f>
        <v/>
      </c>
    </row>
    <row r="115" spans="1:60" x14ac:dyDescent="0.25">
      <c r="A115" t="str">
        <f>IF($B115="","",ROW()-6)</f>
        <v/>
      </c>
      <c r="B115" s="9"/>
      <c r="C115" s="9"/>
      <c r="D115" s="9"/>
      <c r="E115" s="9"/>
      <c r="F115" s="17"/>
      <c r="G115" s="18"/>
      <c r="H115" s="18"/>
      <c r="I115" s="9"/>
      <c r="J115" s="9"/>
      <c r="K115" s="19"/>
      <c r="L115" s="19"/>
      <c r="M115" s="19"/>
      <c r="N115" s="9"/>
      <c r="O115" s="9"/>
      <c r="P115" s="9"/>
      <c r="Q115" s="17"/>
      <c r="R115" s="18"/>
      <c r="S115" t="str">
        <f>IF($B115="","",IF($I115&lt;&gt;"",$I115,IFERROR(INDEX(Kat_Metode,MATCH($D115,Kat_Nama,0)),"")))</f>
        <v/>
      </c>
      <c r="T115" t="str">
        <f>IF($B115="","",IF($J115&lt;&gt;"",$J115,IFERROR(INDEX(Kat_Umur,MATCH($D115,Kat_Nama,0)),0)))</f>
        <v/>
      </c>
      <c r="U115" t="str">
        <f>IF($B115="","",IF($N115&lt;&gt;"",$N115,IFERROR(INDEX(Kat_Kelompok,MATCH($D115,Kat_Nama,0)),"")))</f>
        <v/>
      </c>
      <c r="V115" t="str">
        <f>IF($B115="","",IF($U115="Masa Manfaat Sebenarnya",N($O115),IFERROR(INDEX(Kel_Masa,MATCH($U115,Kel_Nama,0)),0)))</f>
        <v/>
      </c>
      <c r="W115" t="str">
        <f>IF($B115="","",IF($P115&lt;&gt;"",$P115,IF(OR($U115="Tidak Disusutkan",$V115=0),"Tidak Disusutkan","Garis Lurus")))</f>
        <v/>
      </c>
      <c r="X115" t="str">
        <f>IF($B115="","",IF($Y115&gt;TahunBuku*12+12,"Belum Diperoleh",IF($Z115&lt;=TahunBuku*12,"Dilepas (thn lalu)",IF($AC115=1,"Dilepas thn ini",IF($AB115=1,"Perolehan baru","Aktif")))))</f>
        <v/>
      </c>
      <c r="Y115" s="20" t="str">
        <f>IF($B115="","",YEAR($F115)*12+MONTH($F115))</f>
        <v/>
      </c>
      <c r="Z115" s="20" t="str">
        <f>IF($B115="","",IF($Q115="",99999,YEAR($Q115)*12+MONTH($Q115)))</f>
        <v/>
      </c>
      <c r="AA115" s="20" t="str">
        <f>IF($B115="","",--AND($Y115&lt;=TahunBuku*12,$Z115&gt;TahunBuku*12))</f>
        <v/>
      </c>
      <c r="AB115" s="20" t="str">
        <f>IF($B115="","",--AND($Y115&gt;TahunBuku*12,$Y115&lt;=TahunBuku*12+12))</f>
        <v/>
      </c>
      <c r="AC115" s="20" t="str">
        <f>IF($B115="","",--AND($Z115&gt;TahunBuku*12,$Z115&lt;=TahunBuku*12+12,$Y115&lt;=$Z115))</f>
        <v/>
      </c>
      <c r="AD115" s="21" t="str">
        <f>IF($B115="","",IFERROR(IF($S115="Garis Lurus",$G115-($G115-$H115)*MIN($T115*12,MAX(0,TahunBuku*12-$Y115+1))/($T115*12),IF($S115="Saldo Menurun",IF(TahunBuku-1&lt;YEAR($F115),$G115,IF(TahunBuku-1&gt;=INT(($Y115+$T115*12-2)/12),$H115,MAX($H115,$G115*(1-2/$T115*(13-MONTH($F115))/12)*(1-2/$T115)^(TahunBuku-1-YEAR($F115))))),IF($S115="Unit Produksi",$G115-($G115-$H115)*MIN(1,N($L115)/$K115),$G115))),$G115))</f>
        <v/>
      </c>
      <c r="AE115" s="21" t="str">
        <f>IF($B115="","",IFERROR(IF($S115="Garis Lurus",$G115-($G115-$H115)*MIN($T115*12,MAX(0,TahunBuku*12+12-$Y115+1))/($T115*12),IF($S115="Saldo Menurun",IF(TahunBuku&lt;YEAR($F115),$G115,IF(TahunBuku&gt;=INT(($Y115+$T115*12-2)/12),$H115,MAX($H115,$G115*(1-2/$T115*(13-MONTH($F115))/12)*(1-2/$T115)^(TahunBuku-YEAR($F115))))),IF($S115="Unit Produksi",$G115-($G115-$H115)*MIN(1,(N($L115)+N($M115))/$K115),$G115))),$G115))</f>
        <v/>
      </c>
      <c r="AF115" s="20" t="str">
        <f>IF($B115="","",IF(OR($S115="Garis Lurus",$S115="Saldo Menurun",$S115="Unit Produksi"),MAX(0,IF($S115="Unit Produksi",TahunBuku*12+12,MIN(TahunBuku*12+12,$Y115+$T115*12-1))-MAX(TahunBuku*12+1,$Y115)+1),0))</f>
        <v/>
      </c>
      <c r="AG115" s="20" t="str">
        <f>IF($B115="","",IF(OR($S115="Garis Lurus",$S115="Saldo Menurun",$S115="Unit Produksi"),MAX(0,MIN($Z115,IF($S115="Unit Produksi",TahunBuku*12+12,MIN(TahunBuku*12+12,$Y115+$T115*12-1)))-MAX(TahunBuku*12+1,$Y115)+1),0))</f>
        <v/>
      </c>
      <c r="AH115" s="21" t="str">
        <f>IF($B115="","",IFERROR(IF($W115="Garis Lurus",$G115*(1-MIN($V115*12,MAX(0,TahunBuku*12-$Y115+1))/($V115*12)),IF($W115="Saldo Menurun",IF(TahunBuku-1&lt;YEAR($F115),$G115,IF(TahunBuku-1&gt;=INT(($Y115+$V115*12-2)/12),0,$G115*(1-2/$V115*(13-MONTH($F115))/12)*(1-2/$V115)^(TahunBuku-1-YEAR($F115)))),$G115)),$G115))</f>
        <v/>
      </c>
      <c r="AI115" s="21" t="str">
        <f>IF($B115="","",IFERROR(IF($W115="Garis Lurus",$G115*(1-MIN($V115*12,MAX(0,TahunBuku*12+12-$Y115+1))/($V115*12)),IF($W115="Saldo Menurun",IF(TahunBuku&lt;YEAR($F115),$G115,IF(TahunBuku&gt;=INT(($Y115+$V115*12-2)/12),0,$G115*(1-2/$V115*(13-MONTH($F115))/12)*(1-2/$V115)^(TahunBuku-YEAR($F115)))),$G115)),$G115))</f>
        <v/>
      </c>
      <c r="AJ115" s="20" t="str">
        <f>IF($B115="","",IF(OR($W115="Garis Lurus",$W115="Saldo Menurun"),MAX(0,MIN(TahunBuku*12+12,$Y115+$V115*12-1)-MAX(TahunBuku*12+1,$Y115)+1),0))</f>
        <v/>
      </c>
      <c r="AK115" s="20" t="str">
        <f>IF($B115="","",IF(OR($W115="Garis Lurus",$W115="Saldo Menurun"),MAX(0,MIN($Z115,TahunBuku*12+12,$Y115+$V115*12-1)-MAX(TahunBuku*12+1,$Y115)+1),0))</f>
        <v/>
      </c>
      <c r="AL115" s="22" t="str">
        <f>IF($B115="","",$G115*$AA115)</f>
        <v/>
      </c>
      <c r="AM115" s="22" t="str">
        <f>IF($B115="","",$G115*$AB115)</f>
        <v/>
      </c>
      <c r="AN115" s="22" t="str">
        <f>IF($B115="","",$G115*$AC115)</f>
        <v/>
      </c>
      <c r="AO115" s="22" t="str">
        <f>IF($B115="","",AL115+AM115-AN115)</f>
        <v/>
      </c>
      <c r="AP115" s="22" t="str">
        <f>IF($B115="","",($G115-$AD115)*$AA115)</f>
        <v/>
      </c>
      <c r="AQ115" s="22" t="str">
        <f>IF($B115="","",IF($AF115=0,0,($AD115-$AE115)*$AG115/$AF115)*MAX($AA115,$AB115))</f>
        <v/>
      </c>
      <c r="AR115" s="22" t="str">
        <f>IF($B115="","",(AP115+AQ115)*$AC115)</f>
        <v/>
      </c>
      <c r="AS115" s="22" t="str">
        <f>IF($B115="","",AP115+AQ115-AR115)</f>
        <v/>
      </c>
      <c r="AT115" s="22" t="str">
        <f>IF($B115="","",AO115-AS115)</f>
        <v/>
      </c>
      <c r="AU115" s="22" t="str">
        <f>IF($B115="","",IF($AC115=1,N($R115)-($G115-AR115),0))</f>
        <v/>
      </c>
      <c r="AV115" s="22" t="str">
        <f>IF($B115="","",($G115-$AH115)*$AA115)</f>
        <v/>
      </c>
      <c r="AW115" s="22" t="str">
        <f>IF($B115="","",IF($AJ115=0,0,($AH115-$AI115)*$AK115/$AJ115)*MAX($AA115,$AB115))</f>
        <v/>
      </c>
      <c r="AX115" s="22" t="str">
        <f>IF($B115="","",(AV115+AW115)*$AC115)</f>
        <v/>
      </c>
      <c r="AY115" s="22" t="str">
        <f>IF($B115="","",AV115+AW115-AX115)</f>
        <v/>
      </c>
      <c r="AZ115" s="22" t="str">
        <f>IF($B115="","",AO115-AY115)</f>
        <v/>
      </c>
      <c r="BA115" s="22" t="str">
        <f>IF($B115="","",IF($AC115=1,N($R115)-($G115-AX115),0))</f>
        <v/>
      </c>
      <c r="BB115" s="22" t="str">
        <f>IF($B115="","",ROUND(AQ115-AW115,0))</f>
        <v/>
      </c>
      <c r="BC115" s="22" t="str">
        <f>IF($B115="","",ROUND(BA115-AU115,0))</f>
        <v/>
      </c>
      <c r="BD115" s="22" t="str">
        <f>IF($B115="","",BB115+BC115)</f>
        <v/>
      </c>
      <c r="BE115" s="22" t="str">
        <f>IF($B115="","",ROUND(AV115-AP115,0))</f>
        <v/>
      </c>
      <c r="BF115" s="22" t="str">
        <f>IF($B115="","",ROUND(AT115-AZ115,0))</f>
        <v/>
      </c>
      <c r="BG115" s="22" t="str">
        <f>IF($B115="","",ROUND(BF115*TarifPPh,0))</f>
        <v/>
      </c>
      <c r="BH115" t="str">
        <f>IF($B115="","",IF($D115="","Kategori kosong",IF($F115="","Tgl perolehan kosong",IF(N($H115)&gt;$G115,"Residu &gt; harga perolehan",IF(AND(LEFT($U115,8)="Bangunan",$W115="Saldo Menurun"),"Bangunan wajib Garis Lurus (Ps.11 UU PPh)",IF(AND($S115="Unit Produksi",N($K115)=0),"Isi kapasitas unit",IF(AND(OR($S115="Garis Lurus",$S115="Saldo Menurun"),N($T115)&lt;=0),"Umur komersial kosong",IF(AND(OR($W115="Garis Lurus",$W115="Saldo Menurun"),N($V115)&lt;=0),"Masa manfaat fiskal kosong",IF(AND($Q115&lt;&gt;"",$Q115&lt;$F115),"Tgl pelepasan &lt; perolehan","OK")))))))))</f>
        <v/>
      </c>
    </row>
    <row r="116" spans="1:60" x14ac:dyDescent="0.25">
      <c r="A116" t="str">
        <f>IF($B116="","",ROW()-6)</f>
        <v/>
      </c>
      <c r="B116" s="9"/>
      <c r="C116" s="9"/>
      <c r="D116" s="9"/>
      <c r="E116" s="9"/>
      <c r="F116" s="17"/>
      <c r="G116" s="18"/>
      <c r="H116" s="18"/>
      <c r="I116" s="9"/>
      <c r="J116" s="9"/>
      <c r="K116" s="19"/>
      <c r="L116" s="19"/>
      <c r="M116" s="19"/>
      <c r="N116" s="9"/>
      <c r="O116" s="9"/>
      <c r="P116" s="9"/>
      <c r="Q116" s="17"/>
      <c r="R116" s="18"/>
      <c r="S116" t="str">
        <f>IF($B116="","",IF($I116&lt;&gt;"",$I116,IFERROR(INDEX(Kat_Metode,MATCH($D116,Kat_Nama,0)),"")))</f>
        <v/>
      </c>
      <c r="T116" t="str">
        <f>IF($B116="","",IF($J116&lt;&gt;"",$J116,IFERROR(INDEX(Kat_Umur,MATCH($D116,Kat_Nama,0)),0)))</f>
        <v/>
      </c>
      <c r="U116" t="str">
        <f>IF($B116="","",IF($N116&lt;&gt;"",$N116,IFERROR(INDEX(Kat_Kelompok,MATCH($D116,Kat_Nama,0)),"")))</f>
        <v/>
      </c>
      <c r="V116" t="str">
        <f>IF($B116="","",IF($U116="Masa Manfaat Sebenarnya",N($O116),IFERROR(INDEX(Kel_Masa,MATCH($U116,Kel_Nama,0)),0)))</f>
        <v/>
      </c>
      <c r="W116" t="str">
        <f>IF($B116="","",IF($P116&lt;&gt;"",$P116,IF(OR($U116="Tidak Disusutkan",$V116=0),"Tidak Disusutkan","Garis Lurus")))</f>
        <v/>
      </c>
      <c r="X116" t="str">
        <f>IF($B116="","",IF($Y116&gt;TahunBuku*12+12,"Belum Diperoleh",IF($Z116&lt;=TahunBuku*12,"Dilepas (thn lalu)",IF($AC116=1,"Dilepas thn ini",IF($AB116=1,"Perolehan baru","Aktif")))))</f>
        <v/>
      </c>
      <c r="Y116" s="20" t="str">
        <f>IF($B116="","",YEAR($F116)*12+MONTH($F116))</f>
        <v/>
      </c>
      <c r="Z116" s="20" t="str">
        <f>IF($B116="","",IF($Q116="",99999,YEAR($Q116)*12+MONTH($Q116)))</f>
        <v/>
      </c>
      <c r="AA116" s="20" t="str">
        <f>IF($B116="","",--AND($Y116&lt;=TahunBuku*12,$Z116&gt;TahunBuku*12))</f>
        <v/>
      </c>
      <c r="AB116" s="20" t="str">
        <f>IF($B116="","",--AND($Y116&gt;TahunBuku*12,$Y116&lt;=TahunBuku*12+12))</f>
        <v/>
      </c>
      <c r="AC116" s="20" t="str">
        <f>IF($B116="","",--AND($Z116&gt;TahunBuku*12,$Z116&lt;=TahunBuku*12+12,$Y116&lt;=$Z116))</f>
        <v/>
      </c>
      <c r="AD116" s="21" t="str">
        <f>IF($B116="","",IFERROR(IF($S116="Garis Lurus",$G116-($G116-$H116)*MIN($T116*12,MAX(0,TahunBuku*12-$Y116+1))/($T116*12),IF($S116="Saldo Menurun",IF(TahunBuku-1&lt;YEAR($F116),$G116,IF(TahunBuku-1&gt;=INT(($Y116+$T116*12-2)/12),$H116,MAX($H116,$G116*(1-2/$T116*(13-MONTH($F116))/12)*(1-2/$T116)^(TahunBuku-1-YEAR($F116))))),IF($S116="Unit Produksi",$G116-($G116-$H116)*MIN(1,N($L116)/$K116),$G116))),$G116))</f>
        <v/>
      </c>
      <c r="AE116" s="21" t="str">
        <f>IF($B116="","",IFERROR(IF($S116="Garis Lurus",$G116-($G116-$H116)*MIN($T116*12,MAX(0,TahunBuku*12+12-$Y116+1))/($T116*12),IF($S116="Saldo Menurun",IF(TahunBuku&lt;YEAR($F116),$G116,IF(TahunBuku&gt;=INT(($Y116+$T116*12-2)/12),$H116,MAX($H116,$G116*(1-2/$T116*(13-MONTH($F116))/12)*(1-2/$T116)^(TahunBuku-YEAR($F116))))),IF($S116="Unit Produksi",$G116-($G116-$H116)*MIN(1,(N($L116)+N($M116))/$K116),$G116))),$G116))</f>
        <v/>
      </c>
      <c r="AF116" s="20" t="str">
        <f>IF($B116="","",IF(OR($S116="Garis Lurus",$S116="Saldo Menurun",$S116="Unit Produksi"),MAX(0,IF($S116="Unit Produksi",TahunBuku*12+12,MIN(TahunBuku*12+12,$Y116+$T116*12-1))-MAX(TahunBuku*12+1,$Y116)+1),0))</f>
        <v/>
      </c>
      <c r="AG116" s="20" t="str">
        <f>IF($B116="","",IF(OR($S116="Garis Lurus",$S116="Saldo Menurun",$S116="Unit Produksi"),MAX(0,MIN($Z116,IF($S116="Unit Produksi",TahunBuku*12+12,MIN(TahunBuku*12+12,$Y116+$T116*12-1)))-MAX(TahunBuku*12+1,$Y116)+1),0))</f>
        <v/>
      </c>
      <c r="AH116" s="21" t="str">
        <f>IF($B116="","",IFERROR(IF($W116="Garis Lurus",$G116*(1-MIN($V116*12,MAX(0,TahunBuku*12-$Y116+1))/($V116*12)),IF($W116="Saldo Menurun",IF(TahunBuku-1&lt;YEAR($F116),$G116,IF(TahunBuku-1&gt;=INT(($Y116+$V116*12-2)/12),0,$G116*(1-2/$V116*(13-MONTH($F116))/12)*(1-2/$V116)^(TahunBuku-1-YEAR($F116)))),$G116)),$G116))</f>
        <v/>
      </c>
      <c r="AI116" s="21" t="str">
        <f>IF($B116="","",IFERROR(IF($W116="Garis Lurus",$G116*(1-MIN($V116*12,MAX(0,TahunBuku*12+12-$Y116+1))/($V116*12)),IF($W116="Saldo Menurun",IF(TahunBuku&lt;YEAR($F116),$G116,IF(TahunBuku&gt;=INT(($Y116+$V116*12-2)/12),0,$G116*(1-2/$V116*(13-MONTH($F116))/12)*(1-2/$V116)^(TahunBuku-YEAR($F116)))),$G116)),$G116))</f>
        <v/>
      </c>
      <c r="AJ116" s="20" t="str">
        <f>IF($B116="","",IF(OR($W116="Garis Lurus",$W116="Saldo Menurun"),MAX(0,MIN(TahunBuku*12+12,$Y116+$V116*12-1)-MAX(TahunBuku*12+1,$Y116)+1),0))</f>
        <v/>
      </c>
      <c r="AK116" s="20" t="str">
        <f>IF($B116="","",IF(OR($W116="Garis Lurus",$W116="Saldo Menurun"),MAX(0,MIN($Z116,TahunBuku*12+12,$Y116+$V116*12-1)-MAX(TahunBuku*12+1,$Y116)+1),0))</f>
        <v/>
      </c>
      <c r="AL116" s="22" t="str">
        <f>IF($B116="","",$G116*$AA116)</f>
        <v/>
      </c>
      <c r="AM116" s="22" t="str">
        <f>IF($B116="","",$G116*$AB116)</f>
        <v/>
      </c>
      <c r="AN116" s="22" t="str">
        <f>IF($B116="","",$G116*$AC116)</f>
        <v/>
      </c>
      <c r="AO116" s="22" t="str">
        <f>IF($B116="","",AL116+AM116-AN116)</f>
        <v/>
      </c>
      <c r="AP116" s="22" t="str">
        <f>IF($B116="","",($G116-$AD116)*$AA116)</f>
        <v/>
      </c>
      <c r="AQ116" s="22" t="str">
        <f>IF($B116="","",IF($AF116=0,0,($AD116-$AE116)*$AG116/$AF116)*MAX($AA116,$AB116))</f>
        <v/>
      </c>
      <c r="AR116" s="22" t="str">
        <f>IF($B116="","",(AP116+AQ116)*$AC116)</f>
        <v/>
      </c>
      <c r="AS116" s="22" t="str">
        <f>IF($B116="","",AP116+AQ116-AR116)</f>
        <v/>
      </c>
      <c r="AT116" s="22" t="str">
        <f>IF($B116="","",AO116-AS116)</f>
        <v/>
      </c>
      <c r="AU116" s="22" t="str">
        <f>IF($B116="","",IF($AC116=1,N($R116)-($G116-AR116),0))</f>
        <v/>
      </c>
      <c r="AV116" s="22" t="str">
        <f>IF($B116="","",($G116-$AH116)*$AA116)</f>
        <v/>
      </c>
      <c r="AW116" s="22" t="str">
        <f>IF($B116="","",IF($AJ116=0,0,($AH116-$AI116)*$AK116/$AJ116)*MAX($AA116,$AB116))</f>
        <v/>
      </c>
      <c r="AX116" s="22" t="str">
        <f>IF($B116="","",(AV116+AW116)*$AC116)</f>
        <v/>
      </c>
      <c r="AY116" s="22" t="str">
        <f>IF($B116="","",AV116+AW116-AX116)</f>
        <v/>
      </c>
      <c r="AZ116" s="22" t="str">
        <f>IF($B116="","",AO116-AY116)</f>
        <v/>
      </c>
      <c r="BA116" s="22" t="str">
        <f>IF($B116="","",IF($AC116=1,N($R116)-($G116-AX116),0))</f>
        <v/>
      </c>
      <c r="BB116" s="22" t="str">
        <f>IF($B116="","",ROUND(AQ116-AW116,0))</f>
        <v/>
      </c>
      <c r="BC116" s="22" t="str">
        <f>IF($B116="","",ROUND(BA116-AU116,0))</f>
        <v/>
      </c>
      <c r="BD116" s="22" t="str">
        <f>IF($B116="","",BB116+BC116)</f>
        <v/>
      </c>
      <c r="BE116" s="22" t="str">
        <f>IF($B116="","",ROUND(AV116-AP116,0))</f>
        <v/>
      </c>
      <c r="BF116" s="22" t="str">
        <f>IF($B116="","",ROUND(AT116-AZ116,0))</f>
        <v/>
      </c>
      <c r="BG116" s="22" t="str">
        <f>IF($B116="","",ROUND(BF116*TarifPPh,0))</f>
        <v/>
      </c>
      <c r="BH116" t="str">
        <f>IF($B116="","",IF($D116="","Kategori kosong",IF($F116="","Tgl perolehan kosong",IF(N($H116)&gt;$G116,"Residu &gt; harga perolehan",IF(AND(LEFT($U116,8)="Bangunan",$W116="Saldo Menurun"),"Bangunan wajib Garis Lurus (Ps.11 UU PPh)",IF(AND($S116="Unit Produksi",N($K116)=0),"Isi kapasitas unit",IF(AND(OR($S116="Garis Lurus",$S116="Saldo Menurun"),N($T116)&lt;=0),"Umur komersial kosong",IF(AND(OR($W116="Garis Lurus",$W116="Saldo Menurun"),N($V116)&lt;=0),"Masa manfaat fiskal kosong",IF(AND($Q116&lt;&gt;"",$Q116&lt;$F116),"Tgl pelepasan &lt; perolehan","OK")))))))))</f>
        <v/>
      </c>
    </row>
    <row r="117" spans="1:60" x14ac:dyDescent="0.25">
      <c r="A117" t="str">
        <f>IF($B117="","",ROW()-6)</f>
        <v/>
      </c>
      <c r="B117" s="9"/>
      <c r="C117" s="9"/>
      <c r="D117" s="9"/>
      <c r="E117" s="9"/>
      <c r="F117" s="17"/>
      <c r="G117" s="18"/>
      <c r="H117" s="18"/>
      <c r="I117" s="9"/>
      <c r="J117" s="9"/>
      <c r="K117" s="19"/>
      <c r="L117" s="19"/>
      <c r="M117" s="19"/>
      <c r="N117" s="9"/>
      <c r="O117" s="9"/>
      <c r="P117" s="9"/>
      <c r="Q117" s="17"/>
      <c r="R117" s="18"/>
      <c r="S117" t="str">
        <f>IF($B117="","",IF($I117&lt;&gt;"",$I117,IFERROR(INDEX(Kat_Metode,MATCH($D117,Kat_Nama,0)),"")))</f>
        <v/>
      </c>
      <c r="T117" t="str">
        <f>IF($B117="","",IF($J117&lt;&gt;"",$J117,IFERROR(INDEX(Kat_Umur,MATCH($D117,Kat_Nama,0)),0)))</f>
        <v/>
      </c>
      <c r="U117" t="str">
        <f>IF($B117="","",IF($N117&lt;&gt;"",$N117,IFERROR(INDEX(Kat_Kelompok,MATCH($D117,Kat_Nama,0)),"")))</f>
        <v/>
      </c>
      <c r="V117" t="str">
        <f>IF($B117="","",IF($U117="Masa Manfaat Sebenarnya",N($O117),IFERROR(INDEX(Kel_Masa,MATCH($U117,Kel_Nama,0)),0)))</f>
        <v/>
      </c>
      <c r="W117" t="str">
        <f>IF($B117="","",IF($P117&lt;&gt;"",$P117,IF(OR($U117="Tidak Disusutkan",$V117=0),"Tidak Disusutkan","Garis Lurus")))</f>
        <v/>
      </c>
      <c r="X117" t="str">
        <f>IF($B117="","",IF($Y117&gt;TahunBuku*12+12,"Belum Diperoleh",IF($Z117&lt;=TahunBuku*12,"Dilepas (thn lalu)",IF($AC117=1,"Dilepas thn ini",IF($AB117=1,"Perolehan baru","Aktif")))))</f>
        <v/>
      </c>
      <c r="Y117" s="20" t="str">
        <f>IF($B117="","",YEAR($F117)*12+MONTH($F117))</f>
        <v/>
      </c>
      <c r="Z117" s="20" t="str">
        <f>IF($B117="","",IF($Q117="",99999,YEAR($Q117)*12+MONTH($Q117)))</f>
        <v/>
      </c>
      <c r="AA117" s="20" t="str">
        <f>IF($B117="","",--AND($Y117&lt;=TahunBuku*12,$Z117&gt;TahunBuku*12))</f>
        <v/>
      </c>
      <c r="AB117" s="20" t="str">
        <f>IF($B117="","",--AND($Y117&gt;TahunBuku*12,$Y117&lt;=TahunBuku*12+12))</f>
        <v/>
      </c>
      <c r="AC117" s="20" t="str">
        <f>IF($B117="","",--AND($Z117&gt;TahunBuku*12,$Z117&lt;=TahunBuku*12+12,$Y117&lt;=$Z117))</f>
        <v/>
      </c>
      <c r="AD117" s="21" t="str">
        <f>IF($B117="","",IFERROR(IF($S117="Garis Lurus",$G117-($G117-$H117)*MIN($T117*12,MAX(0,TahunBuku*12-$Y117+1))/($T117*12),IF($S117="Saldo Menurun",IF(TahunBuku-1&lt;YEAR($F117),$G117,IF(TahunBuku-1&gt;=INT(($Y117+$T117*12-2)/12),$H117,MAX($H117,$G117*(1-2/$T117*(13-MONTH($F117))/12)*(1-2/$T117)^(TahunBuku-1-YEAR($F117))))),IF($S117="Unit Produksi",$G117-($G117-$H117)*MIN(1,N($L117)/$K117),$G117))),$G117))</f>
        <v/>
      </c>
      <c r="AE117" s="21" t="str">
        <f>IF($B117="","",IFERROR(IF($S117="Garis Lurus",$G117-($G117-$H117)*MIN($T117*12,MAX(0,TahunBuku*12+12-$Y117+1))/($T117*12),IF($S117="Saldo Menurun",IF(TahunBuku&lt;YEAR($F117),$G117,IF(TahunBuku&gt;=INT(($Y117+$T117*12-2)/12),$H117,MAX($H117,$G117*(1-2/$T117*(13-MONTH($F117))/12)*(1-2/$T117)^(TahunBuku-YEAR($F117))))),IF($S117="Unit Produksi",$G117-($G117-$H117)*MIN(1,(N($L117)+N($M117))/$K117),$G117))),$G117))</f>
        <v/>
      </c>
      <c r="AF117" s="20" t="str">
        <f>IF($B117="","",IF(OR($S117="Garis Lurus",$S117="Saldo Menurun",$S117="Unit Produksi"),MAX(0,IF($S117="Unit Produksi",TahunBuku*12+12,MIN(TahunBuku*12+12,$Y117+$T117*12-1))-MAX(TahunBuku*12+1,$Y117)+1),0))</f>
        <v/>
      </c>
      <c r="AG117" s="20" t="str">
        <f>IF($B117="","",IF(OR($S117="Garis Lurus",$S117="Saldo Menurun",$S117="Unit Produksi"),MAX(0,MIN($Z117,IF($S117="Unit Produksi",TahunBuku*12+12,MIN(TahunBuku*12+12,$Y117+$T117*12-1)))-MAX(TahunBuku*12+1,$Y117)+1),0))</f>
        <v/>
      </c>
      <c r="AH117" s="21" t="str">
        <f>IF($B117="","",IFERROR(IF($W117="Garis Lurus",$G117*(1-MIN($V117*12,MAX(0,TahunBuku*12-$Y117+1))/($V117*12)),IF($W117="Saldo Menurun",IF(TahunBuku-1&lt;YEAR($F117),$G117,IF(TahunBuku-1&gt;=INT(($Y117+$V117*12-2)/12),0,$G117*(1-2/$V117*(13-MONTH($F117))/12)*(1-2/$V117)^(TahunBuku-1-YEAR($F117)))),$G117)),$G117))</f>
        <v/>
      </c>
      <c r="AI117" s="21" t="str">
        <f>IF($B117="","",IFERROR(IF($W117="Garis Lurus",$G117*(1-MIN($V117*12,MAX(0,TahunBuku*12+12-$Y117+1))/($V117*12)),IF($W117="Saldo Menurun",IF(TahunBuku&lt;YEAR($F117),$G117,IF(TahunBuku&gt;=INT(($Y117+$V117*12-2)/12),0,$G117*(1-2/$V117*(13-MONTH($F117))/12)*(1-2/$V117)^(TahunBuku-YEAR($F117)))),$G117)),$G117))</f>
        <v/>
      </c>
      <c r="AJ117" s="20" t="str">
        <f>IF($B117="","",IF(OR($W117="Garis Lurus",$W117="Saldo Menurun"),MAX(0,MIN(TahunBuku*12+12,$Y117+$V117*12-1)-MAX(TahunBuku*12+1,$Y117)+1),0))</f>
        <v/>
      </c>
      <c r="AK117" s="20" t="str">
        <f>IF($B117="","",IF(OR($W117="Garis Lurus",$W117="Saldo Menurun"),MAX(0,MIN($Z117,TahunBuku*12+12,$Y117+$V117*12-1)-MAX(TahunBuku*12+1,$Y117)+1),0))</f>
        <v/>
      </c>
      <c r="AL117" s="22" t="str">
        <f>IF($B117="","",$G117*$AA117)</f>
        <v/>
      </c>
      <c r="AM117" s="22" t="str">
        <f>IF($B117="","",$G117*$AB117)</f>
        <v/>
      </c>
      <c r="AN117" s="22" t="str">
        <f>IF($B117="","",$G117*$AC117)</f>
        <v/>
      </c>
      <c r="AO117" s="22" t="str">
        <f>IF($B117="","",AL117+AM117-AN117)</f>
        <v/>
      </c>
      <c r="AP117" s="22" t="str">
        <f>IF($B117="","",($G117-$AD117)*$AA117)</f>
        <v/>
      </c>
      <c r="AQ117" s="22" t="str">
        <f>IF($B117="","",IF($AF117=0,0,($AD117-$AE117)*$AG117/$AF117)*MAX($AA117,$AB117))</f>
        <v/>
      </c>
      <c r="AR117" s="22" t="str">
        <f>IF($B117="","",(AP117+AQ117)*$AC117)</f>
        <v/>
      </c>
      <c r="AS117" s="22" t="str">
        <f>IF($B117="","",AP117+AQ117-AR117)</f>
        <v/>
      </c>
      <c r="AT117" s="22" t="str">
        <f>IF($B117="","",AO117-AS117)</f>
        <v/>
      </c>
      <c r="AU117" s="22" t="str">
        <f>IF($B117="","",IF($AC117=1,N($R117)-($G117-AR117),0))</f>
        <v/>
      </c>
      <c r="AV117" s="22" t="str">
        <f>IF($B117="","",($G117-$AH117)*$AA117)</f>
        <v/>
      </c>
      <c r="AW117" s="22" t="str">
        <f>IF($B117="","",IF($AJ117=0,0,($AH117-$AI117)*$AK117/$AJ117)*MAX($AA117,$AB117))</f>
        <v/>
      </c>
      <c r="AX117" s="22" t="str">
        <f>IF($B117="","",(AV117+AW117)*$AC117)</f>
        <v/>
      </c>
      <c r="AY117" s="22" t="str">
        <f>IF($B117="","",AV117+AW117-AX117)</f>
        <v/>
      </c>
      <c r="AZ117" s="22" t="str">
        <f>IF($B117="","",AO117-AY117)</f>
        <v/>
      </c>
      <c r="BA117" s="22" t="str">
        <f>IF($B117="","",IF($AC117=1,N($R117)-($G117-AX117),0))</f>
        <v/>
      </c>
      <c r="BB117" s="22" t="str">
        <f>IF($B117="","",ROUND(AQ117-AW117,0))</f>
        <v/>
      </c>
      <c r="BC117" s="22" t="str">
        <f>IF($B117="","",ROUND(BA117-AU117,0))</f>
        <v/>
      </c>
      <c r="BD117" s="22" t="str">
        <f>IF($B117="","",BB117+BC117)</f>
        <v/>
      </c>
      <c r="BE117" s="22" t="str">
        <f>IF($B117="","",ROUND(AV117-AP117,0))</f>
        <v/>
      </c>
      <c r="BF117" s="22" t="str">
        <f>IF($B117="","",ROUND(AT117-AZ117,0))</f>
        <v/>
      </c>
      <c r="BG117" s="22" t="str">
        <f>IF($B117="","",ROUND(BF117*TarifPPh,0))</f>
        <v/>
      </c>
      <c r="BH117" t="str">
        <f>IF($B117="","",IF($D117="","Kategori kosong",IF($F117="","Tgl perolehan kosong",IF(N($H117)&gt;$G117,"Residu &gt; harga perolehan",IF(AND(LEFT($U117,8)="Bangunan",$W117="Saldo Menurun"),"Bangunan wajib Garis Lurus (Ps.11 UU PPh)",IF(AND($S117="Unit Produksi",N($K117)=0),"Isi kapasitas unit",IF(AND(OR($S117="Garis Lurus",$S117="Saldo Menurun"),N($T117)&lt;=0),"Umur komersial kosong",IF(AND(OR($W117="Garis Lurus",$W117="Saldo Menurun"),N($V117)&lt;=0),"Masa manfaat fiskal kosong",IF(AND($Q117&lt;&gt;"",$Q117&lt;$F117),"Tgl pelepasan &lt; perolehan","OK")))))))))</f>
        <v/>
      </c>
    </row>
    <row r="118" spans="1:60" x14ac:dyDescent="0.25">
      <c r="A118" t="str">
        <f>IF($B118="","",ROW()-6)</f>
        <v/>
      </c>
      <c r="B118" s="9"/>
      <c r="C118" s="9"/>
      <c r="D118" s="9"/>
      <c r="E118" s="9"/>
      <c r="F118" s="17"/>
      <c r="G118" s="18"/>
      <c r="H118" s="18"/>
      <c r="I118" s="9"/>
      <c r="J118" s="9"/>
      <c r="K118" s="19"/>
      <c r="L118" s="19"/>
      <c r="M118" s="19"/>
      <c r="N118" s="9"/>
      <c r="O118" s="9"/>
      <c r="P118" s="9"/>
      <c r="Q118" s="17"/>
      <c r="R118" s="18"/>
      <c r="S118" t="str">
        <f>IF($B118="","",IF($I118&lt;&gt;"",$I118,IFERROR(INDEX(Kat_Metode,MATCH($D118,Kat_Nama,0)),"")))</f>
        <v/>
      </c>
      <c r="T118" t="str">
        <f>IF($B118="","",IF($J118&lt;&gt;"",$J118,IFERROR(INDEX(Kat_Umur,MATCH($D118,Kat_Nama,0)),0)))</f>
        <v/>
      </c>
      <c r="U118" t="str">
        <f>IF($B118="","",IF($N118&lt;&gt;"",$N118,IFERROR(INDEX(Kat_Kelompok,MATCH($D118,Kat_Nama,0)),"")))</f>
        <v/>
      </c>
      <c r="V118" t="str">
        <f>IF($B118="","",IF($U118="Masa Manfaat Sebenarnya",N($O118),IFERROR(INDEX(Kel_Masa,MATCH($U118,Kel_Nama,0)),0)))</f>
        <v/>
      </c>
      <c r="W118" t="str">
        <f>IF($B118="","",IF($P118&lt;&gt;"",$P118,IF(OR($U118="Tidak Disusutkan",$V118=0),"Tidak Disusutkan","Garis Lurus")))</f>
        <v/>
      </c>
      <c r="X118" t="str">
        <f>IF($B118="","",IF($Y118&gt;TahunBuku*12+12,"Belum Diperoleh",IF($Z118&lt;=TahunBuku*12,"Dilepas (thn lalu)",IF($AC118=1,"Dilepas thn ini",IF($AB118=1,"Perolehan baru","Aktif")))))</f>
        <v/>
      </c>
      <c r="Y118" s="20" t="str">
        <f>IF($B118="","",YEAR($F118)*12+MONTH($F118))</f>
        <v/>
      </c>
      <c r="Z118" s="20" t="str">
        <f>IF($B118="","",IF($Q118="",99999,YEAR($Q118)*12+MONTH($Q118)))</f>
        <v/>
      </c>
      <c r="AA118" s="20" t="str">
        <f>IF($B118="","",--AND($Y118&lt;=TahunBuku*12,$Z118&gt;TahunBuku*12))</f>
        <v/>
      </c>
      <c r="AB118" s="20" t="str">
        <f>IF($B118="","",--AND($Y118&gt;TahunBuku*12,$Y118&lt;=TahunBuku*12+12))</f>
        <v/>
      </c>
      <c r="AC118" s="20" t="str">
        <f>IF($B118="","",--AND($Z118&gt;TahunBuku*12,$Z118&lt;=TahunBuku*12+12,$Y118&lt;=$Z118))</f>
        <v/>
      </c>
      <c r="AD118" s="21" t="str">
        <f>IF($B118="","",IFERROR(IF($S118="Garis Lurus",$G118-($G118-$H118)*MIN($T118*12,MAX(0,TahunBuku*12-$Y118+1))/($T118*12),IF($S118="Saldo Menurun",IF(TahunBuku-1&lt;YEAR($F118),$G118,IF(TahunBuku-1&gt;=INT(($Y118+$T118*12-2)/12),$H118,MAX($H118,$G118*(1-2/$T118*(13-MONTH($F118))/12)*(1-2/$T118)^(TahunBuku-1-YEAR($F118))))),IF($S118="Unit Produksi",$G118-($G118-$H118)*MIN(1,N($L118)/$K118),$G118))),$G118))</f>
        <v/>
      </c>
      <c r="AE118" s="21" t="str">
        <f>IF($B118="","",IFERROR(IF($S118="Garis Lurus",$G118-($G118-$H118)*MIN($T118*12,MAX(0,TahunBuku*12+12-$Y118+1))/($T118*12),IF($S118="Saldo Menurun",IF(TahunBuku&lt;YEAR($F118),$G118,IF(TahunBuku&gt;=INT(($Y118+$T118*12-2)/12),$H118,MAX($H118,$G118*(1-2/$T118*(13-MONTH($F118))/12)*(1-2/$T118)^(TahunBuku-YEAR($F118))))),IF($S118="Unit Produksi",$G118-($G118-$H118)*MIN(1,(N($L118)+N($M118))/$K118),$G118))),$G118))</f>
        <v/>
      </c>
      <c r="AF118" s="20" t="str">
        <f>IF($B118="","",IF(OR($S118="Garis Lurus",$S118="Saldo Menurun",$S118="Unit Produksi"),MAX(0,IF($S118="Unit Produksi",TahunBuku*12+12,MIN(TahunBuku*12+12,$Y118+$T118*12-1))-MAX(TahunBuku*12+1,$Y118)+1),0))</f>
        <v/>
      </c>
      <c r="AG118" s="20" t="str">
        <f>IF($B118="","",IF(OR($S118="Garis Lurus",$S118="Saldo Menurun",$S118="Unit Produksi"),MAX(0,MIN($Z118,IF($S118="Unit Produksi",TahunBuku*12+12,MIN(TahunBuku*12+12,$Y118+$T118*12-1)))-MAX(TahunBuku*12+1,$Y118)+1),0))</f>
        <v/>
      </c>
      <c r="AH118" s="21" t="str">
        <f>IF($B118="","",IFERROR(IF($W118="Garis Lurus",$G118*(1-MIN($V118*12,MAX(0,TahunBuku*12-$Y118+1))/($V118*12)),IF($W118="Saldo Menurun",IF(TahunBuku-1&lt;YEAR($F118),$G118,IF(TahunBuku-1&gt;=INT(($Y118+$V118*12-2)/12),0,$G118*(1-2/$V118*(13-MONTH($F118))/12)*(1-2/$V118)^(TahunBuku-1-YEAR($F118)))),$G118)),$G118))</f>
        <v/>
      </c>
      <c r="AI118" s="21" t="str">
        <f>IF($B118="","",IFERROR(IF($W118="Garis Lurus",$G118*(1-MIN($V118*12,MAX(0,TahunBuku*12+12-$Y118+1))/($V118*12)),IF($W118="Saldo Menurun",IF(TahunBuku&lt;YEAR($F118),$G118,IF(TahunBuku&gt;=INT(($Y118+$V118*12-2)/12),0,$G118*(1-2/$V118*(13-MONTH($F118))/12)*(1-2/$V118)^(TahunBuku-YEAR($F118)))),$G118)),$G118))</f>
        <v/>
      </c>
      <c r="AJ118" s="20" t="str">
        <f>IF($B118="","",IF(OR($W118="Garis Lurus",$W118="Saldo Menurun"),MAX(0,MIN(TahunBuku*12+12,$Y118+$V118*12-1)-MAX(TahunBuku*12+1,$Y118)+1),0))</f>
        <v/>
      </c>
      <c r="AK118" s="20" t="str">
        <f>IF($B118="","",IF(OR($W118="Garis Lurus",$W118="Saldo Menurun"),MAX(0,MIN($Z118,TahunBuku*12+12,$Y118+$V118*12-1)-MAX(TahunBuku*12+1,$Y118)+1),0))</f>
        <v/>
      </c>
      <c r="AL118" s="22" t="str">
        <f>IF($B118="","",$G118*$AA118)</f>
        <v/>
      </c>
      <c r="AM118" s="22" t="str">
        <f>IF($B118="","",$G118*$AB118)</f>
        <v/>
      </c>
      <c r="AN118" s="22" t="str">
        <f>IF($B118="","",$G118*$AC118)</f>
        <v/>
      </c>
      <c r="AO118" s="22" t="str">
        <f>IF($B118="","",AL118+AM118-AN118)</f>
        <v/>
      </c>
      <c r="AP118" s="22" t="str">
        <f>IF($B118="","",($G118-$AD118)*$AA118)</f>
        <v/>
      </c>
      <c r="AQ118" s="22" t="str">
        <f>IF($B118="","",IF($AF118=0,0,($AD118-$AE118)*$AG118/$AF118)*MAX($AA118,$AB118))</f>
        <v/>
      </c>
      <c r="AR118" s="22" t="str">
        <f>IF($B118="","",(AP118+AQ118)*$AC118)</f>
        <v/>
      </c>
      <c r="AS118" s="22" t="str">
        <f>IF($B118="","",AP118+AQ118-AR118)</f>
        <v/>
      </c>
      <c r="AT118" s="22" t="str">
        <f>IF($B118="","",AO118-AS118)</f>
        <v/>
      </c>
      <c r="AU118" s="22" t="str">
        <f>IF($B118="","",IF($AC118=1,N($R118)-($G118-AR118),0))</f>
        <v/>
      </c>
      <c r="AV118" s="22" t="str">
        <f>IF($B118="","",($G118-$AH118)*$AA118)</f>
        <v/>
      </c>
      <c r="AW118" s="22" t="str">
        <f>IF($B118="","",IF($AJ118=0,0,($AH118-$AI118)*$AK118/$AJ118)*MAX($AA118,$AB118))</f>
        <v/>
      </c>
      <c r="AX118" s="22" t="str">
        <f>IF($B118="","",(AV118+AW118)*$AC118)</f>
        <v/>
      </c>
      <c r="AY118" s="22" t="str">
        <f>IF($B118="","",AV118+AW118-AX118)</f>
        <v/>
      </c>
      <c r="AZ118" s="22" t="str">
        <f>IF($B118="","",AO118-AY118)</f>
        <v/>
      </c>
      <c r="BA118" s="22" t="str">
        <f>IF($B118="","",IF($AC118=1,N($R118)-($G118-AX118),0))</f>
        <v/>
      </c>
      <c r="BB118" s="22" t="str">
        <f>IF($B118="","",ROUND(AQ118-AW118,0))</f>
        <v/>
      </c>
      <c r="BC118" s="22" t="str">
        <f>IF($B118="","",ROUND(BA118-AU118,0))</f>
        <v/>
      </c>
      <c r="BD118" s="22" t="str">
        <f>IF($B118="","",BB118+BC118)</f>
        <v/>
      </c>
      <c r="BE118" s="22" t="str">
        <f>IF($B118="","",ROUND(AV118-AP118,0))</f>
        <v/>
      </c>
      <c r="BF118" s="22" t="str">
        <f>IF($B118="","",ROUND(AT118-AZ118,0))</f>
        <v/>
      </c>
      <c r="BG118" s="22" t="str">
        <f>IF($B118="","",ROUND(BF118*TarifPPh,0))</f>
        <v/>
      </c>
      <c r="BH118" t="str">
        <f>IF($B118="","",IF($D118="","Kategori kosong",IF($F118="","Tgl perolehan kosong",IF(N($H118)&gt;$G118,"Residu &gt; harga perolehan",IF(AND(LEFT($U118,8)="Bangunan",$W118="Saldo Menurun"),"Bangunan wajib Garis Lurus (Ps.11 UU PPh)",IF(AND($S118="Unit Produksi",N($K118)=0),"Isi kapasitas unit",IF(AND(OR($S118="Garis Lurus",$S118="Saldo Menurun"),N($T118)&lt;=0),"Umur komersial kosong",IF(AND(OR($W118="Garis Lurus",$W118="Saldo Menurun"),N($V118)&lt;=0),"Masa manfaat fiskal kosong",IF(AND($Q118&lt;&gt;"",$Q118&lt;$F118),"Tgl pelepasan &lt; perolehan","OK")))))))))</f>
        <v/>
      </c>
    </row>
    <row r="119" spans="1:60" x14ac:dyDescent="0.25">
      <c r="A119" t="str">
        <f>IF($B119="","",ROW()-6)</f>
        <v/>
      </c>
      <c r="B119" s="9"/>
      <c r="C119" s="9"/>
      <c r="D119" s="9"/>
      <c r="E119" s="9"/>
      <c r="F119" s="17"/>
      <c r="G119" s="18"/>
      <c r="H119" s="18"/>
      <c r="I119" s="9"/>
      <c r="J119" s="9"/>
      <c r="K119" s="19"/>
      <c r="L119" s="19"/>
      <c r="M119" s="19"/>
      <c r="N119" s="9"/>
      <c r="O119" s="9"/>
      <c r="P119" s="9"/>
      <c r="Q119" s="17"/>
      <c r="R119" s="18"/>
      <c r="S119" t="str">
        <f>IF($B119="","",IF($I119&lt;&gt;"",$I119,IFERROR(INDEX(Kat_Metode,MATCH($D119,Kat_Nama,0)),"")))</f>
        <v/>
      </c>
      <c r="T119" t="str">
        <f>IF($B119="","",IF($J119&lt;&gt;"",$J119,IFERROR(INDEX(Kat_Umur,MATCH($D119,Kat_Nama,0)),0)))</f>
        <v/>
      </c>
      <c r="U119" t="str">
        <f>IF($B119="","",IF($N119&lt;&gt;"",$N119,IFERROR(INDEX(Kat_Kelompok,MATCH($D119,Kat_Nama,0)),"")))</f>
        <v/>
      </c>
      <c r="V119" t="str">
        <f>IF($B119="","",IF($U119="Masa Manfaat Sebenarnya",N($O119),IFERROR(INDEX(Kel_Masa,MATCH($U119,Kel_Nama,0)),0)))</f>
        <v/>
      </c>
      <c r="W119" t="str">
        <f>IF($B119="","",IF($P119&lt;&gt;"",$P119,IF(OR($U119="Tidak Disusutkan",$V119=0),"Tidak Disusutkan","Garis Lurus")))</f>
        <v/>
      </c>
      <c r="X119" t="str">
        <f>IF($B119="","",IF($Y119&gt;TahunBuku*12+12,"Belum Diperoleh",IF($Z119&lt;=TahunBuku*12,"Dilepas (thn lalu)",IF($AC119=1,"Dilepas thn ini",IF($AB119=1,"Perolehan baru","Aktif")))))</f>
        <v/>
      </c>
      <c r="Y119" s="20" t="str">
        <f>IF($B119="","",YEAR($F119)*12+MONTH($F119))</f>
        <v/>
      </c>
      <c r="Z119" s="20" t="str">
        <f>IF($B119="","",IF($Q119="",99999,YEAR($Q119)*12+MONTH($Q119)))</f>
        <v/>
      </c>
      <c r="AA119" s="20" t="str">
        <f>IF($B119="","",--AND($Y119&lt;=TahunBuku*12,$Z119&gt;TahunBuku*12))</f>
        <v/>
      </c>
      <c r="AB119" s="20" t="str">
        <f>IF($B119="","",--AND($Y119&gt;TahunBuku*12,$Y119&lt;=TahunBuku*12+12))</f>
        <v/>
      </c>
      <c r="AC119" s="20" t="str">
        <f>IF($B119="","",--AND($Z119&gt;TahunBuku*12,$Z119&lt;=TahunBuku*12+12,$Y119&lt;=$Z119))</f>
        <v/>
      </c>
      <c r="AD119" s="21" t="str">
        <f>IF($B119="","",IFERROR(IF($S119="Garis Lurus",$G119-($G119-$H119)*MIN($T119*12,MAX(0,TahunBuku*12-$Y119+1))/($T119*12),IF($S119="Saldo Menurun",IF(TahunBuku-1&lt;YEAR($F119),$G119,IF(TahunBuku-1&gt;=INT(($Y119+$T119*12-2)/12),$H119,MAX($H119,$G119*(1-2/$T119*(13-MONTH($F119))/12)*(1-2/$T119)^(TahunBuku-1-YEAR($F119))))),IF($S119="Unit Produksi",$G119-($G119-$H119)*MIN(1,N($L119)/$K119),$G119))),$G119))</f>
        <v/>
      </c>
      <c r="AE119" s="21" t="str">
        <f>IF($B119="","",IFERROR(IF($S119="Garis Lurus",$G119-($G119-$H119)*MIN($T119*12,MAX(0,TahunBuku*12+12-$Y119+1))/($T119*12),IF($S119="Saldo Menurun",IF(TahunBuku&lt;YEAR($F119),$G119,IF(TahunBuku&gt;=INT(($Y119+$T119*12-2)/12),$H119,MAX($H119,$G119*(1-2/$T119*(13-MONTH($F119))/12)*(1-2/$T119)^(TahunBuku-YEAR($F119))))),IF($S119="Unit Produksi",$G119-($G119-$H119)*MIN(1,(N($L119)+N($M119))/$K119),$G119))),$G119))</f>
        <v/>
      </c>
      <c r="AF119" s="20" t="str">
        <f>IF($B119="","",IF(OR($S119="Garis Lurus",$S119="Saldo Menurun",$S119="Unit Produksi"),MAX(0,IF($S119="Unit Produksi",TahunBuku*12+12,MIN(TahunBuku*12+12,$Y119+$T119*12-1))-MAX(TahunBuku*12+1,$Y119)+1),0))</f>
        <v/>
      </c>
      <c r="AG119" s="20" t="str">
        <f>IF($B119="","",IF(OR($S119="Garis Lurus",$S119="Saldo Menurun",$S119="Unit Produksi"),MAX(0,MIN($Z119,IF($S119="Unit Produksi",TahunBuku*12+12,MIN(TahunBuku*12+12,$Y119+$T119*12-1)))-MAX(TahunBuku*12+1,$Y119)+1),0))</f>
        <v/>
      </c>
      <c r="AH119" s="21" t="str">
        <f>IF($B119="","",IFERROR(IF($W119="Garis Lurus",$G119*(1-MIN($V119*12,MAX(0,TahunBuku*12-$Y119+1))/($V119*12)),IF($W119="Saldo Menurun",IF(TahunBuku-1&lt;YEAR($F119),$G119,IF(TahunBuku-1&gt;=INT(($Y119+$V119*12-2)/12),0,$G119*(1-2/$V119*(13-MONTH($F119))/12)*(1-2/$V119)^(TahunBuku-1-YEAR($F119)))),$G119)),$G119))</f>
        <v/>
      </c>
      <c r="AI119" s="21" t="str">
        <f>IF($B119="","",IFERROR(IF($W119="Garis Lurus",$G119*(1-MIN($V119*12,MAX(0,TahunBuku*12+12-$Y119+1))/($V119*12)),IF($W119="Saldo Menurun",IF(TahunBuku&lt;YEAR($F119),$G119,IF(TahunBuku&gt;=INT(($Y119+$V119*12-2)/12),0,$G119*(1-2/$V119*(13-MONTH($F119))/12)*(1-2/$V119)^(TahunBuku-YEAR($F119)))),$G119)),$G119))</f>
        <v/>
      </c>
      <c r="AJ119" s="20" t="str">
        <f>IF($B119="","",IF(OR($W119="Garis Lurus",$W119="Saldo Menurun"),MAX(0,MIN(TahunBuku*12+12,$Y119+$V119*12-1)-MAX(TahunBuku*12+1,$Y119)+1),0))</f>
        <v/>
      </c>
      <c r="AK119" s="20" t="str">
        <f>IF($B119="","",IF(OR($W119="Garis Lurus",$W119="Saldo Menurun"),MAX(0,MIN($Z119,TahunBuku*12+12,$Y119+$V119*12-1)-MAX(TahunBuku*12+1,$Y119)+1),0))</f>
        <v/>
      </c>
      <c r="AL119" s="22" t="str">
        <f>IF($B119="","",$G119*$AA119)</f>
        <v/>
      </c>
      <c r="AM119" s="22" t="str">
        <f>IF($B119="","",$G119*$AB119)</f>
        <v/>
      </c>
      <c r="AN119" s="22" t="str">
        <f>IF($B119="","",$G119*$AC119)</f>
        <v/>
      </c>
      <c r="AO119" s="22" t="str">
        <f>IF($B119="","",AL119+AM119-AN119)</f>
        <v/>
      </c>
      <c r="AP119" s="22" t="str">
        <f>IF($B119="","",($G119-$AD119)*$AA119)</f>
        <v/>
      </c>
      <c r="AQ119" s="22" t="str">
        <f>IF($B119="","",IF($AF119=0,0,($AD119-$AE119)*$AG119/$AF119)*MAX($AA119,$AB119))</f>
        <v/>
      </c>
      <c r="AR119" s="22" t="str">
        <f>IF($B119="","",(AP119+AQ119)*$AC119)</f>
        <v/>
      </c>
      <c r="AS119" s="22" t="str">
        <f>IF($B119="","",AP119+AQ119-AR119)</f>
        <v/>
      </c>
      <c r="AT119" s="22" t="str">
        <f>IF($B119="","",AO119-AS119)</f>
        <v/>
      </c>
      <c r="AU119" s="22" t="str">
        <f>IF($B119="","",IF($AC119=1,N($R119)-($G119-AR119),0))</f>
        <v/>
      </c>
      <c r="AV119" s="22" t="str">
        <f>IF($B119="","",($G119-$AH119)*$AA119)</f>
        <v/>
      </c>
      <c r="AW119" s="22" t="str">
        <f>IF($B119="","",IF($AJ119=0,0,($AH119-$AI119)*$AK119/$AJ119)*MAX($AA119,$AB119))</f>
        <v/>
      </c>
      <c r="AX119" s="22" t="str">
        <f>IF($B119="","",(AV119+AW119)*$AC119)</f>
        <v/>
      </c>
      <c r="AY119" s="22" t="str">
        <f>IF($B119="","",AV119+AW119-AX119)</f>
        <v/>
      </c>
      <c r="AZ119" s="22" t="str">
        <f>IF($B119="","",AO119-AY119)</f>
        <v/>
      </c>
      <c r="BA119" s="22" t="str">
        <f>IF($B119="","",IF($AC119=1,N($R119)-($G119-AX119),0))</f>
        <v/>
      </c>
      <c r="BB119" s="22" t="str">
        <f>IF($B119="","",ROUND(AQ119-AW119,0))</f>
        <v/>
      </c>
      <c r="BC119" s="22" t="str">
        <f>IF($B119="","",ROUND(BA119-AU119,0))</f>
        <v/>
      </c>
      <c r="BD119" s="22" t="str">
        <f>IF($B119="","",BB119+BC119)</f>
        <v/>
      </c>
      <c r="BE119" s="22" t="str">
        <f>IF($B119="","",ROUND(AV119-AP119,0))</f>
        <v/>
      </c>
      <c r="BF119" s="22" t="str">
        <f>IF($B119="","",ROUND(AT119-AZ119,0))</f>
        <v/>
      </c>
      <c r="BG119" s="22" t="str">
        <f>IF($B119="","",ROUND(BF119*TarifPPh,0))</f>
        <v/>
      </c>
      <c r="BH119" t="str">
        <f>IF($B119="","",IF($D119="","Kategori kosong",IF($F119="","Tgl perolehan kosong",IF(N($H119)&gt;$G119,"Residu &gt; harga perolehan",IF(AND(LEFT($U119,8)="Bangunan",$W119="Saldo Menurun"),"Bangunan wajib Garis Lurus (Ps.11 UU PPh)",IF(AND($S119="Unit Produksi",N($K119)=0),"Isi kapasitas unit",IF(AND(OR($S119="Garis Lurus",$S119="Saldo Menurun"),N($T119)&lt;=0),"Umur komersial kosong",IF(AND(OR($W119="Garis Lurus",$W119="Saldo Menurun"),N($V119)&lt;=0),"Masa manfaat fiskal kosong",IF(AND($Q119&lt;&gt;"",$Q119&lt;$F119),"Tgl pelepasan &lt; perolehan","OK")))))))))</f>
        <v/>
      </c>
    </row>
    <row r="120" spans="1:60" x14ac:dyDescent="0.25">
      <c r="A120" t="str">
        <f>IF($B120="","",ROW()-6)</f>
        <v/>
      </c>
      <c r="B120" s="9"/>
      <c r="C120" s="9"/>
      <c r="D120" s="9"/>
      <c r="E120" s="9"/>
      <c r="F120" s="17"/>
      <c r="G120" s="18"/>
      <c r="H120" s="18"/>
      <c r="I120" s="9"/>
      <c r="J120" s="9"/>
      <c r="K120" s="19"/>
      <c r="L120" s="19"/>
      <c r="M120" s="19"/>
      <c r="N120" s="9"/>
      <c r="O120" s="9"/>
      <c r="P120" s="9"/>
      <c r="Q120" s="17"/>
      <c r="R120" s="18"/>
      <c r="S120" t="str">
        <f>IF($B120="","",IF($I120&lt;&gt;"",$I120,IFERROR(INDEX(Kat_Metode,MATCH($D120,Kat_Nama,0)),"")))</f>
        <v/>
      </c>
      <c r="T120" t="str">
        <f>IF($B120="","",IF($J120&lt;&gt;"",$J120,IFERROR(INDEX(Kat_Umur,MATCH($D120,Kat_Nama,0)),0)))</f>
        <v/>
      </c>
      <c r="U120" t="str">
        <f>IF($B120="","",IF($N120&lt;&gt;"",$N120,IFERROR(INDEX(Kat_Kelompok,MATCH($D120,Kat_Nama,0)),"")))</f>
        <v/>
      </c>
      <c r="V120" t="str">
        <f>IF($B120="","",IF($U120="Masa Manfaat Sebenarnya",N($O120),IFERROR(INDEX(Kel_Masa,MATCH($U120,Kel_Nama,0)),0)))</f>
        <v/>
      </c>
      <c r="W120" t="str">
        <f>IF($B120="","",IF($P120&lt;&gt;"",$P120,IF(OR($U120="Tidak Disusutkan",$V120=0),"Tidak Disusutkan","Garis Lurus")))</f>
        <v/>
      </c>
      <c r="X120" t="str">
        <f>IF($B120="","",IF($Y120&gt;TahunBuku*12+12,"Belum Diperoleh",IF($Z120&lt;=TahunBuku*12,"Dilepas (thn lalu)",IF($AC120=1,"Dilepas thn ini",IF($AB120=1,"Perolehan baru","Aktif")))))</f>
        <v/>
      </c>
      <c r="Y120" s="20" t="str">
        <f>IF($B120="","",YEAR($F120)*12+MONTH($F120))</f>
        <v/>
      </c>
      <c r="Z120" s="20" t="str">
        <f>IF($B120="","",IF($Q120="",99999,YEAR($Q120)*12+MONTH($Q120)))</f>
        <v/>
      </c>
      <c r="AA120" s="20" t="str">
        <f>IF($B120="","",--AND($Y120&lt;=TahunBuku*12,$Z120&gt;TahunBuku*12))</f>
        <v/>
      </c>
      <c r="AB120" s="20" t="str">
        <f>IF($B120="","",--AND($Y120&gt;TahunBuku*12,$Y120&lt;=TahunBuku*12+12))</f>
        <v/>
      </c>
      <c r="AC120" s="20" t="str">
        <f>IF($B120="","",--AND($Z120&gt;TahunBuku*12,$Z120&lt;=TahunBuku*12+12,$Y120&lt;=$Z120))</f>
        <v/>
      </c>
      <c r="AD120" s="21" t="str">
        <f>IF($B120="","",IFERROR(IF($S120="Garis Lurus",$G120-($G120-$H120)*MIN($T120*12,MAX(0,TahunBuku*12-$Y120+1))/($T120*12),IF($S120="Saldo Menurun",IF(TahunBuku-1&lt;YEAR($F120),$G120,IF(TahunBuku-1&gt;=INT(($Y120+$T120*12-2)/12),$H120,MAX($H120,$G120*(1-2/$T120*(13-MONTH($F120))/12)*(1-2/$T120)^(TahunBuku-1-YEAR($F120))))),IF($S120="Unit Produksi",$G120-($G120-$H120)*MIN(1,N($L120)/$K120),$G120))),$G120))</f>
        <v/>
      </c>
      <c r="AE120" s="21" t="str">
        <f>IF($B120="","",IFERROR(IF($S120="Garis Lurus",$G120-($G120-$H120)*MIN($T120*12,MAX(0,TahunBuku*12+12-$Y120+1))/($T120*12),IF($S120="Saldo Menurun",IF(TahunBuku&lt;YEAR($F120),$G120,IF(TahunBuku&gt;=INT(($Y120+$T120*12-2)/12),$H120,MAX($H120,$G120*(1-2/$T120*(13-MONTH($F120))/12)*(1-2/$T120)^(TahunBuku-YEAR($F120))))),IF($S120="Unit Produksi",$G120-($G120-$H120)*MIN(1,(N($L120)+N($M120))/$K120),$G120))),$G120))</f>
        <v/>
      </c>
      <c r="AF120" s="20" t="str">
        <f>IF($B120="","",IF(OR($S120="Garis Lurus",$S120="Saldo Menurun",$S120="Unit Produksi"),MAX(0,IF($S120="Unit Produksi",TahunBuku*12+12,MIN(TahunBuku*12+12,$Y120+$T120*12-1))-MAX(TahunBuku*12+1,$Y120)+1),0))</f>
        <v/>
      </c>
      <c r="AG120" s="20" t="str">
        <f>IF($B120="","",IF(OR($S120="Garis Lurus",$S120="Saldo Menurun",$S120="Unit Produksi"),MAX(0,MIN($Z120,IF($S120="Unit Produksi",TahunBuku*12+12,MIN(TahunBuku*12+12,$Y120+$T120*12-1)))-MAX(TahunBuku*12+1,$Y120)+1),0))</f>
        <v/>
      </c>
      <c r="AH120" s="21" t="str">
        <f>IF($B120="","",IFERROR(IF($W120="Garis Lurus",$G120*(1-MIN($V120*12,MAX(0,TahunBuku*12-$Y120+1))/($V120*12)),IF($W120="Saldo Menurun",IF(TahunBuku-1&lt;YEAR($F120),$G120,IF(TahunBuku-1&gt;=INT(($Y120+$V120*12-2)/12),0,$G120*(1-2/$V120*(13-MONTH($F120))/12)*(1-2/$V120)^(TahunBuku-1-YEAR($F120)))),$G120)),$G120))</f>
        <v/>
      </c>
      <c r="AI120" s="21" t="str">
        <f>IF($B120="","",IFERROR(IF($W120="Garis Lurus",$G120*(1-MIN($V120*12,MAX(0,TahunBuku*12+12-$Y120+1))/($V120*12)),IF($W120="Saldo Menurun",IF(TahunBuku&lt;YEAR($F120),$G120,IF(TahunBuku&gt;=INT(($Y120+$V120*12-2)/12),0,$G120*(1-2/$V120*(13-MONTH($F120))/12)*(1-2/$V120)^(TahunBuku-YEAR($F120)))),$G120)),$G120))</f>
        <v/>
      </c>
      <c r="AJ120" s="20" t="str">
        <f>IF($B120="","",IF(OR($W120="Garis Lurus",$W120="Saldo Menurun"),MAX(0,MIN(TahunBuku*12+12,$Y120+$V120*12-1)-MAX(TahunBuku*12+1,$Y120)+1),0))</f>
        <v/>
      </c>
      <c r="AK120" s="20" t="str">
        <f>IF($B120="","",IF(OR($W120="Garis Lurus",$W120="Saldo Menurun"),MAX(0,MIN($Z120,TahunBuku*12+12,$Y120+$V120*12-1)-MAX(TahunBuku*12+1,$Y120)+1),0))</f>
        <v/>
      </c>
      <c r="AL120" s="22" t="str">
        <f>IF($B120="","",$G120*$AA120)</f>
        <v/>
      </c>
      <c r="AM120" s="22" t="str">
        <f>IF($B120="","",$G120*$AB120)</f>
        <v/>
      </c>
      <c r="AN120" s="22" t="str">
        <f>IF($B120="","",$G120*$AC120)</f>
        <v/>
      </c>
      <c r="AO120" s="22" t="str">
        <f>IF($B120="","",AL120+AM120-AN120)</f>
        <v/>
      </c>
      <c r="AP120" s="22" t="str">
        <f>IF($B120="","",($G120-$AD120)*$AA120)</f>
        <v/>
      </c>
      <c r="AQ120" s="22" t="str">
        <f>IF($B120="","",IF($AF120=0,0,($AD120-$AE120)*$AG120/$AF120)*MAX($AA120,$AB120))</f>
        <v/>
      </c>
      <c r="AR120" s="22" t="str">
        <f>IF($B120="","",(AP120+AQ120)*$AC120)</f>
        <v/>
      </c>
      <c r="AS120" s="22" t="str">
        <f>IF($B120="","",AP120+AQ120-AR120)</f>
        <v/>
      </c>
      <c r="AT120" s="22" t="str">
        <f>IF($B120="","",AO120-AS120)</f>
        <v/>
      </c>
      <c r="AU120" s="22" t="str">
        <f>IF($B120="","",IF($AC120=1,N($R120)-($G120-AR120),0))</f>
        <v/>
      </c>
      <c r="AV120" s="22" t="str">
        <f>IF($B120="","",($G120-$AH120)*$AA120)</f>
        <v/>
      </c>
      <c r="AW120" s="22" t="str">
        <f>IF($B120="","",IF($AJ120=0,0,($AH120-$AI120)*$AK120/$AJ120)*MAX($AA120,$AB120))</f>
        <v/>
      </c>
      <c r="AX120" s="22" t="str">
        <f>IF($B120="","",(AV120+AW120)*$AC120)</f>
        <v/>
      </c>
      <c r="AY120" s="22" t="str">
        <f>IF($B120="","",AV120+AW120-AX120)</f>
        <v/>
      </c>
      <c r="AZ120" s="22" t="str">
        <f>IF($B120="","",AO120-AY120)</f>
        <v/>
      </c>
      <c r="BA120" s="22" t="str">
        <f>IF($B120="","",IF($AC120=1,N($R120)-($G120-AX120),0))</f>
        <v/>
      </c>
      <c r="BB120" s="22" t="str">
        <f>IF($B120="","",ROUND(AQ120-AW120,0))</f>
        <v/>
      </c>
      <c r="BC120" s="22" t="str">
        <f>IF($B120="","",ROUND(BA120-AU120,0))</f>
        <v/>
      </c>
      <c r="BD120" s="22" t="str">
        <f>IF($B120="","",BB120+BC120)</f>
        <v/>
      </c>
      <c r="BE120" s="22" t="str">
        <f>IF($B120="","",ROUND(AV120-AP120,0))</f>
        <v/>
      </c>
      <c r="BF120" s="22" t="str">
        <f>IF($B120="","",ROUND(AT120-AZ120,0))</f>
        <v/>
      </c>
      <c r="BG120" s="22" t="str">
        <f>IF($B120="","",ROUND(BF120*TarifPPh,0))</f>
        <v/>
      </c>
      <c r="BH120" t="str">
        <f>IF($B120="","",IF($D120="","Kategori kosong",IF($F120="","Tgl perolehan kosong",IF(N($H120)&gt;$G120,"Residu &gt; harga perolehan",IF(AND(LEFT($U120,8)="Bangunan",$W120="Saldo Menurun"),"Bangunan wajib Garis Lurus (Ps.11 UU PPh)",IF(AND($S120="Unit Produksi",N($K120)=0),"Isi kapasitas unit",IF(AND(OR($S120="Garis Lurus",$S120="Saldo Menurun"),N($T120)&lt;=0),"Umur komersial kosong",IF(AND(OR($W120="Garis Lurus",$W120="Saldo Menurun"),N($V120)&lt;=0),"Masa manfaat fiskal kosong",IF(AND($Q120&lt;&gt;"",$Q120&lt;$F120),"Tgl pelepasan &lt; perolehan","OK")))))))))</f>
        <v/>
      </c>
    </row>
    <row r="121" spans="1:60" x14ac:dyDescent="0.25">
      <c r="A121" t="str">
        <f>IF($B121="","",ROW()-6)</f>
        <v/>
      </c>
      <c r="B121" s="9"/>
      <c r="C121" s="9"/>
      <c r="D121" s="9"/>
      <c r="E121" s="9"/>
      <c r="F121" s="17"/>
      <c r="G121" s="18"/>
      <c r="H121" s="18"/>
      <c r="I121" s="9"/>
      <c r="J121" s="9"/>
      <c r="K121" s="19"/>
      <c r="L121" s="19"/>
      <c r="M121" s="19"/>
      <c r="N121" s="9"/>
      <c r="O121" s="9"/>
      <c r="P121" s="9"/>
      <c r="Q121" s="17"/>
      <c r="R121" s="18"/>
      <c r="S121" t="str">
        <f>IF($B121="","",IF($I121&lt;&gt;"",$I121,IFERROR(INDEX(Kat_Metode,MATCH($D121,Kat_Nama,0)),"")))</f>
        <v/>
      </c>
      <c r="T121" t="str">
        <f>IF($B121="","",IF($J121&lt;&gt;"",$J121,IFERROR(INDEX(Kat_Umur,MATCH($D121,Kat_Nama,0)),0)))</f>
        <v/>
      </c>
      <c r="U121" t="str">
        <f>IF($B121="","",IF($N121&lt;&gt;"",$N121,IFERROR(INDEX(Kat_Kelompok,MATCH($D121,Kat_Nama,0)),"")))</f>
        <v/>
      </c>
      <c r="V121" t="str">
        <f>IF($B121="","",IF($U121="Masa Manfaat Sebenarnya",N($O121),IFERROR(INDEX(Kel_Masa,MATCH($U121,Kel_Nama,0)),0)))</f>
        <v/>
      </c>
      <c r="W121" t="str">
        <f>IF($B121="","",IF($P121&lt;&gt;"",$P121,IF(OR($U121="Tidak Disusutkan",$V121=0),"Tidak Disusutkan","Garis Lurus")))</f>
        <v/>
      </c>
      <c r="X121" t="str">
        <f>IF($B121="","",IF($Y121&gt;TahunBuku*12+12,"Belum Diperoleh",IF($Z121&lt;=TahunBuku*12,"Dilepas (thn lalu)",IF($AC121=1,"Dilepas thn ini",IF($AB121=1,"Perolehan baru","Aktif")))))</f>
        <v/>
      </c>
      <c r="Y121" s="20" t="str">
        <f>IF($B121="","",YEAR($F121)*12+MONTH($F121))</f>
        <v/>
      </c>
      <c r="Z121" s="20" t="str">
        <f>IF($B121="","",IF($Q121="",99999,YEAR($Q121)*12+MONTH($Q121)))</f>
        <v/>
      </c>
      <c r="AA121" s="20" t="str">
        <f>IF($B121="","",--AND($Y121&lt;=TahunBuku*12,$Z121&gt;TahunBuku*12))</f>
        <v/>
      </c>
      <c r="AB121" s="20" t="str">
        <f>IF($B121="","",--AND($Y121&gt;TahunBuku*12,$Y121&lt;=TahunBuku*12+12))</f>
        <v/>
      </c>
      <c r="AC121" s="20" t="str">
        <f>IF($B121="","",--AND($Z121&gt;TahunBuku*12,$Z121&lt;=TahunBuku*12+12,$Y121&lt;=$Z121))</f>
        <v/>
      </c>
      <c r="AD121" s="21" t="str">
        <f>IF($B121="","",IFERROR(IF($S121="Garis Lurus",$G121-($G121-$H121)*MIN($T121*12,MAX(0,TahunBuku*12-$Y121+1))/($T121*12),IF($S121="Saldo Menurun",IF(TahunBuku-1&lt;YEAR($F121),$G121,IF(TahunBuku-1&gt;=INT(($Y121+$T121*12-2)/12),$H121,MAX($H121,$G121*(1-2/$T121*(13-MONTH($F121))/12)*(1-2/$T121)^(TahunBuku-1-YEAR($F121))))),IF($S121="Unit Produksi",$G121-($G121-$H121)*MIN(1,N($L121)/$K121),$G121))),$G121))</f>
        <v/>
      </c>
      <c r="AE121" s="21" t="str">
        <f>IF($B121="","",IFERROR(IF($S121="Garis Lurus",$G121-($G121-$H121)*MIN($T121*12,MAX(0,TahunBuku*12+12-$Y121+1))/($T121*12),IF($S121="Saldo Menurun",IF(TahunBuku&lt;YEAR($F121),$G121,IF(TahunBuku&gt;=INT(($Y121+$T121*12-2)/12),$H121,MAX($H121,$G121*(1-2/$T121*(13-MONTH($F121))/12)*(1-2/$T121)^(TahunBuku-YEAR($F121))))),IF($S121="Unit Produksi",$G121-($G121-$H121)*MIN(1,(N($L121)+N($M121))/$K121),$G121))),$G121))</f>
        <v/>
      </c>
      <c r="AF121" s="20" t="str">
        <f>IF($B121="","",IF(OR($S121="Garis Lurus",$S121="Saldo Menurun",$S121="Unit Produksi"),MAX(0,IF($S121="Unit Produksi",TahunBuku*12+12,MIN(TahunBuku*12+12,$Y121+$T121*12-1))-MAX(TahunBuku*12+1,$Y121)+1),0))</f>
        <v/>
      </c>
      <c r="AG121" s="20" t="str">
        <f>IF($B121="","",IF(OR($S121="Garis Lurus",$S121="Saldo Menurun",$S121="Unit Produksi"),MAX(0,MIN($Z121,IF($S121="Unit Produksi",TahunBuku*12+12,MIN(TahunBuku*12+12,$Y121+$T121*12-1)))-MAX(TahunBuku*12+1,$Y121)+1),0))</f>
        <v/>
      </c>
      <c r="AH121" s="21" t="str">
        <f>IF($B121="","",IFERROR(IF($W121="Garis Lurus",$G121*(1-MIN($V121*12,MAX(0,TahunBuku*12-$Y121+1))/($V121*12)),IF($W121="Saldo Menurun",IF(TahunBuku-1&lt;YEAR($F121),$G121,IF(TahunBuku-1&gt;=INT(($Y121+$V121*12-2)/12),0,$G121*(1-2/$V121*(13-MONTH($F121))/12)*(1-2/$V121)^(TahunBuku-1-YEAR($F121)))),$G121)),$G121))</f>
        <v/>
      </c>
      <c r="AI121" s="21" t="str">
        <f>IF($B121="","",IFERROR(IF($W121="Garis Lurus",$G121*(1-MIN($V121*12,MAX(0,TahunBuku*12+12-$Y121+1))/($V121*12)),IF($W121="Saldo Menurun",IF(TahunBuku&lt;YEAR($F121),$G121,IF(TahunBuku&gt;=INT(($Y121+$V121*12-2)/12),0,$G121*(1-2/$V121*(13-MONTH($F121))/12)*(1-2/$V121)^(TahunBuku-YEAR($F121)))),$G121)),$G121))</f>
        <v/>
      </c>
      <c r="AJ121" s="20" t="str">
        <f>IF($B121="","",IF(OR($W121="Garis Lurus",$W121="Saldo Menurun"),MAX(0,MIN(TahunBuku*12+12,$Y121+$V121*12-1)-MAX(TahunBuku*12+1,$Y121)+1),0))</f>
        <v/>
      </c>
      <c r="AK121" s="20" t="str">
        <f>IF($B121="","",IF(OR($W121="Garis Lurus",$W121="Saldo Menurun"),MAX(0,MIN($Z121,TahunBuku*12+12,$Y121+$V121*12-1)-MAX(TahunBuku*12+1,$Y121)+1),0))</f>
        <v/>
      </c>
      <c r="AL121" s="22" t="str">
        <f>IF($B121="","",$G121*$AA121)</f>
        <v/>
      </c>
      <c r="AM121" s="22" t="str">
        <f>IF($B121="","",$G121*$AB121)</f>
        <v/>
      </c>
      <c r="AN121" s="22" t="str">
        <f>IF($B121="","",$G121*$AC121)</f>
        <v/>
      </c>
      <c r="AO121" s="22" t="str">
        <f>IF($B121="","",AL121+AM121-AN121)</f>
        <v/>
      </c>
      <c r="AP121" s="22" t="str">
        <f>IF($B121="","",($G121-$AD121)*$AA121)</f>
        <v/>
      </c>
      <c r="AQ121" s="22" t="str">
        <f>IF($B121="","",IF($AF121=0,0,($AD121-$AE121)*$AG121/$AF121)*MAX($AA121,$AB121))</f>
        <v/>
      </c>
      <c r="AR121" s="22" t="str">
        <f>IF($B121="","",(AP121+AQ121)*$AC121)</f>
        <v/>
      </c>
      <c r="AS121" s="22" t="str">
        <f>IF($B121="","",AP121+AQ121-AR121)</f>
        <v/>
      </c>
      <c r="AT121" s="22" t="str">
        <f>IF($B121="","",AO121-AS121)</f>
        <v/>
      </c>
      <c r="AU121" s="22" t="str">
        <f>IF($B121="","",IF($AC121=1,N($R121)-($G121-AR121),0))</f>
        <v/>
      </c>
      <c r="AV121" s="22" t="str">
        <f>IF($B121="","",($G121-$AH121)*$AA121)</f>
        <v/>
      </c>
      <c r="AW121" s="22" t="str">
        <f>IF($B121="","",IF($AJ121=0,0,($AH121-$AI121)*$AK121/$AJ121)*MAX($AA121,$AB121))</f>
        <v/>
      </c>
      <c r="AX121" s="22" t="str">
        <f>IF($B121="","",(AV121+AW121)*$AC121)</f>
        <v/>
      </c>
      <c r="AY121" s="22" t="str">
        <f>IF($B121="","",AV121+AW121-AX121)</f>
        <v/>
      </c>
      <c r="AZ121" s="22" t="str">
        <f>IF($B121="","",AO121-AY121)</f>
        <v/>
      </c>
      <c r="BA121" s="22" t="str">
        <f>IF($B121="","",IF($AC121=1,N($R121)-($G121-AX121),0))</f>
        <v/>
      </c>
      <c r="BB121" s="22" t="str">
        <f>IF($B121="","",ROUND(AQ121-AW121,0))</f>
        <v/>
      </c>
      <c r="BC121" s="22" t="str">
        <f>IF($B121="","",ROUND(BA121-AU121,0))</f>
        <v/>
      </c>
      <c r="BD121" s="22" t="str">
        <f>IF($B121="","",BB121+BC121)</f>
        <v/>
      </c>
      <c r="BE121" s="22" t="str">
        <f>IF($B121="","",ROUND(AV121-AP121,0))</f>
        <v/>
      </c>
      <c r="BF121" s="22" t="str">
        <f>IF($B121="","",ROUND(AT121-AZ121,0))</f>
        <v/>
      </c>
      <c r="BG121" s="22" t="str">
        <f>IF($B121="","",ROUND(BF121*TarifPPh,0))</f>
        <v/>
      </c>
      <c r="BH121" t="str">
        <f>IF($B121="","",IF($D121="","Kategori kosong",IF($F121="","Tgl perolehan kosong",IF(N($H121)&gt;$G121,"Residu &gt; harga perolehan",IF(AND(LEFT($U121,8)="Bangunan",$W121="Saldo Menurun"),"Bangunan wajib Garis Lurus (Ps.11 UU PPh)",IF(AND($S121="Unit Produksi",N($K121)=0),"Isi kapasitas unit",IF(AND(OR($S121="Garis Lurus",$S121="Saldo Menurun"),N($T121)&lt;=0),"Umur komersial kosong",IF(AND(OR($W121="Garis Lurus",$W121="Saldo Menurun"),N($V121)&lt;=0),"Masa manfaat fiskal kosong",IF(AND($Q121&lt;&gt;"",$Q121&lt;$F121),"Tgl pelepasan &lt; perolehan","OK")))))))))</f>
        <v/>
      </c>
    </row>
    <row r="122" spans="1:60" x14ac:dyDescent="0.25">
      <c r="A122" t="str">
        <f>IF($B122="","",ROW()-6)</f>
        <v/>
      </c>
      <c r="B122" s="9"/>
      <c r="C122" s="9"/>
      <c r="D122" s="9"/>
      <c r="E122" s="9"/>
      <c r="F122" s="17"/>
      <c r="G122" s="18"/>
      <c r="H122" s="18"/>
      <c r="I122" s="9"/>
      <c r="J122" s="9"/>
      <c r="K122" s="19"/>
      <c r="L122" s="19"/>
      <c r="M122" s="19"/>
      <c r="N122" s="9"/>
      <c r="O122" s="9"/>
      <c r="P122" s="9"/>
      <c r="Q122" s="17"/>
      <c r="R122" s="18"/>
      <c r="S122" t="str">
        <f>IF($B122="","",IF($I122&lt;&gt;"",$I122,IFERROR(INDEX(Kat_Metode,MATCH($D122,Kat_Nama,0)),"")))</f>
        <v/>
      </c>
      <c r="T122" t="str">
        <f>IF($B122="","",IF($J122&lt;&gt;"",$J122,IFERROR(INDEX(Kat_Umur,MATCH($D122,Kat_Nama,0)),0)))</f>
        <v/>
      </c>
      <c r="U122" t="str">
        <f>IF($B122="","",IF($N122&lt;&gt;"",$N122,IFERROR(INDEX(Kat_Kelompok,MATCH($D122,Kat_Nama,0)),"")))</f>
        <v/>
      </c>
      <c r="V122" t="str">
        <f>IF($B122="","",IF($U122="Masa Manfaat Sebenarnya",N($O122),IFERROR(INDEX(Kel_Masa,MATCH($U122,Kel_Nama,0)),0)))</f>
        <v/>
      </c>
      <c r="W122" t="str">
        <f>IF($B122="","",IF($P122&lt;&gt;"",$P122,IF(OR($U122="Tidak Disusutkan",$V122=0),"Tidak Disusutkan","Garis Lurus")))</f>
        <v/>
      </c>
      <c r="X122" t="str">
        <f>IF($B122="","",IF($Y122&gt;TahunBuku*12+12,"Belum Diperoleh",IF($Z122&lt;=TahunBuku*12,"Dilepas (thn lalu)",IF($AC122=1,"Dilepas thn ini",IF($AB122=1,"Perolehan baru","Aktif")))))</f>
        <v/>
      </c>
      <c r="Y122" s="20" t="str">
        <f>IF($B122="","",YEAR($F122)*12+MONTH($F122))</f>
        <v/>
      </c>
      <c r="Z122" s="20" t="str">
        <f>IF($B122="","",IF($Q122="",99999,YEAR($Q122)*12+MONTH($Q122)))</f>
        <v/>
      </c>
      <c r="AA122" s="20" t="str">
        <f>IF($B122="","",--AND($Y122&lt;=TahunBuku*12,$Z122&gt;TahunBuku*12))</f>
        <v/>
      </c>
      <c r="AB122" s="20" t="str">
        <f>IF($B122="","",--AND($Y122&gt;TahunBuku*12,$Y122&lt;=TahunBuku*12+12))</f>
        <v/>
      </c>
      <c r="AC122" s="20" t="str">
        <f>IF($B122="","",--AND($Z122&gt;TahunBuku*12,$Z122&lt;=TahunBuku*12+12,$Y122&lt;=$Z122))</f>
        <v/>
      </c>
      <c r="AD122" s="21" t="str">
        <f>IF($B122="","",IFERROR(IF($S122="Garis Lurus",$G122-($G122-$H122)*MIN($T122*12,MAX(0,TahunBuku*12-$Y122+1))/($T122*12),IF($S122="Saldo Menurun",IF(TahunBuku-1&lt;YEAR($F122),$G122,IF(TahunBuku-1&gt;=INT(($Y122+$T122*12-2)/12),$H122,MAX($H122,$G122*(1-2/$T122*(13-MONTH($F122))/12)*(1-2/$T122)^(TahunBuku-1-YEAR($F122))))),IF($S122="Unit Produksi",$G122-($G122-$H122)*MIN(1,N($L122)/$K122),$G122))),$G122))</f>
        <v/>
      </c>
      <c r="AE122" s="21" t="str">
        <f>IF($B122="","",IFERROR(IF($S122="Garis Lurus",$G122-($G122-$H122)*MIN($T122*12,MAX(0,TahunBuku*12+12-$Y122+1))/($T122*12),IF($S122="Saldo Menurun",IF(TahunBuku&lt;YEAR($F122),$G122,IF(TahunBuku&gt;=INT(($Y122+$T122*12-2)/12),$H122,MAX($H122,$G122*(1-2/$T122*(13-MONTH($F122))/12)*(1-2/$T122)^(TahunBuku-YEAR($F122))))),IF($S122="Unit Produksi",$G122-($G122-$H122)*MIN(1,(N($L122)+N($M122))/$K122),$G122))),$G122))</f>
        <v/>
      </c>
      <c r="AF122" s="20" t="str">
        <f>IF($B122="","",IF(OR($S122="Garis Lurus",$S122="Saldo Menurun",$S122="Unit Produksi"),MAX(0,IF($S122="Unit Produksi",TahunBuku*12+12,MIN(TahunBuku*12+12,$Y122+$T122*12-1))-MAX(TahunBuku*12+1,$Y122)+1),0))</f>
        <v/>
      </c>
      <c r="AG122" s="20" t="str">
        <f>IF($B122="","",IF(OR($S122="Garis Lurus",$S122="Saldo Menurun",$S122="Unit Produksi"),MAX(0,MIN($Z122,IF($S122="Unit Produksi",TahunBuku*12+12,MIN(TahunBuku*12+12,$Y122+$T122*12-1)))-MAX(TahunBuku*12+1,$Y122)+1),0))</f>
        <v/>
      </c>
      <c r="AH122" s="21" t="str">
        <f>IF($B122="","",IFERROR(IF($W122="Garis Lurus",$G122*(1-MIN($V122*12,MAX(0,TahunBuku*12-$Y122+1))/($V122*12)),IF($W122="Saldo Menurun",IF(TahunBuku-1&lt;YEAR($F122),$G122,IF(TahunBuku-1&gt;=INT(($Y122+$V122*12-2)/12),0,$G122*(1-2/$V122*(13-MONTH($F122))/12)*(1-2/$V122)^(TahunBuku-1-YEAR($F122)))),$G122)),$G122))</f>
        <v/>
      </c>
      <c r="AI122" s="21" t="str">
        <f>IF($B122="","",IFERROR(IF($W122="Garis Lurus",$G122*(1-MIN($V122*12,MAX(0,TahunBuku*12+12-$Y122+1))/($V122*12)),IF($W122="Saldo Menurun",IF(TahunBuku&lt;YEAR($F122),$G122,IF(TahunBuku&gt;=INT(($Y122+$V122*12-2)/12),0,$G122*(1-2/$V122*(13-MONTH($F122))/12)*(1-2/$V122)^(TahunBuku-YEAR($F122)))),$G122)),$G122))</f>
        <v/>
      </c>
      <c r="AJ122" s="20" t="str">
        <f>IF($B122="","",IF(OR($W122="Garis Lurus",$W122="Saldo Menurun"),MAX(0,MIN(TahunBuku*12+12,$Y122+$V122*12-1)-MAX(TahunBuku*12+1,$Y122)+1),0))</f>
        <v/>
      </c>
      <c r="AK122" s="20" t="str">
        <f>IF($B122="","",IF(OR($W122="Garis Lurus",$W122="Saldo Menurun"),MAX(0,MIN($Z122,TahunBuku*12+12,$Y122+$V122*12-1)-MAX(TahunBuku*12+1,$Y122)+1),0))</f>
        <v/>
      </c>
      <c r="AL122" s="22" t="str">
        <f>IF($B122="","",$G122*$AA122)</f>
        <v/>
      </c>
      <c r="AM122" s="22" t="str">
        <f>IF($B122="","",$G122*$AB122)</f>
        <v/>
      </c>
      <c r="AN122" s="22" t="str">
        <f>IF($B122="","",$G122*$AC122)</f>
        <v/>
      </c>
      <c r="AO122" s="22" t="str">
        <f>IF($B122="","",AL122+AM122-AN122)</f>
        <v/>
      </c>
      <c r="AP122" s="22" t="str">
        <f>IF($B122="","",($G122-$AD122)*$AA122)</f>
        <v/>
      </c>
      <c r="AQ122" s="22" t="str">
        <f>IF($B122="","",IF($AF122=0,0,($AD122-$AE122)*$AG122/$AF122)*MAX($AA122,$AB122))</f>
        <v/>
      </c>
      <c r="AR122" s="22" t="str">
        <f>IF($B122="","",(AP122+AQ122)*$AC122)</f>
        <v/>
      </c>
      <c r="AS122" s="22" t="str">
        <f>IF($B122="","",AP122+AQ122-AR122)</f>
        <v/>
      </c>
      <c r="AT122" s="22" t="str">
        <f>IF($B122="","",AO122-AS122)</f>
        <v/>
      </c>
      <c r="AU122" s="22" t="str">
        <f>IF($B122="","",IF($AC122=1,N($R122)-($G122-AR122),0))</f>
        <v/>
      </c>
      <c r="AV122" s="22" t="str">
        <f>IF($B122="","",($G122-$AH122)*$AA122)</f>
        <v/>
      </c>
      <c r="AW122" s="22" t="str">
        <f>IF($B122="","",IF($AJ122=0,0,($AH122-$AI122)*$AK122/$AJ122)*MAX($AA122,$AB122))</f>
        <v/>
      </c>
      <c r="AX122" s="22" t="str">
        <f>IF($B122="","",(AV122+AW122)*$AC122)</f>
        <v/>
      </c>
      <c r="AY122" s="22" t="str">
        <f>IF($B122="","",AV122+AW122-AX122)</f>
        <v/>
      </c>
      <c r="AZ122" s="22" t="str">
        <f>IF($B122="","",AO122-AY122)</f>
        <v/>
      </c>
      <c r="BA122" s="22" t="str">
        <f>IF($B122="","",IF($AC122=1,N($R122)-($G122-AX122),0))</f>
        <v/>
      </c>
      <c r="BB122" s="22" t="str">
        <f>IF($B122="","",ROUND(AQ122-AW122,0))</f>
        <v/>
      </c>
      <c r="BC122" s="22" t="str">
        <f>IF($B122="","",ROUND(BA122-AU122,0))</f>
        <v/>
      </c>
      <c r="BD122" s="22" t="str">
        <f>IF($B122="","",BB122+BC122)</f>
        <v/>
      </c>
      <c r="BE122" s="22" t="str">
        <f>IF($B122="","",ROUND(AV122-AP122,0))</f>
        <v/>
      </c>
      <c r="BF122" s="22" t="str">
        <f>IF($B122="","",ROUND(AT122-AZ122,0))</f>
        <v/>
      </c>
      <c r="BG122" s="22" t="str">
        <f>IF($B122="","",ROUND(BF122*TarifPPh,0))</f>
        <v/>
      </c>
      <c r="BH122" t="str">
        <f>IF($B122="","",IF($D122="","Kategori kosong",IF($F122="","Tgl perolehan kosong",IF(N($H122)&gt;$G122,"Residu &gt; harga perolehan",IF(AND(LEFT($U122,8)="Bangunan",$W122="Saldo Menurun"),"Bangunan wajib Garis Lurus (Ps.11 UU PPh)",IF(AND($S122="Unit Produksi",N($K122)=0),"Isi kapasitas unit",IF(AND(OR($S122="Garis Lurus",$S122="Saldo Menurun"),N($T122)&lt;=0),"Umur komersial kosong",IF(AND(OR($W122="Garis Lurus",$W122="Saldo Menurun"),N($V122)&lt;=0),"Masa manfaat fiskal kosong",IF(AND($Q122&lt;&gt;"",$Q122&lt;$F122),"Tgl pelepasan &lt; perolehan","OK")))))))))</f>
        <v/>
      </c>
    </row>
    <row r="123" spans="1:60" x14ac:dyDescent="0.25">
      <c r="A123" t="str">
        <f>IF($B123="","",ROW()-6)</f>
        <v/>
      </c>
      <c r="B123" s="9"/>
      <c r="C123" s="9"/>
      <c r="D123" s="9"/>
      <c r="E123" s="9"/>
      <c r="F123" s="17"/>
      <c r="G123" s="18"/>
      <c r="H123" s="18"/>
      <c r="I123" s="9"/>
      <c r="J123" s="9"/>
      <c r="K123" s="19"/>
      <c r="L123" s="19"/>
      <c r="M123" s="19"/>
      <c r="N123" s="9"/>
      <c r="O123" s="9"/>
      <c r="P123" s="9"/>
      <c r="Q123" s="17"/>
      <c r="R123" s="18"/>
      <c r="S123" t="str">
        <f>IF($B123="","",IF($I123&lt;&gt;"",$I123,IFERROR(INDEX(Kat_Metode,MATCH($D123,Kat_Nama,0)),"")))</f>
        <v/>
      </c>
      <c r="T123" t="str">
        <f>IF($B123="","",IF($J123&lt;&gt;"",$J123,IFERROR(INDEX(Kat_Umur,MATCH($D123,Kat_Nama,0)),0)))</f>
        <v/>
      </c>
      <c r="U123" t="str">
        <f>IF($B123="","",IF($N123&lt;&gt;"",$N123,IFERROR(INDEX(Kat_Kelompok,MATCH($D123,Kat_Nama,0)),"")))</f>
        <v/>
      </c>
      <c r="V123" t="str">
        <f>IF($B123="","",IF($U123="Masa Manfaat Sebenarnya",N($O123),IFERROR(INDEX(Kel_Masa,MATCH($U123,Kel_Nama,0)),0)))</f>
        <v/>
      </c>
      <c r="W123" t="str">
        <f>IF($B123="","",IF($P123&lt;&gt;"",$P123,IF(OR($U123="Tidak Disusutkan",$V123=0),"Tidak Disusutkan","Garis Lurus")))</f>
        <v/>
      </c>
      <c r="X123" t="str">
        <f>IF($B123="","",IF($Y123&gt;TahunBuku*12+12,"Belum Diperoleh",IF($Z123&lt;=TahunBuku*12,"Dilepas (thn lalu)",IF($AC123=1,"Dilepas thn ini",IF($AB123=1,"Perolehan baru","Aktif")))))</f>
        <v/>
      </c>
      <c r="Y123" s="20" t="str">
        <f>IF($B123="","",YEAR($F123)*12+MONTH($F123))</f>
        <v/>
      </c>
      <c r="Z123" s="20" t="str">
        <f>IF($B123="","",IF($Q123="",99999,YEAR($Q123)*12+MONTH($Q123)))</f>
        <v/>
      </c>
      <c r="AA123" s="20" t="str">
        <f>IF($B123="","",--AND($Y123&lt;=TahunBuku*12,$Z123&gt;TahunBuku*12))</f>
        <v/>
      </c>
      <c r="AB123" s="20" t="str">
        <f>IF($B123="","",--AND($Y123&gt;TahunBuku*12,$Y123&lt;=TahunBuku*12+12))</f>
        <v/>
      </c>
      <c r="AC123" s="20" t="str">
        <f>IF($B123="","",--AND($Z123&gt;TahunBuku*12,$Z123&lt;=TahunBuku*12+12,$Y123&lt;=$Z123))</f>
        <v/>
      </c>
      <c r="AD123" s="21" t="str">
        <f>IF($B123="","",IFERROR(IF($S123="Garis Lurus",$G123-($G123-$H123)*MIN($T123*12,MAX(0,TahunBuku*12-$Y123+1))/($T123*12),IF($S123="Saldo Menurun",IF(TahunBuku-1&lt;YEAR($F123),$G123,IF(TahunBuku-1&gt;=INT(($Y123+$T123*12-2)/12),$H123,MAX($H123,$G123*(1-2/$T123*(13-MONTH($F123))/12)*(1-2/$T123)^(TahunBuku-1-YEAR($F123))))),IF($S123="Unit Produksi",$G123-($G123-$H123)*MIN(1,N($L123)/$K123),$G123))),$G123))</f>
        <v/>
      </c>
      <c r="AE123" s="21" t="str">
        <f>IF($B123="","",IFERROR(IF($S123="Garis Lurus",$G123-($G123-$H123)*MIN($T123*12,MAX(0,TahunBuku*12+12-$Y123+1))/($T123*12),IF($S123="Saldo Menurun",IF(TahunBuku&lt;YEAR($F123),$G123,IF(TahunBuku&gt;=INT(($Y123+$T123*12-2)/12),$H123,MAX($H123,$G123*(1-2/$T123*(13-MONTH($F123))/12)*(1-2/$T123)^(TahunBuku-YEAR($F123))))),IF($S123="Unit Produksi",$G123-($G123-$H123)*MIN(1,(N($L123)+N($M123))/$K123),$G123))),$G123))</f>
        <v/>
      </c>
      <c r="AF123" s="20" t="str">
        <f>IF($B123="","",IF(OR($S123="Garis Lurus",$S123="Saldo Menurun",$S123="Unit Produksi"),MAX(0,IF($S123="Unit Produksi",TahunBuku*12+12,MIN(TahunBuku*12+12,$Y123+$T123*12-1))-MAX(TahunBuku*12+1,$Y123)+1),0))</f>
        <v/>
      </c>
      <c r="AG123" s="20" t="str">
        <f>IF($B123="","",IF(OR($S123="Garis Lurus",$S123="Saldo Menurun",$S123="Unit Produksi"),MAX(0,MIN($Z123,IF($S123="Unit Produksi",TahunBuku*12+12,MIN(TahunBuku*12+12,$Y123+$T123*12-1)))-MAX(TahunBuku*12+1,$Y123)+1),0))</f>
        <v/>
      </c>
      <c r="AH123" s="21" t="str">
        <f>IF($B123="","",IFERROR(IF($W123="Garis Lurus",$G123*(1-MIN($V123*12,MAX(0,TahunBuku*12-$Y123+1))/($V123*12)),IF($W123="Saldo Menurun",IF(TahunBuku-1&lt;YEAR($F123),$G123,IF(TahunBuku-1&gt;=INT(($Y123+$V123*12-2)/12),0,$G123*(1-2/$V123*(13-MONTH($F123))/12)*(1-2/$V123)^(TahunBuku-1-YEAR($F123)))),$G123)),$G123))</f>
        <v/>
      </c>
      <c r="AI123" s="21" t="str">
        <f>IF($B123="","",IFERROR(IF($W123="Garis Lurus",$G123*(1-MIN($V123*12,MAX(0,TahunBuku*12+12-$Y123+1))/($V123*12)),IF($W123="Saldo Menurun",IF(TahunBuku&lt;YEAR($F123),$G123,IF(TahunBuku&gt;=INT(($Y123+$V123*12-2)/12),0,$G123*(1-2/$V123*(13-MONTH($F123))/12)*(1-2/$V123)^(TahunBuku-YEAR($F123)))),$G123)),$G123))</f>
        <v/>
      </c>
      <c r="AJ123" s="20" t="str">
        <f>IF($B123="","",IF(OR($W123="Garis Lurus",$W123="Saldo Menurun"),MAX(0,MIN(TahunBuku*12+12,$Y123+$V123*12-1)-MAX(TahunBuku*12+1,$Y123)+1),0))</f>
        <v/>
      </c>
      <c r="AK123" s="20" t="str">
        <f>IF($B123="","",IF(OR($W123="Garis Lurus",$W123="Saldo Menurun"),MAX(0,MIN($Z123,TahunBuku*12+12,$Y123+$V123*12-1)-MAX(TahunBuku*12+1,$Y123)+1),0))</f>
        <v/>
      </c>
      <c r="AL123" s="22" t="str">
        <f>IF($B123="","",$G123*$AA123)</f>
        <v/>
      </c>
      <c r="AM123" s="22" t="str">
        <f>IF($B123="","",$G123*$AB123)</f>
        <v/>
      </c>
      <c r="AN123" s="22" t="str">
        <f>IF($B123="","",$G123*$AC123)</f>
        <v/>
      </c>
      <c r="AO123" s="22" t="str">
        <f>IF($B123="","",AL123+AM123-AN123)</f>
        <v/>
      </c>
      <c r="AP123" s="22" t="str">
        <f>IF($B123="","",($G123-$AD123)*$AA123)</f>
        <v/>
      </c>
      <c r="AQ123" s="22" t="str">
        <f>IF($B123="","",IF($AF123=0,0,($AD123-$AE123)*$AG123/$AF123)*MAX($AA123,$AB123))</f>
        <v/>
      </c>
      <c r="AR123" s="22" t="str">
        <f>IF($B123="","",(AP123+AQ123)*$AC123)</f>
        <v/>
      </c>
      <c r="AS123" s="22" t="str">
        <f>IF($B123="","",AP123+AQ123-AR123)</f>
        <v/>
      </c>
      <c r="AT123" s="22" t="str">
        <f>IF($B123="","",AO123-AS123)</f>
        <v/>
      </c>
      <c r="AU123" s="22" t="str">
        <f>IF($B123="","",IF($AC123=1,N($R123)-($G123-AR123),0))</f>
        <v/>
      </c>
      <c r="AV123" s="22" t="str">
        <f>IF($B123="","",($G123-$AH123)*$AA123)</f>
        <v/>
      </c>
      <c r="AW123" s="22" t="str">
        <f>IF($B123="","",IF($AJ123=0,0,($AH123-$AI123)*$AK123/$AJ123)*MAX($AA123,$AB123))</f>
        <v/>
      </c>
      <c r="AX123" s="22" t="str">
        <f>IF($B123="","",(AV123+AW123)*$AC123)</f>
        <v/>
      </c>
      <c r="AY123" s="22" t="str">
        <f>IF($B123="","",AV123+AW123-AX123)</f>
        <v/>
      </c>
      <c r="AZ123" s="22" t="str">
        <f>IF($B123="","",AO123-AY123)</f>
        <v/>
      </c>
      <c r="BA123" s="22" t="str">
        <f>IF($B123="","",IF($AC123=1,N($R123)-($G123-AX123),0))</f>
        <v/>
      </c>
      <c r="BB123" s="22" t="str">
        <f>IF($B123="","",ROUND(AQ123-AW123,0))</f>
        <v/>
      </c>
      <c r="BC123" s="22" t="str">
        <f>IF($B123="","",ROUND(BA123-AU123,0))</f>
        <v/>
      </c>
      <c r="BD123" s="22" t="str">
        <f>IF($B123="","",BB123+BC123)</f>
        <v/>
      </c>
      <c r="BE123" s="22" t="str">
        <f>IF($B123="","",ROUND(AV123-AP123,0))</f>
        <v/>
      </c>
      <c r="BF123" s="22" t="str">
        <f>IF($B123="","",ROUND(AT123-AZ123,0))</f>
        <v/>
      </c>
      <c r="BG123" s="22" t="str">
        <f>IF($B123="","",ROUND(BF123*TarifPPh,0))</f>
        <v/>
      </c>
      <c r="BH123" t="str">
        <f>IF($B123="","",IF($D123="","Kategori kosong",IF($F123="","Tgl perolehan kosong",IF(N($H123)&gt;$G123,"Residu &gt; harga perolehan",IF(AND(LEFT($U123,8)="Bangunan",$W123="Saldo Menurun"),"Bangunan wajib Garis Lurus (Ps.11 UU PPh)",IF(AND($S123="Unit Produksi",N($K123)=0),"Isi kapasitas unit",IF(AND(OR($S123="Garis Lurus",$S123="Saldo Menurun"),N($T123)&lt;=0),"Umur komersial kosong",IF(AND(OR($W123="Garis Lurus",$W123="Saldo Menurun"),N($V123)&lt;=0),"Masa manfaat fiskal kosong",IF(AND($Q123&lt;&gt;"",$Q123&lt;$F123),"Tgl pelepasan &lt; perolehan","OK")))))))))</f>
        <v/>
      </c>
    </row>
    <row r="124" spans="1:60" x14ac:dyDescent="0.25">
      <c r="A124" t="str">
        <f>IF($B124="","",ROW()-6)</f>
        <v/>
      </c>
      <c r="B124" s="9"/>
      <c r="C124" s="9"/>
      <c r="D124" s="9"/>
      <c r="E124" s="9"/>
      <c r="F124" s="17"/>
      <c r="G124" s="18"/>
      <c r="H124" s="18"/>
      <c r="I124" s="9"/>
      <c r="J124" s="9"/>
      <c r="K124" s="19"/>
      <c r="L124" s="19"/>
      <c r="M124" s="19"/>
      <c r="N124" s="9"/>
      <c r="O124" s="9"/>
      <c r="P124" s="9"/>
      <c r="Q124" s="17"/>
      <c r="R124" s="18"/>
      <c r="S124" t="str">
        <f>IF($B124="","",IF($I124&lt;&gt;"",$I124,IFERROR(INDEX(Kat_Metode,MATCH($D124,Kat_Nama,0)),"")))</f>
        <v/>
      </c>
      <c r="T124" t="str">
        <f>IF($B124="","",IF($J124&lt;&gt;"",$J124,IFERROR(INDEX(Kat_Umur,MATCH($D124,Kat_Nama,0)),0)))</f>
        <v/>
      </c>
      <c r="U124" t="str">
        <f>IF($B124="","",IF($N124&lt;&gt;"",$N124,IFERROR(INDEX(Kat_Kelompok,MATCH($D124,Kat_Nama,0)),"")))</f>
        <v/>
      </c>
      <c r="V124" t="str">
        <f>IF($B124="","",IF($U124="Masa Manfaat Sebenarnya",N($O124),IFERROR(INDEX(Kel_Masa,MATCH($U124,Kel_Nama,0)),0)))</f>
        <v/>
      </c>
      <c r="W124" t="str">
        <f>IF($B124="","",IF($P124&lt;&gt;"",$P124,IF(OR($U124="Tidak Disusutkan",$V124=0),"Tidak Disusutkan","Garis Lurus")))</f>
        <v/>
      </c>
      <c r="X124" t="str">
        <f>IF($B124="","",IF($Y124&gt;TahunBuku*12+12,"Belum Diperoleh",IF($Z124&lt;=TahunBuku*12,"Dilepas (thn lalu)",IF($AC124=1,"Dilepas thn ini",IF($AB124=1,"Perolehan baru","Aktif")))))</f>
        <v/>
      </c>
      <c r="Y124" s="20" t="str">
        <f>IF($B124="","",YEAR($F124)*12+MONTH($F124))</f>
        <v/>
      </c>
      <c r="Z124" s="20" t="str">
        <f>IF($B124="","",IF($Q124="",99999,YEAR($Q124)*12+MONTH($Q124)))</f>
        <v/>
      </c>
      <c r="AA124" s="20" t="str">
        <f>IF($B124="","",--AND($Y124&lt;=TahunBuku*12,$Z124&gt;TahunBuku*12))</f>
        <v/>
      </c>
      <c r="AB124" s="20" t="str">
        <f>IF($B124="","",--AND($Y124&gt;TahunBuku*12,$Y124&lt;=TahunBuku*12+12))</f>
        <v/>
      </c>
      <c r="AC124" s="20" t="str">
        <f>IF($B124="","",--AND($Z124&gt;TahunBuku*12,$Z124&lt;=TahunBuku*12+12,$Y124&lt;=$Z124))</f>
        <v/>
      </c>
      <c r="AD124" s="21" t="str">
        <f>IF($B124="","",IFERROR(IF($S124="Garis Lurus",$G124-($G124-$H124)*MIN($T124*12,MAX(0,TahunBuku*12-$Y124+1))/($T124*12),IF($S124="Saldo Menurun",IF(TahunBuku-1&lt;YEAR($F124),$G124,IF(TahunBuku-1&gt;=INT(($Y124+$T124*12-2)/12),$H124,MAX($H124,$G124*(1-2/$T124*(13-MONTH($F124))/12)*(1-2/$T124)^(TahunBuku-1-YEAR($F124))))),IF($S124="Unit Produksi",$G124-($G124-$H124)*MIN(1,N($L124)/$K124),$G124))),$G124))</f>
        <v/>
      </c>
      <c r="AE124" s="21" t="str">
        <f>IF($B124="","",IFERROR(IF($S124="Garis Lurus",$G124-($G124-$H124)*MIN($T124*12,MAX(0,TahunBuku*12+12-$Y124+1))/($T124*12),IF($S124="Saldo Menurun",IF(TahunBuku&lt;YEAR($F124),$G124,IF(TahunBuku&gt;=INT(($Y124+$T124*12-2)/12),$H124,MAX($H124,$G124*(1-2/$T124*(13-MONTH($F124))/12)*(1-2/$T124)^(TahunBuku-YEAR($F124))))),IF($S124="Unit Produksi",$G124-($G124-$H124)*MIN(1,(N($L124)+N($M124))/$K124),$G124))),$G124))</f>
        <v/>
      </c>
      <c r="AF124" s="20" t="str">
        <f>IF($B124="","",IF(OR($S124="Garis Lurus",$S124="Saldo Menurun",$S124="Unit Produksi"),MAX(0,IF($S124="Unit Produksi",TahunBuku*12+12,MIN(TahunBuku*12+12,$Y124+$T124*12-1))-MAX(TahunBuku*12+1,$Y124)+1),0))</f>
        <v/>
      </c>
      <c r="AG124" s="20" t="str">
        <f>IF($B124="","",IF(OR($S124="Garis Lurus",$S124="Saldo Menurun",$S124="Unit Produksi"),MAX(0,MIN($Z124,IF($S124="Unit Produksi",TahunBuku*12+12,MIN(TahunBuku*12+12,$Y124+$T124*12-1)))-MAX(TahunBuku*12+1,$Y124)+1),0))</f>
        <v/>
      </c>
      <c r="AH124" s="21" t="str">
        <f>IF($B124="","",IFERROR(IF($W124="Garis Lurus",$G124*(1-MIN($V124*12,MAX(0,TahunBuku*12-$Y124+1))/($V124*12)),IF($W124="Saldo Menurun",IF(TahunBuku-1&lt;YEAR($F124),$G124,IF(TahunBuku-1&gt;=INT(($Y124+$V124*12-2)/12),0,$G124*(1-2/$V124*(13-MONTH($F124))/12)*(1-2/$V124)^(TahunBuku-1-YEAR($F124)))),$G124)),$G124))</f>
        <v/>
      </c>
      <c r="AI124" s="21" t="str">
        <f>IF($B124="","",IFERROR(IF($W124="Garis Lurus",$G124*(1-MIN($V124*12,MAX(0,TahunBuku*12+12-$Y124+1))/($V124*12)),IF($W124="Saldo Menurun",IF(TahunBuku&lt;YEAR($F124),$G124,IF(TahunBuku&gt;=INT(($Y124+$V124*12-2)/12),0,$G124*(1-2/$V124*(13-MONTH($F124))/12)*(1-2/$V124)^(TahunBuku-YEAR($F124)))),$G124)),$G124))</f>
        <v/>
      </c>
      <c r="AJ124" s="20" t="str">
        <f>IF($B124="","",IF(OR($W124="Garis Lurus",$W124="Saldo Menurun"),MAX(0,MIN(TahunBuku*12+12,$Y124+$V124*12-1)-MAX(TahunBuku*12+1,$Y124)+1),0))</f>
        <v/>
      </c>
      <c r="AK124" s="20" t="str">
        <f>IF($B124="","",IF(OR($W124="Garis Lurus",$W124="Saldo Menurun"),MAX(0,MIN($Z124,TahunBuku*12+12,$Y124+$V124*12-1)-MAX(TahunBuku*12+1,$Y124)+1),0))</f>
        <v/>
      </c>
      <c r="AL124" s="22" t="str">
        <f>IF($B124="","",$G124*$AA124)</f>
        <v/>
      </c>
      <c r="AM124" s="22" t="str">
        <f>IF($B124="","",$G124*$AB124)</f>
        <v/>
      </c>
      <c r="AN124" s="22" t="str">
        <f>IF($B124="","",$G124*$AC124)</f>
        <v/>
      </c>
      <c r="AO124" s="22" t="str">
        <f>IF($B124="","",AL124+AM124-AN124)</f>
        <v/>
      </c>
      <c r="AP124" s="22" t="str">
        <f>IF($B124="","",($G124-$AD124)*$AA124)</f>
        <v/>
      </c>
      <c r="AQ124" s="22" t="str">
        <f>IF($B124="","",IF($AF124=0,0,($AD124-$AE124)*$AG124/$AF124)*MAX($AA124,$AB124))</f>
        <v/>
      </c>
      <c r="AR124" s="22" t="str">
        <f>IF($B124="","",(AP124+AQ124)*$AC124)</f>
        <v/>
      </c>
      <c r="AS124" s="22" t="str">
        <f>IF($B124="","",AP124+AQ124-AR124)</f>
        <v/>
      </c>
      <c r="AT124" s="22" t="str">
        <f>IF($B124="","",AO124-AS124)</f>
        <v/>
      </c>
      <c r="AU124" s="22" t="str">
        <f>IF($B124="","",IF($AC124=1,N($R124)-($G124-AR124),0))</f>
        <v/>
      </c>
      <c r="AV124" s="22" t="str">
        <f>IF($B124="","",($G124-$AH124)*$AA124)</f>
        <v/>
      </c>
      <c r="AW124" s="22" t="str">
        <f>IF($B124="","",IF($AJ124=0,0,($AH124-$AI124)*$AK124/$AJ124)*MAX($AA124,$AB124))</f>
        <v/>
      </c>
      <c r="AX124" s="22" t="str">
        <f>IF($B124="","",(AV124+AW124)*$AC124)</f>
        <v/>
      </c>
      <c r="AY124" s="22" t="str">
        <f>IF($B124="","",AV124+AW124-AX124)</f>
        <v/>
      </c>
      <c r="AZ124" s="22" t="str">
        <f>IF($B124="","",AO124-AY124)</f>
        <v/>
      </c>
      <c r="BA124" s="22" t="str">
        <f>IF($B124="","",IF($AC124=1,N($R124)-($G124-AX124),0))</f>
        <v/>
      </c>
      <c r="BB124" s="22" t="str">
        <f>IF($B124="","",ROUND(AQ124-AW124,0))</f>
        <v/>
      </c>
      <c r="BC124" s="22" t="str">
        <f>IF($B124="","",ROUND(BA124-AU124,0))</f>
        <v/>
      </c>
      <c r="BD124" s="22" t="str">
        <f>IF($B124="","",BB124+BC124)</f>
        <v/>
      </c>
      <c r="BE124" s="22" t="str">
        <f>IF($B124="","",ROUND(AV124-AP124,0))</f>
        <v/>
      </c>
      <c r="BF124" s="22" t="str">
        <f>IF($B124="","",ROUND(AT124-AZ124,0))</f>
        <v/>
      </c>
      <c r="BG124" s="22" t="str">
        <f>IF($B124="","",ROUND(BF124*TarifPPh,0))</f>
        <v/>
      </c>
      <c r="BH124" t="str">
        <f>IF($B124="","",IF($D124="","Kategori kosong",IF($F124="","Tgl perolehan kosong",IF(N($H124)&gt;$G124,"Residu &gt; harga perolehan",IF(AND(LEFT($U124,8)="Bangunan",$W124="Saldo Menurun"),"Bangunan wajib Garis Lurus (Ps.11 UU PPh)",IF(AND($S124="Unit Produksi",N($K124)=0),"Isi kapasitas unit",IF(AND(OR($S124="Garis Lurus",$S124="Saldo Menurun"),N($T124)&lt;=0),"Umur komersial kosong",IF(AND(OR($W124="Garis Lurus",$W124="Saldo Menurun"),N($V124)&lt;=0),"Masa manfaat fiskal kosong",IF(AND($Q124&lt;&gt;"",$Q124&lt;$F124),"Tgl pelepasan &lt; perolehan","OK")))))))))</f>
        <v/>
      </c>
    </row>
    <row r="125" spans="1:60" x14ac:dyDescent="0.25">
      <c r="A125" t="str">
        <f>IF($B125="","",ROW()-6)</f>
        <v/>
      </c>
      <c r="B125" s="9"/>
      <c r="C125" s="9"/>
      <c r="D125" s="9"/>
      <c r="E125" s="9"/>
      <c r="F125" s="17"/>
      <c r="G125" s="18"/>
      <c r="H125" s="18"/>
      <c r="I125" s="9"/>
      <c r="J125" s="9"/>
      <c r="K125" s="19"/>
      <c r="L125" s="19"/>
      <c r="M125" s="19"/>
      <c r="N125" s="9"/>
      <c r="O125" s="9"/>
      <c r="P125" s="9"/>
      <c r="Q125" s="17"/>
      <c r="R125" s="18"/>
      <c r="S125" t="str">
        <f>IF($B125="","",IF($I125&lt;&gt;"",$I125,IFERROR(INDEX(Kat_Metode,MATCH($D125,Kat_Nama,0)),"")))</f>
        <v/>
      </c>
      <c r="T125" t="str">
        <f>IF($B125="","",IF($J125&lt;&gt;"",$J125,IFERROR(INDEX(Kat_Umur,MATCH($D125,Kat_Nama,0)),0)))</f>
        <v/>
      </c>
      <c r="U125" t="str">
        <f>IF($B125="","",IF($N125&lt;&gt;"",$N125,IFERROR(INDEX(Kat_Kelompok,MATCH($D125,Kat_Nama,0)),"")))</f>
        <v/>
      </c>
      <c r="V125" t="str">
        <f>IF($B125="","",IF($U125="Masa Manfaat Sebenarnya",N($O125),IFERROR(INDEX(Kel_Masa,MATCH($U125,Kel_Nama,0)),0)))</f>
        <v/>
      </c>
      <c r="W125" t="str">
        <f>IF($B125="","",IF($P125&lt;&gt;"",$P125,IF(OR($U125="Tidak Disusutkan",$V125=0),"Tidak Disusutkan","Garis Lurus")))</f>
        <v/>
      </c>
      <c r="X125" t="str">
        <f>IF($B125="","",IF($Y125&gt;TahunBuku*12+12,"Belum Diperoleh",IF($Z125&lt;=TahunBuku*12,"Dilepas (thn lalu)",IF($AC125=1,"Dilepas thn ini",IF($AB125=1,"Perolehan baru","Aktif")))))</f>
        <v/>
      </c>
      <c r="Y125" s="20" t="str">
        <f>IF($B125="","",YEAR($F125)*12+MONTH($F125))</f>
        <v/>
      </c>
      <c r="Z125" s="20" t="str">
        <f>IF($B125="","",IF($Q125="",99999,YEAR($Q125)*12+MONTH($Q125)))</f>
        <v/>
      </c>
      <c r="AA125" s="20" t="str">
        <f>IF($B125="","",--AND($Y125&lt;=TahunBuku*12,$Z125&gt;TahunBuku*12))</f>
        <v/>
      </c>
      <c r="AB125" s="20" t="str">
        <f>IF($B125="","",--AND($Y125&gt;TahunBuku*12,$Y125&lt;=TahunBuku*12+12))</f>
        <v/>
      </c>
      <c r="AC125" s="20" t="str">
        <f>IF($B125="","",--AND($Z125&gt;TahunBuku*12,$Z125&lt;=TahunBuku*12+12,$Y125&lt;=$Z125))</f>
        <v/>
      </c>
      <c r="AD125" s="21" t="str">
        <f>IF($B125="","",IFERROR(IF($S125="Garis Lurus",$G125-($G125-$H125)*MIN($T125*12,MAX(0,TahunBuku*12-$Y125+1))/($T125*12),IF($S125="Saldo Menurun",IF(TahunBuku-1&lt;YEAR($F125),$G125,IF(TahunBuku-1&gt;=INT(($Y125+$T125*12-2)/12),$H125,MAX($H125,$G125*(1-2/$T125*(13-MONTH($F125))/12)*(1-2/$T125)^(TahunBuku-1-YEAR($F125))))),IF($S125="Unit Produksi",$G125-($G125-$H125)*MIN(1,N($L125)/$K125),$G125))),$G125))</f>
        <v/>
      </c>
      <c r="AE125" s="21" t="str">
        <f>IF($B125="","",IFERROR(IF($S125="Garis Lurus",$G125-($G125-$H125)*MIN($T125*12,MAX(0,TahunBuku*12+12-$Y125+1))/($T125*12),IF($S125="Saldo Menurun",IF(TahunBuku&lt;YEAR($F125),$G125,IF(TahunBuku&gt;=INT(($Y125+$T125*12-2)/12),$H125,MAX($H125,$G125*(1-2/$T125*(13-MONTH($F125))/12)*(1-2/$T125)^(TahunBuku-YEAR($F125))))),IF($S125="Unit Produksi",$G125-($G125-$H125)*MIN(1,(N($L125)+N($M125))/$K125),$G125))),$G125))</f>
        <v/>
      </c>
      <c r="AF125" s="20" t="str">
        <f>IF($B125="","",IF(OR($S125="Garis Lurus",$S125="Saldo Menurun",$S125="Unit Produksi"),MAX(0,IF($S125="Unit Produksi",TahunBuku*12+12,MIN(TahunBuku*12+12,$Y125+$T125*12-1))-MAX(TahunBuku*12+1,$Y125)+1),0))</f>
        <v/>
      </c>
      <c r="AG125" s="20" t="str">
        <f>IF($B125="","",IF(OR($S125="Garis Lurus",$S125="Saldo Menurun",$S125="Unit Produksi"),MAX(0,MIN($Z125,IF($S125="Unit Produksi",TahunBuku*12+12,MIN(TahunBuku*12+12,$Y125+$T125*12-1)))-MAX(TahunBuku*12+1,$Y125)+1),0))</f>
        <v/>
      </c>
      <c r="AH125" s="21" t="str">
        <f>IF($B125="","",IFERROR(IF($W125="Garis Lurus",$G125*(1-MIN($V125*12,MAX(0,TahunBuku*12-$Y125+1))/($V125*12)),IF($W125="Saldo Menurun",IF(TahunBuku-1&lt;YEAR($F125),$G125,IF(TahunBuku-1&gt;=INT(($Y125+$V125*12-2)/12),0,$G125*(1-2/$V125*(13-MONTH($F125))/12)*(1-2/$V125)^(TahunBuku-1-YEAR($F125)))),$G125)),$G125))</f>
        <v/>
      </c>
      <c r="AI125" s="21" t="str">
        <f>IF($B125="","",IFERROR(IF($W125="Garis Lurus",$G125*(1-MIN($V125*12,MAX(0,TahunBuku*12+12-$Y125+1))/($V125*12)),IF($W125="Saldo Menurun",IF(TahunBuku&lt;YEAR($F125),$G125,IF(TahunBuku&gt;=INT(($Y125+$V125*12-2)/12),0,$G125*(1-2/$V125*(13-MONTH($F125))/12)*(1-2/$V125)^(TahunBuku-YEAR($F125)))),$G125)),$G125))</f>
        <v/>
      </c>
      <c r="AJ125" s="20" t="str">
        <f>IF($B125="","",IF(OR($W125="Garis Lurus",$W125="Saldo Menurun"),MAX(0,MIN(TahunBuku*12+12,$Y125+$V125*12-1)-MAX(TahunBuku*12+1,$Y125)+1),0))</f>
        <v/>
      </c>
      <c r="AK125" s="20" t="str">
        <f>IF($B125="","",IF(OR($W125="Garis Lurus",$W125="Saldo Menurun"),MAX(0,MIN($Z125,TahunBuku*12+12,$Y125+$V125*12-1)-MAX(TahunBuku*12+1,$Y125)+1),0))</f>
        <v/>
      </c>
      <c r="AL125" s="22" t="str">
        <f>IF($B125="","",$G125*$AA125)</f>
        <v/>
      </c>
      <c r="AM125" s="22" t="str">
        <f>IF($B125="","",$G125*$AB125)</f>
        <v/>
      </c>
      <c r="AN125" s="22" t="str">
        <f>IF($B125="","",$G125*$AC125)</f>
        <v/>
      </c>
      <c r="AO125" s="22" t="str">
        <f>IF($B125="","",AL125+AM125-AN125)</f>
        <v/>
      </c>
      <c r="AP125" s="22" t="str">
        <f>IF($B125="","",($G125-$AD125)*$AA125)</f>
        <v/>
      </c>
      <c r="AQ125" s="22" t="str">
        <f>IF($B125="","",IF($AF125=0,0,($AD125-$AE125)*$AG125/$AF125)*MAX($AA125,$AB125))</f>
        <v/>
      </c>
      <c r="AR125" s="22" t="str">
        <f>IF($B125="","",(AP125+AQ125)*$AC125)</f>
        <v/>
      </c>
      <c r="AS125" s="22" t="str">
        <f>IF($B125="","",AP125+AQ125-AR125)</f>
        <v/>
      </c>
      <c r="AT125" s="22" t="str">
        <f>IF($B125="","",AO125-AS125)</f>
        <v/>
      </c>
      <c r="AU125" s="22" t="str">
        <f>IF($B125="","",IF($AC125=1,N($R125)-($G125-AR125),0))</f>
        <v/>
      </c>
      <c r="AV125" s="22" t="str">
        <f>IF($B125="","",($G125-$AH125)*$AA125)</f>
        <v/>
      </c>
      <c r="AW125" s="22" t="str">
        <f>IF($B125="","",IF($AJ125=0,0,($AH125-$AI125)*$AK125/$AJ125)*MAX($AA125,$AB125))</f>
        <v/>
      </c>
      <c r="AX125" s="22" t="str">
        <f>IF($B125="","",(AV125+AW125)*$AC125)</f>
        <v/>
      </c>
      <c r="AY125" s="22" t="str">
        <f>IF($B125="","",AV125+AW125-AX125)</f>
        <v/>
      </c>
      <c r="AZ125" s="22" t="str">
        <f>IF($B125="","",AO125-AY125)</f>
        <v/>
      </c>
      <c r="BA125" s="22" t="str">
        <f>IF($B125="","",IF($AC125=1,N($R125)-($G125-AX125),0))</f>
        <v/>
      </c>
      <c r="BB125" s="22" t="str">
        <f>IF($B125="","",ROUND(AQ125-AW125,0))</f>
        <v/>
      </c>
      <c r="BC125" s="22" t="str">
        <f>IF($B125="","",ROUND(BA125-AU125,0))</f>
        <v/>
      </c>
      <c r="BD125" s="22" t="str">
        <f>IF($B125="","",BB125+BC125)</f>
        <v/>
      </c>
      <c r="BE125" s="22" t="str">
        <f>IF($B125="","",ROUND(AV125-AP125,0))</f>
        <v/>
      </c>
      <c r="BF125" s="22" t="str">
        <f>IF($B125="","",ROUND(AT125-AZ125,0))</f>
        <v/>
      </c>
      <c r="BG125" s="22" t="str">
        <f>IF($B125="","",ROUND(BF125*TarifPPh,0))</f>
        <v/>
      </c>
      <c r="BH125" t="str">
        <f>IF($B125="","",IF($D125="","Kategori kosong",IF($F125="","Tgl perolehan kosong",IF(N($H125)&gt;$G125,"Residu &gt; harga perolehan",IF(AND(LEFT($U125,8)="Bangunan",$W125="Saldo Menurun"),"Bangunan wajib Garis Lurus (Ps.11 UU PPh)",IF(AND($S125="Unit Produksi",N($K125)=0),"Isi kapasitas unit",IF(AND(OR($S125="Garis Lurus",$S125="Saldo Menurun"),N($T125)&lt;=0),"Umur komersial kosong",IF(AND(OR($W125="Garis Lurus",$W125="Saldo Menurun"),N($V125)&lt;=0),"Masa manfaat fiskal kosong",IF(AND($Q125&lt;&gt;"",$Q125&lt;$F125),"Tgl pelepasan &lt; perolehan","OK")))))))))</f>
        <v/>
      </c>
    </row>
    <row r="126" spans="1:60" x14ac:dyDescent="0.25">
      <c r="A126" t="str">
        <f>IF($B126="","",ROW()-6)</f>
        <v/>
      </c>
      <c r="B126" s="9"/>
      <c r="C126" s="9"/>
      <c r="D126" s="9"/>
      <c r="E126" s="9"/>
      <c r="F126" s="17"/>
      <c r="G126" s="18"/>
      <c r="H126" s="18"/>
      <c r="I126" s="9"/>
      <c r="J126" s="9"/>
      <c r="K126" s="19"/>
      <c r="L126" s="19"/>
      <c r="M126" s="19"/>
      <c r="N126" s="9"/>
      <c r="O126" s="9"/>
      <c r="P126" s="9"/>
      <c r="Q126" s="17"/>
      <c r="R126" s="18"/>
      <c r="S126" t="str">
        <f>IF($B126="","",IF($I126&lt;&gt;"",$I126,IFERROR(INDEX(Kat_Metode,MATCH($D126,Kat_Nama,0)),"")))</f>
        <v/>
      </c>
      <c r="T126" t="str">
        <f>IF($B126="","",IF($J126&lt;&gt;"",$J126,IFERROR(INDEX(Kat_Umur,MATCH($D126,Kat_Nama,0)),0)))</f>
        <v/>
      </c>
      <c r="U126" t="str">
        <f>IF($B126="","",IF($N126&lt;&gt;"",$N126,IFERROR(INDEX(Kat_Kelompok,MATCH($D126,Kat_Nama,0)),"")))</f>
        <v/>
      </c>
      <c r="V126" t="str">
        <f>IF($B126="","",IF($U126="Masa Manfaat Sebenarnya",N($O126),IFERROR(INDEX(Kel_Masa,MATCH($U126,Kel_Nama,0)),0)))</f>
        <v/>
      </c>
      <c r="W126" t="str">
        <f>IF($B126="","",IF($P126&lt;&gt;"",$P126,IF(OR($U126="Tidak Disusutkan",$V126=0),"Tidak Disusutkan","Garis Lurus")))</f>
        <v/>
      </c>
      <c r="X126" t="str">
        <f>IF($B126="","",IF($Y126&gt;TahunBuku*12+12,"Belum Diperoleh",IF($Z126&lt;=TahunBuku*12,"Dilepas (thn lalu)",IF($AC126=1,"Dilepas thn ini",IF($AB126=1,"Perolehan baru","Aktif")))))</f>
        <v/>
      </c>
      <c r="Y126" s="20" t="str">
        <f>IF($B126="","",YEAR($F126)*12+MONTH($F126))</f>
        <v/>
      </c>
      <c r="Z126" s="20" t="str">
        <f>IF($B126="","",IF($Q126="",99999,YEAR($Q126)*12+MONTH($Q126)))</f>
        <v/>
      </c>
      <c r="AA126" s="20" t="str">
        <f>IF($B126="","",--AND($Y126&lt;=TahunBuku*12,$Z126&gt;TahunBuku*12))</f>
        <v/>
      </c>
      <c r="AB126" s="20" t="str">
        <f>IF($B126="","",--AND($Y126&gt;TahunBuku*12,$Y126&lt;=TahunBuku*12+12))</f>
        <v/>
      </c>
      <c r="AC126" s="20" t="str">
        <f>IF($B126="","",--AND($Z126&gt;TahunBuku*12,$Z126&lt;=TahunBuku*12+12,$Y126&lt;=$Z126))</f>
        <v/>
      </c>
      <c r="AD126" s="21" t="str">
        <f>IF($B126="","",IFERROR(IF($S126="Garis Lurus",$G126-($G126-$H126)*MIN($T126*12,MAX(0,TahunBuku*12-$Y126+1))/($T126*12),IF($S126="Saldo Menurun",IF(TahunBuku-1&lt;YEAR($F126),$G126,IF(TahunBuku-1&gt;=INT(($Y126+$T126*12-2)/12),$H126,MAX($H126,$G126*(1-2/$T126*(13-MONTH($F126))/12)*(1-2/$T126)^(TahunBuku-1-YEAR($F126))))),IF($S126="Unit Produksi",$G126-($G126-$H126)*MIN(1,N($L126)/$K126),$G126))),$G126))</f>
        <v/>
      </c>
      <c r="AE126" s="21" t="str">
        <f>IF($B126="","",IFERROR(IF($S126="Garis Lurus",$G126-($G126-$H126)*MIN($T126*12,MAX(0,TahunBuku*12+12-$Y126+1))/($T126*12),IF($S126="Saldo Menurun",IF(TahunBuku&lt;YEAR($F126),$G126,IF(TahunBuku&gt;=INT(($Y126+$T126*12-2)/12),$H126,MAX($H126,$G126*(1-2/$T126*(13-MONTH($F126))/12)*(1-2/$T126)^(TahunBuku-YEAR($F126))))),IF($S126="Unit Produksi",$G126-($G126-$H126)*MIN(1,(N($L126)+N($M126))/$K126),$G126))),$G126))</f>
        <v/>
      </c>
      <c r="AF126" s="20" t="str">
        <f>IF($B126="","",IF(OR($S126="Garis Lurus",$S126="Saldo Menurun",$S126="Unit Produksi"),MAX(0,IF($S126="Unit Produksi",TahunBuku*12+12,MIN(TahunBuku*12+12,$Y126+$T126*12-1))-MAX(TahunBuku*12+1,$Y126)+1),0))</f>
        <v/>
      </c>
      <c r="AG126" s="20" t="str">
        <f>IF($B126="","",IF(OR($S126="Garis Lurus",$S126="Saldo Menurun",$S126="Unit Produksi"),MAX(0,MIN($Z126,IF($S126="Unit Produksi",TahunBuku*12+12,MIN(TahunBuku*12+12,$Y126+$T126*12-1)))-MAX(TahunBuku*12+1,$Y126)+1),0))</f>
        <v/>
      </c>
      <c r="AH126" s="21" t="str">
        <f>IF($B126="","",IFERROR(IF($W126="Garis Lurus",$G126*(1-MIN($V126*12,MAX(0,TahunBuku*12-$Y126+1))/($V126*12)),IF($W126="Saldo Menurun",IF(TahunBuku-1&lt;YEAR($F126),$G126,IF(TahunBuku-1&gt;=INT(($Y126+$V126*12-2)/12),0,$G126*(1-2/$V126*(13-MONTH($F126))/12)*(1-2/$V126)^(TahunBuku-1-YEAR($F126)))),$G126)),$G126))</f>
        <v/>
      </c>
      <c r="AI126" s="21" t="str">
        <f>IF($B126="","",IFERROR(IF($W126="Garis Lurus",$G126*(1-MIN($V126*12,MAX(0,TahunBuku*12+12-$Y126+1))/($V126*12)),IF($W126="Saldo Menurun",IF(TahunBuku&lt;YEAR($F126),$G126,IF(TahunBuku&gt;=INT(($Y126+$V126*12-2)/12),0,$G126*(1-2/$V126*(13-MONTH($F126))/12)*(1-2/$V126)^(TahunBuku-YEAR($F126)))),$G126)),$G126))</f>
        <v/>
      </c>
      <c r="AJ126" s="20" t="str">
        <f>IF($B126="","",IF(OR($W126="Garis Lurus",$W126="Saldo Menurun"),MAX(0,MIN(TahunBuku*12+12,$Y126+$V126*12-1)-MAX(TahunBuku*12+1,$Y126)+1),0))</f>
        <v/>
      </c>
      <c r="AK126" s="20" t="str">
        <f>IF($B126="","",IF(OR($W126="Garis Lurus",$W126="Saldo Menurun"),MAX(0,MIN($Z126,TahunBuku*12+12,$Y126+$V126*12-1)-MAX(TahunBuku*12+1,$Y126)+1),0))</f>
        <v/>
      </c>
      <c r="AL126" s="22" t="str">
        <f>IF($B126="","",$G126*$AA126)</f>
        <v/>
      </c>
      <c r="AM126" s="22" t="str">
        <f>IF($B126="","",$G126*$AB126)</f>
        <v/>
      </c>
      <c r="AN126" s="22" t="str">
        <f>IF($B126="","",$G126*$AC126)</f>
        <v/>
      </c>
      <c r="AO126" s="22" t="str">
        <f>IF($B126="","",AL126+AM126-AN126)</f>
        <v/>
      </c>
      <c r="AP126" s="22" t="str">
        <f>IF($B126="","",($G126-$AD126)*$AA126)</f>
        <v/>
      </c>
      <c r="AQ126" s="22" t="str">
        <f>IF($B126="","",IF($AF126=0,0,($AD126-$AE126)*$AG126/$AF126)*MAX($AA126,$AB126))</f>
        <v/>
      </c>
      <c r="AR126" s="22" t="str">
        <f>IF($B126="","",(AP126+AQ126)*$AC126)</f>
        <v/>
      </c>
      <c r="AS126" s="22" t="str">
        <f>IF($B126="","",AP126+AQ126-AR126)</f>
        <v/>
      </c>
      <c r="AT126" s="22" t="str">
        <f>IF($B126="","",AO126-AS126)</f>
        <v/>
      </c>
      <c r="AU126" s="22" t="str">
        <f>IF($B126="","",IF($AC126=1,N($R126)-($G126-AR126),0))</f>
        <v/>
      </c>
      <c r="AV126" s="22" t="str">
        <f>IF($B126="","",($G126-$AH126)*$AA126)</f>
        <v/>
      </c>
      <c r="AW126" s="22" t="str">
        <f>IF($B126="","",IF($AJ126=0,0,($AH126-$AI126)*$AK126/$AJ126)*MAX($AA126,$AB126))</f>
        <v/>
      </c>
      <c r="AX126" s="22" t="str">
        <f>IF($B126="","",(AV126+AW126)*$AC126)</f>
        <v/>
      </c>
      <c r="AY126" s="22" t="str">
        <f>IF($B126="","",AV126+AW126-AX126)</f>
        <v/>
      </c>
      <c r="AZ126" s="22" t="str">
        <f>IF($B126="","",AO126-AY126)</f>
        <v/>
      </c>
      <c r="BA126" s="22" t="str">
        <f>IF($B126="","",IF($AC126=1,N($R126)-($G126-AX126),0))</f>
        <v/>
      </c>
      <c r="BB126" s="22" t="str">
        <f>IF($B126="","",ROUND(AQ126-AW126,0))</f>
        <v/>
      </c>
      <c r="BC126" s="22" t="str">
        <f>IF($B126="","",ROUND(BA126-AU126,0))</f>
        <v/>
      </c>
      <c r="BD126" s="22" t="str">
        <f>IF($B126="","",BB126+BC126)</f>
        <v/>
      </c>
      <c r="BE126" s="22" t="str">
        <f>IF($B126="","",ROUND(AV126-AP126,0))</f>
        <v/>
      </c>
      <c r="BF126" s="22" t="str">
        <f>IF($B126="","",ROUND(AT126-AZ126,0))</f>
        <v/>
      </c>
      <c r="BG126" s="22" t="str">
        <f>IF($B126="","",ROUND(BF126*TarifPPh,0))</f>
        <v/>
      </c>
      <c r="BH126" t="str">
        <f>IF($B126="","",IF($D126="","Kategori kosong",IF($F126="","Tgl perolehan kosong",IF(N($H126)&gt;$G126,"Residu &gt; harga perolehan",IF(AND(LEFT($U126,8)="Bangunan",$W126="Saldo Menurun"),"Bangunan wajib Garis Lurus (Ps.11 UU PPh)",IF(AND($S126="Unit Produksi",N($K126)=0),"Isi kapasitas unit",IF(AND(OR($S126="Garis Lurus",$S126="Saldo Menurun"),N($T126)&lt;=0),"Umur komersial kosong",IF(AND(OR($W126="Garis Lurus",$W126="Saldo Menurun"),N($V126)&lt;=0),"Masa manfaat fiskal kosong",IF(AND($Q126&lt;&gt;"",$Q126&lt;$F126),"Tgl pelepasan &lt; perolehan","OK")))))))))</f>
        <v/>
      </c>
    </row>
    <row r="127" spans="1:60" x14ac:dyDescent="0.25">
      <c r="A127" t="str">
        <f>IF($B127="","",ROW()-6)</f>
        <v/>
      </c>
      <c r="B127" s="9"/>
      <c r="C127" s="9"/>
      <c r="D127" s="9"/>
      <c r="E127" s="9"/>
      <c r="F127" s="17"/>
      <c r="G127" s="18"/>
      <c r="H127" s="18"/>
      <c r="I127" s="9"/>
      <c r="J127" s="9"/>
      <c r="K127" s="19"/>
      <c r="L127" s="19"/>
      <c r="M127" s="19"/>
      <c r="N127" s="9"/>
      <c r="O127" s="9"/>
      <c r="P127" s="9"/>
      <c r="Q127" s="17"/>
      <c r="R127" s="18"/>
      <c r="S127" t="str">
        <f>IF($B127="","",IF($I127&lt;&gt;"",$I127,IFERROR(INDEX(Kat_Metode,MATCH($D127,Kat_Nama,0)),"")))</f>
        <v/>
      </c>
      <c r="T127" t="str">
        <f>IF($B127="","",IF($J127&lt;&gt;"",$J127,IFERROR(INDEX(Kat_Umur,MATCH($D127,Kat_Nama,0)),0)))</f>
        <v/>
      </c>
      <c r="U127" t="str">
        <f>IF($B127="","",IF($N127&lt;&gt;"",$N127,IFERROR(INDEX(Kat_Kelompok,MATCH($D127,Kat_Nama,0)),"")))</f>
        <v/>
      </c>
      <c r="V127" t="str">
        <f>IF($B127="","",IF($U127="Masa Manfaat Sebenarnya",N($O127),IFERROR(INDEX(Kel_Masa,MATCH($U127,Kel_Nama,0)),0)))</f>
        <v/>
      </c>
      <c r="W127" t="str">
        <f>IF($B127="","",IF($P127&lt;&gt;"",$P127,IF(OR($U127="Tidak Disusutkan",$V127=0),"Tidak Disusutkan","Garis Lurus")))</f>
        <v/>
      </c>
      <c r="X127" t="str">
        <f>IF($B127="","",IF($Y127&gt;TahunBuku*12+12,"Belum Diperoleh",IF($Z127&lt;=TahunBuku*12,"Dilepas (thn lalu)",IF($AC127=1,"Dilepas thn ini",IF($AB127=1,"Perolehan baru","Aktif")))))</f>
        <v/>
      </c>
      <c r="Y127" s="20" t="str">
        <f>IF($B127="","",YEAR($F127)*12+MONTH($F127))</f>
        <v/>
      </c>
      <c r="Z127" s="20" t="str">
        <f>IF($B127="","",IF($Q127="",99999,YEAR($Q127)*12+MONTH($Q127)))</f>
        <v/>
      </c>
      <c r="AA127" s="20" t="str">
        <f>IF($B127="","",--AND($Y127&lt;=TahunBuku*12,$Z127&gt;TahunBuku*12))</f>
        <v/>
      </c>
      <c r="AB127" s="20" t="str">
        <f>IF($B127="","",--AND($Y127&gt;TahunBuku*12,$Y127&lt;=TahunBuku*12+12))</f>
        <v/>
      </c>
      <c r="AC127" s="20" t="str">
        <f>IF($B127="","",--AND($Z127&gt;TahunBuku*12,$Z127&lt;=TahunBuku*12+12,$Y127&lt;=$Z127))</f>
        <v/>
      </c>
      <c r="AD127" s="21" t="str">
        <f>IF($B127="","",IFERROR(IF($S127="Garis Lurus",$G127-($G127-$H127)*MIN($T127*12,MAX(0,TahunBuku*12-$Y127+1))/($T127*12),IF($S127="Saldo Menurun",IF(TahunBuku-1&lt;YEAR($F127),$G127,IF(TahunBuku-1&gt;=INT(($Y127+$T127*12-2)/12),$H127,MAX($H127,$G127*(1-2/$T127*(13-MONTH($F127))/12)*(1-2/$T127)^(TahunBuku-1-YEAR($F127))))),IF($S127="Unit Produksi",$G127-($G127-$H127)*MIN(1,N($L127)/$K127),$G127))),$G127))</f>
        <v/>
      </c>
      <c r="AE127" s="21" t="str">
        <f>IF($B127="","",IFERROR(IF($S127="Garis Lurus",$G127-($G127-$H127)*MIN($T127*12,MAX(0,TahunBuku*12+12-$Y127+1))/($T127*12),IF($S127="Saldo Menurun",IF(TahunBuku&lt;YEAR($F127),$G127,IF(TahunBuku&gt;=INT(($Y127+$T127*12-2)/12),$H127,MAX($H127,$G127*(1-2/$T127*(13-MONTH($F127))/12)*(1-2/$T127)^(TahunBuku-YEAR($F127))))),IF($S127="Unit Produksi",$G127-($G127-$H127)*MIN(1,(N($L127)+N($M127))/$K127),$G127))),$G127))</f>
        <v/>
      </c>
      <c r="AF127" s="20" t="str">
        <f>IF($B127="","",IF(OR($S127="Garis Lurus",$S127="Saldo Menurun",$S127="Unit Produksi"),MAX(0,IF($S127="Unit Produksi",TahunBuku*12+12,MIN(TahunBuku*12+12,$Y127+$T127*12-1))-MAX(TahunBuku*12+1,$Y127)+1),0))</f>
        <v/>
      </c>
      <c r="AG127" s="20" t="str">
        <f>IF($B127="","",IF(OR($S127="Garis Lurus",$S127="Saldo Menurun",$S127="Unit Produksi"),MAX(0,MIN($Z127,IF($S127="Unit Produksi",TahunBuku*12+12,MIN(TahunBuku*12+12,$Y127+$T127*12-1)))-MAX(TahunBuku*12+1,$Y127)+1),0))</f>
        <v/>
      </c>
      <c r="AH127" s="21" t="str">
        <f>IF($B127="","",IFERROR(IF($W127="Garis Lurus",$G127*(1-MIN($V127*12,MAX(0,TahunBuku*12-$Y127+1))/($V127*12)),IF($W127="Saldo Menurun",IF(TahunBuku-1&lt;YEAR($F127),$G127,IF(TahunBuku-1&gt;=INT(($Y127+$V127*12-2)/12),0,$G127*(1-2/$V127*(13-MONTH($F127))/12)*(1-2/$V127)^(TahunBuku-1-YEAR($F127)))),$G127)),$G127))</f>
        <v/>
      </c>
      <c r="AI127" s="21" t="str">
        <f>IF($B127="","",IFERROR(IF($W127="Garis Lurus",$G127*(1-MIN($V127*12,MAX(0,TahunBuku*12+12-$Y127+1))/($V127*12)),IF($W127="Saldo Menurun",IF(TahunBuku&lt;YEAR($F127),$G127,IF(TahunBuku&gt;=INT(($Y127+$V127*12-2)/12),0,$G127*(1-2/$V127*(13-MONTH($F127))/12)*(1-2/$V127)^(TahunBuku-YEAR($F127)))),$G127)),$G127))</f>
        <v/>
      </c>
      <c r="AJ127" s="20" t="str">
        <f>IF($B127="","",IF(OR($W127="Garis Lurus",$W127="Saldo Menurun"),MAX(0,MIN(TahunBuku*12+12,$Y127+$V127*12-1)-MAX(TahunBuku*12+1,$Y127)+1),0))</f>
        <v/>
      </c>
      <c r="AK127" s="20" t="str">
        <f>IF($B127="","",IF(OR($W127="Garis Lurus",$W127="Saldo Menurun"),MAX(0,MIN($Z127,TahunBuku*12+12,$Y127+$V127*12-1)-MAX(TahunBuku*12+1,$Y127)+1),0))</f>
        <v/>
      </c>
      <c r="AL127" s="22" t="str">
        <f>IF($B127="","",$G127*$AA127)</f>
        <v/>
      </c>
      <c r="AM127" s="22" t="str">
        <f>IF($B127="","",$G127*$AB127)</f>
        <v/>
      </c>
      <c r="AN127" s="22" t="str">
        <f>IF($B127="","",$G127*$AC127)</f>
        <v/>
      </c>
      <c r="AO127" s="22" t="str">
        <f>IF($B127="","",AL127+AM127-AN127)</f>
        <v/>
      </c>
      <c r="AP127" s="22" t="str">
        <f>IF($B127="","",($G127-$AD127)*$AA127)</f>
        <v/>
      </c>
      <c r="AQ127" s="22" t="str">
        <f>IF($B127="","",IF($AF127=0,0,($AD127-$AE127)*$AG127/$AF127)*MAX($AA127,$AB127))</f>
        <v/>
      </c>
      <c r="AR127" s="22" t="str">
        <f>IF($B127="","",(AP127+AQ127)*$AC127)</f>
        <v/>
      </c>
      <c r="AS127" s="22" t="str">
        <f>IF($B127="","",AP127+AQ127-AR127)</f>
        <v/>
      </c>
      <c r="AT127" s="22" t="str">
        <f>IF($B127="","",AO127-AS127)</f>
        <v/>
      </c>
      <c r="AU127" s="22" t="str">
        <f>IF($B127="","",IF($AC127=1,N($R127)-($G127-AR127),0))</f>
        <v/>
      </c>
      <c r="AV127" s="22" t="str">
        <f>IF($B127="","",($G127-$AH127)*$AA127)</f>
        <v/>
      </c>
      <c r="AW127" s="22" t="str">
        <f>IF($B127="","",IF($AJ127=0,0,($AH127-$AI127)*$AK127/$AJ127)*MAX($AA127,$AB127))</f>
        <v/>
      </c>
      <c r="AX127" s="22" t="str">
        <f>IF($B127="","",(AV127+AW127)*$AC127)</f>
        <v/>
      </c>
      <c r="AY127" s="22" t="str">
        <f>IF($B127="","",AV127+AW127-AX127)</f>
        <v/>
      </c>
      <c r="AZ127" s="22" t="str">
        <f>IF($B127="","",AO127-AY127)</f>
        <v/>
      </c>
      <c r="BA127" s="22" t="str">
        <f>IF($B127="","",IF($AC127=1,N($R127)-($G127-AX127),0))</f>
        <v/>
      </c>
      <c r="BB127" s="22" t="str">
        <f>IF($B127="","",ROUND(AQ127-AW127,0))</f>
        <v/>
      </c>
      <c r="BC127" s="22" t="str">
        <f>IF($B127="","",ROUND(BA127-AU127,0))</f>
        <v/>
      </c>
      <c r="BD127" s="22" t="str">
        <f>IF($B127="","",BB127+BC127)</f>
        <v/>
      </c>
      <c r="BE127" s="22" t="str">
        <f>IF($B127="","",ROUND(AV127-AP127,0))</f>
        <v/>
      </c>
      <c r="BF127" s="22" t="str">
        <f>IF($B127="","",ROUND(AT127-AZ127,0))</f>
        <v/>
      </c>
      <c r="BG127" s="22" t="str">
        <f>IF($B127="","",ROUND(BF127*TarifPPh,0))</f>
        <v/>
      </c>
      <c r="BH127" t="str">
        <f>IF($B127="","",IF($D127="","Kategori kosong",IF($F127="","Tgl perolehan kosong",IF(N($H127)&gt;$G127,"Residu &gt; harga perolehan",IF(AND(LEFT($U127,8)="Bangunan",$W127="Saldo Menurun"),"Bangunan wajib Garis Lurus (Ps.11 UU PPh)",IF(AND($S127="Unit Produksi",N($K127)=0),"Isi kapasitas unit",IF(AND(OR($S127="Garis Lurus",$S127="Saldo Menurun"),N($T127)&lt;=0),"Umur komersial kosong",IF(AND(OR($W127="Garis Lurus",$W127="Saldo Menurun"),N($V127)&lt;=0),"Masa manfaat fiskal kosong",IF(AND($Q127&lt;&gt;"",$Q127&lt;$F127),"Tgl pelepasan &lt; perolehan","OK")))))))))</f>
        <v/>
      </c>
    </row>
    <row r="128" spans="1:60" x14ac:dyDescent="0.25">
      <c r="A128" t="str">
        <f>IF($B128="","",ROW()-6)</f>
        <v/>
      </c>
      <c r="B128" s="9"/>
      <c r="C128" s="9"/>
      <c r="D128" s="9"/>
      <c r="E128" s="9"/>
      <c r="F128" s="17"/>
      <c r="G128" s="18"/>
      <c r="H128" s="18"/>
      <c r="I128" s="9"/>
      <c r="J128" s="9"/>
      <c r="K128" s="19"/>
      <c r="L128" s="19"/>
      <c r="M128" s="19"/>
      <c r="N128" s="9"/>
      <c r="O128" s="9"/>
      <c r="P128" s="9"/>
      <c r="Q128" s="17"/>
      <c r="R128" s="18"/>
      <c r="S128" t="str">
        <f>IF($B128="","",IF($I128&lt;&gt;"",$I128,IFERROR(INDEX(Kat_Metode,MATCH($D128,Kat_Nama,0)),"")))</f>
        <v/>
      </c>
      <c r="T128" t="str">
        <f>IF($B128="","",IF($J128&lt;&gt;"",$J128,IFERROR(INDEX(Kat_Umur,MATCH($D128,Kat_Nama,0)),0)))</f>
        <v/>
      </c>
      <c r="U128" t="str">
        <f>IF($B128="","",IF($N128&lt;&gt;"",$N128,IFERROR(INDEX(Kat_Kelompok,MATCH($D128,Kat_Nama,0)),"")))</f>
        <v/>
      </c>
      <c r="V128" t="str">
        <f>IF($B128="","",IF($U128="Masa Manfaat Sebenarnya",N($O128),IFERROR(INDEX(Kel_Masa,MATCH($U128,Kel_Nama,0)),0)))</f>
        <v/>
      </c>
      <c r="W128" t="str">
        <f>IF($B128="","",IF($P128&lt;&gt;"",$P128,IF(OR($U128="Tidak Disusutkan",$V128=0),"Tidak Disusutkan","Garis Lurus")))</f>
        <v/>
      </c>
      <c r="X128" t="str">
        <f>IF($B128="","",IF($Y128&gt;TahunBuku*12+12,"Belum Diperoleh",IF($Z128&lt;=TahunBuku*12,"Dilepas (thn lalu)",IF($AC128=1,"Dilepas thn ini",IF($AB128=1,"Perolehan baru","Aktif")))))</f>
        <v/>
      </c>
      <c r="Y128" s="20" t="str">
        <f>IF($B128="","",YEAR($F128)*12+MONTH($F128))</f>
        <v/>
      </c>
      <c r="Z128" s="20" t="str">
        <f>IF($B128="","",IF($Q128="",99999,YEAR($Q128)*12+MONTH($Q128)))</f>
        <v/>
      </c>
      <c r="AA128" s="20" t="str">
        <f>IF($B128="","",--AND($Y128&lt;=TahunBuku*12,$Z128&gt;TahunBuku*12))</f>
        <v/>
      </c>
      <c r="AB128" s="20" t="str">
        <f>IF($B128="","",--AND($Y128&gt;TahunBuku*12,$Y128&lt;=TahunBuku*12+12))</f>
        <v/>
      </c>
      <c r="AC128" s="20" t="str">
        <f>IF($B128="","",--AND($Z128&gt;TahunBuku*12,$Z128&lt;=TahunBuku*12+12,$Y128&lt;=$Z128))</f>
        <v/>
      </c>
      <c r="AD128" s="21" t="str">
        <f>IF($B128="","",IFERROR(IF($S128="Garis Lurus",$G128-($G128-$H128)*MIN($T128*12,MAX(0,TahunBuku*12-$Y128+1))/($T128*12),IF($S128="Saldo Menurun",IF(TahunBuku-1&lt;YEAR($F128),$G128,IF(TahunBuku-1&gt;=INT(($Y128+$T128*12-2)/12),$H128,MAX($H128,$G128*(1-2/$T128*(13-MONTH($F128))/12)*(1-2/$T128)^(TahunBuku-1-YEAR($F128))))),IF($S128="Unit Produksi",$G128-($G128-$H128)*MIN(1,N($L128)/$K128),$G128))),$G128))</f>
        <v/>
      </c>
      <c r="AE128" s="21" t="str">
        <f>IF($B128="","",IFERROR(IF($S128="Garis Lurus",$G128-($G128-$H128)*MIN($T128*12,MAX(0,TahunBuku*12+12-$Y128+1))/($T128*12),IF($S128="Saldo Menurun",IF(TahunBuku&lt;YEAR($F128),$G128,IF(TahunBuku&gt;=INT(($Y128+$T128*12-2)/12),$H128,MAX($H128,$G128*(1-2/$T128*(13-MONTH($F128))/12)*(1-2/$T128)^(TahunBuku-YEAR($F128))))),IF($S128="Unit Produksi",$G128-($G128-$H128)*MIN(1,(N($L128)+N($M128))/$K128),$G128))),$G128))</f>
        <v/>
      </c>
      <c r="AF128" s="20" t="str">
        <f>IF($B128="","",IF(OR($S128="Garis Lurus",$S128="Saldo Menurun",$S128="Unit Produksi"),MAX(0,IF($S128="Unit Produksi",TahunBuku*12+12,MIN(TahunBuku*12+12,$Y128+$T128*12-1))-MAX(TahunBuku*12+1,$Y128)+1),0))</f>
        <v/>
      </c>
      <c r="AG128" s="20" t="str">
        <f>IF($B128="","",IF(OR($S128="Garis Lurus",$S128="Saldo Menurun",$S128="Unit Produksi"),MAX(0,MIN($Z128,IF($S128="Unit Produksi",TahunBuku*12+12,MIN(TahunBuku*12+12,$Y128+$T128*12-1)))-MAX(TahunBuku*12+1,$Y128)+1),0))</f>
        <v/>
      </c>
      <c r="AH128" s="21" t="str">
        <f>IF($B128="","",IFERROR(IF($W128="Garis Lurus",$G128*(1-MIN($V128*12,MAX(0,TahunBuku*12-$Y128+1))/($V128*12)),IF($W128="Saldo Menurun",IF(TahunBuku-1&lt;YEAR($F128),$G128,IF(TahunBuku-1&gt;=INT(($Y128+$V128*12-2)/12),0,$G128*(1-2/$V128*(13-MONTH($F128))/12)*(1-2/$V128)^(TahunBuku-1-YEAR($F128)))),$G128)),$G128))</f>
        <v/>
      </c>
      <c r="AI128" s="21" t="str">
        <f>IF($B128="","",IFERROR(IF($W128="Garis Lurus",$G128*(1-MIN($V128*12,MAX(0,TahunBuku*12+12-$Y128+1))/($V128*12)),IF($W128="Saldo Menurun",IF(TahunBuku&lt;YEAR($F128),$G128,IF(TahunBuku&gt;=INT(($Y128+$V128*12-2)/12),0,$G128*(1-2/$V128*(13-MONTH($F128))/12)*(1-2/$V128)^(TahunBuku-YEAR($F128)))),$G128)),$G128))</f>
        <v/>
      </c>
      <c r="AJ128" s="20" t="str">
        <f>IF($B128="","",IF(OR($W128="Garis Lurus",$W128="Saldo Menurun"),MAX(0,MIN(TahunBuku*12+12,$Y128+$V128*12-1)-MAX(TahunBuku*12+1,$Y128)+1),0))</f>
        <v/>
      </c>
      <c r="AK128" s="20" t="str">
        <f>IF($B128="","",IF(OR($W128="Garis Lurus",$W128="Saldo Menurun"),MAX(0,MIN($Z128,TahunBuku*12+12,$Y128+$V128*12-1)-MAX(TahunBuku*12+1,$Y128)+1),0))</f>
        <v/>
      </c>
      <c r="AL128" s="22" t="str">
        <f>IF($B128="","",$G128*$AA128)</f>
        <v/>
      </c>
      <c r="AM128" s="22" t="str">
        <f>IF($B128="","",$G128*$AB128)</f>
        <v/>
      </c>
      <c r="AN128" s="22" t="str">
        <f>IF($B128="","",$G128*$AC128)</f>
        <v/>
      </c>
      <c r="AO128" s="22" t="str">
        <f>IF($B128="","",AL128+AM128-AN128)</f>
        <v/>
      </c>
      <c r="AP128" s="22" t="str">
        <f>IF($B128="","",($G128-$AD128)*$AA128)</f>
        <v/>
      </c>
      <c r="AQ128" s="22" t="str">
        <f>IF($B128="","",IF($AF128=0,0,($AD128-$AE128)*$AG128/$AF128)*MAX($AA128,$AB128))</f>
        <v/>
      </c>
      <c r="AR128" s="22" t="str">
        <f>IF($B128="","",(AP128+AQ128)*$AC128)</f>
        <v/>
      </c>
      <c r="AS128" s="22" t="str">
        <f>IF($B128="","",AP128+AQ128-AR128)</f>
        <v/>
      </c>
      <c r="AT128" s="22" t="str">
        <f>IF($B128="","",AO128-AS128)</f>
        <v/>
      </c>
      <c r="AU128" s="22" t="str">
        <f>IF($B128="","",IF($AC128=1,N($R128)-($G128-AR128),0))</f>
        <v/>
      </c>
      <c r="AV128" s="22" t="str">
        <f>IF($B128="","",($G128-$AH128)*$AA128)</f>
        <v/>
      </c>
      <c r="AW128" s="22" t="str">
        <f>IF($B128="","",IF($AJ128=0,0,($AH128-$AI128)*$AK128/$AJ128)*MAX($AA128,$AB128))</f>
        <v/>
      </c>
      <c r="AX128" s="22" t="str">
        <f>IF($B128="","",(AV128+AW128)*$AC128)</f>
        <v/>
      </c>
      <c r="AY128" s="22" t="str">
        <f>IF($B128="","",AV128+AW128-AX128)</f>
        <v/>
      </c>
      <c r="AZ128" s="22" t="str">
        <f>IF($B128="","",AO128-AY128)</f>
        <v/>
      </c>
      <c r="BA128" s="22" t="str">
        <f>IF($B128="","",IF($AC128=1,N($R128)-($G128-AX128),0))</f>
        <v/>
      </c>
      <c r="BB128" s="22" t="str">
        <f>IF($B128="","",ROUND(AQ128-AW128,0))</f>
        <v/>
      </c>
      <c r="BC128" s="22" t="str">
        <f>IF($B128="","",ROUND(BA128-AU128,0))</f>
        <v/>
      </c>
      <c r="BD128" s="22" t="str">
        <f>IF($B128="","",BB128+BC128)</f>
        <v/>
      </c>
      <c r="BE128" s="22" t="str">
        <f>IF($B128="","",ROUND(AV128-AP128,0))</f>
        <v/>
      </c>
      <c r="BF128" s="22" t="str">
        <f>IF($B128="","",ROUND(AT128-AZ128,0))</f>
        <v/>
      </c>
      <c r="BG128" s="22" t="str">
        <f>IF($B128="","",ROUND(BF128*TarifPPh,0))</f>
        <v/>
      </c>
      <c r="BH128" t="str">
        <f>IF($B128="","",IF($D128="","Kategori kosong",IF($F128="","Tgl perolehan kosong",IF(N($H128)&gt;$G128,"Residu &gt; harga perolehan",IF(AND(LEFT($U128,8)="Bangunan",$W128="Saldo Menurun"),"Bangunan wajib Garis Lurus (Ps.11 UU PPh)",IF(AND($S128="Unit Produksi",N($K128)=0),"Isi kapasitas unit",IF(AND(OR($S128="Garis Lurus",$S128="Saldo Menurun"),N($T128)&lt;=0),"Umur komersial kosong",IF(AND(OR($W128="Garis Lurus",$W128="Saldo Menurun"),N($V128)&lt;=0),"Masa manfaat fiskal kosong",IF(AND($Q128&lt;&gt;"",$Q128&lt;$F128),"Tgl pelepasan &lt; perolehan","OK")))))))))</f>
        <v/>
      </c>
    </row>
    <row r="129" spans="1:60" x14ac:dyDescent="0.25">
      <c r="A129" t="str">
        <f>IF($B129="","",ROW()-6)</f>
        <v/>
      </c>
      <c r="B129" s="9"/>
      <c r="C129" s="9"/>
      <c r="D129" s="9"/>
      <c r="E129" s="9"/>
      <c r="F129" s="17"/>
      <c r="G129" s="18"/>
      <c r="H129" s="18"/>
      <c r="I129" s="9"/>
      <c r="J129" s="9"/>
      <c r="K129" s="19"/>
      <c r="L129" s="19"/>
      <c r="M129" s="19"/>
      <c r="N129" s="9"/>
      <c r="O129" s="9"/>
      <c r="P129" s="9"/>
      <c r="Q129" s="17"/>
      <c r="R129" s="18"/>
      <c r="S129" t="str">
        <f>IF($B129="","",IF($I129&lt;&gt;"",$I129,IFERROR(INDEX(Kat_Metode,MATCH($D129,Kat_Nama,0)),"")))</f>
        <v/>
      </c>
      <c r="T129" t="str">
        <f>IF($B129="","",IF($J129&lt;&gt;"",$J129,IFERROR(INDEX(Kat_Umur,MATCH($D129,Kat_Nama,0)),0)))</f>
        <v/>
      </c>
      <c r="U129" t="str">
        <f>IF($B129="","",IF($N129&lt;&gt;"",$N129,IFERROR(INDEX(Kat_Kelompok,MATCH($D129,Kat_Nama,0)),"")))</f>
        <v/>
      </c>
      <c r="V129" t="str">
        <f>IF($B129="","",IF($U129="Masa Manfaat Sebenarnya",N($O129),IFERROR(INDEX(Kel_Masa,MATCH($U129,Kel_Nama,0)),0)))</f>
        <v/>
      </c>
      <c r="W129" t="str">
        <f>IF($B129="","",IF($P129&lt;&gt;"",$P129,IF(OR($U129="Tidak Disusutkan",$V129=0),"Tidak Disusutkan","Garis Lurus")))</f>
        <v/>
      </c>
      <c r="X129" t="str">
        <f>IF($B129="","",IF($Y129&gt;TahunBuku*12+12,"Belum Diperoleh",IF($Z129&lt;=TahunBuku*12,"Dilepas (thn lalu)",IF($AC129=1,"Dilepas thn ini",IF($AB129=1,"Perolehan baru","Aktif")))))</f>
        <v/>
      </c>
      <c r="Y129" s="20" t="str">
        <f>IF($B129="","",YEAR($F129)*12+MONTH($F129))</f>
        <v/>
      </c>
      <c r="Z129" s="20" t="str">
        <f>IF($B129="","",IF($Q129="",99999,YEAR($Q129)*12+MONTH($Q129)))</f>
        <v/>
      </c>
      <c r="AA129" s="20" t="str">
        <f>IF($B129="","",--AND($Y129&lt;=TahunBuku*12,$Z129&gt;TahunBuku*12))</f>
        <v/>
      </c>
      <c r="AB129" s="20" t="str">
        <f>IF($B129="","",--AND($Y129&gt;TahunBuku*12,$Y129&lt;=TahunBuku*12+12))</f>
        <v/>
      </c>
      <c r="AC129" s="20" t="str">
        <f>IF($B129="","",--AND($Z129&gt;TahunBuku*12,$Z129&lt;=TahunBuku*12+12,$Y129&lt;=$Z129))</f>
        <v/>
      </c>
      <c r="AD129" s="21" t="str">
        <f>IF($B129="","",IFERROR(IF($S129="Garis Lurus",$G129-($G129-$H129)*MIN($T129*12,MAX(0,TahunBuku*12-$Y129+1))/($T129*12),IF($S129="Saldo Menurun",IF(TahunBuku-1&lt;YEAR($F129),$G129,IF(TahunBuku-1&gt;=INT(($Y129+$T129*12-2)/12),$H129,MAX($H129,$G129*(1-2/$T129*(13-MONTH($F129))/12)*(1-2/$T129)^(TahunBuku-1-YEAR($F129))))),IF($S129="Unit Produksi",$G129-($G129-$H129)*MIN(1,N($L129)/$K129),$G129))),$G129))</f>
        <v/>
      </c>
      <c r="AE129" s="21" t="str">
        <f>IF($B129="","",IFERROR(IF($S129="Garis Lurus",$G129-($G129-$H129)*MIN($T129*12,MAX(0,TahunBuku*12+12-$Y129+1))/($T129*12),IF($S129="Saldo Menurun",IF(TahunBuku&lt;YEAR($F129),$G129,IF(TahunBuku&gt;=INT(($Y129+$T129*12-2)/12),$H129,MAX($H129,$G129*(1-2/$T129*(13-MONTH($F129))/12)*(1-2/$T129)^(TahunBuku-YEAR($F129))))),IF($S129="Unit Produksi",$G129-($G129-$H129)*MIN(1,(N($L129)+N($M129))/$K129),$G129))),$G129))</f>
        <v/>
      </c>
      <c r="AF129" s="20" t="str">
        <f>IF($B129="","",IF(OR($S129="Garis Lurus",$S129="Saldo Menurun",$S129="Unit Produksi"),MAX(0,IF($S129="Unit Produksi",TahunBuku*12+12,MIN(TahunBuku*12+12,$Y129+$T129*12-1))-MAX(TahunBuku*12+1,$Y129)+1),0))</f>
        <v/>
      </c>
      <c r="AG129" s="20" t="str">
        <f>IF($B129="","",IF(OR($S129="Garis Lurus",$S129="Saldo Menurun",$S129="Unit Produksi"),MAX(0,MIN($Z129,IF($S129="Unit Produksi",TahunBuku*12+12,MIN(TahunBuku*12+12,$Y129+$T129*12-1)))-MAX(TahunBuku*12+1,$Y129)+1),0))</f>
        <v/>
      </c>
      <c r="AH129" s="21" t="str">
        <f>IF($B129="","",IFERROR(IF($W129="Garis Lurus",$G129*(1-MIN($V129*12,MAX(0,TahunBuku*12-$Y129+1))/($V129*12)),IF($W129="Saldo Menurun",IF(TahunBuku-1&lt;YEAR($F129),$G129,IF(TahunBuku-1&gt;=INT(($Y129+$V129*12-2)/12),0,$G129*(1-2/$V129*(13-MONTH($F129))/12)*(1-2/$V129)^(TahunBuku-1-YEAR($F129)))),$G129)),$G129))</f>
        <v/>
      </c>
      <c r="AI129" s="21" t="str">
        <f>IF($B129="","",IFERROR(IF($W129="Garis Lurus",$G129*(1-MIN($V129*12,MAX(0,TahunBuku*12+12-$Y129+1))/($V129*12)),IF($W129="Saldo Menurun",IF(TahunBuku&lt;YEAR($F129),$G129,IF(TahunBuku&gt;=INT(($Y129+$V129*12-2)/12),0,$G129*(1-2/$V129*(13-MONTH($F129))/12)*(1-2/$V129)^(TahunBuku-YEAR($F129)))),$G129)),$G129))</f>
        <v/>
      </c>
      <c r="AJ129" s="20" t="str">
        <f>IF($B129="","",IF(OR($W129="Garis Lurus",$W129="Saldo Menurun"),MAX(0,MIN(TahunBuku*12+12,$Y129+$V129*12-1)-MAX(TahunBuku*12+1,$Y129)+1),0))</f>
        <v/>
      </c>
      <c r="AK129" s="20" t="str">
        <f>IF($B129="","",IF(OR($W129="Garis Lurus",$W129="Saldo Menurun"),MAX(0,MIN($Z129,TahunBuku*12+12,$Y129+$V129*12-1)-MAX(TahunBuku*12+1,$Y129)+1),0))</f>
        <v/>
      </c>
      <c r="AL129" s="22" t="str">
        <f>IF($B129="","",$G129*$AA129)</f>
        <v/>
      </c>
      <c r="AM129" s="22" t="str">
        <f>IF($B129="","",$G129*$AB129)</f>
        <v/>
      </c>
      <c r="AN129" s="22" t="str">
        <f>IF($B129="","",$G129*$AC129)</f>
        <v/>
      </c>
      <c r="AO129" s="22" t="str">
        <f>IF($B129="","",AL129+AM129-AN129)</f>
        <v/>
      </c>
      <c r="AP129" s="22" t="str">
        <f>IF($B129="","",($G129-$AD129)*$AA129)</f>
        <v/>
      </c>
      <c r="AQ129" s="22" t="str">
        <f>IF($B129="","",IF($AF129=0,0,($AD129-$AE129)*$AG129/$AF129)*MAX($AA129,$AB129))</f>
        <v/>
      </c>
      <c r="AR129" s="22" t="str">
        <f>IF($B129="","",(AP129+AQ129)*$AC129)</f>
        <v/>
      </c>
      <c r="AS129" s="22" t="str">
        <f>IF($B129="","",AP129+AQ129-AR129)</f>
        <v/>
      </c>
      <c r="AT129" s="22" t="str">
        <f>IF($B129="","",AO129-AS129)</f>
        <v/>
      </c>
      <c r="AU129" s="22" t="str">
        <f>IF($B129="","",IF($AC129=1,N($R129)-($G129-AR129),0))</f>
        <v/>
      </c>
      <c r="AV129" s="22" t="str">
        <f>IF($B129="","",($G129-$AH129)*$AA129)</f>
        <v/>
      </c>
      <c r="AW129" s="22" t="str">
        <f>IF($B129="","",IF($AJ129=0,0,($AH129-$AI129)*$AK129/$AJ129)*MAX($AA129,$AB129))</f>
        <v/>
      </c>
      <c r="AX129" s="22" t="str">
        <f>IF($B129="","",(AV129+AW129)*$AC129)</f>
        <v/>
      </c>
      <c r="AY129" s="22" t="str">
        <f>IF($B129="","",AV129+AW129-AX129)</f>
        <v/>
      </c>
      <c r="AZ129" s="22" t="str">
        <f>IF($B129="","",AO129-AY129)</f>
        <v/>
      </c>
      <c r="BA129" s="22" t="str">
        <f>IF($B129="","",IF($AC129=1,N($R129)-($G129-AX129),0))</f>
        <v/>
      </c>
      <c r="BB129" s="22" t="str">
        <f>IF($B129="","",ROUND(AQ129-AW129,0))</f>
        <v/>
      </c>
      <c r="BC129" s="22" t="str">
        <f>IF($B129="","",ROUND(BA129-AU129,0))</f>
        <v/>
      </c>
      <c r="BD129" s="22" t="str">
        <f>IF($B129="","",BB129+BC129)</f>
        <v/>
      </c>
      <c r="BE129" s="22" t="str">
        <f>IF($B129="","",ROUND(AV129-AP129,0))</f>
        <v/>
      </c>
      <c r="BF129" s="22" t="str">
        <f>IF($B129="","",ROUND(AT129-AZ129,0))</f>
        <v/>
      </c>
      <c r="BG129" s="22" t="str">
        <f>IF($B129="","",ROUND(BF129*TarifPPh,0))</f>
        <v/>
      </c>
      <c r="BH129" t="str">
        <f>IF($B129="","",IF($D129="","Kategori kosong",IF($F129="","Tgl perolehan kosong",IF(N($H129)&gt;$G129,"Residu &gt; harga perolehan",IF(AND(LEFT($U129,8)="Bangunan",$W129="Saldo Menurun"),"Bangunan wajib Garis Lurus (Ps.11 UU PPh)",IF(AND($S129="Unit Produksi",N($K129)=0),"Isi kapasitas unit",IF(AND(OR($S129="Garis Lurus",$S129="Saldo Menurun"),N($T129)&lt;=0),"Umur komersial kosong",IF(AND(OR($W129="Garis Lurus",$W129="Saldo Menurun"),N($V129)&lt;=0),"Masa manfaat fiskal kosong",IF(AND($Q129&lt;&gt;"",$Q129&lt;$F129),"Tgl pelepasan &lt; perolehan","OK")))))))))</f>
        <v/>
      </c>
    </row>
    <row r="130" spans="1:60" x14ac:dyDescent="0.25">
      <c r="A130" t="str">
        <f>IF($B130="","",ROW()-6)</f>
        <v/>
      </c>
      <c r="B130" s="9"/>
      <c r="C130" s="9"/>
      <c r="D130" s="9"/>
      <c r="E130" s="9"/>
      <c r="F130" s="17"/>
      <c r="G130" s="18"/>
      <c r="H130" s="18"/>
      <c r="I130" s="9"/>
      <c r="J130" s="9"/>
      <c r="K130" s="19"/>
      <c r="L130" s="19"/>
      <c r="M130" s="19"/>
      <c r="N130" s="9"/>
      <c r="O130" s="9"/>
      <c r="P130" s="9"/>
      <c r="Q130" s="17"/>
      <c r="R130" s="18"/>
      <c r="S130" t="str">
        <f>IF($B130="","",IF($I130&lt;&gt;"",$I130,IFERROR(INDEX(Kat_Metode,MATCH($D130,Kat_Nama,0)),"")))</f>
        <v/>
      </c>
      <c r="T130" t="str">
        <f>IF($B130="","",IF($J130&lt;&gt;"",$J130,IFERROR(INDEX(Kat_Umur,MATCH($D130,Kat_Nama,0)),0)))</f>
        <v/>
      </c>
      <c r="U130" t="str">
        <f>IF($B130="","",IF($N130&lt;&gt;"",$N130,IFERROR(INDEX(Kat_Kelompok,MATCH($D130,Kat_Nama,0)),"")))</f>
        <v/>
      </c>
      <c r="V130" t="str">
        <f>IF($B130="","",IF($U130="Masa Manfaat Sebenarnya",N($O130),IFERROR(INDEX(Kel_Masa,MATCH($U130,Kel_Nama,0)),0)))</f>
        <v/>
      </c>
      <c r="W130" t="str">
        <f>IF($B130="","",IF($P130&lt;&gt;"",$P130,IF(OR($U130="Tidak Disusutkan",$V130=0),"Tidak Disusutkan","Garis Lurus")))</f>
        <v/>
      </c>
      <c r="X130" t="str">
        <f>IF($B130="","",IF($Y130&gt;TahunBuku*12+12,"Belum Diperoleh",IF($Z130&lt;=TahunBuku*12,"Dilepas (thn lalu)",IF($AC130=1,"Dilepas thn ini",IF($AB130=1,"Perolehan baru","Aktif")))))</f>
        <v/>
      </c>
      <c r="Y130" s="20" t="str">
        <f>IF($B130="","",YEAR($F130)*12+MONTH($F130))</f>
        <v/>
      </c>
      <c r="Z130" s="20" t="str">
        <f>IF($B130="","",IF($Q130="",99999,YEAR($Q130)*12+MONTH($Q130)))</f>
        <v/>
      </c>
      <c r="AA130" s="20" t="str">
        <f>IF($B130="","",--AND($Y130&lt;=TahunBuku*12,$Z130&gt;TahunBuku*12))</f>
        <v/>
      </c>
      <c r="AB130" s="20" t="str">
        <f>IF($B130="","",--AND($Y130&gt;TahunBuku*12,$Y130&lt;=TahunBuku*12+12))</f>
        <v/>
      </c>
      <c r="AC130" s="20" t="str">
        <f>IF($B130="","",--AND($Z130&gt;TahunBuku*12,$Z130&lt;=TahunBuku*12+12,$Y130&lt;=$Z130))</f>
        <v/>
      </c>
      <c r="AD130" s="21" t="str">
        <f>IF($B130="","",IFERROR(IF($S130="Garis Lurus",$G130-($G130-$H130)*MIN($T130*12,MAX(0,TahunBuku*12-$Y130+1))/($T130*12),IF($S130="Saldo Menurun",IF(TahunBuku-1&lt;YEAR($F130),$G130,IF(TahunBuku-1&gt;=INT(($Y130+$T130*12-2)/12),$H130,MAX($H130,$G130*(1-2/$T130*(13-MONTH($F130))/12)*(1-2/$T130)^(TahunBuku-1-YEAR($F130))))),IF($S130="Unit Produksi",$G130-($G130-$H130)*MIN(1,N($L130)/$K130),$G130))),$G130))</f>
        <v/>
      </c>
      <c r="AE130" s="21" t="str">
        <f>IF($B130="","",IFERROR(IF($S130="Garis Lurus",$G130-($G130-$H130)*MIN($T130*12,MAX(0,TahunBuku*12+12-$Y130+1))/($T130*12),IF($S130="Saldo Menurun",IF(TahunBuku&lt;YEAR($F130),$G130,IF(TahunBuku&gt;=INT(($Y130+$T130*12-2)/12),$H130,MAX($H130,$G130*(1-2/$T130*(13-MONTH($F130))/12)*(1-2/$T130)^(TahunBuku-YEAR($F130))))),IF($S130="Unit Produksi",$G130-($G130-$H130)*MIN(1,(N($L130)+N($M130))/$K130),$G130))),$G130))</f>
        <v/>
      </c>
      <c r="AF130" s="20" t="str">
        <f>IF($B130="","",IF(OR($S130="Garis Lurus",$S130="Saldo Menurun",$S130="Unit Produksi"),MAX(0,IF($S130="Unit Produksi",TahunBuku*12+12,MIN(TahunBuku*12+12,$Y130+$T130*12-1))-MAX(TahunBuku*12+1,$Y130)+1),0))</f>
        <v/>
      </c>
      <c r="AG130" s="20" t="str">
        <f>IF($B130="","",IF(OR($S130="Garis Lurus",$S130="Saldo Menurun",$S130="Unit Produksi"),MAX(0,MIN($Z130,IF($S130="Unit Produksi",TahunBuku*12+12,MIN(TahunBuku*12+12,$Y130+$T130*12-1)))-MAX(TahunBuku*12+1,$Y130)+1),0))</f>
        <v/>
      </c>
      <c r="AH130" s="21" t="str">
        <f>IF($B130="","",IFERROR(IF($W130="Garis Lurus",$G130*(1-MIN($V130*12,MAX(0,TahunBuku*12-$Y130+1))/($V130*12)),IF($W130="Saldo Menurun",IF(TahunBuku-1&lt;YEAR($F130),$G130,IF(TahunBuku-1&gt;=INT(($Y130+$V130*12-2)/12),0,$G130*(1-2/$V130*(13-MONTH($F130))/12)*(1-2/$V130)^(TahunBuku-1-YEAR($F130)))),$G130)),$G130))</f>
        <v/>
      </c>
      <c r="AI130" s="21" t="str">
        <f>IF($B130="","",IFERROR(IF($W130="Garis Lurus",$G130*(1-MIN($V130*12,MAX(0,TahunBuku*12+12-$Y130+1))/($V130*12)),IF($W130="Saldo Menurun",IF(TahunBuku&lt;YEAR($F130),$G130,IF(TahunBuku&gt;=INT(($Y130+$V130*12-2)/12),0,$G130*(1-2/$V130*(13-MONTH($F130))/12)*(1-2/$V130)^(TahunBuku-YEAR($F130)))),$G130)),$G130))</f>
        <v/>
      </c>
      <c r="AJ130" s="20" t="str">
        <f>IF($B130="","",IF(OR($W130="Garis Lurus",$W130="Saldo Menurun"),MAX(0,MIN(TahunBuku*12+12,$Y130+$V130*12-1)-MAX(TahunBuku*12+1,$Y130)+1),0))</f>
        <v/>
      </c>
      <c r="AK130" s="20" t="str">
        <f>IF($B130="","",IF(OR($W130="Garis Lurus",$W130="Saldo Menurun"),MAX(0,MIN($Z130,TahunBuku*12+12,$Y130+$V130*12-1)-MAX(TahunBuku*12+1,$Y130)+1),0))</f>
        <v/>
      </c>
      <c r="AL130" s="22" t="str">
        <f>IF($B130="","",$G130*$AA130)</f>
        <v/>
      </c>
      <c r="AM130" s="22" t="str">
        <f>IF($B130="","",$G130*$AB130)</f>
        <v/>
      </c>
      <c r="AN130" s="22" t="str">
        <f>IF($B130="","",$G130*$AC130)</f>
        <v/>
      </c>
      <c r="AO130" s="22" t="str">
        <f>IF($B130="","",AL130+AM130-AN130)</f>
        <v/>
      </c>
      <c r="AP130" s="22" t="str">
        <f>IF($B130="","",($G130-$AD130)*$AA130)</f>
        <v/>
      </c>
      <c r="AQ130" s="22" t="str">
        <f>IF($B130="","",IF($AF130=0,0,($AD130-$AE130)*$AG130/$AF130)*MAX($AA130,$AB130))</f>
        <v/>
      </c>
      <c r="AR130" s="22" t="str">
        <f>IF($B130="","",(AP130+AQ130)*$AC130)</f>
        <v/>
      </c>
      <c r="AS130" s="22" t="str">
        <f>IF($B130="","",AP130+AQ130-AR130)</f>
        <v/>
      </c>
      <c r="AT130" s="22" t="str">
        <f>IF($B130="","",AO130-AS130)</f>
        <v/>
      </c>
      <c r="AU130" s="22" t="str">
        <f>IF($B130="","",IF($AC130=1,N($R130)-($G130-AR130),0))</f>
        <v/>
      </c>
      <c r="AV130" s="22" t="str">
        <f>IF($B130="","",($G130-$AH130)*$AA130)</f>
        <v/>
      </c>
      <c r="AW130" s="22" t="str">
        <f>IF($B130="","",IF($AJ130=0,0,($AH130-$AI130)*$AK130/$AJ130)*MAX($AA130,$AB130))</f>
        <v/>
      </c>
      <c r="AX130" s="22" t="str">
        <f>IF($B130="","",(AV130+AW130)*$AC130)</f>
        <v/>
      </c>
      <c r="AY130" s="22" t="str">
        <f>IF($B130="","",AV130+AW130-AX130)</f>
        <v/>
      </c>
      <c r="AZ130" s="22" t="str">
        <f>IF($B130="","",AO130-AY130)</f>
        <v/>
      </c>
      <c r="BA130" s="22" t="str">
        <f>IF($B130="","",IF($AC130=1,N($R130)-($G130-AX130),0))</f>
        <v/>
      </c>
      <c r="BB130" s="22" t="str">
        <f>IF($B130="","",ROUND(AQ130-AW130,0))</f>
        <v/>
      </c>
      <c r="BC130" s="22" t="str">
        <f>IF($B130="","",ROUND(BA130-AU130,0))</f>
        <v/>
      </c>
      <c r="BD130" s="22" t="str">
        <f>IF($B130="","",BB130+BC130)</f>
        <v/>
      </c>
      <c r="BE130" s="22" t="str">
        <f>IF($B130="","",ROUND(AV130-AP130,0))</f>
        <v/>
      </c>
      <c r="BF130" s="22" t="str">
        <f>IF($B130="","",ROUND(AT130-AZ130,0))</f>
        <v/>
      </c>
      <c r="BG130" s="22" t="str">
        <f>IF($B130="","",ROUND(BF130*TarifPPh,0))</f>
        <v/>
      </c>
      <c r="BH130" t="str">
        <f>IF($B130="","",IF($D130="","Kategori kosong",IF($F130="","Tgl perolehan kosong",IF(N($H130)&gt;$G130,"Residu &gt; harga perolehan",IF(AND(LEFT($U130,8)="Bangunan",$W130="Saldo Menurun"),"Bangunan wajib Garis Lurus (Ps.11 UU PPh)",IF(AND($S130="Unit Produksi",N($K130)=0),"Isi kapasitas unit",IF(AND(OR($S130="Garis Lurus",$S130="Saldo Menurun"),N($T130)&lt;=0),"Umur komersial kosong",IF(AND(OR($W130="Garis Lurus",$W130="Saldo Menurun"),N($V130)&lt;=0),"Masa manfaat fiskal kosong",IF(AND($Q130&lt;&gt;"",$Q130&lt;$F130),"Tgl pelepasan &lt; perolehan","OK")))))))))</f>
        <v/>
      </c>
    </row>
    <row r="131" spans="1:60" x14ac:dyDescent="0.25">
      <c r="A131" t="str">
        <f>IF($B131="","",ROW()-6)</f>
        <v/>
      </c>
      <c r="B131" s="9"/>
      <c r="C131" s="9"/>
      <c r="D131" s="9"/>
      <c r="E131" s="9"/>
      <c r="F131" s="17"/>
      <c r="G131" s="18"/>
      <c r="H131" s="18"/>
      <c r="I131" s="9"/>
      <c r="J131" s="9"/>
      <c r="K131" s="19"/>
      <c r="L131" s="19"/>
      <c r="M131" s="19"/>
      <c r="N131" s="9"/>
      <c r="O131" s="9"/>
      <c r="P131" s="9"/>
      <c r="Q131" s="17"/>
      <c r="R131" s="18"/>
      <c r="S131" t="str">
        <f>IF($B131="","",IF($I131&lt;&gt;"",$I131,IFERROR(INDEX(Kat_Metode,MATCH($D131,Kat_Nama,0)),"")))</f>
        <v/>
      </c>
      <c r="T131" t="str">
        <f>IF($B131="","",IF($J131&lt;&gt;"",$J131,IFERROR(INDEX(Kat_Umur,MATCH($D131,Kat_Nama,0)),0)))</f>
        <v/>
      </c>
      <c r="U131" t="str">
        <f>IF($B131="","",IF($N131&lt;&gt;"",$N131,IFERROR(INDEX(Kat_Kelompok,MATCH($D131,Kat_Nama,0)),"")))</f>
        <v/>
      </c>
      <c r="V131" t="str">
        <f>IF($B131="","",IF($U131="Masa Manfaat Sebenarnya",N($O131),IFERROR(INDEX(Kel_Masa,MATCH($U131,Kel_Nama,0)),0)))</f>
        <v/>
      </c>
      <c r="W131" t="str">
        <f>IF($B131="","",IF($P131&lt;&gt;"",$P131,IF(OR($U131="Tidak Disusutkan",$V131=0),"Tidak Disusutkan","Garis Lurus")))</f>
        <v/>
      </c>
      <c r="X131" t="str">
        <f>IF($B131="","",IF($Y131&gt;TahunBuku*12+12,"Belum Diperoleh",IF($Z131&lt;=TahunBuku*12,"Dilepas (thn lalu)",IF($AC131=1,"Dilepas thn ini",IF($AB131=1,"Perolehan baru","Aktif")))))</f>
        <v/>
      </c>
      <c r="Y131" s="20" t="str">
        <f>IF($B131="","",YEAR($F131)*12+MONTH($F131))</f>
        <v/>
      </c>
      <c r="Z131" s="20" t="str">
        <f>IF($B131="","",IF($Q131="",99999,YEAR($Q131)*12+MONTH($Q131)))</f>
        <v/>
      </c>
      <c r="AA131" s="20" t="str">
        <f>IF($B131="","",--AND($Y131&lt;=TahunBuku*12,$Z131&gt;TahunBuku*12))</f>
        <v/>
      </c>
      <c r="AB131" s="20" t="str">
        <f>IF($B131="","",--AND($Y131&gt;TahunBuku*12,$Y131&lt;=TahunBuku*12+12))</f>
        <v/>
      </c>
      <c r="AC131" s="20" t="str">
        <f>IF($B131="","",--AND($Z131&gt;TahunBuku*12,$Z131&lt;=TahunBuku*12+12,$Y131&lt;=$Z131))</f>
        <v/>
      </c>
      <c r="AD131" s="21" t="str">
        <f>IF($B131="","",IFERROR(IF($S131="Garis Lurus",$G131-($G131-$H131)*MIN($T131*12,MAX(0,TahunBuku*12-$Y131+1))/($T131*12),IF($S131="Saldo Menurun",IF(TahunBuku-1&lt;YEAR($F131),$G131,IF(TahunBuku-1&gt;=INT(($Y131+$T131*12-2)/12),$H131,MAX($H131,$G131*(1-2/$T131*(13-MONTH($F131))/12)*(1-2/$T131)^(TahunBuku-1-YEAR($F131))))),IF($S131="Unit Produksi",$G131-($G131-$H131)*MIN(1,N($L131)/$K131),$G131))),$G131))</f>
        <v/>
      </c>
      <c r="AE131" s="21" t="str">
        <f>IF($B131="","",IFERROR(IF($S131="Garis Lurus",$G131-($G131-$H131)*MIN($T131*12,MAX(0,TahunBuku*12+12-$Y131+1))/($T131*12),IF($S131="Saldo Menurun",IF(TahunBuku&lt;YEAR($F131),$G131,IF(TahunBuku&gt;=INT(($Y131+$T131*12-2)/12),$H131,MAX($H131,$G131*(1-2/$T131*(13-MONTH($F131))/12)*(1-2/$T131)^(TahunBuku-YEAR($F131))))),IF($S131="Unit Produksi",$G131-($G131-$H131)*MIN(1,(N($L131)+N($M131))/$K131),$G131))),$G131))</f>
        <v/>
      </c>
      <c r="AF131" s="20" t="str">
        <f>IF($B131="","",IF(OR($S131="Garis Lurus",$S131="Saldo Menurun",$S131="Unit Produksi"),MAX(0,IF($S131="Unit Produksi",TahunBuku*12+12,MIN(TahunBuku*12+12,$Y131+$T131*12-1))-MAX(TahunBuku*12+1,$Y131)+1),0))</f>
        <v/>
      </c>
      <c r="AG131" s="20" t="str">
        <f>IF($B131="","",IF(OR($S131="Garis Lurus",$S131="Saldo Menurun",$S131="Unit Produksi"),MAX(0,MIN($Z131,IF($S131="Unit Produksi",TahunBuku*12+12,MIN(TahunBuku*12+12,$Y131+$T131*12-1)))-MAX(TahunBuku*12+1,$Y131)+1),0))</f>
        <v/>
      </c>
      <c r="AH131" s="21" t="str">
        <f>IF($B131="","",IFERROR(IF($W131="Garis Lurus",$G131*(1-MIN($V131*12,MAX(0,TahunBuku*12-$Y131+1))/($V131*12)),IF($W131="Saldo Menurun",IF(TahunBuku-1&lt;YEAR($F131),$G131,IF(TahunBuku-1&gt;=INT(($Y131+$V131*12-2)/12),0,$G131*(1-2/$V131*(13-MONTH($F131))/12)*(1-2/$V131)^(TahunBuku-1-YEAR($F131)))),$G131)),$G131))</f>
        <v/>
      </c>
      <c r="AI131" s="21" t="str">
        <f>IF($B131="","",IFERROR(IF($W131="Garis Lurus",$G131*(1-MIN($V131*12,MAX(0,TahunBuku*12+12-$Y131+1))/($V131*12)),IF($W131="Saldo Menurun",IF(TahunBuku&lt;YEAR($F131),$G131,IF(TahunBuku&gt;=INT(($Y131+$V131*12-2)/12),0,$G131*(1-2/$V131*(13-MONTH($F131))/12)*(1-2/$V131)^(TahunBuku-YEAR($F131)))),$G131)),$G131))</f>
        <v/>
      </c>
      <c r="AJ131" s="20" t="str">
        <f>IF($B131="","",IF(OR($W131="Garis Lurus",$W131="Saldo Menurun"),MAX(0,MIN(TahunBuku*12+12,$Y131+$V131*12-1)-MAX(TahunBuku*12+1,$Y131)+1),0))</f>
        <v/>
      </c>
      <c r="AK131" s="20" t="str">
        <f>IF($B131="","",IF(OR($W131="Garis Lurus",$W131="Saldo Menurun"),MAX(0,MIN($Z131,TahunBuku*12+12,$Y131+$V131*12-1)-MAX(TahunBuku*12+1,$Y131)+1),0))</f>
        <v/>
      </c>
      <c r="AL131" s="22" t="str">
        <f>IF($B131="","",$G131*$AA131)</f>
        <v/>
      </c>
      <c r="AM131" s="22" t="str">
        <f>IF($B131="","",$G131*$AB131)</f>
        <v/>
      </c>
      <c r="AN131" s="22" t="str">
        <f>IF($B131="","",$G131*$AC131)</f>
        <v/>
      </c>
      <c r="AO131" s="22" t="str">
        <f>IF($B131="","",AL131+AM131-AN131)</f>
        <v/>
      </c>
      <c r="AP131" s="22" t="str">
        <f>IF($B131="","",($G131-$AD131)*$AA131)</f>
        <v/>
      </c>
      <c r="AQ131" s="22" t="str">
        <f>IF($B131="","",IF($AF131=0,0,($AD131-$AE131)*$AG131/$AF131)*MAX($AA131,$AB131))</f>
        <v/>
      </c>
      <c r="AR131" s="22" t="str">
        <f>IF($B131="","",(AP131+AQ131)*$AC131)</f>
        <v/>
      </c>
      <c r="AS131" s="22" t="str">
        <f>IF($B131="","",AP131+AQ131-AR131)</f>
        <v/>
      </c>
      <c r="AT131" s="22" t="str">
        <f>IF($B131="","",AO131-AS131)</f>
        <v/>
      </c>
      <c r="AU131" s="22" t="str">
        <f>IF($B131="","",IF($AC131=1,N($R131)-($G131-AR131),0))</f>
        <v/>
      </c>
      <c r="AV131" s="22" t="str">
        <f>IF($B131="","",($G131-$AH131)*$AA131)</f>
        <v/>
      </c>
      <c r="AW131" s="22" t="str">
        <f>IF($B131="","",IF($AJ131=0,0,($AH131-$AI131)*$AK131/$AJ131)*MAX($AA131,$AB131))</f>
        <v/>
      </c>
      <c r="AX131" s="22" t="str">
        <f>IF($B131="","",(AV131+AW131)*$AC131)</f>
        <v/>
      </c>
      <c r="AY131" s="22" t="str">
        <f>IF($B131="","",AV131+AW131-AX131)</f>
        <v/>
      </c>
      <c r="AZ131" s="22" t="str">
        <f>IF($B131="","",AO131-AY131)</f>
        <v/>
      </c>
      <c r="BA131" s="22" t="str">
        <f>IF($B131="","",IF($AC131=1,N($R131)-($G131-AX131),0))</f>
        <v/>
      </c>
      <c r="BB131" s="22" t="str">
        <f>IF($B131="","",ROUND(AQ131-AW131,0))</f>
        <v/>
      </c>
      <c r="BC131" s="22" t="str">
        <f>IF($B131="","",ROUND(BA131-AU131,0))</f>
        <v/>
      </c>
      <c r="BD131" s="22" t="str">
        <f>IF($B131="","",BB131+BC131)</f>
        <v/>
      </c>
      <c r="BE131" s="22" t="str">
        <f>IF($B131="","",ROUND(AV131-AP131,0))</f>
        <v/>
      </c>
      <c r="BF131" s="22" t="str">
        <f>IF($B131="","",ROUND(AT131-AZ131,0))</f>
        <v/>
      </c>
      <c r="BG131" s="22" t="str">
        <f>IF($B131="","",ROUND(BF131*TarifPPh,0))</f>
        <v/>
      </c>
      <c r="BH131" t="str">
        <f>IF($B131="","",IF($D131="","Kategori kosong",IF($F131="","Tgl perolehan kosong",IF(N($H131)&gt;$G131,"Residu &gt; harga perolehan",IF(AND(LEFT($U131,8)="Bangunan",$W131="Saldo Menurun"),"Bangunan wajib Garis Lurus (Ps.11 UU PPh)",IF(AND($S131="Unit Produksi",N($K131)=0),"Isi kapasitas unit",IF(AND(OR($S131="Garis Lurus",$S131="Saldo Menurun"),N($T131)&lt;=0),"Umur komersial kosong",IF(AND(OR($W131="Garis Lurus",$W131="Saldo Menurun"),N($V131)&lt;=0),"Masa manfaat fiskal kosong",IF(AND($Q131&lt;&gt;"",$Q131&lt;$F131),"Tgl pelepasan &lt; perolehan","OK")))))))))</f>
        <v/>
      </c>
    </row>
    <row r="132" spans="1:60" x14ac:dyDescent="0.25">
      <c r="A132" t="str">
        <f>IF($B132="","",ROW()-6)</f>
        <v/>
      </c>
      <c r="B132" s="9"/>
      <c r="C132" s="9"/>
      <c r="D132" s="9"/>
      <c r="E132" s="9"/>
      <c r="F132" s="17"/>
      <c r="G132" s="18"/>
      <c r="H132" s="18"/>
      <c r="I132" s="9"/>
      <c r="J132" s="9"/>
      <c r="K132" s="19"/>
      <c r="L132" s="19"/>
      <c r="M132" s="19"/>
      <c r="N132" s="9"/>
      <c r="O132" s="9"/>
      <c r="P132" s="9"/>
      <c r="Q132" s="17"/>
      <c r="R132" s="18"/>
      <c r="S132" t="str">
        <f>IF($B132="","",IF($I132&lt;&gt;"",$I132,IFERROR(INDEX(Kat_Metode,MATCH($D132,Kat_Nama,0)),"")))</f>
        <v/>
      </c>
      <c r="T132" t="str">
        <f>IF($B132="","",IF($J132&lt;&gt;"",$J132,IFERROR(INDEX(Kat_Umur,MATCH($D132,Kat_Nama,0)),0)))</f>
        <v/>
      </c>
      <c r="U132" t="str">
        <f>IF($B132="","",IF($N132&lt;&gt;"",$N132,IFERROR(INDEX(Kat_Kelompok,MATCH($D132,Kat_Nama,0)),"")))</f>
        <v/>
      </c>
      <c r="V132" t="str">
        <f>IF($B132="","",IF($U132="Masa Manfaat Sebenarnya",N($O132),IFERROR(INDEX(Kel_Masa,MATCH($U132,Kel_Nama,0)),0)))</f>
        <v/>
      </c>
      <c r="W132" t="str">
        <f>IF($B132="","",IF($P132&lt;&gt;"",$P132,IF(OR($U132="Tidak Disusutkan",$V132=0),"Tidak Disusutkan","Garis Lurus")))</f>
        <v/>
      </c>
      <c r="X132" t="str">
        <f>IF($B132="","",IF($Y132&gt;TahunBuku*12+12,"Belum Diperoleh",IF($Z132&lt;=TahunBuku*12,"Dilepas (thn lalu)",IF($AC132=1,"Dilepas thn ini",IF($AB132=1,"Perolehan baru","Aktif")))))</f>
        <v/>
      </c>
      <c r="Y132" s="20" t="str">
        <f>IF($B132="","",YEAR($F132)*12+MONTH($F132))</f>
        <v/>
      </c>
      <c r="Z132" s="20" t="str">
        <f>IF($B132="","",IF($Q132="",99999,YEAR($Q132)*12+MONTH($Q132)))</f>
        <v/>
      </c>
      <c r="AA132" s="20" t="str">
        <f>IF($B132="","",--AND($Y132&lt;=TahunBuku*12,$Z132&gt;TahunBuku*12))</f>
        <v/>
      </c>
      <c r="AB132" s="20" t="str">
        <f>IF($B132="","",--AND($Y132&gt;TahunBuku*12,$Y132&lt;=TahunBuku*12+12))</f>
        <v/>
      </c>
      <c r="AC132" s="20" t="str">
        <f>IF($B132="","",--AND($Z132&gt;TahunBuku*12,$Z132&lt;=TahunBuku*12+12,$Y132&lt;=$Z132))</f>
        <v/>
      </c>
      <c r="AD132" s="21" t="str">
        <f>IF($B132="","",IFERROR(IF($S132="Garis Lurus",$G132-($G132-$H132)*MIN($T132*12,MAX(0,TahunBuku*12-$Y132+1))/($T132*12),IF($S132="Saldo Menurun",IF(TahunBuku-1&lt;YEAR($F132),$G132,IF(TahunBuku-1&gt;=INT(($Y132+$T132*12-2)/12),$H132,MAX($H132,$G132*(1-2/$T132*(13-MONTH($F132))/12)*(1-2/$T132)^(TahunBuku-1-YEAR($F132))))),IF($S132="Unit Produksi",$G132-($G132-$H132)*MIN(1,N($L132)/$K132),$G132))),$G132))</f>
        <v/>
      </c>
      <c r="AE132" s="21" t="str">
        <f>IF($B132="","",IFERROR(IF($S132="Garis Lurus",$G132-($G132-$H132)*MIN($T132*12,MAX(0,TahunBuku*12+12-$Y132+1))/($T132*12),IF($S132="Saldo Menurun",IF(TahunBuku&lt;YEAR($F132),$G132,IF(TahunBuku&gt;=INT(($Y132+$T132*12-2)/12),$H132,MAX($H132,$G132*(1-2/$T132*(13-MONTH($F132))/12)*(1-2/$T132)^(TahunBuku-YEAR($F132))))),IF($S132="Unit Produksi",$G132-($G132-$H132)*MIN(1,(N($L132)+N($M132))/$K132),$G132))),$G132))</f>
        <v/>
      </c>
      <c r="AF132" s="20" t="str">
        <f>IF($B132="","",IF(OR($S132="Garis Lurus",$S132="Saldo Menurun",$S132="Unit Produksi"),MAX(0,IF($S132="Unit Produksi",TahunBuku*12+12,MIN(TahunBuku*12+12,$Y132+$T132*12-1))-MAX(TahunBuku*12+1,$Y132)+1),0))</f>
        <v/>
      </c>
      <c r="AG132" s="20" t="str">
        <f>IF($B132="","",IF(OR($S132="Garis Lurus",$S132="Saldo Menurun",$S132="Unit Produksi"),MAX(0,MIN($Z132,IF($S132="Unit Produksi",TahunBuku*12+12,MIN(TahunBuku*12+12,$Y132+$T132*12-1)))-MAX(TahunBuku*12+1,$Y132)+1),0))</f>
        <v/>
      </c>
      <c r="AH132" s="21" t="str">
        <f>IF($B132="","",IFERROR(IF($W132="Garis Lurus",$G132*(1-MIN($V132*12,MAX(0,TahunBuku*12-$Y132+1))/($V132*12)),IF($W132="Saldo Menurun",IF(TahunBuku-1&lt;YEAR($F132),$G132,IF(TahunBuku-1&gt;=INT(($Y132+$V132*12-2)/12),0,$G132*(1-2/$V132*(13-MONTH($F132))/12)*(1-2/$V132)^(TahunBuku-1-YEAR($F132)))),$G132)),$G132))</f>
        <v/>
      </c>
      <c r="AI132" s="21" t="str">
        <f>IF($B132="","",IFERROR(IF($W132="Garis Lurus",$G132*(1-MIN($V132*12,MAX(0,TahunBuku*12+12-$Y132+1))/($V132*12)),IF($W132="Saldo Menurun",IF(TahunBuku&lt;YEAR($F132),$G132,IF(TahunBuku&gt;=INT(($Y132+$V132*12-2)/12),0,$G132*(1-2/$V132*(13-MONTH($F132))/12)*(1-2/$V132)^(TahunBuku-YEAR($F132)))),$G132)),$G132))</f>
        <v/>
      </c>
      <c r="AJ132" s="20" t="str">
        <f>IF($B132="","",IF(OR($W132="Garis Lurus",$W132="Saldo Menurun"),MAX(0,MIN(TahunBuku*12+12,$Y132+$V132*12-1)-MAX(TahunBuku*12+1,$Y132)+1),0))</f>
        <v/>
      </c>
      <c r="AK132" s="20" t="str">
        <f>IF($B132="","",IF(OR($W132="Garis Lurus",$W132="Saldo Menurun"),MAX(0,MIN($Z132,TahunBuku*12+12,$Y132+$V132*12-1)-MAX(TahunBuku*12+1,$Y132)+1),0))</f>
        <v/>
      </c>
      <c r="AL132" s="22" t="str">
        <f>IF($B132="","",$G132*$AA132)</f>
        <v/>
      </c>
      <c r="AM132" s="22" t="str">
        <f>IF($B132="","",$G132*$AB132)</f>
        <v/>
      </c>
      <c r="AN132" s="22" t="str">
        <f>IF($B132="","",$G132*$AC132)</f>
        <v/>
      </c>
      <c r="AO132" s="22" t="str">
        <f>IF($B132="","",AL132+AM132-AN132)</f>
        <v/>
      </c>
      <c r="AP132" s="22" t="str">
        <f>IF($B132="","",($G132-$AD132)*$AA132)</f>
        <v/>
      </c>
      <c r="AQ132" s="22" t="str">
        <f>IF($B132="","",IF($AF132=0,0,($AD132-$AE132)*$AG132/$AF132)*MAX($AA132,$AB132))</f>
        <v/>
      </c>
      <c r="AR132" s="22" t="str">
        <f>IF($B132="","",(AP132+AQ132)*$AC132)</f>
        <v/>
      </c>
      <c r="AS132" s="22" t="str">
        <f>IF($B132="","",AP132+AQ132-AR132)</f>
        <v/>
      </c>
      <c r="AT132" s="22" t="str">
        <f>IF($B132="","",AO132-AS132)</f>
        <v/>
      </c>
      <c r="AU132" s="22" t="str">
        <f>IF($B132="","",IF($AC132=1,N($R132)-($G132-AR132),0))</f>
        <v/>
      </c>
      <c r="AV132" s="22" t="str">
        <f>IF($B132="","",($G132-$AH132)*$AA132)</f>
        <v/>
      </c>
      <c r="AW132" s="22" t="str">
        <f>IF($B132="","",IF($AJ132=0,0,($AH132-$AI132)*$AK132/$AJ132)*MAX($AA132,$AB132))</f>
        <v/>
      </c>
      <c r="AX132" s="22" t="str">
        <f>IF($B132="","",(AV132+AW132)*$AC132)</f>
        <v/>
      </c>
      <c r="AY132" s="22" t="str">
        <f>IF($B132="","",AV132+AW132-AX132)</f>
        <v/>
      </c>
      <c r="AZ132" s="22" t="str">
        <f>IF($B132="","",AO132-AY132)</f>
        <v/>
      </c>
      <c r="BA132" s="22" t="str">
        <f>IF($B132="","",IF($AC132=1,N($R132)-($G132-AX132),0))</f>
        <v/>
      </c>
      <c r="BB132" s="22" t="str">
        <f>IF($B132="","",ROUND(AQ132-AW132,0))</f>
        <v/>
      </c>
      <c r="BC132" s="22" t="str">
        <f>IF($B132="","",ROUND(BA132-AU132,0))</f>
        <v/>
      </c>
      <c r="BD132" s="22" t="str">
        <f>IF($B132="","",BB132+BC132)</f>
        <v/>
      </c>
      <c r="BE132" s="22" t="str">
        <f>IF($B132="","",ROUND(AV132-AP132,0))</f>
        <v/>
      </c>
      <c r="BF132" s="22" t="str">
        <f>IF($B132="","",ROUND(AT132-AZ132,0))</f>
        <v/>
      </c>
      <c r="BG132" s="22" t="str">
        <f>IF($B132="","",ROUND(BF132*TarifPPh,0))</f>
        <v/>
      </c>
      <c r="BH132" t="str">
        <f>IF($B132="","",IF($D132="","Kategori kosong",IF($F132="","Tgl perolehan kosong",IF(N($H132)&gt;$G132,"Residu &gt; harga perolehan",IF(AND(LEFT($U132,8)="Bangunan",$W132="Saldo Menurun"),"Bangunan wajib Garis Lurus (Ps.11 UU PPh)",IF(AND($S132="Unit Produksi",N($K132)=0),"Isi kapasitas unit",IF(AND(OR($S132="Garis Lurus",$S132="Saldo Menurun"),N($T132)&lt;=0),"Umur komersial kosong",IF(AND(OR($W132="Garis Lurus",$W132="Saldo Menurun"),N($V132)&lt;=0),"Masa manfaat fiskal kosong",IF(AND($Q132&lt;&gt;"",$Q132&lt;$F132),"Tgl pelepasan &lt; perolehan","OK")))))))))</f>
        <v/>
      </c>
    </row>
    <row r="133" spans="1:60" x14ac:dyDescent="0.25">
      <c r="A133" t="str">
        <f>IF($B133="","",ROW()-6)</f>
        <v/>
      </c>
      <c r="B133" s="9"/>
      <c r="C133" s="9"/>
      <c r="D133" s="9"/>
      <c r="E133" s="9"/>
      <c r="F133" s="17"/>
      <c r="G133" s="18"/>
      <c r="H133" s="18"/>
      <c r="I133" s="9"/>
      <c r="J133" s="9"/>
      <c r="K133" s="19"/>
      <c r="L133" s="19"/>
      <c r="M133" s="19"/>
      <c r="N133" s="9"/>
      <c r="O133" s="9"/>
      <c r="P133" s="9"/>
      <c r="Q133" s="17"/>
      <c r="R133" s="18"/>
      <c r="S133" t="str">
        <f>IF($B133="","",IF($I133&lt;&gt;"",$I133,IFERROR(INDEX(Kat_Metode,MATCH($D133,Kat_Nama,0)),"")))</f>
        <v/>
      </c>
      <c r="T133" t="str">
        <f>IF($B133="","",IF($J133&lt;&gt;"",$J133,IFERROR(INDEX(Kat_Umur,MATCH($D133,Kat_Nama,0)),0)))</f>
        <v/>
      </c>
      <c r="U133" t="str">
        <f>IF($B133="","",IF($N133&lt;&gt;"",$N133,IFERROR(INDEX(Kat_Kelompok,MATCH($D133,Kat_Nama,0)),"")))</f>
        <v/>
      </c>
      <c r="V133" t="str">
        <f>IF($B133="","",IF($U133="Masa Manfaat Sebenarnya",N($O133),IFERROR(INDEX(Kel_Masa,MATCH($U133,Kel_Nama,0)),0)))</f>
        <v/>
      </c>
      <c r="W133" t="str">
        <f>IF($B133="","",IF($P133&lt;&gt;"",$P133,IF(OR($U133="Tidak Disusutkan",$V133=0),"Tidak Disusutkan","Garis Lurus")))</f>
        <v/>
      </c>
      <c r="X133" t="str">
        <f>IF($B133="","",IF($Y133&gt;TahunBuku*12+12,"Belum Diperoleh",IF($Z133&lt;=TahunBuku*12,"Dilepas (thn lalu)",IF($AC133=1,"Dilepas thn ini",IF($AB133=1,"Perolehan baru","Aktif")))))</f>
        <v/>
      </c>
      <c r="Y133" s="20" t="str">
        <f>IF($B133="","",YEAR($F133)*12+MONTH($F133))</f>
        <v/>
      </c>
      <c r="Z133" s="20" t="str">
        <f>IF($B133="","",IF($Q133="",99999,YEAR($Q133)*12+MONTH($Q133)))</f>
        <v/>
      </c>
      <c r="AA133" s="20" t="str">
        <f>IF($B133="","",--AND($Y133&lt;=TahunBuku*12,$Z133&gt;TahunBuku*12))</f>
        <v/>
      </c>
      <c r="AB133" s="20" t="str">
        <f>IF($B133="","",--AND($Y133&gt;TahunBuku*12,$Y133&lt;=TahunBuku*12+12))</f>
        <v/>
      </c>
      <c r="AC133" s="20" t="str">
        <f>IF($B133="","",--AND($Z133&gt;TahunBuku*12,$Z133&lt;=TahunBuku*12+12,$Y133&lt;=$Z133))</f>
        <v/>
      </c>
      <c r="AD133" s="21" t="str">
        <f>IF($B133="","",IFERROR(IF($S133="Garis Lurus",$G133-($G133-$H133)*MIN($T133*12,MAX(0,TahunBuku*12-$Y133+1))/($T133*12),IF($S133="Saldo Menurun",IF(TahunBuku-1&lt;YEAR($F133),$G133,IF(TahunBuku-1&gt;=INT(($Y133+$T133*12-2)/12),$H133,MAX($H133,$G133*(1-2/$T133*(13-MONTH($F133))/12)*(1-2/$T133)^(TahunBuku-1-YEAR($F133))))),IF($S133="Unit Produksi",$G133-($G133-$H133)*MIN(1,N($L133)/$K133),$G133))),$G133))</f>
        <v/>
      </c>
      <c r="AE133" s="21" t="str">
        <f>IF($B133="","",IFERROR(IF($S133="Garis Lurus",$G133-($G133-$H133)*MIN($T133*12,MAX(0,TahunBuku*12+12-$Y133+1))/($T133*12),IF($S133="Saldo Menurun",IF(TahunBuku&lt;YEAR($F133),$G133,IF(TahunBuku&gt;=INT(($Y133+$T133*12-2)/12),$H133,MAX($H133,$G133*(1-2/$T133*(13-MONTH($F133))/12)*(1-2/$T133)^(TahunBuku-YEAR($F133))))),IF($S133="Unit Produksi",$G133-($G133-$H133)*MIN(1,(N($L133)+N($M133))/$K133),$G133))),$G133))</f>
        <v/>
      </c>
      <c r="AF133" s="20" t="str">
        <f>IF($B133="","",IF(OR($S133="Garis Lurus",$S133="Saldo Menurun",$S133="Unit Produksi"),MAX(0,IF($S133="Unit Produksi",TahunBuku*12+12,MIN(TahunBuku*12+12,$Y133+$T133*12-1))-MAX(TahunBuku*12+1,$Y133)+1),0))</f>
        <v/>
      </c>
      <c r="AG133" s="20" t="str">
        <f>IF($B133="","",IF(OR($S133="Garis Lurus",$S133="Saldo Menurun",$S133="Unit Produksi"),MAX(0,MIN($Z133,IF($S133="Unit Produksi",TahunBuku*12+12,MIN(TahunBuku*12+12,$Y133+$T133*12-1)))-MAX(TahunBuku*12+1,$Y133)+1),0))</f>
        <v/>
      </c>
      <c r="AH133" s="21" t="str">
        <f>IF($B133="","",IFERROR(IF($W133="Garis Lurus",$G133*(1-MIN($V133*12,MAX(0,TahunBuku*12-$Y133+1))/($V133*12)),IF($W133="Saldo Menurun",IF(TahunBuku-1&lt;YEAR($F133),$G133,IF(TahunBuku-1&gt;=INT(($Y133+$V133*12-2)/12),0,$G133*(1-2/$V133*(13-MONTH($F133))/12)*(1-2/$V133)^(TahunBuku-1-YEAR($F133)))),$G133)),$G133))</f>
        <v/>
      </c>
      <c r="AI133" s="21" t="str">
        <f>IF($B133="","",IFERROR(IF($W133="Garis Lurus",$G133*(1-MIN($V133*12,MAX(0,TahunBuku*12+12-$Y133+1))/($V133*12)),IF($W133="Saldo Menurun",IF(TahunBuku&lt;YEAR($F133),$G133,IF(TahunBuku&gt;=INT(($Y133+$V133*12-2)/12),0,$G133*(1-2/$V133*(13-MONTH($F133))/12)*(1-2/$V133)^(TahunBuku-YEAR($F133)))),$G133)),$G133))</f>
        <v/>
      </c>
      <c r="AJ133" s="20" t="str">
        <f>IF($B133="","",IF(OR($W133="Garis Lurus",$W133="Saldo Menurun"),MAX(0,MIN(TahunBuku*12+12,$Y133+$V133*12-1)-MAX(TahunBuku*12+1,$Y133)+1),0))</f>
        <v/>
      </c>
      <c r="AK133" s="20" t="str">
        <f>IF($B133="","",IF(OR($W133="Garis Lurus",$W133="Saldo Menurun"),MAX(0,MIN($Z133,TahunBuku*12+12,$Y133+$V133*12-1)-MAX(TahunBuku*12+1,$Y133)+1),0))</f>
        <v/>
      </c>
      <c r="AL133" s="22" t="str">
        <f>IF($B133="","",$G133*$AA133)</f>
        <v/>
      </c>
      <c r="AM133" s="22" t="str">
        <f>IF($B133="","",$G133*$AB133)</f>
        <v/>
      </c>
      <c r="AN133" s="22" t="str">
        <f>IF($B133="","",$G133*$AC133)</f>
        <v/>
      </c>
      <c r="AO133" s="22" t="str">
        <f>IF($B133="","",AL133+AM133-AN133)</f>
        <v/>
      </c>
      <c r="AP133" s="22" t="str">
        <f>IF($B133="","",($G133-$AD133)*$AA133)</f>
        <v/>
      </c>
      <c r="AQ133" s="22" t="str">
        <f>IF($B133="","",IF($AF133=0,0,($AD133-$AE133)*$AG133/$AF133)*MAX($AA133,$AB133))</f>
        <v/>
      </c>
      <c r="AR133" s="22" t="str">
        <f>IF($B133="","",(AP133+AQ133)*$AC133)</f>
        <v/>
      </c>
      <c r="AS133" s="22" t="str">
        <f>IF($B133="","",AP133+AQ133-AR133)</f>
        <v/>
      </c>
      <c r="AT133" s="22" t="str">
        <f>IF($B133="","",AO133-AS133)</f>
        <v/>
      </c>
      <c r="AU133" s="22" t="str">
        <f>IF($B133="","",IF($AC133=1,N($R133)-($G133-AR133),0))</f>
        <v/>
      </c>
      <c r="AV133" s="22" t="str">
        <f>IF($B133="","",($G133-$AH133)*$AA133)</f>
        <v/>
      </c>
      <c r="AW133" s="22" t="str">
        <f>IF($B133="","",IF($AJ133=0,0,($AH133-$AI133)*$AK133/$AJ133)*MAX($AA133,$AB133))</f>
        <v/>
      </c>
      <c r="AX133" s="22" t="str">
        <f>IF($B133="","",(AV133+AW133)*$AC133)</f>
        <v/>
      </c>
      <c r="AY133" s="22" t="str">
        <f>IF($B133="","",AV133+AW133-AX133)</f>
        <v/>
      </c>
      <c r="AZ133" s="22" t="str">
        <f>IF($B133="","",AO133-AY133)</f>
        <v/>
      </c>
      <c r="BA133" s="22" t="str">
        <f>IF($B133="","",IF($AC133=1,N($R133)-($G133-AX133),0))</f>
        <v/>
      </c>
      <c r="BB133" s="22" t="str">
        <f>IF($B133="","",ROUND(AQ133-AW133,0))</f>
        <v/>
      </c>
      <c r="BC133" s="22" t="str">
        <f>IF($B133="","",ROUND(BA133-AU133,0))</f>
        <v/>
      </c>
      <c r="BD133" s="22" t="str">
        <f>IF($B133="","",BB133+BC133)</f>
        <v/>
      </c>
      <c r="BE133" s="22" t="str">
        <f>IF($B133="","",ROUND(AV133-AP133,0))</f>
        <v/>
      </c>
      <c r="BF133" s="22" t="str">
        <f>IF($B133="","",ROUND(AT133-AZ133,0))</f>
        <v/>
      </c>
      <c r="BG133" s="22" t="str">
        <f>IF($B133="","",ROUND(BF133*TarifPPh,0))</f>
        <v/>
      </c>
      <c r="BH133" t="str">
        <f>IF($B133="","",IF($D133="","Kategori kosong",IF($F133="","Tgl perolehan kosong",IF(N($H133)&gt;$G133,"Residu &gt; harga perolehan",IF(AND(LEFT($U133,8)="Bangunan",$W133="Saldo Menurun"),"Bangunan wajib Garis Lurus (Ps.11 UU PPh)",IF(AND($S133="Unit Produksi",N($K133)=0),"Isi kapasitas unit",IF(AND(OR($S133="Garis Lurus",$S133="Saldo Menurun"),N($T133)&lt;=0),"Umur komersial kosong",IF(AND(OR($W133="Garis Lurus",$W133="Saldo Menurun"),N($V133)&lt;=0),"Masa manfaat fiskal kosong",IF(AND($Q133&lt;&gt;"",$Q133&lt;$F133),"Tgl pelepasan &lt; perolehan","OK")))))))))</f>
        <v/>
      </c>
    </row>
    <row r="134" spans="1:60" x14ac:dyDescent="0.25">
      <c r="A134" t="str">
        <f>IF($B134="","",ROW()-6)</f>
        <v/>
      </c>
      <c r="B134" s="9"/>
      <c r="C134" s="9"/>
      <c r="D134" s="9"/>
      <c r="E134" s="9"/>
      <c r="F134" s="17"/>
      <c r="G134" s="18"/>
      <c r="H134" s="18"/>
      <c r="I134" s="9"/>
      <c r="J134" s="9"/>
      <c r="K134" s="19"/>
      <c r="L134" s="19"/>
      <c r="M134" s="19"/>
      <c r="N134" s="9"/>
      <c r="O134" s="9"/>
      <c r="P134" s="9"/>
      <c r="Q134" s="17"/>
      <c r="R134" s="18"/>
      <c r="S134" t="str">
        <f>IF($B134="","",IF($I134&lt;&gt;"",$I134,IFERROR(INDEX(Kat_Metode,MATCH($D134,Kat_Nama,0)),"")))</f>
        <v/>
      </c>
      <c r="T134" t="str">
        <f>IF($B134="","",IF($J134&lt;&gt;"",$J134,IFERROR(INDEX(Kat_Umur,MATCH($D134,Kat_Nama,0)),0)))</f>
        <v/>
      </c>
      <c r="U134" t="str">
        <f>IF($B134="","",IF($N134&lt;&gt;"",$N134,IFERROR(INDEX(Kat_Kelompok,MATCH($D134,Kat_Nama,0)),"")))</f>
        <v/>
      </c>
      <c r="V134" t="str">
        <f>IF($B134="","",IF($U134="Masa Manfaat Sebenarnya",N($O134),IFERROR(INDEX(Kel_Masa,MATCH($U134,Kel_Nama,0)),0)))</f>
        <v/>
      </c>
      <c r="W134" t="str">
        <f>IF($B134="","",IF($P134&lt;&gt;"",$P134,IF(OR($U134="Tidak Disusutkan",$V134=0),"Tidak Disusutkan","Garis Lurus")))</f>
        <v/>
      </c>
      <c r="X134" t="str">
        <f>IF($B134="","",IF($Y134&gt;TahunBuku*12+12,"Belum Diperoleh",IF($Z134&lt;=TahunBuku*12,"Dilepas (thn lalu)",IF($AC134=1,"Dilepas thn ini",IF($AB134=1,"Perolehan baru","Aktif")))))</f>
        <v/>
      </c>
      <c r="Y134" s="20" t="str">
        <f>IF($B134="","",YEAR($F134)*12+MONTH($F134))</f>
        <v/>
      </c>
      <c r="Z134" s="20" t="str">
        <f>IF($B134="","",IF($Q134="",99999,YEAR($Q134)*12+MONTH($Q134)))</f>
        <v/>
      </c>
      <c r="AA134" s="20" t="str">
        <f>IF($B134="","",--AND($Y134&lt;=TahunBuku*12,$Z134&gt;TahunBuku*12))</f>
        <v/>
      </c>
      <c r="AB134" s="20" t="str">
        <f>IF($B134="","",--AND($Y134&gt;TahunBuku*12,$Y134&lt;=TahunBuku*12+12))</f>
        <v/>
      </c>
      <c r="AC134" s="20" t="str">
        <f>IF($B134="","",--AND($Z134&gt;TahunBuku*12,$Z134&lt;=TahunBuku*12+12,$Y134&lt;=$Z134))</f>
        <v/>
      </c>
      <c r="AD134" s="21" t="str">
        <f>IF($B134="","",IFERROR(IF($S134="Garis Lurus",$G134-($G134-$H134)*MIN($T134*12,MAX(0,TahunBuku*12-$Y134+1))/($T134*12),IF($S134="Saldo Menurun",IF(TahunBuku-1&lt;YEAR($F134),$G134,IF(TahunBuku-1&gt;=INT(($Y134+$T134*12-2)/12),$H134,MAX($H134,$G134*(1-2/$T134*(13-MONTH($F134))/12)*(1-2/$T134)^(TahunBuku-1-YEAR($F134))))),IF($S134="Unit Produksi",$G134-($G134-$H134)*MIN(1,N($L134)/$K134),$G134))),$G134))</f>
        <v/>
      </c>
      <c r="AE134" s="21" t="str">
        <f>IF($B134="","",IFERROR(IF($S134="Garis Lurus",$G134-($G134-$H134)*MIN($T134*12,MAX(0,TahunBuku*12+12-$Y134+1))/($T134*12),IF($S134="Saldo Menurun",IF(TahunBuku&lt;YEAR($F134),$G134,IF(TahunBuku&gt;=INT(($Y134+$T134*12-2)/12),$H134,MAX($H134,$G134*(1-2/$T134*(13-MONTH($F134))/12)*(1-2/$T134)^(TahunBuku-YEAR($F134))))),IF($S134="Unit Produksi",$G134-($G134-$H134)*MIN(1,(N($L134)+N($M134))/$K134),$G134))),$G134))</f>
        <v/>
      </c>
      <c r="AF134" s="20" t="str">
        <f>IF($B134="","",IF(OR($S134="Garis Lurus",$S134="Saldo Menurun",$S134="Unit Produksi"),MAX(0,IF($S134="Unit Produksi",TahunBuku*12+12,MIN(TahunBuku*12+12,$Y134+$T134*12-1))-MAX(TahunBuku*12+1,$Y134)+1),0))</f>
        <v/>
      </c>
      <c r="AG134" s="20" t="str">
        <f>IF($B134="","",IF(OR($S134="Garis Lurus",$S134="Saldo Menurun",$S134="Unit Produksi"),MAX(0,MIN($Z134,IF($S134="Unit Produksi",TahunBuku*12+12,MIN(TahunBuku*12+12,$Y134+$T134*12-1)))-MAX(TahunBuku*12+1,$Y134)+1),0))</f>
        <v/>
      </c>
      <c r="AH134" s="21" t="str">
        <f>IF($B134="","",IFERROR(IF($W134="Garis Lurus",$G134*(1-MIN($V134*12,MAX(0,TahunBuku*12-$Y134+1))/($V134*12)),IF($W134="Saldo Menurun",IF(TahunBuku-1&lt;YEAR($F134),$G134,IF(TahunBuku-1&gt;=INT(($Y134+$V134*12-2)/12),0,$G134*(1-2/$V134*(13-MONTH($F134))/12)*(1-2/$V134)^(TahunBuku-1-YEAR($F134)))),$G134)),$G134))</f>
        <v/>
      </c>
      <c r="AI134" s="21" t="str">
        <f>IF($B134="","",IFERROR(IF($W134="Garis Lurus",$G134*(1-MIN($V134*12,MAX(0,TahunBuku*12+12-$Y134+1))/($V134*12)),IF($W134="Saldo Menurun",IF(TahunBuku&lt;YEAR($F134),$G134,IF(TahunBuku&gt;=INT(($Y134+$V134*12-2)/12),0,$G134*(1-2/$V134*(13-MONTH($F134))/12)*(1-2/$V134)^(TahunBuku-YEAR($F134)))),$G134)),$G134))</f>
        <v/>
      </c>
      <c r="AJ134" s="20" t="str">
        <f>IF($B134="","",IF(OR($W134="Garis Lurus",$W134="Saldo Menurun"),MAX(0,MIN(TahunBuku*12+12,$Y134+$V134*12-1)-MAX(TahunBuku*12+1,$Y134)+1),0))</f>
        <v/>
      </c>
      <c r="AK134" s="20" t="str">
        <f>IF($B134="","",IF(OR($W134="Garis Lurus",$W134="Saldo Menurun"),MAX(0,MIN($Z134,TahunBuku*12+12,$Y134+$V134*12-1)-MAX(TahunBuku*12+1,$Y134)+1),0))</f>
        <v/>
      </c>
      <c r="AL134" s="22" t="str">
        <f>IF($B134="","",$G134*$AA134)</f>
        <v/>
      </c>
      <c r="AM134" s="22" t="str">
        <f>IF($B134="","",$G134*$AB134)</f>
        <v/>
      </c>
      <c r="AN134" s="22" t="str">
        <f>IF($B134="","",$G134*$AC134)</f>
        <v/>
      </c>
      <c r="AO134" s="22" t="str">
        <f>IF($B134="","",AL134+AM134-AN134)</f>
        <v/>
      </c>
      <c r="AP134" s="22" t="str">
        <f>IF($B134="","",($G134-$AD134)*$AA134)</f>
        <v/>
      </c>
      <c r="AQ134" s="22" t="str">
        <f>IF($B134="","",IF($AF134=0,0,($AD134-$AE134)*$AG134/$AF134)*MAX($AA134,$AB134))</f>
        <v/>
      </c>
      <c r="AR134" s="22" t="str">
        <f>IF($B134="","",(AP134+AQ134)*$AC134)</f>
        <v/>
      </c>
      <c r="AS134" s="22" t="str">
        <f>IF($B134="","",AP134+AQ134-AR134)</f>
        <v/>
      </c>
      <c r="AT134" s="22" t="str">
        <f>IF($B134="","",AO134-AS134)</f>
        <v/>
      </c>
      <c r="AU134" s="22" t="str">
        <f>IF($B134="","",IF($AC134=1,N($R134)-($G134-AR134),0))</f>
        <v/>
      </c>
      <c r="AV134" s="22" t="str">
        <f>IF($B134="","",($G134-$AH134)*$AA134)</f>
        <v/>
      </c>
      <c r="AW134" s="22" t="str">
        <f>IF($B134="","",IF($AJ134=0,0,($AH134-$AI134)*$AK134/$AJ134)*MAX($AA134,$AB134))</f>
        <v/>
      </c>
      <c r="AX134" s="22" t="str">
        <f>IF($B134="","",(AV134+AW134)*$AC134)</f>
        <v/>
      </c>
      <c r="AY134" s="22" t="str">
        <f>IF($B134="","",AV134+AW134-AX134)</f>
        <v/>
      </c>
      <c r="AZ134" s="22" t="str">
        <f>IF($B134="","",AO134-AY134)</f>
        <v/>
      </c>
      <c r="BA134" s="22" t="str">
        <f>IF($B134="","",IF($AC134=1,N($R134)-($G134-AX134),0))</f>
        <v/>
      </c>
      <c r="BB134" s="22" t="str">
        <f>IF($B134="","",ROUND(AQ134-AW134,0))</f>
        <v/>
      </c>
      <c r="BC134" s="22" t="str">
        <f>IF($B134="","",ROUND(BA134-AU134,0))</f>
        <v/>
      </c>
      <c r="BD134" s="22" t="str">
        <f>IF($B134="","",BB134+BC134)</f>
        <v/>
      </c>
      <c r="BE134" s="22" t="str">
        <f>IF($B134="","",ROUND(AV134-AP134,0))</f>
        <v/>
      </c>
      <c r="BF134" s="22" t="str">
        <f>IF($B134="","",ROUND(AT134-AZ134,0))</f>
        <v/>
      </c>
      <c r="BG134" s="22" t="str">
        <f>IF($B134="","",ROUND(BF134*TarifPPh,0))</f>
        <v/>
      </c>
      <c r="BH134" t="str">
        <f>IF($B134="","",IF($D134="","Kategori kosong",IF($F134="","Tgl perolehan kosong",IF(N($H134)&gt;$G134,"Residu &gt; harga perolehan",IF(AND(LEFT($U134,8)="Bangunan",$W134="Saldo Menurun"),"Bangunan wajib Garis Lurus (Ps.11 UU PPh)",IF(AND($S134="Unit Produksi",N($K134)=0),"Isi kapasitas unit",IF(AND(OR($S134="Garis Lurus",$S134="Saldo Menurun"),N($T134)&lt;=0),"Umur komersial kosong",IF(AND(OR($W134="Garis Lurus",$W134="Saldo Menurun"),N($V134)&lt;=0),"Masa manfaat fiskal kosong",IF(AND($Q134&lt;&gt;"",$Q134&lt;$F134),"Tgl pelepasan &lt; perolehan","OK")))))))))</f>
        <v/>
      </c>
    </row>
    <row r="135" spans="1:60" x14ac:dyDescent="0.25">
      <c r="A135" t="str">
        <f>IF($B135="","",ROW()-6)</f>
        <v/>
      </c>
      <c r="B135" s="9"/>
      <c r="C135" s="9"/>
      <c r="D135" s="9"/>
      <c r="E135" s="9"/>
      <c r="F135" s="17"/>
      <c r="G135" s="18"/>
      <c r="H135" s="18"/>
      <c r="I135" s="9"/>
      <c r="J135" s="9"/>
      <c r="K135" s="19"/>
      <c r="L135" s="19"/>
      <c r="M135" s="19"/>
      <c r="N135" s="9"/>
      <c r="O135" s="9"/>
      <c r="P135" s="9"/>
      <c r="Q135" s="17"/>
      <c r="R135" s="18"/>
      <c r="S135" t="str">
        <f>IF($B135="","",IF($I135&lt;&gt;"",$I135,IFERROR(INDEX(Kat_Metode,MATCH($D135,Kat_Nama,0)),"")))</f>
        <v/>
      </c>
      <c r="T135" t="str">
        <f>IF($B135="","",IF($J135&lt;&gt;"",$J135,IFERROR(INDEX(Kat_Umur,MATCH($D135,Kat_Nama,0)),0)))</f>
        <v/>
      </c>
      <c r="U135" t="str">
        <f>IF($B135="","",IF($N135&lt;&gt;"",$N135,IFERROR(INDEX(Kat_Kelompok,MATCH($D135,Kat_Nama,0)),"")))</f>
        <v/>
      </c>
      <c r="V135" t="str">
        <f>IF($B135="","",IF($U135="Masa Manfaat Sebenarnya",N($O135),IFERROR(INDEX(Kel_Masa,MATCH($U135,Kel_Nama,0)),0)))</f>
        <v/>
      </c>
      <c r="W135" t="str">
        <f>IF($B135="","",IF($P135&lt;&gt;"",$P135,IF(OR($U135="Tidak Disusutkan",$V135=0),"Tidak Disusutkan","Garis Lurus")))</f>
        <v/>
      </c>
      <c r="X135" t="str">
        <f>IF($B135="","",IF($Y135&gt;TahunBuku*12+12,"Belum Diperoleh",IF($Z135&lt;=TahunBuku*12,"Dilepas (thn lalu)",IF($AC135=1,"Dilepas thn ini",IF($AB135=1,"Perolehan baru","Aktif")))))</f>
        <v/>
      </c>
      <c r="Y135" s="20" t="str">
        <f>IF($B135="","",YEAR($F135)*12+MONTH($F135))</f>
        <v/>
      </c>
      <c r="Z135" s="20" t="str">
        <f>IF($B135="","",IF($Q135="",99999,YEAR($Q135)*12+MONTH($Q135)))</f>
        <v/>
      </c>
      <c r="AA135" s="20" t="str">
        <f>IF($B135="","",--AND($Y135&lt;=TahunBuku*12,$Z135&gt;TahunBuku*12))</f>
        <v/>
      </c>
      <c r="AB135" s="20" t="str">
        <f>IF($B135="","",--AND($Y135&gt;TahunBuku*12,$Y135&lt;=TahunBuku*12+12))</f>
        <v/>
      </c>
      <c r="AC135" s="20" t="str">
        <f>IF($B135="","",--AND($Z135&gt;TahunBuku*12,$Z135&lt;=TahunBuku*12+12,$Y135&lt;=$Z135))</f>
        <v/>
      </c>
      <c r="AD135" s="21" t="str">
        <f>IF($B135="","",IFERROR(IF($S135="Garis Lurus",$G135-($G135-$H135)*MIN($T135*12,MAX(0,TahunBuku*12-$Y135+1))/($T135*12),IF($S135="Saldo Menurun",IF(TahunBuku-1&lt;YEAR($F135),$G135,IF(TahunBuku-1&gt;=INT(($Y135+$T135*12-2)/12),$H135,MAX($H135,$G135*(1-2/$T135*(13-MONTH($F135))/12)*(1-2/$T135)^(TahunBuku-1-YEAR($F135))))),IF($S135="Unit Produksi",$G135-($G135-$H135)*MIN(1,N($L135)/$K135),$G135))),$G135))</f>
        <v/>
      </c>
      <c r="AE135" s="21" t="str">
        <f>IF($B135="","",IFERROR(IF($S135="Garis Lurus",$G135-($G135-$H135)*MIN($T135*12,MAX(0,TahunBuku*12+12-$Y135+1))/($T135*12),IF($S135="Saldo Menurun",IF(TahunBuku&lt;YEAR($F135),$G135,IF(TahunBuku&gt;=INT(($Y135+$T135*12-2)/12),$H135,MAX($H135,$G135*(1-2/$T135*(13-MONTH($F135))/12)*(1-2/$T135)^(TahunBuku-YEAR($F135))))),IF($S135="Unit Produksi",$G135-($G135-$H135)*MIN(1,(N($L135)+N($M135))/$K135),$G135))),$G135))</f>
        <v/>
      </c>
      <c r="AF135" s="20" t="str">
        <f>IF($B135="","",IF(OR($S135="Garis Lurus",$S135="Saldo Menurun",$S135="Unit Produksi"),MAX(0,IF($S135="Unit Produksi",TahunBuku*12+12,MIN(TahunBuku*12+12,$Y135+$T135*12-1))-MAX(TahunBuku*12+1,$Y135)+1),0))</f>
        <v/>
      </c>
      <c r="AG135" s="20" t="str">
        <f>IF($B135="","",IF(OR($S135="Garis Lurus",$S135="Saldo Menurun",$S135="Unit Produksi"),MAX(0,MIN($Z135,IF($S135="Unit Produksi",TahunBuku*12+12,MIN(TahunBuku*12+12,$Y135+$T135*12-1)))-MAX(TahunBuku*12+1,$Y135)+1),0))</f>
        <v/>
      </c>
      <c r="AH135" s="21" t="str">
        <f>IF($B135="","",IFERROR(IF($W135="Garis Lurus",$G135*(1-MIN($V135*12,MAX(0,TahunBuku*12-$Y135+1))/($V135*12)),IF($W135="Saldo Menurun",IF(TahunBuku-1&lt;YEAR($F135),$G135,IF(TahunBuku-1&gt;=INT(($Y135+$V135*12-2)/12),0,$G135*(1-2/$V135*(13-MONTH($F135))/12)*(1-2/$V135)^(TahunBuku-1-YEAR($F135)))),$G135)),$G135))</f>
        <v/>
      </c>
      <c r="AI135" s="21" t="str">
        <f>IF($B135="","",IFERROR(IF($W135="Garis Lurus",$G135*(1-MIN($V135*12,MAX(0,TahunBuku*12+12-$Y135+1))/($V135*12)),IF($W135="Saldo Menurun",IF(TahunBuku&lt;YEAR($F135),$G135,IF(TahunBuku&gt;=INT(($Y135+$V135*12-2)/12),0,$G135*(1-2/$V135*(13-MONTH($F135))/12)*(1-2/$V135)^(TahunBuku-YEAR($F135)))),$G135)),$G135))</f>
        <v/>
      </c>
      <c r="AJ135" s="20" t="str">
        <f>IF($B135="","",IF(OR($W135="Garis Lurus",$W135="Saldo Menurun"),MAX(0,MIN(TahunBuku*12+12,$Y135+$V135*12-1)-MAX(TahunBuku*12+1,$Y135)+1),0))</f>
        <v/>
      </c>
      <c r="AK135" s="20" t="str">
        <f>IF($B135="","",IF(OR($W135="Garis Lurus",$W135="Saldo Menurun"),MAX(0,MIN($Z135,TahunBuku*12+12,$Y135+$V135*12-1)-MAX(TahunBuku*12+1,$Y135)+1),0))</f>
        <v/>
      </c>
      <c r="AL135" s="22" t="str">
        <f>IF($B135="","",$G135*$AA135)</f>
        <v/>
      </c>
      <c r="AM135" s="22" t="str">
        <f>IF($B135="","",$G135*$AB135)</f>
        <v/>
      </c>
      <c r="AN135" s="22" t="str">
        <f>IF($B135="","",$G135*$AC135)</f>
        <v/>
      </c>
      <c r="AO135" s="22" t="str">
        <f>IF($B135="","",AL135+AM135-AN135)</f>
        <v/>
      </c>
      <c r="AP135" s="22" t="str">
        <f>IF($B135="","",($G135-$AD135)*$AA135)</f>
        <v/>
      </c>
      <c r="AQ135" s="22" t="str">
        <f>IF($B135="","",IF($AF135=0,0,($AD135-$AE135)*$AG135/$AF135)*MAX($AA135,$AB135))</f>
        <v/>
      </c>
      <c r="AR135" s="22" t="str">
        <f>IF($B135="","",(AP135+AQ135)*$AC135)</f>
        <v/>
      </c>
      <c r="AS135" s="22" t="str">
        <f>IF($B135="","",AP135+AQ135-AR135)</f>
        <v/>
      </c>
      <c r="AT135" s="22" t="str">
        <f>IF($B135="","",AO135-AS135)</f>
        <v/>
      </c>
      <c r="AU135" s="22" t="str">
        <f>IF($B135="","",IF($AC135=1,N($R135)-($G135-AR135),0))</f>
        <v/>
      </c>
      <c r="AV135" s="22" t="str">
        <f>IF($B135="","",($G135-$AH135)*$AA135)</f>
        <v/>
      </c>
      <c r="AW135" s="22" t="str">
        <f>IF($B135="","",IF($AJ135=0,0,($AH135-$AI135)*$AK135/$AJ135)*MAX($AA135,$AB135))</f>
        <v/>
      </c>
      <c r="AX135" s="22" t="str">
        <f>IF($B135="","",(AV135+AW135)*$AC135)</f>
        <v/>
      </c>
      <c r="AY135" s="22" t="str">
        <f>IF($B135="","",AV135+AW135-AX135)</f>
        <v/>
      </c>
      <c r="AZ135" s="22" t="str">
        <f>IF($B135="","",AO135-AY135)</f>
        <v/>
      </c>
      <c r="BA135" s="22" t="str">
        <f>IF($B135="","",IF($AC135=1,N($R135)-($G135-AX135),0))</f>
        <v/>
      </c>
      <c r="BB135" s="22" t="str">
        <f>IF($B135="","",ROUND(AQ135-AW135,0))</f>
        <v/>
      </c>
      <c r="BC135" s="22" t="str">
        <f>IF($B135="","",ROUND(BA135-AU135,0))</f>
        <v/>
      </c>
      <c r="BD135" s="22" t="str">
        <f>IF($B135="","",BB135+BC135)</f>
        <v/>
      </c>
      <c r="BE135" s="22" t="str">
        <f>IF($B135="","",ROUND(AV135-AP135,0))</f>
        <v/>
      </c>
      <c r="BF135" s="22" t="str">
        <f>IF($B135="","",ROUND(AT135-AZ135,0))</f>
        <v/>
      </c>
      <c r="BG135" s="22" t="str">
        <f>IF($B135="","",ROUND(BF135*TarifPPh,0))</f>
        <v/>
      </c>
      <c r="BH135" t="str">
        <f>IF($B135="","",IF($D135="","Kategori kosong",IF($F135="","Tgl perolehan kosong",IF(N($H135)&gt;$G135,"Residu &gt; harga perolehan",IF(AND(LEFT($U135,8)="Bangunan",$W135="Saldo Menurun"),"Bangunan wajib Garis Lurus (Ps.11 UU PPh)",IF(AND($S135="Unit Produksi",N($K135)=0),"Isi kapasitas unit",IF(AND(OR($S135="Garis Lurus",$S135="Saldo Menurun"),N($T135)&lt;=0),"Umur komersial kosong",IF(AND(OR($W135="Garis Lurus",$W135="Saldo Menurun"),N($V135)&lt;=0),"Masa manfaat fiskal kosong",IF(AND($Q135&lt;&gt;"",$Q135&lt;$F135),"Tgl pelepasan &lt; perolehan","OK")))))))))</f>
        <v/>
      </c>
    </row>
    <row r="136" spans="1:60" x14ac:dyDescent="0.25">
      <c r="A136" t="str">
        <f>IF($B136="","",ROW()-6)</f>
        <v/>
      </c>
      <c r="B136" s="9"/>
      <c r="C136" s="9"/>
      <c r="D136" s="9"/>
      <c r="E136" s="9"/>
      <c r="F136" s="17"/>
      <c r="G136" s="18"/>
      <c r="H136" s="18"/>
      <c r="I136" s="9"/>
      <c r="J136" s="9"/>
      <c r="K136" s="19"/>
      <c r="L136" s="19"/>
      <c r="M136" s="19"/>
      <c r="N136" s="9"/>
      <c r="O136" s="9"/>
      <c r="P136" s="9"/>
      <c r="Q136" s="17"/>
      <c r="R136" s="18"/>
      <c r="S136" t="str">
        <f>IF($B136="","",IF($I136&lt;&gt;"",$I136,IFERROR(INDEX(Kat_Metode,MATCH($D136,Kat_Nama,0)),"")))</f>
        <v/>
      </c>
      <c r="T136" t="str">
        <f>IF($B136="","",IF($J136&lt;&gt;"",$J136,IFERROR(INDEX(Kat_Umur,MATCH($D136,Kat_Nama,0)),0)))</f>
        <v/>
      </c>
      <c r="U136" t="str">
        <f>IF($B136="","",IF($N136&lt;&gt;"",$N136,IFERROR(INDEX(Kat_Kelompok,MATCH($D136,Kat_Nama,0)),"")))</f>
        <v/>
      </c>
      <c r="V136" t="str">
        <f>IF($B136="","",IF($U136="Masa Manfaat Sebenarnya",N($O136),IFERROR(INDEX(Kel_Masa,MATCH($U136,Kel_Nama,0)),0)))</f>
        <v/>
      </c>
      <c r="W136" t="str">
        <f>IF($B136="","",IF($P136&lt;&gt;"",$P136,IF(OR($U136="Tidak Disusutkan",$V136=0),"Tidak Disusutkan","Garis Lurus")))</f>
        <v/>
      </c>
      <c r="X136" t="str">
        <f>IF($B136="","",IF($Y136&gt;TahunBuku*12+12,"Belum Diperoleh",IF($Z136&lt;=TahunBuku*12,"Dilepas (thn lalu)",IF($AC136=1,"Dilepas thn ini",IF($AB136=1,"Perolehan baru","Aktif")))))</f>
        <v/>
      </c>
      <c r="Y136" s="20" t="str">
        <f>IF($B136="","",YEAR($F136)*12+MONTH($F136))</f>
        <v/>
      </c>
      <c r="Z136" s="20" t="str">
        <f>IF($B136="","",IF($Q136="",99999,YEAR($Q136)*12+MONTH($Q136)))</f>
        <v/>
      </c>
      <c r="AA136" s="20" t="str">
        <f>IF($B136="","",--AND($Y136&lt;=TahunBuku*12,$Z136&gt;TahunBuku*12))</f>
        <v/>
      </c>
      <c r="AB136" s="20" t="str">
        <f>IF($B136="","",--AND($Y136&gt;TahunBuku*12,$Y136&lt;=TahunBuku*12+12))</f>
        <v/>
      </c>
      <c r="AC136" s="20" t="str">
        <f>IF($B136="","",--AND($Z136&gt;TahunBuku*12,$Z136&lt;=TahunBuku*12+12,$Y136&lt;=$Z136))</f>
        <v/>
      </c>
      <c r="AD136" s="21" t="str">
        <f>IF($B136="","",IFERROR(IF($S136="Garis Lurus",$G136-($G136-$H136)*MIN($T136*12,MAX(0,TahunBuku*12-$Y136+1))/($T136*12),IF($S136="Saldo Menurun",IF(TahunBuku-1&lt;YEAR($F136),$G136,IF(TahunBuku-1&gt;=INT(($Y136+$T136*12-2)/12),$H136,MAX($H136,$G136*(1-2/$T136*(13-MONTH($F136))/12)*(1-2/$T136)^(TahunBuku-1-YEAR($F136))))),IF($S136="Unit Produksi",$G136-($G136-$H136)*MIN(1,N($L136)/$K136),$G136))),$G136))</f>
        <v/>
      </c>
      <c r="AE136" s="21" t="str">
        <f>IF($B136="","",IFERROR(IF($S136="Garis Lurus",$G136-($G136-$H136)*MIN($T136*12,MAX(0,TahunBuku*12+12-$Y136+1))/($T136*12),IF($S136="Saldo Menurun",IF(TahunBuku&lt;YEAR($F136),$G136,IF(TahunBuku&gt;=INT(($Y136+$T136*12-2)/12),$H136,MAX($H136,$G136*(1-2/$T136*(13-MONTH($F136))/12)*(1-2/$T136)^(TahunBuku-YEAR($F136))))),IF($S136="Unit Produksi",$G136-($G136-$H136)*MIN(1,(N($L136)+N($M136))/$K136),$G136))),$G136))</f>
        <v/>
      </c>
      <c r="AF136" s="20" t="str">
        <f>IF($B136="","",IF(OR($S136="Garis Lurus",$S136="Saldo Menurun",$S136="Unit Produksi"),MAX(0,IF($S136="Unit Produksi",TahunBuku*12+12,MIN(TahunBuku*12+12,$Y136+$T136*12-1))-MAX(TahunBuku*12+1,$Y136)+1),0))</f>
        <v/>
      </c>
      <c r="AG136" s="20" t="str">
        <f>IF($B136="","",IF(OR($S136="Garis Lurus",$S136="Saldo Menurun",$S136="Unit Produksi"),MAX(0,MIN($Z136,IF($S136="Unit Produksi",TahunBuku*12+12,MIN(TahunBuku*12+12,$Y136+$T136*12-1)))-MAX(TahunBuku*12+1,$Y136)+1),0))</f>
        <v/>
      </c>
      <c r="AH136" s="21" t="str">
        <f>IF($B136="","",IFERROR(IF($W136="Garis Lurus",$G136*(1-MIN($V136*12,MAX(0,TahunBuku*12-$Y136+1))/($V136*12)),IF($W136="Saldo Menurun",IF(TahunBuku-1&lt;YEAR($F136),$G136,IF(TahunBuku-1&gt;=INT(($Y136+$V136*12-2)/12),0,$G136*(1-2/$V136*(13-MONTH($F136))/12)*(1-2/$V136)^(TahunBuku-1-YEAR($F136)))),$G136)),$G136))</f>
        <v/>
      </c>
      <c r="AI136" s="21" t="str">
        <f>IF($B136="","",IFERROR(IF($W136="Garis Lurus",$G136*(1-MIN($V136*12,MAX(0,TahunBuku*12+12-$Y136+1))/($V136*12)),IF($W136="Saldo Menurun",IF(TahunBuku&lt;YEAR($F136),$G136,IF(TahunBuku&gt;=INT(($Y136+$V136*12-2)/12),0,$G136*(1-2/$V136*(13-MONTH($F136))/12)*(1-2/$V136)^(TahunBuku-YEAR($F136)))),$G136)),$G136))</f>
        <v/>
      </c>
      <c r="AJ136" s="20" t="str">
        <f>IF($B136="","",IF(OR($W136="Garis Lurus",$W136="Saldo Menurun"),MAX(0,MIN(TahunBuku*12+12,$Y136+$V136*12-1)-MAX(TahunBuku*12+1,$Y136)+1),0))</f>
        <v/>
      </c>
      <c r="AK136" s="20" t="str">
        <f>IF($B136="","",IF(OR($W136="Garis Lurus",$W136="Saldo Menurun"),MAX(0,MIN($Z136,TahunBuku*12+12,$Y136+$V136*12-1)-MAX(TahunBuku*12+1,$Y136)+1),0))</f>
        <v/>
      </c>
      <c r="AL136" s="22" t="str">
        <f>IF($B136="","",$G136*$AA136)</f>
        <v/>
      </c>
      <c r="AM136" s="22" t="str">
        <f>IF($B136="","",$G136*$AB136)</f>
        <v/>
      </c>
      <c r="AN136" s="22" t="str">
        <f>IF($B136="","",$G136*$AC136)</f>
        <v/>
      </c>
      <c r="AO136" s="22" t="str">
        <f>IF($B136="","",AL136+AM136-AN136)</f>
        <v/>
      </c>
      <c r="AP136" s="22" t="str">
        <f>IF($B136="","",($G136-$AD136)*$AA136)</f>
        <v/>
      </c>
      <c r="AQ136" s="22" t="str">
        <f>IF($B136="","",IF($AF136=0,0,($AD136-$AE136)*$AG136/$AF136)*MAX($AA136,$AB136))</f>
        <v/>
      </c>
      <c r="AR136" s="22" t="str">
        <f>IF($B136="","",(AP136+AQ136)*$AC136)</f>
        <v/>
      </c>
      <c r="AS136" s="22" t="str">
        <f>IF($B136="","",AP136+AQ136-AR136)</f>
        <v/>
      </c>
      <c r="AT136" s="22" t="str">
        <f>IF($B136="","",AO136-AS136)</f>
        <v/>
      </c>
      <c r="AU136" s="22" t="str">
        <f>IF($B136="","",IF($AC136=1,N($R136)-($G136-AR136),0))</f>
        <v/>
      </c>
      <c r="AV136" s="22" t="str">
        <f>IF($B136="","",($G136-$AH136)*$AA136)</f>
        <v/>
      </c>
      <c r="AW136" s="22" t="str">
        <f>IF($B136="","",IF($AJ136=0,0,($AH136-$AI136)*$AK136/$AJ136)*MAX($AA136,$AB136))</f>
        <v/>
      </c>
      <c r="AX136" s="22" t="str">
        <f>IF($B136="","",(AV136+AW136)*$AC136)</f>
        <v/>
      </c>
      <c r="AY136" s="22" t="str">
        <f>IF($B136="","",AV136+AW136-AX136)</f>
        <v/>
      </c>
      <c r="AZ136" s="22" t="str">
        <f>IF($B136="","",AO136-AY136)</f>
        <v/>
      </c>
      <c r="BA136" s="22" t="str">
        <f>IF($B136="","",IF($AC136=1,N($R136)-($G136-AX136),0))</f>
        <v/>
      </c>
      <c r="BB136" s="22" t="str">
        <f>IF($B136="","",ROUND(AQ136-AW136,0))</f>
        <v/>
      </c>
      <c r="BC136" s="22" t="str">
        <f>IF($B136="","",ROUND(BA136-AU136,0))</f>
        <v/>
      </c>
      <c r="BD136" s="22" t="str">
        <f>IF($B136="","",BB136+BC136)</f>
        <v/>
      </c>
      <c r="BE136" s="22" t="str">
        <f>IF($B136="","",ROUND(AV136-AP136,0))</f>
        <v/>
      </c>
      <c r="BF136" s="22" t="str">
        <f>IF($B136="","",ROUND(AT136-AZ136,0))</f>
        <v/>
      </c>
      <c r="BG136" s="22" t="str">
        <f>IF($B136="","",ROUND(BF136*TarifPPh,0))</f>
        <v/>
      </c>
      <c r="BH136" t="str">
        <f>IF($B136="","",IF($D136="","Kategori kosong",IF($F136="","Tgl perolehan kosong",IF(N($H136)&gt;$G136,"Residu &gt; harga perolehan",IF(AND(LEFT($U136,8)="Bangunan",$W136="Saldo Menurun"),"Bangunan wajib Garis Lurus (Ps.11 UU PPh)",IF(AND($S136="Unit Produksi",N($K136)=0),"Isi kapasitas unit",IF(AND(OR($S136="Garis Lurus",$S136="Saldo Menurun"),N($T136)&lt;=0),"Umur komersial kosong",IF(AND(OR($W136="Garis Lurus",$W136="Saldo Menurun"),N($V136)&lt;=0),"Masa manfaat fiskal kosong",IF(AND($Q136&lt;&gt;"",$Q136&lt;$F136),"Tgl pelepasan &lt; perolehan","OK")))))))))</f>
        <v/>
      </c>
    </row>
    <row r="137" spans="1:60" x14ac:dyDescent="0.25">
      <c r="A137" t="str">
        <f>IF($B137="","",ROW()-6)</f>
        <v/>
      </c>
      <c r="B137" s="9"/>
      <c r="C137" s="9"/>
      <c r="D137" s="9"/>
      <c r="E137" s="9"/>
      <c r="F137" s="17"/>
      <c r="G137" s="18"/>
      <c r="H137" s="18"/>
      <c r="I137" s="9"/>
      <c r="J137" s="9"/>
      <c r="K137" s="19"/>
      <c r="L137" s="19"/>
      <c r="M137" s="19"/>
      <c r="N137" s="9"/>
      <c r="O137" s="9"/>
      <c r="P137" s="9"/>
      <c r="Q137" s="17"/>
      <c r="R137" s="18"/>
      <c r="S137" t="str">
        <f>IF($B137="","",IF($I137&lt;&gt;"",$I137,IFERROR(INDEX(Kat_Metode,MATCH($D137,Kat_Nama,0)),"")))</f>
        <v/>
      </c>
      <c r="T137" t="str">
        <f>IF($B137="","",IF($J137&lt;&gt;"",$J137,IFERROR(INDEX(Kat_Umur,MATCH($D137,Kat_Nama,0)),0)))</f>
        <v/>
      </c>
      <c r="U137" t="str">
        <f>IF($B137="","",IF($N137&lt;&gt;"",$N137,IFERROR(INDEX(Kat_Kelompok,MATCH($D137,Kat_Nama,0)),"")))</f>
        <v/>
      </c>
      <c r="V137" t="str">
        <f>IF($B137="","",IF($U137="Masa Manfaat Sebenarnya",N($O137),IFERROR(INDEX(Kel_Masa,MATCH($U137,Kel_Nama,0)),0)))</f>
        <v/>
      </c>
      <c r="W137" t="str">
        <f>IF($B137="","",IF($P137&lt;&gt;"",$P137,IF(OR($U137="Tidak Disusutkan",$V137=0),"Tidak Disusutkan","Garis Lurus")))</f>
        <v/>
      </c>
      <c r="X137" t="str">
        <f>IF($B137="","",IF($Y137&gt;TahunBuku*12+12,"Belum Diperoleh",IF($Z137&lt;=TahunBuku*12,"Dilepas (thn lalu)",IF($AC137=1,"Dilepas thn ini",IF($AB137=1,"Perolehan baru","Aktif")))))</f>
        <v/>
      </c>
      <c r="Y137" s="20" t="str">
        <f>IF($B137="","",YEAR($F137)*12+MONTH($F137))</f>
        <v/>
      </c>
      <c r="Z137" s="20" t="str">
        <f>IF($B137="","",IF($Q137="",99999,YEAR($Q137)*12+MONTH($Q137)))</f>
        <v/>
      </c>
      <c r="AA137" s="20" t="str">
        <f>IF($B137="","",--AND($Y137&lt;=TahunBuku*12,$Z137&gt;TahunBuku*12))</f>
        <v/>
      </c>
      <c r="AB137" s="20" t="str">
        <f>IF($B137="","",--AND($Y137&gt;TahunBuku*12,$Y137&lt;=TahunBuku*12+12))</f>
        <v/>
      </c>
      <c r="AC137" s="20" t="str">
        <f>IF($B137="","",--AND($Z137&gt;TahunBuku*12,$Z137&lt;=TahunBuku*12+12,$Y137&lt;=$Z137))</f>
        <v/>
      </c>
      <c r="AD137" s="21" t="str">
        <f>IF($B137="","",IFERROR(IF($S137="Garis Lurus",$G137-($G137-$H137)*MIN($T137*12,MAX(0,TahunBuku*12-$Y137+1))/($T137*12),IF($S137="Saldo Menurun",IF(TahunBuku-1&lt;YEAR($F137),$G137,IF(TahunBuku-1&gt;=INT(($Y137+$T137*12-2)/12),$H137,MAX($H137,$G137*(1-2/$T137*(13-MONTH($F137))/12)*(1-2/$T137)^(TahunBuku-1-YEAR($F137))))),IF($S137="Unit Produksi",$G137-($G137-$H137)*MIN(1,N($L137)/$K137),$G137))),$G137))</f>
        <v/>
      </c>
      <c r="AE137" s="21" t="str">
        <f>IF($B137="","",IFERROR(IF($S137="Garis Lurus",$G137-($G137-$H137)*MIN($T137*12,MAX(0,TahunBuku*12+12-$Y137+1))/($T137*12),IF($S137="Saldo Menurun",IF(TahunBuku&lt;YEAR($F137),$G137,IF(TahunBuku&gt;=INT(($Y137+$T137*12-2)/12),$H137,MAX($H137,$G137*(1-2/$T137*(13-MONTH($F137))/12)*(1-2/$T137)^(TahunBuku-YEAR($F137))))),IF($S137="Unit Produksi",$G137-($G137-$H137)*MIN(1,(N($L137)+N($M137))/$K137),$G137))),$G137))</f>
        <v/>
      </c>
      <c r="AF137" s="20" t="str">
        <f>IF($B137="","",IF(OR($S137="Garis Lurus",$S137="Saldo Menurun",$S137="Unit Produksi"),MAX(0,IF($S137="Unit Produksi",TahunBuku*12+12,MIN(TahunBuku*12+12,$Y137+$T137*12-1))-MAX(TahunBuku*12+1,$Y137)+1),0))</f>
        <v/>
      </c>
      <c r="AG137" s="20" t="str">
        <f>IF($B137="","",IF(OR($S137="Garis Lurus",$S137="Saldo Menurun",$S137="Unit Produksi"),MAX(0,MIN($Z137,IF($S137="Unit Produksi",TahunBuku*12+12,MIN(TahunBuku*12+12,$Y137+$T137*12-1)))-MAX(TahunBuku*12+1,$Y137)+1),0))</f>
        <v/>
      </c>
      <c r="AH137" s="21" t="str">
        <f>IF($B137="","",IFERROR(IF($W137="Garis Lurus",$G137*(1-MIN($V137*12,MAX(0,TahunBuku*12-$Y137+1))/($V137*12)),IF($W137="Saldo Menurun",IF(TahunBuku-1&lt;YEAR($F137),$G137,IF(TahunBuku-1&gt;=INT(($Y137+$V137*12-2)/12),0,$G137*(1-2/$V137*(13-MONTH($F137))/12)*(1-2/$V137)^(TahunBuku-1-YEAR($F137)))),$G137)),$G137))</f>
        <v/>
      </c>
      <c r="AI137" s="21" t="str">
        <f>IF($B137="","",IFERROR(IF($W137="Garis Lurus",$G137*(1-MIN($V137*12,MAX(0,TahunBuku*12+12-$Y137+1))/($V137*12)),IF($W137="Saldo Menurun",IF(TahunBuku&lt;YEAR($F137),$G137,IF(TahunBuku&gt;=INT(($Y137+$V137*12-2)/12),0,$G137*(1-2/$V137*(13-MONTH($F137))/12)*(1-2/$V137)^(TahunBuku-YEAR($F137)))),$G137)),$G137))</f>
        <v/>
      </c>
      <c r="AJ137" s="20" t="str">
        <f>IF($B137="","",IF(OR($W137="Garis Lurus",$W137="Saldo Menurun"),MAX(0,MIN(TahunBuku*12+12,$Y137+$V137*12-1)-MAX(TahunBuku*12+1,$Y137)+1),0))</f>
        <v/>
      </c>
      <c r="AK137" s="20" t="str">
        <f>IF($B137="","",IF(OR($W137="Garis Lurus",$W137="Saldo Menurun"),MAX(0,MIN($Z137,TahunBuku*12+12,$Y137+$V137*12-1)-MAX(TahunBuku*12+1,$Y137)+1),0))</f>
        <v/>
      </c>
      <c r="AL137" s="22" t="str">
        <f>IF($B137="","",$G137*$AA137)</f>
        <v/>
      </c>
      <c r="AM137" s="22" t="str">
        <f>IF($B137="","",$G137*$AB137)</f>
        <v/>
      </c>
      <c r="AN137" s="22" t="str">
        <f>IF($B137="","",$G137*$AC137)</f>
        <v/>
      </c>
      <c r="AO137" s="22" t="str">
        <f>IF($B137="","",AL137+AM137-AN137)</f>
        <v/>
      </c>
      <c r="AP137" s="22" t="str">
        <f>IF($B137="","",($G137-$AD137)*$AA137)</f>
        <v/>
      </c>
      <c r="AQ137" s="22" t="str">
        <f>IF($B137="","",IF($AF137=0,0,($AD137-$AE137)*$AG137/$AF137)*MAX($AA137,$AB137))</f>
        <v/>
      </c>
      <c r="AR137" s="22" t="str">
        <f>IF($B137="","",(AP137+AQ137)*$AC137)</f>
        <v/>
      </c>
      <c r="AS137" s="22" t="str">
        <f>IF($B137="","",AP137+AQ137-AR137)</f>
        <v/>
      </c>
      <c r="AT137" s="22" t="str">
        <f>IF($B137="","",AO137-AS137)</f>
        <v/>
      </c>
      <c r="AU137" s="22" t="str">
        <f>IF($B137="","",IF($AC137=1,N($R137)-($G137-AR137),0))</f>
        <v/>
      </c>
      <c r="AV137" s="22" t="str">
        <f>IF($B137="","",($G137-$AH137)*$AA137)</f>
        <v/>
      </c>
      <c r="AW137" s="22" t="str">
        <f>IF($B137="","",IF($AJ137=0,0,($AH137-$AI137)*$AK137/$AJ137)*MAX($AA137,$AB137))</f>
        <v/>
      </c>
      <c r="AX137" s="22" t="str">
        <f>IF($B137="","",(AV137+AW137)*$AC137)</f>
        <v/>
      </c>
      <c r="AY137" s="22" t="str">
        <f>IF($B137="","",AV137+AW137-AX137)</f>
        <v/>
      </c>
      <c r="AZ137" s="22" t="str">
        <f>IF($B137="","",AO137-AY137)</f>
        <v/>
      </c>
      <c r="BA137" s="22" t="str">
        <f>IF($B137="","",IF($AC137=1,N($R137)-($G137-AX137),0))</f>
        <v/>
      </c>
      <c r="BB137" s="22" t="str">
        <f>IF($B137="","",ROUND(AQ137-AW137,0))</f>
        <v/>
      </c>
      <c r="BC137" s="22" t="str">
        <f>IF($B137="","",ROUND(BA137-AU137,0))</f>
        <v/>
      </c>
      <c r="BD137" s="22" t="str">
        <f>IF($B137="","",BB137+BC137)</f>
        <v/>
      </c>
      <c r="BE137" s="22" t="str">
        <f>IF($B137="","",ROUND(AV137-AP137,0))</f>
        <v/>
      </c>
      <c r="BF137" s="22" t="str">
        <f>IF($B137="","",ROUND(AT137-AZ137,0))</f>
        <v/>
      </c>
      <c r="BG137" s="22" t="str">
        <f>IF($B137="","",ROUND(BF137*TarifPPh,0))</f>
        <v/>
      </c>
      <c r="BH137" t="str">
        <f>IF($B137="","",IF($D137="","Kategori kosong",IF($F137="","Tgl perolehan kosong",IF(N($H137)&gt;$G137,"Residu &gt; harga perolehan",IF(AND(LEFT($U137,8)="Bangunan",$W137="Saldo Menurun"),"Bangunan wajib Garis Lurus (Ps.11 UU PPh)",IF(AND($S137="Unit Produksi",N($K137)=0),"Isi kapasitas unit",IF(AND(OR($S137="Garis Lurus",$S137="Saldo Menurun"),N($T137)&lt;=0),"Umur komersial kosong",IF(AND(OR($W137="Garis Lurus",$W137="Saldo Menurun"),N($V137)&lt;=0),"Masa manfaat fiskal kosong",IF(AND($Q137&lt;&gt;"",$Q137&lt;$F137),"Tgl pelepasan &lt; perolehan","OK")))))))))</f>
        <v/>
      </c>
    </row>
    <row r="138" spans="1:60" x14ac:dyDescent="0.25">
      <c r="A138" t="str">
        <f>IF($B138="","",ROW()-6)</f>
        <v/>
      </c>
      <c r="B138" s="9"/>
      <c r="C138" s="9"/>
      <c r="D138" s="9"/>
      <c r="E138" s="9"/>
      <c r="F138" s="17"/>
      <c r="G138" s="18"/>
      <c r="H138" s="18"/>
      <c r="I138" s="9"/>
      <c r="J138" s="9"/>
      <c r="K138" s="19"/>
      <c r="L138" s="19"/>
      <c r="M138" s="19"/>
      <c r="N138" s="9"/>
      <c r="O138" s="9"/>
      <c r="P138" s="9"/>
      <c r="Q138" s="17"/>
      <c r="R138" s="18"/>
      <c r="S138" t="str">
        <f>IF($B138="","",IF($I138&lt;&gt;"",$I138,IFERROR(INDEX(Kat_Metode,MATCH($D138,Kat_Nama,0)),"")))</f>
        <v/>
      </c>
      <c r="T138" t="str">
        <f>IF($B138="","",IF($J138&lt;&gt;"",$J138,IFERROR(INDEX(Kat_Umur,MATCH($D138,Kat_Nama,0)),0)))</f>
        <v/>
      </c>
      <c r="U138" t="str">
        <f>IF($B138="","",IF($N138&lt;&gt;"",$N138,IFERROR(INDEX(Kat_Kelompok,MATCH($D138,Kat_Nama,0)),"")))</f>
        <v/>
      </c>
      <c r="V138" t="str">
        <f>IF($B138="","",IF($U138="Masa Manfaat Sebenarnya",N($O138),IFERROR(INDEX(Kel_Masa,MATCH($U138,Kel_Nama,0)),0)))</f>
        <v/>
      </c>
      <c r="W138" t="str">
        <f>IF($B138="","",IF($P138&lt;&gt;"",$P138,IF(OR($U138="Tidak Disusutkan",$V138=0),"Tidak Disusutkan","Garis Lurus")))</f>
        <v/>
      </c>
      <c r="X138" t="str">
        <f>IF($B138="","",IF($Y138&gt;TahunBuku*12+12,"Belum Diperoleh",IF($Z138&lt;=TahunBuku*12,"Dilepas (thn lalu)",IF($AC138=1,"Dilepas thn ini",IF($AB138=1,"Perolehan baru","Aktif")))))</f>
        <v/>
      </c>
      <c r="Y138" s="20" t="str">
        <f>IF($B138="","",YEAR($F138)*12+MONTH($F138))</f>
        <v/>
      </c>
      <c r="Z138" s="20" t="str">
        <f>IF($B138="","",IF($Q138="",99999,YEAR($Q138)*12+MONTH($Q138)))</f>
        <v/>
      </c>
      <c r="AA138" s="20" t="str">
        <f>IF($B138="","",--AND($Y138&lt;=TahunBuku*12,$Z138&gt;TahunBuku*12))</f>
        <v/>
      </c>
      <c r="AB138" s="20" t="str">
        <f>IF($B138="","",--AND($Y138&gt;TahunBuku*12,$Y138&lt;=TahunBuku*12+12))</f>
        <v/>
      </c>
      <c r="AC138" s="20" t="str">
        <f>IF($B138="","",--AND($Z138&gt;TahunBuku*12,$Z138&lt;=TahunBuku*12+12,$Y138&lt;=$Z138))</f>
        <v/>
      </c>
      <c r="AD138" s="21" t="str">
        <f>IF($B138="","",IFERROR(IF($S138="Garis Lurus",$G138-($G138-$H138)*MIN($T138*12,MAX(0,TahunBuku*12-$Y138+1))/($T138*12),IF($S138="Saldo Menurun",IF(TahunBuku-1&lt;YEAR($F138),$G138,IF(TahunBuku-1&gt;=INT(($Y138+$T138*12-2)/12),$H138,MAX($H138,$G138*(1-2/$T138*(13-MONTH($F138))/12)*(1-2/$T138)^(TahunBuku-1-YEAR($F138))))),IF($S138="Unit Produksi",$G138-($G138-$H138)*MIN(1,N($L138)/$K138),$G138))),$G138))</f>
        <v/>
      </c>
      <c r="AE138" s="21" t="str">
        <f>IF($B138="","",IFERROR(IF($S138="Garis Lurus",$G138-($G138-$H138)*MIN($T138*12,MAX(0,TahunBuku*12+12-$Y138+1))/($T138*12),IF($S138="Saldo Menurun",IF(TahunBuku&lt;YEAR($F138),$G138,IF(TahunBuku&gt;=INT(($Y138+$T138*12-2)/12),$H138,MAX($H138,$G138*(1-2/$T138*(13-MONTH($F138))/12)*(1-2/$T138)^(TahunBuku-YEAR($F138))))),IF($S138="Unit Produksi",$G138-($G138-$H138)*MIN(1,(N($L138)+N($M138))/$K138),$G138))),$G138))</f>
        <v/>
      </c>
      <c r="AF138" s="20" t="str">
        <f>IF($B138="","",IF(OR($S138="Garis Lurus",$S138="Saldo Menurun",$S138="Unit Produksi"),MAX(0,IF($S138="Unit Produksi",TahunBuku*12+12,MIN(TahunBuku*12+12,$Y138+$T138*12-1))-MAX(TahunBuku*12+1,$Y138)+1),0))</f>
        <v/>
      </c>
      <c r="AG138" s="20" t="str">
        <f>IF($B138="","",IF(OR($S138="Garis Lurus",$S138="Saldo Menurun",$S138="Unit Produksi"),MAX(0,MIN($Z138,IF($S138="Unit Produksi",TahunBuku*12+12,MIN(TahunBuku*12+12,$Y138+$T138*12-1)))-MAX(TahunBuku*12+1,$Y138)+1),0))</f>
        <v/>
      </c>
      <c r="AH138" s="21" t="str">
        <f>IF($B138="","",IFERROR(IF($W138="Garis Lurus",$G138*(1-MIN($V138*12,MAX(0,TahunBuku*12-$Y138+1))/($V138*12)),IF($W138="Saldo Menurun",IF(TahunBuku-1&lt;YEAR($F138),$G138,IF(TahunBuku-1&gt;=INT(($Y138+$V138*12-2)/12),0,$G138*(1-2/$V138*(13-MONTH($F138))/12)*(1-2/$V138)^(TahunBuku-1-YEAR($F138)))),$G138)),$G138))</f>
        <v/>
      </c>
      <c r="AI138" s="21" t="str">
        <f>IF($B138="","",IFERROR(IF($W138="Garis Lurus",$G138*(1-MIN($V138*12,MAX(0,TahunBuku*12+12-$Y138+1))/($V138*12)),IF($W138="Saldo Menurun",IF(TahunBuku&lt;YEAR($F138),$G138,IF(TahunBuku&gt;=INT(($Y138+$V138*12-2)/12),0,$G138*(1-2/$V138*(13-MONTH($F138))/12)*(1-2/$V138)^(TahunBuku-YEAR($F138)))),$G138)),$G138))</f>
        <v/>
      </c>
      <c r="AJ138" s="20" t="str">
        <f>IF($B138="","",IF(OR($W138="Garis Lurus",$W138="Saldo Menurun"),MAX(0,MIN(TahunBuku*12+12,$Y138+$V138*12-1)-MAX(TahunBuku*12+1,$Y138)+1),0))</f>
        <v/>
      </c>
      <c r="AK138" s="20" t="str">
        <f>IF($B138="","",IF(OR($W138="Garis Lurus",$W138="Saldo Menurun"),MAX(0,MIN($Z138,TahunBuku*12+12,$Y138+$V138*12-1)-MAX(TahunBuku*12+1,$Y138)+1),0))</f>
        <v/>
      </c>
      <c r="AL138" s="22" t="str">
        <f>IF($B138="","",$G138*$AA138)</f>
        <v/>
      </c>
      <c r="AM138" s="22" t="str">
        <f>IF($B138="","",$G138*$AB138)</f>
        <v/>
      </c>
      <c r="AN138" s="22" t="str">
        <f>IF($B138="","",$G138*$AC138)</f>
        <v/>
      </c>
      <c r="AO138" s="22" t="str">
        <f>IF($B138="","",AL138+AM138-AN138)</f>
        <v/>
      </c>
      <c r="AP138" s="22" t="str">
        <f>IF($B138="","",($G138-$AD138)*$AA138)</f>
        <v/>
      </c>
      <c r="AQ138" s="22" t="str">
        <f>IF($B138="","",IF($AF138=0,0,($AD138-$AE138)*$AG138/$AF138)*MAX($AA138,$AB138))</f>
        <v/>
      </c>
      <c r="AR138" s="22" t="str">
        <f>IF($B138="","",(AP138+AQ138)*$AC138)</f>
        <v/>
      </c>
      <c r="AS138" s="22" t="str">
        <f>IF($B138="","",AP138+AQ138-AR138)</f>
        <v/>
      </c>
      <c r="AT138" s="22" t="str">
        <f>IF($B138="","",AO138-AS138)</f>
        <v/>
      </c>
      <c r="AU138" s="22" t="str">
        <f>IF($B138="","",IF($AC138=1,N($R138)-($G138-AR138),0))</f>
        <v/>
      </c>
      <c r="AV138" s="22" t="str">
        <f>IF($B138="","",($G138-$AH138)*$AA138)</f>
        <v/>
      </c>
      <c r="AW138" s="22" t="str">
        <f>IF($B138="","",IF($AJ138=0,0,($AH138-$AI138)*$AK138/$AJ138)*MAX($AA138,$AB138))</f>
        <v/>
      </c>
      <c r="AX138" s="22" t="str">
        <f>IF($B138="","",(AV138+AW138)*$AC138)</f>
        <v/>
      </c>
      <c r="AY138" s="22" t="str">
        <f>IF($B138="","",AV138+AW138-AX138)</f>
        <v/>
      </c>
      <c r="AZ138" s="22" t="str">
        <f>IF($B138="","",AO138-AY138)</f>
        <v/>
      </c>
      <c r="BA138" s="22" t="str">
        <f>IF($B138="","",IF($AC138=1,N($R138)-($G138-AX138),0))</f>
        <v/>
      </c>
      <c r="BB138" s="22" t="str">
        <f>IF($B138="","",ROUND(AQ138-AW138,0))</f>
        <v/>
      </c>
      <c r="BC138" s="22" t="str">
        <f>IF($B138="","",ROUND(BA138-AU138,0))</f>
        <v/>
      </c>
      <c r="BD138" s="22" t="str">
        <f>IF($B138="","",BB138+BC138)</f>
        <v/>
      </c>
      <c r="BE138" s="22" t="str">
        <f>IF($B138="","",ROUND(AV138-AP138,0))</f>
        <v/>
      </c>
      <c r="BF138" s="22" t="str">
        <f>IF($B138="","",ROUND(AT138-AZ138,0))</f>
        <v/>
      </c>
      <c r="BG138" s="22" t="str">
        <f>IF($B138="","",ROUND(BF138*TarifPPh,0))</f>
        <v/>
      </c>
      <c r="BH138" t="str">
        <f>IF($B138="","",IF($D138="","Kategori kosong",IF($F138="","Tgl perolehan kosong",IF(N($H138)&gt;$G138,"Residu &gt; harga perolehan",IF(AND(LEFT($U138,8)="Bangunan",$W138="Saldo Menurun"),"Bangunan wajib Garis Lurus (Ps.11 UU PPh)",IF(AND($S138="Unit Produksi",N($K138)=0),"Isi kapasitas unit",IF(AND(OR($S138="Garis Lurus",$S138="Saldo Menurun"),N($T138)&lt;=0),"Umur komersial kosong",IF(AND(OR($W138="Garis Lurus",$W138="Saldo Menurun"),N($V138)&lt;=0),"Masa manfaat fiskal kosong",IF(AND($Q138&lt;&gt;"",$Q138&lt;$F138),"Tgl pelepasan &lt; perolehan","OK")))))))))</f>
        <v/>
      </c>
    </row>
    <row r="139" spans="1:60" x14ac:dyDescent="0.25">
      <c r="A139" t="str">
        <f>IF($B139="","",ROW()-6)</f>
        <v/>
      </c>
      <c r="B139" s="9"/>
      <c r="C139" s="9"/>
      <c r="D139" s="9"/>
      <c r="E139" s="9"/>
      <c r="F139" s="17"/>
      <c r="G139" s="18"/>
      <c r="H139" s="18"/>
      <c r="I139" s="9"/>
      <c r="J139" s="9"/>
      <c r="K139" s="19"/>
      <c r="L139" s="19"/>
      <c r="M139" s="19"/>
      <c r="N139" s="9"/>
      <c r="O139" s="9"/>
      <c r="P139" s="9"/>
      <c r="Q139" s="17"/>
      <c r="R139" s="18"/>
      <c r="S139" t="str">
        <f>IF($B139="","",IF($I139&lt;&gt;"",$I139,IFERROR(INDEX(Kat_Metode,MATCH($D139,Kat_Nama,0)),"")))</f>
        <v/>
      </c>
      <c r="T139" t="str">
        <f>IF($B139="","",IF($J139&lt;&gt;"",$J139,IFERROR(INDEX(Kat_Umur,MATCH($D139,Kat_Nama,0)),0)))</f>
        <v/>
      </c>
      <c r="U139" t="str">
        <f>IF($B139="","",IF($N139&lt;&gt;"",$N139,IFERROR(INDEX(Kat_Kelompok,MATCH($D139,Kat_Nama,0)),"")))</f>
        <v/>
      </c>
      <c r="V139" t="str">
        <f>IF($B139="","",IF($U139="Masa Manfaat Sebenarnya",N($O139),IFERROR(INDEX(Kel_Masa,MATCH($U139,Kel_Nama,0)),0)))</f>
        <v/>
      </c>
      <c r="W139" t="str">
        <f>IF($B139="","",IF($P139&lt;&gt;"",$P139,IF(OR($U139="Tidak Disusutkan",$V139=0),"Tidak Disusutkan","Garis Lurus")))</f>
        <v/>
      </c>
      <c r="X139" t="str">
        <f>IF($B139="","",IF($Y139&gt;TahunBuku*12+12,"Belum Diperoleh",IF($Z139&lt;=TahunBuku*12,"Dilepas (thn lalu)",IF($AC139=1,"Dilepas thn ini",IF($AB139=1,"Perolehan baru","Aktif")))))</f>
        <v/>
      </c>
      <c r="Y139" s="20" t="str">
        <f>IF($B139="","",YEAR($F139)*12+MONTH($F139))</f>
        <v/>
      </c>
      <c r="Z139" s="20" t="str">
        <f>IF($B139="","",IF($Q139="",99999,YEAR($Q139)*12+MONTH($Q139)))</f>
        <v/>
      </c>
      <c r="AA139" s="20" t="str">
        <f>IF($B139="","",--AND($Y139&lt;=TahunBuku*12,$Z139&gt;TahunBuku*12))</f>
        <v/>
      </c>
      <c r="AB139" s="20" t="str">
        <f>IF($B139="","",--AND($Y139&gt;TahunBuku*12,$Y139&lt;=TahunBuku*12+12))</f>
        <v/>
      </c>
      <c r="AC139" s="20" t="str">
        <f>IF($B139="","",--AND($Z139&gt;TahunBuku*12,$Z139&lt;=TahunBuku*12+12,$Y139&lt;=$Z139))</f>
        <v/>
      </c>
      <c r="AD139" s="21" t="str">
        <f>IF($B139="","",IFERROR(IF($S139="Garis Lurus",$G139-($G139-$H139)*MIN($T139*12,MAX(0,TahunBuku*12-$Y139+1))/($T139*12),IF($S139="Saldo Menurun",IF(TahunBuku-1&lt;YEAR($F139),$G139,IF(TahunBuku-1&gt;=INT(($Y139+$T139*12-2)/12),$H139,MAX($H139,$G139*(1-2/$T139*(13-MONTH($F139))/12)*(1-2/$T139)^(TahunBuku-1-YEAR($F139))))),IF($S139="Unit Produksi",$G139-($G139-$H139)*MIN(1,N($L139)/$K139),$G139))),$G139))</f>
        <v/>
      </c>
      <c r="AE139" s="21" t="str">
        <f>IF($B139="","",IFERROR(IF($S139="Garis Lurus",$G139-($G139-$H139)*MIN($T139*12,MAX(0,TahunBuku*12+12-$Y139+1))/($T139*12),IF($S139="Saldo Menurun",IF(TahunBuku&lt;YEAR($F139),$G139,IF(TahunBuku&gt;=INT(($Y139+$T139*12-2)/12),$H139,MAX($H139,$G139*(1-2/$T139*(13-MONTH($F139))/12)*(1-2/$T139)^(TahunBuku-YEAR($F139))))),IF($S139="Unit Produksi",$G139-($G139-$H139)*MIN(1,(N($L139)+N($M139))/$K139),$G139))),$G139))</f>
        <v/>
      </c>
      <c r="AF139" s="20" t="str">
        <f>IF($B139="","",IF(OR($S139="Garis Lurus",$S139="Saldo Menurun",$S139="Unit Produksi"),MAX(0,IF($S139="Unit Produksi",TahunBuku*12+12,MIN(TahunBuku*12+12,$Y139+$T139*12-1))-MAX(TahunBuku*12+1,$Y139)+1),0))</f>
        <v/>
      </c>
      <c r="AG139" s="20" t="str">
        <f>IF($B139="","",IF(OR($S139="Garis Lurus",$S139="Saldo Menurun",$S139="Unit Produksi"),MAX(0,MIN($Z139,IF($S139="Unit Produksi",TahunBuku*12+12,MIN(TahunBuku*12+12,$Y139+$T139*12-1)))-MAX(TahunBuku*12+1,$Y139)+1),0))</f>
        <v/>
      </c>
      <c r="AH139" s="21" t="str">
        <f>IF($B139="","",IFERROR(IF($W139="Garis Lurus",$G139*(1-MIN($V139*12,MAX(0,TahunBuku*12-$Y139+1))/($V139*12)),IF($W139="Saldo Menurun",IF(TahunBuku-1&lt;YEAR($F139),$G139,IF(TahunBuku-1&gt;=INT(($Y139+$V139*12-2)/12),0,$G139*(1-2/$V139*(13-MONTH($F139))/12)*(1-2/$V139)^(TahunBuku-1-YEAR($F139)))),$G139)),$G139))</f>
        <v/>
      </c>
      <c r="AI139" s="21" t="str">
        <f>IF($B139="","",IFERROR(IF($W139="Garis Lurus",$G139*(1-MIN($V139*12,MAX(0,TahunBuku*12+12-$Y139+1))/($V139*12)),IF($W139="Saldo Menurun",IF(TahunBuku&lt;YEAR($F139),$G139,IF(TahunBuku&gt;=INT(($Y139+$V139*12-2)/12),0,$G139*(1-2/$V139*(13-MONTH($F139))/12)*(1-2/$V139)^(TahunBuku-YEAR($F139)))),$G139)),$G139))</f>
        <v/>
      </c>
      <c r="AJ139" s="20" t="str">
        <f>IF($B139="","",IF(OR($W139="Garis Lurus",$W139="Saldo Menurun"),MAX(0,MIN(TahunBuku*12+12,$Y139+$V139*12-1)-MAX(TahunBuku*12+1,$Y139)+1),0))</f>
        <v/>
      </c>
      <c r="AK139" s="20" t="str">
        <f>IF($B139="","",IF(OR($W139="Garis Lurus",$W139="Saldo Menurun"),MAX(0,MIN($Z139,TahunBuku*12+12,$Y139+$V139*12-1)-MAX(TahunBuku*12+1,$Y139)+1),0))</f>
        <v/>
      </c>
      <c r="AL139" s="22" t="str">
        <f>IF($B139="","",$G139*$AA139)</f>
        <v/>
      </c>
      <c r="AM139" s="22" t="str">
        <f>IF($B139="","",$G139*$AB139)</f>
        <v/>
      </c>
      <c r="AN139" s="22" t="str">
        <f>IF($B139="","",$G139*$AC139)</f>
        <v/>
      </c>
      <c r="AO139" s="22" t="str">
        <f>IF($B139="","",AL139+AM139-AN139)</f>
        <v/>
      </c>
      <c r="AP139" s="22" t="str">
        <f>IF($B139="","",($G139-$AD139)*$AA139)</f>
        <v/>
      </c>
      <c r="AQ139" s="22" t="str">
        <f>IF($B139="","",IF($AF139=0,0,($AD139-$AE139)*$AG139/$AF139)*MAX($AA139,$AB139))</f>
        <v/>
      </c>
      <c r="AR139" s="22" t="str">
        <f>IF($B139="","",(AP139+AQ139)*$AC139)</f>
        <v/>
      </c>
      <c r="AS139" s="22" t="str">
        <f>IF($B139="","",AP139+AQ139-AR139)</f>
        <v/>
      </c>
      <c r="AT139" s="22" t="str">
        <f>IF($B139="","",AO139-AS139)</f>
        <v/>
      </c>
      <c r="AU139" s="22" t="str">
        <f>IF($B139="","",IF($AC139=1,N($R139)-($G139-AR139),0))</f>
        <v/>
      </c>
      <c r="AV139" s="22" t="str">
        <f>IF($B139="","",($G139-$AH139)*$AA139)</f>
        <v/>
      </c>
      <c r="AW139" s="22" t="str">
        <f>IF($B139="","",IF($AJ139=0,0,($AH139-$AI139)*$AK139/$AJ139)*MAX($AA139,$AB139))</f>
        <v/>
      </c>
      <c r="AX139" s="22" t="str">
        <f>IF($B139="","",(AV139+AW139)*$AC139)</f>
        <v/>
      </c>
      <c r="AY139" s="22" t="str">
        <f>IF($B139="","",AV139+AW139-AX139)</f>
        <v/>
      </c>
      <c r="AZ139" s="22" t="str">
        <f>IF($B139="","",AO139-AY139)</f>
        <v/>
      </c>
      <c r="BA139" s="22" t="str">
        <f>IF($B139="","",IF($AC139=1,N($R139)-($G139-AX139),0))</f>
        <v/>
      </c>
      <c r="BB139" s="22" t="str">
        <f>IF($B139="","",ROUND(AQ139-AW139,0))</f>
        <v/>
      </c>
      <c r="BC139" s="22" t="str">
        <f>IF($B139="","",ROUND(BA139-AU139,0))</f>
        <v/>
      </c>
      <c r="BD139" s="22" t="str">
        <f>IF($B139="","",BB139+BC139)</f>
        <v/>
      </c>
      <c r="BE139" s="22" t="str">
        <f>IF($B139="","",ROUND(AV139-AP139,0))</f>
        <v/>
      </c>
      <c r="BF139" s="22" t="str">
        <f>IF($B139="","",ROUND(AT139-AZ139,0))</f>
        <v/>
      </c>
      <c r="BG139" s="22" t="str">
        <f>IF($B139="","",ROUND(BF139*TarifPPh,0))</f>
        <v/>
      </c>
      <c r="BH139" t="str">
        <f>IF($B139="","",IF($D139="","Kategori kosong",IF($F139="","Tgl perolehan kosong",IF(N($H139)&gt;$G139,"Residu &gt; harga perolehan",IF(AND(LEFT($U139,8)="Bangunan",$W139="Saldo Menurun"),"Bangunan wajib Garis Lurus (Ps.11 UU PPh)",IF(AND($S139="Unit Produksi",N($K139)=0),"Isi kapasitas unit",IF(AND(OR($S139="Garis Lurus",$S139="Saldo Menurun"),N($T139)&lt;=0),"Umur komersial kosong",IF(AND(OR($W139="Garis Lurus",$W139="Saldo Menurun"),N($V139)&lt;=0),"Masa manfaat fiskal kosong",IF(AND($Q139&lt;&gt;"",$Q139&lt;$F139),"Tgl pelepasan &lt; perolehan","OK")))))))))</f>
        <v/>
      </c>
    </row>
    <row r="140" spans="1:60" x14ac:dyDescent="0.25">
      <c r="A140" t="str">
        <f>IF($B140="","",ROW()-6)</f>
        <v/>
      </c>
      <c r="B140" s="9"/>
      <c r="C140" s="9"/>
      <c r="D140" s="9"/>
      <c r="E140" s="9"/>
      <c r="F140" s="17"/>
      <c r="G140" s="18"/>
      <c r="H140" s="18"/>
      <c r="I140" s="9"/>
      <c r="J140" s="9"/>
      <c r="K140" s="19"/>
      <c r="L140" s="19"/>
      <c r="M140" s="19"/>
      <c r="N140" s="9"/>
      <c r="O140" s="9"/>
      <c r="P140" s="9"/>
      <c r="Q140" s="17"/>
      <c r="R140" s="18"/>
      <c r="S140" t="str">
        <f>IF($B140="","",IF($I140&lt;&gt;"",$I140,IFERROR(INDEX(Kat_Metode,MATCH($D140,Kat_Nama,0)),"")))</f>
        <v/>
      </c>
      <c r="T140" t="str">
        <f>IF($B140="","",IF($J140&lt;&gt;"",$J140,IFERROR(INDEX(Kat_Umur,MATCH($D140,Kat_Nama,0)),0)))</f>
        <v/>
      </c>
      <c r="U140" t="str">
        <f>IF($B140="","",IF($N140&lt;&gt;"",$N140,IFERROR(INDEX(Kat_Kelompok,MATCH($D140,Kat_Nama,0)),"")))</f>
        <v/>
      </c>
      <c r="V140" t="str">
        <f>IF($B140="","",IF($U140="Masa Manfaat Sebenarnya",N($O140),IFERROR(INDEX(Kel_Masa,MATCH($U140,Kel_Nama,0)),0)))</f>
        <v/>
      </c>
      <c r="W140" t="str">
        <f>IF($B140="","",IF($P140&lt;&gt;"",$P140,IF(OR($U140="Tidak Disusutkan",$V140=0),"Tidak Disusutkan","Garis Lurus")))</f>
        <v/>
      </c>
      <c r="X140" t="str">
        <f>IF($B140="","",IF($Y140&gt;TahunBuku*12+12,"Belum Diperoleh",IF($Z140&lt;=TahunBuku*12,"Dilepas (thn lalu)",IF($AC140=1,"Dilepas thn ini",IF($AB140=1,"Perolehan baru","Aktif")))))</f>
        <v/>
      </c>
      <c r="Y140" s="20" t="str">
        <f>IF($B140="","",YEAR($F140)*12+MONTH($F140))</f>
        <v/>
      </c>
      <c r="Z140" s="20" t="str">
        <f>IF($B140="","",IF($Q140="",99999,YEAR($Q140)*12+MONTH($Q140)))</f>
        <v/>
      </c>
      <c r="AA140" s="20" t="str">
        <f>IF($B140="","",--AND($Y140&lt;=TahunBuku*12,$Z140&gt;TahunBuku*12))</f>
        <v/>
      </c>
      <c r="AB140" s="20" t="str">
        <f>IF($B140="","",--AND($Y140&gt;TahunBuku*12,$Y140&lt;=TahunBuku*12+12))</f>
        <v/>
      </c>
      <c r="AC140" s="20" t="str">
        <f>IF($B140="","",--AND($Z140&gt;TahunBuku*12,$Z140&lt;=TahunBuku*12+12,$Y140&lt;=$Z140))</f>
        <v/>
      </c>
      <c r="AD140" s="21" t="str">
        <f>IF($B140="","",IFERROR(IF($S140="Garis Lurus",$G140-($G140-$H140)*MIN($T140*12,MAX(0,TahunBuku*12-$Y140+1))/($T140*12),IF($S140="Saldo Menurun",IF(TahunBuku-1&lt;YEAR($F140),$G140,IF(TahunBuku-1&gt;=INT(($Y140+$T140*12-2)/12),$H140,MAX($H140,$G140*(1-2/$T140*(13-MONTH($F140))/12)*(1-2/$T140)^(TahunBuku-1-YEAR($F140))))),IF($S140="Unit Produksi",$G140-($G140-$H140)*MIN(1,N($L140)/$K140),$G140))),$G140))</f>
        <v/>
      </c>
      <c r="AE140" s="21" t="str">
        <f>IF($B140="","",IFERROR(IF($S140="Garis Lurus",$G140-($G140-$H140)*MIN($T140*12,MAX(0,TahunBuku*12+12-$Y140+1))/($T140*12),IF($S140="Saldo Menurun",IF(TahunBuku&lt;YEAR($F140),$G140,IF(TahunBuku&gt;=INT(($Y140+$T140*12-2)/12),$H140,MAX($H140,$G140*(1-2/$T140*(13-MONTH($F140))/12)*(1-2/$T140)^(TahunBuku-YEAR($F140))))),IF($S140="Unit Produksi",$G140-($G140-$H140)*MIN(1,(N($L140)+N($M140))/$K140),$G140))),$G140))</f>
        <v/>
      </c>
      <c r="AF140" s="20" t="str">
        <f>IF($B140="","",IF(OR($S140="Garis Lurus",$S140="Saldo Menurun",$S140="Unit Produksi"),MAX(0,IF($S140="Unit Produksi",TahunBuku*12+12,MIN(TahunBuku*12+12,$Y140+$T140*12-1))-MAX(TahunBuku*12+1,$Y140)+1),0))</f>
        <v/>
      </c>
      <c r="AG140" s="20" t="str">
        <f>IF($B140="","",IF(OR($S140="Garis Lurus",$S140="Saldo Menurun",$S140="Unit Produksi"),MAX(0,MIN($Z140,IF($S140="Unit Produksi",TahunBuku*12+12,MIN(TahunBuku*12+12,$Y140+$T140*12-1)))-MAX(TahunBuku*12+1,$Y140)+1),0))</f>
        <v/>
      </c>
      <c r="AH140" s="21" t="str">
        <f>IF($B140="","",IFERROR(IF($W140="Garis Lurus",$G140*(1-MIN($V140*12,MAX(0,TahunBuku*12-$Y140+1))/($V140*12)),IF($W140="Saldo Menurun",IF(TahunBuku-1&lt;YEAR($F140),$G140,IF(TahunBuku-1&gt;=INT(($Y140+$V140*12-2)/12),0,$G140*(1-2/$V140*(13-MONTH($F140))/12)*(1-2/$V140)^(TahunBuku-1-YEAR($F140)))),$G140)),$G140))</f>
        <v/>
      </c>
      <c r="AI140" s="21" t="str">
        <f>IF($B140="","",IFERROR(IF($W140="Garis Lurus",$G140*(1-MIN($V140*12,MAX(0,TahunBuku*12+12-$Y140+1))/($V140*12)),IF($W140="Saldo Menurun",IF(TahunBuku&lt;YEAR($F140),$G140,IF(TahunBuku&gt;=INT(($Y140+$V140*12-2)/12),0,$G140*(1-2/$V140*(13-MONTH($F140))/12)*(1-2/$V140)^(TahunBuku-YEAR($F140)))),$G140)),$G140))</f>
        <v/>
      </c>
      <c r="AJ140" s="20" t="str">
        <f>IF($B140="","",IF(OR($W140="Garis Lurus",$W140="Saldo Menurun"),MAX(0,MIN(TahunBuku*12+12,$Y140+$V140*12-1)-MAX(TahunBuku*12+1,$Y140)+1),0))</f>
        <v/>
      </c>
      <c r="AK140" s="20" t="str">
        <f>IF($B140="","",IF(OR($W140="Garis Lurus",$W140="Saldo Menurun"),MAX(0,MIN($Z140,TahunBuku*12+12,$Y140+$V140*12-1)-MAX(TahunBuku*12+1,$Y140)+1),0))</f>
        <v/>
      </c>
      <c r="AL140" s="22" t="str">
        <f>IF($B140="","",$G140*$AA140)</f>
        <v/>
      </c>
      <c r="AM140" s="22" t="str">
        <f>IF($B140="","",$G140*$AB140)</f>
        <v/>
      </c>
      <c r="AN140" s="22" t="str">
        <f>IF($B140="","",$G140*$AC140)</f>
        <v/>
      </c>
      <c r="AO140" s="22" t="str">
        <f>IF($B140="","",AL140+AM140-AN140)</f>
        <v/>
      </c>
      <c r="AP140" s="22" t="str">
        <f>IF($B140="","",($G140-$AD140)*$AA140)</f>
        <v/>
      </c>
      <c r="AQ140" s="22" t="str">
        <f>IF($B140="","",IF($AF140=0,0,($AD140-$AE140)*$AG140/$AF140)*MAX($AA140,$AB140))</f>
        <v/>
      </c>
      <c r="AR140" s="22" t="str">
        <f>IF($B140="","",(AP140+AQ140)*$AC140)</f>
        <v/>
      </c>
      <c r="AS140" s="22" t="str">
        <f>IF($B140="","",AP140+AQ140-AR140)</f>
        <v/>
      </c>
      <c r="AT140" s="22" t="str">
        <f>IF($B140="","",AO140-AS140)</f>
        <v/>
      </c>
      <c r="AU140" s="22" t="str">
        <f>IF($B140="","",IF($AC140=1,N($R140)-($G140-AR140),0))</f>
        <v/>
      </c>
      <c r="AV140" s="22" t="str">
        <f>IF($B140="","",($G140-$AH140)*$AA140)</f>
        <v/>
      </c>
      <c r="AW140" s="22" t="str">
        <f>IF($B140="","",IF($AJ140=0,0,($AH140-$AI140)*$AK140/$AJ140)*MAX($AA140,$AB140))</f>
        <v/>
      </c>
      <c r="AX140" s="22" t="str">
        <f>IF($B140="","",(AV140+AW140)*$AC140)</f>
        <v/>
      </c>
      <c r="AY140" s="22" t="str">
        <f>IF($B140="","",AV140+AW140-AX140)</f>
        <v/>
      </c>
      <c r="AZ140" s="22" t="str">
        <f>IF($B140="","",AO140-AY140)</f>
        <v/>
      </c>
      <c r="BA140" s="22" t="str">
        <f>IF($B140="","",IF($AC140=1,N($R140)-($G140-AX140),0))</f>
        <v/>
      </c>
      <c r="BB140" s="22" t="str">
        <f>IF($B140="","",ROUND(AQ140-AW140,0))</f>
        <v/>
      </c>
      <c r="BC140" s="22" t="str">
        <f>IF($B140="","",ROUND(BA140-AU140,0))</f>
        <v/>
      </c>
      <c r="BD140" s="22" t="str">
        <f>IF($B140="","",BB140+BC140)</f>
        <v/>
      </c>
      <c r="BE140" s="22" t="str">
        <f>IF($B140="","",ROUND(AV140-AP140,0))</f>
        <v/>
      </c>
      <c r="BF140" s="22" t="str">
        <f>IF($B140="","",ROUND(AT140-AZ140,0))</f>
        <v/>
      </c>
      <c r="BG140" s="22" t="str">
        <f>IF($B140="","",ROUND(BF140*TarifPPh,0))</f>
        <v/>
      </c>
      <c r="BH140" t="str">
        <f>IF($B140="","",IF($D140="","Kategori kosong",IF($F140="","Tgl perolehan kosong",IF(N($H140)&gt;$G140,"Residu &gt; harga perolehan",IF(AND(LEFT($U140,8)="Bangunan",$W140="Saldo Menurun"),"Bangunan wajib Garis Lurus (Ps.11 UU PPh)",IF(AND($S140="Unit Produksi",N($K140)=0),"Isi kapasitas unit",IF(AND(OR($S140="Garis Lurus",$S140="Saldo Menurun"),N($T140)&lt;=0),"Umur komersial kosong",IF(AND(OR($W140="Garis Lurus",$W140="Saldo Menurun"),N($V140)&lt;=0),"Masa manfaat fiskal kosong",IF(AND($Q140&lt;&gt;"",$Q140&lt;$F140),"Tgl pelepasan &lt; perolehan","OK")))))))))</f>
        <v/>
      </c>
    </row>
    <row r="141" spans="1:60" x14ac:dyDescent="0.25">
      <c r="A141" t="str">
        <f>IF($B141="","",ROW()-6)</f>
        <v/>
      </c>
      <c r="B141" s="9"/>
      <c r="C141" s="9"/>
      <c r="D141" s="9"/>
      <c r="E141" s="9"/>
      <c r="F141" s="17"/>
      <c r="G141" s="18"/>
      <c r="H141" s="18"/>
      <c r="I141" s="9"/>
      <c r="J141" s="9"/>
      <c r="K141" s="19"/>
      <c r="L141" s="19"/>
      <c r="M141" s="19"/>
      <c r="N141" s="9"/>
      <c r="O141" s="9"/>
      <c r="P141" s="9"/>
      <c r="Q141" s="17"/>
      <c r="R141" s="18"/>
      <c r="S141" t="str">
        <f>IF($B141="","",IF($I141&lt;&gt;"",$I141,IFERROR(INDEX(Kat_Metode,MATCH($D141,Kat_Nama,0)),"")))</f>
        <v/>
      </c>
      <c r="T141" t="str">
        <f>IF($B141="","",IF($J141&lt;&gt;"",$J141,IFERROR(INDEX(Kat_Umur,MATCH($D141,Kat_Nama,0)),0)))</f>
        <v/>
      </c>
      <c r="U141" t="str">
        <f>IF($B141="","",IF($N141&lt;&gt;"",$N141,IFERROR(INDEX(Kat_Kelompok,MATCH($D141,Kat_Nama,0)),"")))</f>
        <v/>
      </c>
      <c r="V141" t="str">
        <f>IF($B141="","",IF($U141="Masa Manfaat Sebenarnya",N($O141),IFERROR(INDEX(Kel_Masa,MATCH($U141,Kel_Nama,0)),0)))</f>
        <v/>
      </c>
      <c r="W141" t="str">
        <f>IF($B141="","",IF($P141&lt;&gt;"",$P141,IF(OR($U141="Tidak Disusutkan",$V141=0),"Tidak Disusutkan","Garis Lurus")))</f>
        <v/>
      </c>
      <c r="X141" t="str">
        <f>IF($B141="","",IF($Y141&gt;TahunBuku*12+12,"Belum Diperoleh",IF($Z141&lt;=TahunBuku*12,"Dilepas (thn lalu)",IF($AC141=1,"Dilepas thn ini",IF($AB141=1,"Perolehan baru","Aktif")))))</f>
        <v/>
      </c>
      <c r="Y141" s="20" t="str">
        <f>IF($B141="","",YEAR($F141)*12+MONTH($F141))</f>
        <v/>
      </c>
      <c r="Z141" s="20" t="str">
        <f>IF($B141="","",IF($Q141="",99999,YEAR($Q141)*12+MONTH($Q141)))</f>
        <v/>
      </c>
      <c r="AA141" s="20" t="str">
        <f>IF($B141="","",--AND($Y141&lt;=TahunBuku*12,$Z141&gt;TahunBuku*12))</f>
        <v/>
      </c>
      <c r="AB141" s="20" t="str">
        <f>IF($B141="","",--AND($Y141&gt;TahunBuku*12,$Y141&lt;=TahunBuku*12+12))</f>
        <v/>
      </c>
      <c r="AC141" s="20" t="str">
        <f>IF($B141="","",--AND($Z141&gt;TahunBuku*12,$Z141&lt;=TahunBuku*12+12,$Y141&lt;=$Z141))</f>
        <v/>
      </c>
      <c r="AD141" s="21" t="str">
        <f>IF($B141="","",IFERROR(IF($S141="Garis Lurus",$G141-($G141-$H141)*MIN($T141*12,MAX(0,TahunBuku*12-$Y141+1))/($T141*12),IF($S141="Saldo Menurun",IF(TahunBuku-1&lt;YEAR($F141),$G141,IF(TahunBuku-1&gt;=INT(($Y141+$T141*12-2)/12),$H141,MAX($H141,$G141*(1-2/$T141*(13-MONTH($F141))/12)*(1-2/$T141)^(TahunBuku-1-YEAR($F141))))),IF($S141="Unit Produksi",$G141-($G141-$H141)*MIN(1,N($L141)/$K141),$G141))),$G141))</f>
        <v/>
      </c>
      <c r="AE141" s="21" t="str">
        <f>IF($B141="","",IFERROR(IF($S141="Garis Lurus",$G141-($G141-$H141)*MIN($T141*12,MAX(0,TahunBuku*12+12-$Y141+1))/($T141*12),IF($S141="Saldo Menurun",IF(TahunBuku&lt;YEAR($F141),$G141,IF(TahunBuku&gt;=INT(($Y141+$T141*12-2)/12),$H141,MAX($H141,$G141*(1-2/$T141*(13-MONTH($F141))/12)*(1-2/$T141)^(TahunBuku-YEAR($F141))))),IF($S141="Unit Produksi",$G141-($G141-$H141)*MIN(1,(N($L141)+N($M141))/$K141),$G141))),$G141))</f>
        <v/>
      </c>
      <c r="AF141" s="20" t="str">
        <f>IF($B141="","",IF(OR($S141="Garis Lurus",$S141="Saldo Menurun",$S141="Unit Produksi"),MAX(0,IF($S141="Unit Produksi",TahunBuku*12+12,MIN(TahunBuku*12+12,$Y141+$T141*12-1))-MAX(TahunBuku*12+1,$Y141)+1),0))</f>
        <v/>
      </c>
      <c r="AG141" s="20" t="str">
        <f>IF($B141="","",IF(OR($S141="Garis Lurus",$S141="Saldo Menurun",$S141="Unit Produksi"),MAX(0,MIN($Z141,IF($S141="Unit Produksi",TahunBuku*12+12,MIN(TahunBuku*12+12,$Y141+$T141*12-1)))-MAX(TahunBuku*12+1,$Y141)+1),0))</f>
        <v/>
      </c>
      <c r="AH141" s="21" t="str">
        <f>IF($B141="","",IFERROR(IF($W141="Garis Lurus",$G141*(1-MIN($V141*12,MAX(0,TahunBuku*12-$Y141+1))/($V141*12)),IF($W141="Saldo Menurun",IF(TahunBuku-1&lt;YEAR($F141),$G141,IF(TahunBuku-1&gt;=INT(($Y141+$V141*12-2)/12),0,$G141*(1-2/$V141*(13-MONTH($F141))/12)*(1-2/$V141)^(TahunBuku-1-YEAR($F141)))),$G141)),$G141))</f>
        <v/>
      </c>
      <c r="AI141" s="21" t="str">
        <f>IF($B141="","",IFERROR(IF($W141="Garis Lurus",$G141*(1-MIN($V141*12,MAX(0,TahunBuku*12+12-$Y141+1))/($V141*12)),IF($W141="Saldo Menurun",IF(TahunBuku&lt;YEAR($F141),$G141,IF(TahunBuku&gt;=INT(($Y141+$V141*12-2)/12),0,$G141*(1-2/$V141*(13-MONTH($F141))/12)*(1-2/$V141)^(TahunBuku-YEAR($F141)))),$G141)),$G141))</f>
        <v/>
      </c>
      <c r="AJ141" s="20" t="str">
        <f>IF($B141="","",IF(OR($W141="Garis Lurus",$W141="Saldo Menurun"),MAX(0,MIN(TahunBuku*12+12,$Y141+$V141*12-1)-MAX(TahunBuku*12+1,$Y141)+1),0))</f>
        <v/>
      </c>
      <c r="AK141" s="20" t="str">
        <f>IF($B141="","",IF(OR($W141="Garis Lurus",$W141="Saldo Menurun"),MAX(0,MIN($Z141,TahunBuku*12+12,$Y141+$V141*12-1)-MAX(TahunBuku*12+1,$Y141)+1),0))</f>
        <v/>
      </c>
      <c r="AL141" s="22" t="str">
        <f>IF($B141="","",$G141*$AA141)</f>
        <v/>
      </c>
      <c r="AM141" s="22" t="str">
        <f>IF($B141="","",$G141*$AB141)</f>
        <v/>
      </c>
      <c r="AN141" s="22" t="str">
        <f>IF($B141="","",$G141*$AC141)</f>
        <v/>
      </c>
      <c r="AO141" s="22" t="str">
        <f>IF($B141="","",AL141+AM141-AN141)</f>
        <v/>
      </c>
      <c r="AP141" s="22" t="str">
        <f>IF($B141="","",($G141-$AD141)*$AA141)</f>
        <v/>
      </c>
      <c r="AQ141" s="22" t="str">
        <f>IF($B141="","",IF($AF141=0,0,($AD141-$AE141)*$AG141/$AF141)*MAX($AA141,$AB141))</f>
        <v/>
      </c>
      <c r="AR141" s="22" t="str">
        <f>IF($B141="","",(AP141+AQ141)*$AC141)</f>
        <v/>
      </c>
      <c r="AS141" s="22" t="str">
        <f>IF($B141="","",AP141+AQ141-AR141)</f>
        <v/>
      </c>
      <c r="AT141" s="22" t="str">
        <f>IF($B141="","",AO141-AS141)</f>
        <v/>
      </c>
      <c r="AU141" s="22" t="str">
        <f>IF($B141="","",IF($AC141=1,N($R141)-($G141-AR141),0))</f>
        <v/>
      </c>
      <c r="AV141" s="22" t="str">
        <f>IF($B141="","",($G141-$AH141)*$AA141)</f>
        <v/>
      </c>
      <c r="AW141" s="22" t="str">
        <f>IF($B141="","",IF($AJ141=0,0,($AH141-$AI141)*$AK141/$AJ141)*MAX($AA141,$AB141))</f>
        <v/>
      </c>
      <c r="AX141" s="22" t="str">
        <f>IF($B141="","",(AV141+AW141)*$AC141)</f>
        <v/>
      </c>
      <c r="AY141" s="22" t="str">
        <f>IF($B141="","",AV141+AW141-AX141)</f>
        <v/>
      </c>
      <c r="AZ141" s="22" t="str">
        <f>IF($B141="","",AO141-AY141)</f>
        <v/>
      </c>
      <c r="BA141" s="22" t="str">
        <f>IF($B141="","",IF($AC141=1,N($R141)-($G141-AX141),0))</f>
        <v/>
      </c>
      <c r="BB141" s="22" t="str">
        <f>IF($B141="","",ROUND(AQ141-AW141,0))</f>
        <v/>
      </c>
      <c r="BC141" s="22" t="str">
        <f>IF($B141="","",ROUND(BA141-AU141,0))</f>
        <v/>
      </c>
      <c r="BD141" s="22" t="str">
        <f>IF($B141="","",BB141+BC141)</f>
        <v/>
      </c>
      <c r="BE141" s="22" t="str">
        <f>IF($B141="","",ROUND(AV141-AP141,0))</f>
        <v/>
      </c>
      <c r="BF141" s="22" t="str">
        <f>IF($B141="","",ROUND(AT141-AZ141,0))</f>
        <v/>
      </c>
      <c r="BG141" s="22" t="str">
        <f>IF($B141="","",ROUND(BF141*TarifPPh,0))</f>
        <v/>
      </c>
      <c r="BH141" t="str">
        <f>IF($B141="","",IF($D141="","Kategori kosong",IF($F141="","Tgl perolehan kosong",IF(N($H141)&gt;$G141,"Residu &gt; harga perolehan",IF(AND(LEFT($U141,8)="Bangunan",$W141="Saldo Menurun"),"Bangunan wajib Garis Lurus (Ps.11 UU PPh)",IF(AND($S141="Unit Produksi",N($K141)=0),"Isi kapasitas unit",IF(AND(OR($S141="Garis Lurus",$S141="Saldo Menurun"),N($T141)&lt;=0),"Umur komersial kosong",IF(AND(OR($W141="Garis Lurus",$W141="Saldo Menurun"),N($V141)&lt;=0),"Masa manfaat fiskal kosong",IF(AND($Q141&lt;&gt;"",$Q141&lt;$F141),"Tgl pelepasan &lt; perolehan","OK")))))))))</f>
        <v/>
      </c>
    </row>
    <row r="142" spans="1:60" x14ac:dyDescent="0.25">
      <c r="A142" t="str">
        <f>IF($B142="","",ROW()-6)</f>
        <v/>
      </c>
      <c r="B142" s="9"/>
      <c r="C142" s="9"/>
      <c r="D142" s="9"/>
      <c r="E142" s="9"/>
      <c r="F142" s="17"/>
      <c r="G142" s="18"/>
      <c r="H142" s="18"/>
      <c r="I142" s="9"/>
      <c r="J142" s="9"/>
      <c r="K142" s="19"/>
      <c r="L142" s="19"/>
      <c r="M142" s="19"/>
      <c r="N142" s="9"/>
      <c r="O142" s="9"/>
      <c r="P142" s="9"/>
      <c r="Q142" s="17"/>
      <c r="R142" s="18"/>
      <c r="S142" t="str">
        <f>IF($B142="","",IF($I142&lt;&gt;"",$I142,IFERROR(INDEX(Kat_Metode,MATCH($D142,Kat_Nama,0)),"")))</f>
        <v/>
      </c>
      <c r="T142" t="str">
        <f>IF($B142="","",IF($J142&lt;&gt;"",$J142,IFERROR(INDEX(Kat_Umur,MATCH($D142,Kat_Nama,0)),0)))</f>
        <v/>
      </c>
      <c r="U142" t="str">
        <f>IF($B142="","",IF($N142&lt;&gt;"",$N142,IFERROR(INDEX(Kat_Kelompok,MATCH($D142,Kat_Nama,0)),"")))</f>
        <v/>
      </c>
      <c r="V142" t="str">
        <f>IF($B142="","",IF($U142="Masa Manfaat Sebenarnya",N($O142),IFERROR(INDEX(Kel_Masa,MATCH($U142,Kel_Nama,0)),0)))</f>
        <v/>
      </c>
      <c r="W142" t="str">
        <f>IF($B142="","",IF($P142&lt;&gt;"",$P142,IF(OR($U142="Tidak Disusutkan",$V142=0),"Tidak Disusutkan","Garis Lurus")))</f>
        <v/>
      </c>
      <c r="X142" t="str">
        <f>IF($B142="","",IF($Y142&gt;TahunBuku*12+12,"Belum Diperoleh",IF($Z142&lt;=TahunBuku*12,"Dilepas (thn lalu)",IF($AC142=1,"Dilepas thn ini",IF($AB142=1,"Perolehan baru","Aktif")))))</f>
        <v/>
      </c>
      <c r="Y142" s="20" t="str">
        <f>IF($B142="","",YEAR($F142)*12+MONTH($F142))</f>
        <v/>
      </c>
      <c r="Z142" s="20" t="str">
        <f>IF($B142="","",IF($Q142="",99999,YEAR($Q142)*12+MONTH($Q142)))</f>
        <v/>
      </c>
      <c r="AA142" s="20" t="str">
        <f>IF($B142="","",--AND($Y142&lt;=TahunBuku*12,$Z142&gt;TahunBuku*12))</f>
        <v/>
      </c>
      <c r="AB142" s="20" t="str">
        <f>IF($B142="","",--AND($Y142&gt;TahunBuku*12,$Y142&lt;=TahunBuku*12+12))</f>
        <v/>
      </c>
      <c r="AC142" s="20" t="str">
        <f>IF($B142="","",--AND($Z142&gt;TahunBuku*12,$Z142&lt;=TahunBuku*12+12,$Y142&lt;=$Z142))</f>
        <v/>
      </c>
      <c r="AD142" s="21" t="str">
        <f>IF($B142="","",IFERROR(IF($S142="Garis Lurus",$G142-($G142-$H142)*MIN($T142*12,MAX(0,TahunBuku*12-$Y142+1))/($T142*12),IF($S142="Saldo Menurun",IF(TahunBuku-1&lt;YEAR($F142),$G142,IF(TahunBuku-1&gt;=INT(($Y142+$T142*12-2)/12),$H142,MAX($H142,$G142*(1-2/$T142*(13-MONTH($F142))/12)*(1-2/$T142)^(TahunBuku-1-YEAR($F142))))),IF($S142="Unit Produksi",$G142-($G142-$H142)*MIN(1,N($L142)/$K142),$G142))),$G142))</f>
        <v/>
      </c>
      <c r="AE142" s="21" t="str">
        <f>IF($B142="","",IFERROR(IF($S142="Garis Lurus",$G142-($G142-$H142)*MIN($T142*12,MAX(0,TahunBuku*12+12-$Y142+1))/($T142*12),IF($S142="Saldo Menurun",IF(TahunBuku&lt;YEAR($F142),$G142,IF(TahunBuku&gt;=INT(($Y142+$T142*12-2)/12),$H142,MAX($H142,$G142*(1-2/$T142*(13-MONTH($F142))/12)*(1-2/$T142)^(TahunBuku-YEAR($F142))))),IF($S142="Unit Produksi",$G142-($G142-$H142)*MIN(1,(N($L142)+N($M142))/$K142),$G142))),$G142))</f>
        <v/>
      </c>
      <c r="AF142" s="20" t="str">
        <f>IF($B142="","",IF(OR($S142="Garis Lurus",$S142="Saldo Menurun",$S142="Unit Produksi"),MAX(0,IF($S142="Unit Produksi",TahunBuku*12+12,MIN(TahunBuku*12+12,$Y142+$T142*12-1))-MAX(TahunBuku*12+1,$Y142)+1),0))</f>
        <v/>
      </c>
      <c r="AG142" s="20" t="str">
        <f>IF($B142="","",IF(OR($S142="Garis Lurus",$S142="Saldo Menurun",$S142="Unit Produksi"),MAX(0,MIN($Z142,IF($S142="Unit Produksi",TahunBuku*12+12,MIN(TahunBuku*12+12,$Y142+$T142*12-1)))-MAX(TahunBuku*12+1,$Y142)+1),0))</f>
        <v/>
      </c>
      <c r="AH142" s="21" t="str">
        <f>IF($B142="","",IFERROR(IF($W142="Garis Lurus",$G142*(1-MIN($V142*12,MAX(0,TahunBuku*12-$Y142+1))/($V142*12)),IF($W142="Saldo Menurun",IF(TahunBuku-1&lt;YEAR($F142),$G142,IF(TahunBuku-1&gt;=INT(($Y142+$V142*12-2)/12),0,$G142*(1-2/$V142*(13-MONTH($F142))/12)*(1-2/$V142)^(TahunBuku-1-YEAR($F142)))),$G142)),$G142))</f>
        <v/>
      </c>
      <c r="AI142" s="21" t="str">
        <f>IF($B142="","",IFERROR(IF($W142="Garis Lurus",$G142*(1-MIN($V142*12,MAX(0,TahunBuku*12+12-$Y142+1))/($V142*12)),IF($W142="Saldo Menurun",IF(TahunBuku&lt;YEAR($F142),$G142,IF(TahunBuku&gt;=INT(($Y142+$V142*12-2)/12),0,$G142*(1-2/$V142*(13-MONTH($F142))/12)*(1-2/$V142)^(TahunBuku-YEAR($F142)))),$G142)),$G142))</f>
        <v/>
      </c>
      <c r="AJ142" s="20" t="str">
        <f>IF($B142="","",IF(OR($W142="Garis Lurus",$W142="Saldo Menurun"),MAX(0,MIN(TahunBuku*12+12,$Y142+$V142*12-1)-MAX(TahunBuku*12+1,$Y142)+1),0))</f>
        <v/>
      </c>
      <c r="AK142" s="20" t="str">
        <f>IF($B142="","",IF(OR($W142="Garis Lurus",$W142="Saldo Menurun"),MAX(0,MIN($Z142,TahunBuku*12+12,$Y142+$V142*12-1)-MAX(TahunBuku*12+1,$Y142)+1),0))</f>
        <v/>
      </c>
      <c r="AL142" s="22" t="str">
        <f>IF($B142="","",$G142*$AA142)</f>
        <v/>
      </c>
      <c r="AM142" s="22" t="str">
        <f>IF($B142="","",$G142*$AB142)</f>
        <v/>
      </c>
      <c r="AN142" s="22" t="str">
        <f>IF($B142="","",$G142*$AC142)</f>
        <v/>
      </c>
      <c r="AO142" s="22" t="str">
        <f>IF($B142="","",AL142+AM142-AN142)</f>
        <v/>
      </c>
      <c r="AP142" s="22" t="str">
        <f>IF($B142="","",($G142-$AD142)*$AA142)</f>
        <v/>
      </c>
      <c r="AQ142" s="22" t="str">
        <f>IF($B142="","",IF($AF142=0,0,($AD142-$AE142)*$AG142/$AF142)*MAX($AA142,$AB142))</f>
        <v/>
      </c>
      <c r="AR142" s="22" t="str">
        <f>IF($B142="","",(AP142+AQ142)*$AC142)</f>
        <v/>
      </c>
      <c r="AS142" s="22" t="str">
        <f>IF($B142="","",AP142+AQ142-AR142)</f>
        <v/>
      </c>
      <c r="AT142" s="22" t="str">
        <f>IF($B142="","",AO142-AS142)</f>
        <v/>
      </c>
      <c r="AU142" s="22" t="str">
        <f>IF($B142="","",IF($AC142=1,N($R142)-($G142-AR142),0))</f>
        <v/>
      </c>
      <c r="AV142" s="22" t="str">
        <f>IF($B142="","",($G142-$AH142)*$AA142)</f>
        <v/>
      </c>
      <c r="AW142" s="22" t="str">
        <f>IF($B142="","",IF($AJ142=0,0,($AH142-$AI142)*$AK142/$AJ142)*MAX($AA142,$AB142))</f>
        <v/>
      </c>
      <c r="AX142" s="22" t="str">
        <f>IF($B142="","",(AV142+AW142)*$AC142)</f>
        <v/>
      </c>
      <c r="AY142" s="22" t="str">
        <f>IF($B142="","",AV142+AW142-AX142)</f>
        <v/>
      </c>
      <c r="AZ142" s="22" t="str">
        <f>IF($B142="","",AO142-AY142)</f>
        <v/>
      </c>
      <c r="BA142" s="22" t="str">
        <f>IF($B142="","",IF($AC142=1,N($R142)-($G142-AX142),0))</f>
        <v/>
      </c>
      <c r="BB142" s="22" t="str">
        <f>IF($B142="","",ROUND(AQ142-AW142,0))</f>
        <v/>
      </c>
      <c r="BC142" s="22" t="str">
        <f>IF($B142="","",ROUND(BA142-AU142,0))</f>
        <v/>
      </c>
      <c r="BD142" s="22" t="str">
        <f>IF($B142="","",BB142+BC142)</f>
        <v/>
      </c>
      <c r="BE142" s="22" t="str">
        <f>IF($B142="","",ROUND(AV142-AP142,0))</f>
        <v/>
      </c>
      <c r="BF142" s="22" t="str">
        <f>IF($B142="","",ROUND(AT142-AZ142,0))</f>
        <v/>
      </c>
      <c r="BG142" s="22" t="str">
        <f>IF($B142="","",ROUND(BF142*TarifPPh,0))</f>
        <v/>
      </c>
      <c r="BH142" t="str">
        <f>IF($B142="","",IF($D142="","Kategori kosong",IF($F142="","Tgl perolehan kosong",IF(N($H142)&gt;$G142,"Residu &gt; harga perolehan",IF(AND(LEFT($U142,8)="Bangunan",$W142="Saldo Menurun"),"Bangunan wajib Garis Lurus (Ps.11 UU PPh)",IF(AND($S142="Unit Produksi",N($K142)=0),"Isi kapasitas unit",IF(AND(OR($S142="Garis Lurus",$S142="Saldo Menurun"),N($T142)&lt;=0),"Umur komersial kosong",IF(AND(OR($W142="Garis Lurus",$W142="Saldo Menurun"),N($V142)&lt;=0),"Masa manfaat fiskal kosong",IF(AND($Q142&lt;&gt;"",$Q142&lt;$F142),"Tgl pelepasan &lt; perolehan","OK")))))))))</f>
        <v/>
      </c>
    </row>
    <row r="143" spans="1:60" x14ac:dyDescent="0.25">
      <c r="A143" t="str">
        <f>IF($B143="","",ROW()-6)</f>
        <v/>
      </c>
      <c r="B143" s="9"/>
      <c r="C143" s="9"/>
      <c r="D143" s="9"/>
      <c r="E143" s="9"/>
      <c r="F143" s="17"/>
      <c r="G143" s="18"/>
      <c r="H143" s="18"/>
      <c r="I143" s="9"/>
      <c r="J143" s="9"/>
      <c r="K143" s="19"/>
      <c r="L143" s="19"/>
      <c r="M143" s="19"/>
      <c r="N143" s="9"/>
      <c r="O143" s="9"/>
      <c r="P143" s="9"/>
      <c r="Q143" s="17"/>
      <c r="R143" s="18"/>
      <c r="S143" t="str">
        <f>IF($B143="","",IF($I143&lt;&gt;"",$I143,IFERROR(INDEX(Kat_Metode,MATCH($D143,Kat_Nama,0)),"")))</f>
        <v/>
      </c>
      <c r="T143" t="str">
        <f>IF($B143="","",IF($J143&lt;&gt;"",$J143,IFERROR(INDEX(Kat_Umur,MATCH($D143,Kat_Nama,0)),0)))</f>
        <v/>
      </c>
      <c r="U143" t="str">
        <f>IF($B143="","",IF($N143&lt;&gt;"",$N143,IFERROR(INDEX(Kat_Kelompok,MATCH($D143,Kat_Nama,0)),"")))</f>
        <v/>
      </c>
      <c r="V143" t="str">
        <f>IF($B143="","",IF($U143="Masa Manfaat Sebenarnya",N($O143),IFERROR(INDEX(Kel_Masa,MATCH($U143,Kel_Nama,0)),0)))</f>
        <v/>
      </c>
      <c r="W143" t="str">
        <f>IF($B143="","",IF($P143&lt;&gt;"",$P143,IF(OR($U143="Tidak Disusutkan",$V143=0),"Tidak Disusutkan","Garis Lurus")))</f>
        <v/>
      </c>
      <c r="X143" t="str">
        <f>IF($B143="","",IF($Y143&gt;TahunBuku*12+12,"Belum Diperoleh",IF($Z143&lt;=TahunBuku*12,"Dilepas (thn lalu)",IF($AC143=1,"Dilepas thn ini",IF($AB143=1,"Perolehan baru","Aktif")))))</f>
        <v/>
      </c>
      <c r="Y143" s="20" t="str">
        <f>IF($B143="","",YEAR($F143)*12+MONTH($F143))</f>
        <v/>
      </c>
      <c r="Z143" s="20" t="str">
        <f>IF($B143="","",IF($Q143="",99999,YEAR($Q143)*12+MONTH($Q143)))</f>
        <v/>
      </c>
      <c r="AA143" s="20" t="str">
        <f>IF($B143="","",--AND($Y143&lt;=TahunBuku*12,$Z143&gt;TahunBuku*12))</f>
        <v/>
      </c>
      <c r="AB143" s="20" t="str">
        <f>IF($B143="","",--AND($Y143&gt;TahunBuku*12,$Y143&lt;=TahunBuku*12+12))</f>
        <v/>
      </c>
      <c r="AC143" s="20" t="str">
        <f>IF($B143="","",--AND($Z143&gt;TahunBuku*12,$Z143&lt;=TahunBuku*12+12,$Y143&lt;=$Z143))</f>
        <v/>
      </c>
      <c r="AD143" s="21" t="str">
        <f>IF($B143="","",IFERROR(IF($S143="Garis Lurus",$G143-($G143-$H143)*MIN($T143*12,MAX(0,TahunBuku*12-$Y143+1))/($T143*12),IF($S143="Saldo Menurun",IF(TahunBuku-1&lt;YEAR($F143),$G143,IF(TahunBuku-1&gt;=INT(($Y143+$T143*12-2)/12),$H143,MAX($H143,$G143*(1-2/$T143*(13-MONTH($F143))/12)*(1-2/$T143)^(TahunBuku-1-YEAR($F143))))),IF($S143="Unit Produksi",$G143-($G143-$H143)*MIN(1,N($L143)/$K143),$G143))),$G143))</f>
        <v/>
      </c>
      <c r="AE143" s="21" t="str">
        <f>IF($B143="","",IFERROR(IF($S143="Garis Lurus",$G143-($G143-$H143)*MIN($T143*12,MAX(0,TahunBuku*12+12-$Y143+1))/($T143*12),IF($S143="Saldo Menurun",IF(TahunBuku&lt;YEAR($F143),$G143,IF(TahunBuku&gt;=INT(($Y143+$T143*12-2)/12),$H143,MAX($H143,$G143*(1-2/$T143*(13-MONTH($F143))/12)*(1-2/$T143)^(TahunBuku-YEAR($F143))))),IF($S143="Unit Produksi",$G143-($G143-$H143)*MIN(1,(N($L143)+N($M143))/$K143),$G143))),$G143))</f>
        <v/>
      </c>
      <c r="AF143" s="20" t="str">
        <f>IF($B143="","",IF(OR($S143="Garis Lurus",$S143="Saldo Menurun",$S143="Unit Produksi"),MAX(0,IF($S143="Unit Produksi",TahunBuku*12+12,MIN(TahunBuku*12+12,$Y143+$T143*12-1))-MAX(TahunBuku*12+1,$Y143)+1),0))</f>
        <v/>
      </c>
      <c r="AG143" s="20" t="str">
        <f>IF($B143="","",IF(OR($S143="Garis Lurus",$S143="Saldo Menurun",$S143="Unit Produksi"),MAX(0,MIN($Z143,IF($S143="Unit Produksi",TahunBuku*12+12,MIN(TahunBuku*12+12,$Y143+$T143*12-1)))-MAX(TahunBuku*12+1,$Y143)+1),0))</f>
        <v/>
      </c>
      <c r="AH143" s="21" t="str">
        <f>IF($B143="","",IFERROR(IF($W143="Garis Lurus",$G143*(1-MIN($V143*12,MAX(0,TahunBuku*12-$Y143+1))/($V143*12)),IF($W143="Saldo Menurun",IF(TahunBuku-1&lt;YEAR($F143),$G143,IF(TahunBuku-1&gt;=INT(($Y143+$V143*12-2)/12),0,$G143*(1-2/$V143*(13-MONTH($F143))/12)*(1-2/$V143)^(TahunBuku-1-YEAR($F143)))),$G143)),$G143))</f>
        <v/>
      </c>
      <c r="AI143" s="21" t="str">
        <f>IF($B143="","",IFERROR(IF($W143="Garis Lurus",$G143*(1-MIN($V143*12,MAX(0,TahunBuku*12+12-$Y143+1))/($V143*12)),IF($W143="Saldo Menurun",IF(TahunBuku&lt;YEAR($F143),$G143,IF(TahunBuku&gt;=INT(($Y143+$V143*12-2)/12),0,$G143*(1-2/$V143*(13-MONTH($F143))/12)*(1-2/$V143)^(TahunBuku-YEAR($F143)))),$G143)),$G143))</f>
        <v/>
      </c>
      <c r="AJ143" s="20" t="str">
        <f>IF($B143="","",IF(OR($W143="Garis Lurus",$W143="Saldo Menurun"),MAX(0,MIN(TahunBuku*12+12,$Y143+$V143*12-1)-MAX(TahunBuku*12+1,$Y143)+1),0))</f>
        <v/>
      </c>
      <c r="AK143" s="20" t="str">
        <f>IF($B143="","",IF(OR($W143="Garis Lurus",$W143="Saldo Menurun"),MAX(0,MIN($Z143,TahunBuku*12+12,$Y143+$V143*12-1)-MAX(TahunBuku*12+1,$Y143)+1),0))</f>
        <v/>
      </c>
      <c r="AL143" s="22" t="str">
        <f>IF($B143="","",$G143*$AA143)</f>
        <v/>
      </c>
      <c r="AM143" s="22" t="str">
        <f>IF($B143="","",$G143*$AB143)</f>
        <v/>
      </c>
      <c r="AN143" s="22" t="str">
        <f>IF($B143="","",$G143*$AC143)</f>
        <v/>
      </c>
      <c r="AO143" s="22" t="str">
        <f>IF($B143="","",AL143+AM143-AN143)</f>
        <v/>
      </c>
      <c r="AP143" s="22" t="str">
        <f>IF($B143="","",($G143-$AD143)*$AA143)</f>
        <v/>
      </c>
      <c r="AQ143" s="22" t="str">
        <f>IF($B143="","",IF($AF143=0,0,($AD143-$AE143)*$AG143/$AF143)*MAX($AA143,$AB143))</f>
        <v/>
      </c>
      <c r="AR143" s="22" t="str">
        <f>IF($B143="","",(AP143+AQ143)*$AC143)</f>
        <v/>
      </c>
      <c r="AS143" s="22" t="str">
        <f>IF($B143="","",AP143+AQ143-AR143)</f>
        <v/>
      </c>
      <c r="AT143" s="22" t="str">
        <f>IF($B143="","",AO143-AS143)</f>
        <v/>
      </c>
      <c r="AU143" s="22" t="str">
        <f>IF($B143="","",IF($AC143=1,N($R143)-($G143-AR143),0))</f>
        <v/>
      </c>
      <c r="AV143" s="22" t="str">
        <f>IF($B143="","",($G143-$AH143)*$AA143)</f>
        <v/>
      </c>
      <c r="AW143" s="22" t="str">
        <f>IF($B143="","",IF($AJ143=0,0,($AH143-$AI143)*$AK143/$AJ143)*MAX($AA143,$AB143))</f>
        <v/>
      </c>
      <c r="AX143" s="22" t="str">
        <f>IF($B143="","",(AV143+AW143)*$AC143)</f>
        <v/>
      </c>
      <c r="AY143" s="22" t="str">
        <f>IF($B143="","",AV143+AW143-AX143)</f>
        <v/>
      </c>
      <c r="AZ143" s="22" t="str">
        <f>IF($B143="","",AO143-AY143)</f>
        <v/>
      </c>
      <c r="BA143" s="22" t="str">
        <f>IF($B143="","",IF($AC143=1,N($R143)-($G143-AX143),0))</f>
        <v/>
      </c>
      <c r="BB143" s="22" t="str">
        <f>IF($B143="","",ROUND(AQ143-AW143,0))</f>
        <v/>
      </c>
      <c r="BC143" s="22" t="str">
        <f>IF($B143="","",ROUND(BA143-AU143,0))</f>
        <v/>
      </c>
      <c r="BD143" s="22" t="str">
        <f>IF($B143="","",BB143+BC143)</f>
        <v/>
      </c>
      <c r="BE143" s="22" t="str">
        <f>IF($B143="","",ROUND(AV143-AP143,0))</f>
        <v/>
      </c>
      <c r="BF143" s="22" t="str">
        <f>IF($B143="","",ROUND(AT143-AZ143,0))</f>
        <v/>
      </c>
      <c r="BG143" s="22" t="str">
        <f>IF($B143="","",ROUND(BF143*TarifPPh,0))</f>
        <v/>
      </c>
      <c r="BH143" t="str">
        <f>IF($B143="","",IF($D143="","Kategori kosong",IF($F143="","Tgl perolehan kosong",IF(N($H143)&gt;$G143,"Residu &gt; harga perolehan",IF(AND(LEFT($U143,8)="Bangunan",$W143="Saldo Menurun"),"Bangunan wajib Garis Lurus (Ps.11 UU PPh)",IF(AND($S143="Unit Produksi",N($K143)=0),"Isi kapasitas unit",IF(AND(OR($S143="Garis Lurus",$S143="Saldo Menurun"),N($T143)&lt;=0),"Umur komersial kosong",IF(AND(OR($W143="Garis Lurus",$W143="Saldo Menurun"),N($V143)&lt;=0),"Masa manfaat fiskal kosong",IF(AND($Q143&lt;&gt;"",$Q143&lt;$F143),"Tgl pelepasan &lt; perolehan","OK")))))))))</f>
        <v/>
      </c>
    </row>
    <row r="144" spans="1:60" x14ac:dyDescent="0.25">
      <c r="A144" t="str">
        <f>IF($B144="","",ROW()-6)</f>
        <v/>
      </c>
      <c r="B144" s="9"/>
      <c r="C144" s="9"/>
      <c r="D144" s="9"/>
      <c r="E144" s="9"/>
      <c r="F144" s="17"/>
      <c r="G144" s="18"/>
      <c r="H144" s="18"/>
      <c r="I144" s="9"/>
      <c r="J144" s="9"/>
      <c r="K144" s="19"/>
      <c r="L144" s="19"/>
      <c r="M144" s="19"/>
      <c r="N144" s="9"/>
      <c r="O144" s="9"/>
      <c r="P144" s="9"/>
      <c r="Q144" s="17"/>
      <c r="R144" s="18"/>
      <c r="S144" t="str">
        <f>IF($B144="","",IF($I144&lt;&gt;"",$I144,IFERROR(INDEX(Kat_Metode,MATCH($D144,Kat_Nama,0)),"")))</f>
        <v/>
      </c>
      <c r="T144" t="str">
        <f>IF($B144="","",IF($J144&lt;&gt;"",$J144,IFERROR(INDEX(Kat_Umur,MATCH($D144,Kat_Nama,0)),0)))</f>
        <v/>
      </c>
      <c r="U144" t="str">
        <f>IF($B144="","",IF($N144&lt;&gt;"",$N144,IFERROR(INDEX(Kat_Kelompok,MATCH($D144,Kat_Nama,0)),"")))</f>
        <v/>
      </c>
      <c r="V144" t="str">
        <f>IF($B144="","",IF($U144="Masa Manfaat Sebenarnya",N($O144),IFERROR(INDEX(Kel_Masa,MATCH($U144,Kel_Nama,0)),0)))</f>
        <v/>
      </c>
      <c r="W144" t="str">
        <f>IF($B144="","",IF($P144&lt;&gt;"",$P144,IF(OR($U144="Tidak Disusutkan",$V144=0),"Tidak Disusutkan","Garis Lurus")))</f>
        <v/>
      </c>
      <c r="X144" t="str">
        <f>IF($B144="","",IF($Y144&gt;TahunBuku*12+12,"Belum Diperoleh",IF($Z144&lt;=TahunBuku*12,"Dilepas (thn lalu)",IF($AC144=1,"Dilepas thn ini",IF($AB144=1,"Perolehan baru","Aktif")))))</f>
        <v/>
      </c>
      <c r="Y144" s="20" t="str">
        <f>IF($B144="","",YEAR($F144)*12+MONTH($F144))</f>
        <v/>
      </c>
      <c r="Z144" s="20" t="str">
        <f>IF($B144="","",IF($Q144="",99999,YEAR($Q144)*12+MONTH($Q144)))</f>
        <v/>
      </c>
      <c r="AA144" s="20" t="str">
        <f>IF($B144="","",--AND($Y144&lt;=TahunBuku*12,$Z144&gt;TahunBuku*12))</f>
        <v/>
      </c>
      <c r="AB144" s="20" t="str">
        <f>IF($B144="","",--AND($Y144&gt;TahunBuku*12,$Y144&lt;=TahunBuku*12+12))</f>
        <v/>
      </c>
      <c r="AC144" s="20" t="str">
        <f>IF($B144="","",--AND($Z144&gt;TahunBuku*12,$Z144&lt;=TahunBuku*12+12,$Y144&lt;=$Z144))</f>
        <v/>
      </c>
      <c r="AD144" s="21" t="str">
        <f>IF($B144="","",IFERROR(IF($S144="Garis Lurus",$G144-($G144-$H144)*MIN($T144*12,MAX(0,TahunBuku*12-$Y144+1))/($T144*12),IF($S144="Saldo Menurun",IF(TahunBuku-1&lt;YEAR($F144),$G144,IF(TahunBuku-1&gt;=INT(($Y144+$T144*12-2)/12),$H144,MAX($H144,$G144*(1-2/$T144*(13-MONTH($F144))/12)*(1-2/$T144)^(TahunBuku-1-YEAR($F144))))),IF($S144="Unit Produksi",$G144-($G144-$H144)*MIN(1,N($L144)/$K144),$G144))),$G144))</f>
        <v/>
      </c>
      <c r="AE144" s="21" t="str">
        <f>IF($B144="","",IFERROR(IF($S144="Garis Lurus",$G144-($G144-$H144)*MIN($T144*12,MAX(0,TahunBuku*12+12-$Y144+1))/($T144*12),IF($S144="Saldo Menurun",IF(TahunBuku&lt;YEAR($F144),$G144,IF(TahunBuku&gt;=INT(($Y144+$T144*12-2)/12),$H144,MAX($H144,$G144*(1-2/$T144*(13-MONTH($F144))/12)*(1-2/$T144)^(TahunBuku-YEAR($F144))))),IF($S144="Unit Produksi",$G144-($G144-$H144)*MIN(1,(N($L144)+N($M144))/$K144),$G144))),$G144))</f>
        <v/>
      </c>
      <c r="AF144" s="20" t="str">
        <f>IF($B144="","",IF(OR($S144="Garis Lurus",$S144="Saldo Menurun",$S144="Unit Produksi"),MAX(0,IF($S144="Unit Produksi",TahunBuku*12+12,MIN(TahunBuku*12+12,$Y144+$T144*12-1))-MAX(TahunBuku*12+1,$Y144)+1),0))</f>
        <v/>
      </c>
      <c r="AG144" s="20" t="str">
        <f>IF($B144="","",IF(OR($S144="Garis Lurus",$S144="Saldo Menurun",$S144="Unit Produksi"),MAX(0,MIN($Z144,IF($S144="Unit Produksi",TahunBuku*12+12,MIN(TahunBuku*12+12,$Y144+$T144*12-1)))-MAX(TahunBuku*12+1,$Y144)+1),0))</f>
        <v/>
      </c>
      <c r="AH144" s="21" t="str">
        <f>IF($B144="","",IFERROR(IF($W144="Garis Lurus",$G144*(1-MIN($V144*12,MAX(0,TahunBuku*12-$Y144+1))/($V144*12)),IF($W144="Saldo Menurun",IF(TahunBuku-1&lt;YEAR($F144),$G144,IF(TahunBuku-1&gt;=INT(($Y144+$V144*12-2)/12),0,$G144*(1-2/$V144*(13-MONTH($F144))/12)*(1-2/$V144)^(TahunBuku-1-YEAR($F144)))),$G144)),$G144))</f>
        <v/>
      </c>
      <c r="AI144" s="21" t="str">
        <f>IF($B144="","",IFERROR(IF($W144="Garis Lurus",$G144*(1-MIN($V144*12,MAX(0,TahunBuku*12+12-$Y144+1))/($V144*12)),IF($W144="Saldo Menurun",IF(TahunBuku&lt;YEAR($F144),$G144,IF(TahunBuku&gt;=INT(($Y144+$V144*12-2)/12),0,$G144*(1-2/$V144*(13-MONTH($F144))/12)*(1-2/$V144)^(TahunBuku-YEAR($F144)))),$G144)),$G144))</f>
        <v/>
      </c>
      <c r="AJ144" s="20" t="str">
        <f>IF($B144="","",IF(OR($W144="Garis Lurus",$W144="Saldo Menurun"),MAX(0,MIN(TahunBuku*12+12,$Y144+$V144*12-1)-MAX(TahunBuku*12+1,$Y144)+1),0))</f>
        <v/>
      </c>
      <c r="AK144" s="20" t="str">
        <f>IF($B144="","",IF(OR($W144="Garis Lurus",$W144="Saldo Menurun"),MAX(0,MIN($Z144,TahunBuku*12+12,$Y144+$V144*12-1)-MAX(TahunBuku*12+1,$Y144)+1),0))</f>
        <v/>
      </c>
      <c r="AL144" s="22" t="str">
        <f>IF($B144="","",$G144*$AA144)</f>
        <v/>
      </c>
      <c r="AM144" s="22" t="str">
        <f>IF($B144="","",$G144*$AB144)</f>
        <v/>
      </c>
      <c r="AN144" s="22" t="str">
        <f>IF($B144="","",$G144*$AC144)</f>
        <v/>
      </c>
      <c r="AO144" s="22" t="str">
        <f>IF($B144="","",AL144+AM144-AN144)</f>
        <v/>
      </c>
      <c r="AP144" s="22" t="str">
        <f>IF($B144="","",($G144-$AD144)*$AA144)</f>
        <v/>
      </c>
      <c r="AQ144" s="22" t="str">
        <f>IF($B144="","",IF($AF144=0,0,($AD144-$AE144)*$AG144/$AF144)*MAX($AA144,$AB144))</f>
        <v/>
      </c>
      <c r="AR144" s="22" t="str">
        <f>IF($B144="","",(AP144+AQ144)*$AC144)</f>
        <v/>
      </c>
      <c r="AS144" s="22" t="str">
        <f>IF($B144="","",AP144+AQ144-AR144)</f>
        <v/>
      </c>
      <c r="AT144" s="22" t="str">
        <f>IF($B144="","",AO144-AS144)</f>
        <v/>
      </c>
      <c r="AU144" s="22" t="str">
        <f>IF($B144="","",IF($AC144=1,N($R144)-($G144-AR144),0))</f>
        <v/>
      </c>
      <c r="AV144" s="22" t="str">
        <f>IF($B144="","",($G144-$AH144)*$AA144)</f>
        <v/>
      </c>
      <c r="AW144" s="22" t="str">
        <f>IF($B144="","",IF($AJ144=0,0,($AH144-$AI144)*$AK144/$AJ144)*MAX($AA144,$AB144))</f>
        <v/>
      </c>
      <c r="AX144" s="22" t="str">
        <f>IF($B144="","",(AV144+AW144)*$AC144)</f>
        <v/>
      </c>
      <c r="AY144" s="22" t="str">
        <f>IF($B144="","",AV144+AW144-AX144)</f>
        <v/>
      </c>
      <c r="AZ144" s="22" t="str">
        <f>IF($B144="","",AO144-AY144)</f>
        <v/>
      </c>
      <c r="BA144" s="22" t="str">
        <f>IF($B144="","",IF($AC144=1,N($R144)-($G144-AX144),0))</f>
        <v/>
      </c>
      <c r="BB144" s="22" t="str">
        <f>IF($B144="","",ROUND(AQ144-AW144,0))</f>
        <v/>
      </c>
      <c r="BC144" s="22" t="str">
        <f>IF($B144="","",ROUND(BA144-AU144,0))</f>
        <v/>
      </c>
      <c r="BD144" s="22" t="str">
        <f>IF($B144="","",BB144+BC144)</f>
        <v/>
      </c>
      <c r="BE144" s="22" t="str">
        <f>IF($B144="","",ROUND(AV144-AP144,0))</f>
        <v/>
      </c>
      <c r="BF144" s="22" t="str">
        <f>IF($B144="","",ROUND(AT144-AZ144,0))</f>
        <v/>
      </c>
      <c r="BG144" s="22" t="str">
        <f>IF($B144="","",ROUND(BF144*TarifPPh,0))</f>
        <v/>
      </c>
      <c r="BH144" t="str">
        <f>IF($B144="","",IF($D144="","Kategori kosong",IF($F144="","Tgl perolehan kosong",IF(N($H144)&gt;$G144,"Residu &gt; harga perolehan",IF(AND(LEFT($U144,8)="Bangunan",$W144="Saldo Menurun"),"Bangunan wajib Garis Lurus (Ps.11 UU PPh)",IF(AND($S144="Unit Produksi",N($K144)=0),"Isi kapasitas unit",IF(AND(OR($S144="Garis Lurus",$S144="Saldo Menurun"),N($T144)&lt;=0),"Umur komersial kosong",IF(AND(OR($W144="Garis Lurus",$W144="Saldo Menurun"),N($V144)&lt;=0),"Masa manfaat fiskal kosong",IF(AND($Q144&lt;&gt;"",$Q144&lt;$F144),"Tgl pelepasan &lt; perolehan","OK")))))))))</f>
        <v/>
      </c>
    </row>
    <row r="145" spans="1:60" x14ac:dyDescent="0.25">
      <c r="A145" t="str">
        <f>IF($B145="","",ROW()-6)</f>
        <v/>
      </c>
      <c r="B145" s="9"/>
      <c r="C145" s="9"/>
      <c r="D145" s="9"/>
      <c r="E145" s="9"/>
      <c r="F145" s="17"/>
      <c r="G145" s="18"/>
      <c r="H145" s="18"/>
      <c r="I145" s="9"/>
      <c r="J145" s="9"/>
      <c r="K145" s="19"/>
      <c r="L145" s="19"/>
      <c r="M145" s="19"/>
      <c r="N145" s="9"/>
      <c r="O145" s="9"/>
      <c r="P145" s="9"/>
      <c r="Q145" s="17"/>
      <c r="R145" s="18"/>
      <c r="S145" t="str">
        <f>IF($B145="","",IF($I145&lt;&gt;"",$I145,IFERROR(INDEX(Kat_Metode,MATCH($D145,Kat_Nama,0)),"")))</f>
        <v/>
      </c>
      <c r="T145" t="str">
        <f>IF($B145="","",IF($J145&lt;&gt;"",$J145,IFERROR(INDEX(Kat_Umur,MATCH($D145,Kat_Nama,0)),0)))</f>
        <v/>
      </c>
      <c r="U145" t="str">
        <f>IF($B145="","",IF($N145&lt;&gt;"",$N145,IFERROR(INDEX(Kat_Kelompok,MATCH($D145,Kat_Nama,0)),"")))</f>
        <v/>
      </c>
      <c r="V145" t="str">
        <f>IF($B145="","",IF($U145="Masa Manfaat Sebenarnya",N($O145),IFERROR(INDEX(Kel_Masa,MATCH($U145,Kel_Nama,0)),0)))</f>
        <v/>
      </c>
      <c r="W145" t="str">
        <f>IF($B145="","",IF($P145&lt;&gt;"",$P145,IF(OR($U145="Tidak Disusutkan",$V145=0),"Tidak Disusutkan","Garis Lurus")))</f>
        <v/>
      </c>
      <c r="X145" t="str">
        <f>IF($B145="","",IF($Y145&gt;TahunBuku*12+12,"Belum Diperoleh",IF($Z145&lt;=TahunBuku*12,"Dilepas (thn lalu)",IF($AC145=1,"Dilepas thn ini",IF($AB145=1,"Perolehan baru","Aktif")))))</f>
        <v/>
      </c>
      <c r="Y145" s="20" t="str">
        <f>IF($B145="","",YEAR($F145)*12+MONTH($F145))</f>
        <v/>
      </c>
      <c r="Z145" s="20" t="str">
        <f>IF($B145="","",IF($Q145="",99999,YEAR($Q145)*12+MONTH($Q145)))</f>
        <v/>
      </c>
      <c r="AA145" s="20" t="str">
        <f>IF($B145="","",--AND($Y145&lt;=TahunBuku*12,$Z145&gt;TahunBuku*12))</f>
        <v/>
      </c>
      <c r="AB145" s="20" t="str">
        <f>IF($B145="","",--AND($Y145&gt;TahunBuku*12,$Y145&lt;=TahunBuku*12+12))</f>
        <v/>
      </c>
      <c r="AC145" s="20" t="str">
        <f>IF($B145="","",--AND($Z145&gt;TahunBuku*12,$Z145&lt;=TahunBuku*12+12,$Y145&lt;=$Z145))</f>
        <v/>
      </c>
      <c r="AD145" s="21" t="str">
        <f>IF($B145="","",IFERROR(IF($S145="Garis Lurus",$G145-($G145-$H145)*MIN($T145*12,MAX(0,TahunBuku*12-$Y145+1))/($T145*12),IF($S145="Saldo Menurun",IF(TahunBuku-1&lt;YEAR($F145),$G145,IF(TahunBuku-1&gt;=INT(($Y145+$T145*12-2)/12),$H145,MAX($H145,$G145*(1-2/$T145*(13-MONTH($F145))/12)*(1-2/$T145)^(TahunBuku-1-YEAR($F145))))),IF($S145="Unit Produksi",$G145-($G145-$H145)*MIN(1,N($L145)/$K145),$G145))),$G145))</f>
        <v/>
      </c>
      <c r="AE145" s="21" t="str">
        <f>IF($B145="","",IFERROR(IF($S145="Garis Lurus",$G145-($G145-$H145)*MIN($T145*12,MAX(0,TahunBuku*12+12-$Y145+1))/($T145*12),IF($S145="Saldo Menurun",IF(TahunBuku&lt;YEAR($F145),$G145,IF(TahunBuku&gt;=INT(($Y145+$T145*12-2)/12),$H145,MAX($H145,$G145*(1-2/$T145*(13-MONTH($F145))/12)*(1-2/$T145)^(TahunBuku-YEAR($F145))))),IF($S145="Unit Produksi",$G145-($G145-$H145)*MIN(1,(N($L145)+N($M145))/$K145),$G145))),$G145))</f>
        <v/>
      </c>
      <c r="AF145" s="20" t="str">
        <f>IF($B145="","",IF(OR($S145="Garis Lurus",$S145="Saldo Menurun",$S145="Unit Produksi"),MAX(0,IF($S145="Unit Produksi",TahunBuku*12+12,MIN(TahunBuku*12+12,$Y145+$T145*12-1))-MAX(TahunBuku*12+1,$Y145)+1),0))</f>
        <v/>
      </c>
      <c r="AG145" s="20" t="str">
        <f>IF($B145="","",IF(OR($S145="Garis Lurus",$S145="Saldo Menurun",$S145="Unit Produksi"),MAX(0,MIN($Z145,IF($S145="Unit Produksi",TahunBuku*12+12,MIN(TahunBuku*12+12,$Y145+$T145*12-1)))-MAX(TahunBuku*12+1,$Y145)+1),0))</f>
        <v/>
      </c>
      <c r="AH145" s="21" t="str">
        <f>IF($B145="","",IFERROR(IF($W145="Garis Lurus",$G145*(1-MIN($V145*12,MAX(0,TahunBuku*12-$Y145+1))/($V145*12)),IF($W145="Saldo Menurun",IF(TahunBuku-1&lt;YEAR($F145),$G145,IF(TahunBuku-1&gt;=INT(($Y145+$V145*12-2)/12),0,$G145*(1-2/$V145*(13-MONTH($F145))/12)*(1-2/$V145)^(TahunBuku-1-YEAR($F145)))),$G145)),$G145))</f>
        <v/>
      </c>
      <c r="AI145" s="21" t="str">
        <f>IF($B145="","",IFERROR(IF($W145="Garis Lurus",$G145*(1-MIN($V145*12,MAX(0,TahunBuku*12+12-$Y145+1))/($V145*12)),IF($W145="Saldo Menurun",IF(TahunBuku&lt;YEAR($F145),$G145,IF(TahunBuku&gt;=INT(($Y145+$V145*12-2)/12),0,$G145*(1-2/$V145*(13-MONTH($F145))/12)*(1-2/$V145)^(TahunBuku-YEAR($F145)))),$G145)),$G145))</f>
        <v/>
      </c>
      <c r="AJ145" s="20" t="str">
        <f>IF($B145="","",IF(OR($W145="Garis Lurus",$W145="Saldo Menurun"),MAX(0,MIN(TahunBuku*12+12,$Y145+$V145*12-1)-MAX(TahunBuku*12+1,$Y145)+1),0))</f>
        <v/>
      </c>
      <c r="AK145" s="20" t="str">
        <f>IF($B145="","",IF(OR($W145="Garis Lurus",$W145="Saldo Menurun"),MAX(0,MIN($Z145,TahunBuku*12+12,$Y145+$V145*12-1)-MAX(TahunBuku*12+1,$Y145)+1),0))</f>
        <v/>
      </c>
      <c r="AL145" s="22" t="str">
        <f>IF($B145="","",$G145*$AA145)</f>
        <v/>
      </c>
      <c r="AM145" s="22" t="str">
        <f>IF($B145="","",$G145*$AB145)</f>
        <v/>
      </c>
      <c r="AN145" s="22" t="str">
        <f>IF($B145="","",$G145*$AC145)</f>
        <v/>
      </c>
      <c r="AO145" s="22" t="str">
        <f>IF($B145="","",AL145+AM145-AN145)</f>
        <v/>
      </c>
      <c r="AP145" s="22" t="str">
        <f>IF($B145="","",($G145-$AD145)*$AA145)</f>
        <v/>
      </c>
      <c r="AQ145" s="22" t="str">
        <f>IF($B145="","",IF($AF145=0,0,($AD145-$AE145)*$AG145/$AF145)*MAX($AA145,$AB145))</f>
        <v/>
      </c>
      <c r="AR145" s="22" t="str">
        <f>IF($B145="","",(AP145+AQ145)*$AC145)</f>
        <v/>
      </c>
      <c r="AS145" s="22" t="str">
        <f>IF($B145="","",AP145+AQ145-AR145)</f>
        <v/>
      </c>
      <c r="AT145" s="22" t="str">
        <f>IF($B145="","",AO145-AS145)</f>
        <v/>
      </c>
      <c r="AU145" s="22" t="str">
        <f>IF($B145="","",IF($AC145=1,N($R145)-($G145-AR145),0))</f>
        <v/>
      </c>
      <c r="AV145" s="22" t="str">
        <f>IF($B145="","",($G145-$AH145)*$AA145)</f>
        <v/>
      </c>
      <c r="AW145" s="22" t="str">
        <f>IF($B145="","",IF($AJ145=0,0,($AH145-$AI145)*$AK145/$AJ145)*MAX($AA145,$AB145))</f>
        <v/>
      </c>
      <c r="AX145" s="22" t="str">
        <f>IF($B145="","",(AV145+AW145)*$AC145)</f>
        <v/>
      </c>
      <c r="AY145" s="22" t="str">
        <f>IF($B145="","",AV145+AW145-AX145)</f>
        <v/>
      </c>
      <c r="AZ145" s="22" t="str">
        <f>IF($B145="","",AO145-AY145)</f>
        <v/>
      </c>
      <c r="BA145" s="22" t="str">
        <f>IF($B145="","",IF($AC145=1,N($R145)-($G145-AX145),0))</f>
        <v/>
      </c>
      <c r="BB145" s="22" t="str">
        <f>IF($B145="","",ROUND(AQ145-AW145,0))</f>
        <v/>
      </c>
      <c r="BC145" s="22" t="str">
        <f>IF($B145="","",ROUND(BA145-AU145,0))</f>
        <v/>
      </c>
      <c r="BD145" s="22" t="str">
        <f>IF($B145="","",BB145+BC145)</f>
        <v/>
      </c>
      <c r="BE145" s="22" t="str">
        <f>IF($B145="","",ROUND(AV145-AP145,0))</f>
        <v/>
      </c>
      <c r="BF145" s="22" t="str">
        <f>IF($B145="","",ROUND(AT145-AZ145,0))</f>
        <v/>
      </c>
      <c r="BG145" s="22" t="str">
        <f>IF($B145="","",ROUND(BF145*TarifPPh,0))</f>
        <v/>
      </c>
      <c r="BH145" t="str">
        <f>IF($B145="","",IF($D145="","Kategori kosong",IF($F145="","Tgl perolehan kosong",IF(N($H145)&gt;$G145,"Residu &gt; harga perolehan",IF(AND(LEFT($U145,8)="Bangunan",$W145="Saldo Menurun"),"Bangunan wajib Garis Lurus (Ps.11 UU PPh)",IF(AND($S145="Unit Produksi",N($K145)=0),"Isi kapasitas unit",IF(AND(OR($S145="Garis Lurus",$S145="Saldo Menurun"),N($T145)&lt;=0),"Umur komersial kosong",IF(AND(OR($W145="Garis Lurus",$W145="Saldo Menurun"),N($V145)&lt;=0),"Masa manfaat fiskal kosong",IF(AND($Q145&lt;&gt;"",$Q145&lt;$F145),"Tgl pelepasan &lt; perolehan","OK")))))))))</f>
        <v/>
      </c>
    </row>
    <row r="146" spans="1:60" x14ac:dyDescent="0.25">
      <c r="A146" t="str">
        <f>IF($B146="","",ROW()-6)</f>
        <v/>
      </c>
      <c r="B146" s="9"/>
      <c r="C146" s="9"/>
      <c r="D146" s="9"/>
      <c r="E146" s="9"/>
      <c r="F146" s="17"/>
      <c r="G146" s="18"/>
      <c r="H146" s="18"/>
      <c r="I146" s="9"/>
      <c r="J146" s="9"/>
      <c r="K146" s="19"/>
      <c r="L146" s="19"/>
      <c r="M146" s="19"/>
      <c r="N146" s="9"/>
      <c r="O146" s="9"/>
      <c r="P146" s="9"/>
      <c r="Q146" s="17"/>
      <c r="R146" s="18"/>
      <c r="S146" t="str">
        <f>IF($B146="","",IF($I146&lt;&gt;"",$I146,IFERROR(INDEX(Kat_Metode,MATCH($D146,Kat_Nama,0)),"")))</f>
        <v/>
      </c>
      <c r="T146" t="str">
        <f>IF($B146="","",IF($J146&lt;&gt;"",$J146,IFERROR(INDEX(Kat_Umur,MATCH($D146,Kat_Nama,0)),0)))</f>
        <v/>
      </c>
      <c r="U146" t="str">
        <f>IF($B146="","",IF($N146&lt;&gt;"",$N146,IFERROR(INDEX(Kat_Kelompok,MATCH($D146,Kat_Nama,0)),"")))</f>
        <v/>
      </c>
      <c r="V146" t="str">
        <f>IF($B146="","",IF($U146="Masa Manfaat Sebenarnya",N($O146),IFERROR(INDEX(Kel_Masa,MATCH($U146,Kel_Nama,0)),0)))</f>
        <v/>
      </c>
      <c r="W146" t="str">
        <f>IF($B146="","",IF($P146&lt;&gt;"",$P146,IF(OR($U146="Tidak Disusutkan",$V146=0),"Tidak Disusutkan","Garis Lurus")))</f>
        <v/>
      </c>
      <c r="X146" t="str">
        <f>IF($B146="","",IF($Y146&gt;TahunBuku*12+12,"Belum Diperoleh",IF($Z146&lt;=TahunBuku*12,"Dilepas (thn lalu)",IF($AC146=1,"Dilepas thn ini",IF($AB146=1,"Perolehan baru","Aktif")))))</f>
        <v/>
      </c>
      <c r="Y146" s="20" t="str">
        <f>IF($B146="","",YEAR($F146)*12+MONTH($F146))</f>
        <v/>
      </c>
      <c r="Z146" s="20" t="str">
        <f>IF($B146="","",IF($Q146="",99999,YEAR($Q146)*12+MONTH($Q146)))</f>
        <v/>
      </c>
      <c r="AA146" s="20" t="str">
        <f>IF($B146="","",--AND($Y146&lt;=TahunBuku*12,$Z146&gt;TahunBuku*12))</f>
        <v/>
      </c>
      <c r="AB146" s="20" t="str">
        <f>IF($B146="","",--AND($Y146&gt;TahunBuku*12,$Y146&lt;=TahunBuku*12+12))</f>
        <v/>
      </c>
      <c r="AC146" s="20" t="str">
        <f>IF($B146="","",--AND($Z146&gt;TahunBuku*12,$Z146&lt;=TahunBuku*12+12,$Y146&lt;=$Z146))</f>
        <v/>
      </c>
      <c r="AD146" s="21" t="str">
        <f>IF($B146="","",IFERROR(IF($S146="Garis Lurus",$G146-($G146-$H146)*MIN($T146*12,MAX(0,TahunBuku*12-$Y146+1))/($T146*12),IF($S146="Saldo Menurun",IF(TahunBuku-1&lt;YEAR($F146),$G146,IF(TahunBuku-1&gt;=INT(($Y146+$T146*12-2)/12),$H146,MAX($H146,$G146*(1-2/$T146*(13-MONTH($F146))/12)*(1-2/$T146)^(TahunBuku-1-YEAR($F146))))),IF($S146="Unit Produksi",$G146-($G146-$H146)*MIN(1,N($L146)/$K146),$G146))),$G146))</f>
        <v/>
      </c>
      <c r="AE146" s="21" t="str">
        <f>IF($B146="","",IFERROR(IF($S146="Garis Lurus",$G146-($G146-$H146)*MIN($T146*12,MAX(0,TahunBuku*12+12-$Y146+1))/($T146*12),IF($S146="Saldo Menurun",IF(TahunBuku&lt;YEAR($F146),$G146,IF(TahunBuku&gt;=INT(($Y146+$T146*12-2)/12),$H146,MAX($H146,$G146*(1-2/$T146*(13-MONTH($F146))/12)*(1-2/$T146)^(TahunBuku-YEAR($F146))))),IF($S146="Unit Produksi",$G146-($G146-$H146)*MIN(1,(N($L146)+N($M146))/$K146),$G146))),$G146))</f>
        <v/>
      </c>
      <c r="AF146" s="20" t="str">
        <f>IF($B146="","",IF(OR($S146="Garis Lurus",$S146="Saldo Menurun",$S146="Unit Produksi"),MAX(0,IF($S146="Unit Produksi",TahunBuku*12+12,MIN(TahunBuku*12+12,$Y146+$T146*12-1))-MAX(TahunBuku*12+1,$Y146)+1),0))</f>
        <v/>
      </c>
      <c r="AG146" s="20" t="str">
        <f>IF($B146="","",IF(OR($S146="Garis Lurus",$S146="Saldo Menurun",$S146="Unit Produksi"),MAX(0,MIN($Z146,IF($S146="Unit Produksi",TahunBuku*12+12,MIN(TahunBuku*12+12,$Y146+$T146*12-1)))-MAX(TahunBuku*12+1,$Y146)+1),0))</f>
        <v/>
      </c>
      <c r="AH146" s="21" t="str">
        <f>IF($B146="","",IFERROR(IF($W146="Garis Lurus",$G146*(1-MIN($V146*12,MAX(0,TahunBuku*12-$Y146+1))/($V146*12)),IF($W146="Saldo Menurun",IF(TahunBuku-1&lt;YEAR($F146),$G146,IF(TahunBuku-1&gt;=INT(($Y146+$V146*12-2)/12),0,$G146*(1-2/$V146*(13-MONTH($F146))/12)*(1-2/$V146)^(TahunBuku-1-YEAR($F146)))),$G146)),$G146))</f>
        <v/>
      </c>
      <c r="AI146" s="21" t="str">
        <f>IF($B146="","",IFERROR(IF($W146="Garis Lurus",$G146*(1-MIN($V146*12,MAX(0,TahunBuku*12+12-$Y146+1))/($V146*12)),IF($W146="Saldo Menurun",IF(TahunBuku&lt;YEAR($F146),$G146,IF(TahunBuku&gt;=INT(($Y146+$V146*12-2)/12),0,$G146*(1-2/$V146*(13-MONTH($F146))/12)*(1-2/$V146)^(TahunBuku-YEAR($F146)))),$G146)),$G146))</f>
        <v/>
      </c>
      <c r="AJ146" s="20" t="str">
        <f>IF($B146="","",IF(OR($W146="Garis Lurus",$W146="Saldo Menurun"),MAX(0,MIN(TahunBuku*12+12,$Y146+$V146*12-1)-MAX(TahunBuku*12+1,$Y146)+1),0))</f>
        <v/>
      </c>
      <c r="AK146" s="20" t="str">
        <f>IF($B146="","",IF(OR($W146="Garis Lurus",$W146="Saldo Menurun"),MAX(0,MIN($Z146,TahunBuku*12+12,$Y146+$V146*12-1)-MAX(TahunBuku*12+1,$Y146)+1),0))</f>
        <v/>
      </c>
      <c r="AL146" s="22" t="str">
        <f>IF($B146="","",$G146*$AA146)</f>
        <v/>
      </c>
      <c r="AM146" s="22" t="str">
        <f>IF($B146="","",$G146*$AB146)</f>
        <v/>
      </c>
      <c r="AN146" s="22" t="str">
        <f>IF($B146="","",$G146*$AC146)</f>
        <v/>
      </c>
      <c r="AO146" s="22" t="str">
        <f>IF($B146="","",AL146+AM146-AN146)</f>
        <v/>
      </c>
      <c r="AP146" s="22" t="str">
        <f>IF($B146="","",($G146-$AD146)*$AA146)</f>
        <v/>
      </c>
      <c r="AQ146" s="22" t="str">
        <f>IF($B146="","",IF($AF146=0,0,($AD146-$AE146)*$AG146/$AF146)*MAX($AA146,$AB146))</f>
        <v/>
      </c>
      <c r="AR146" s="22" t="str">
        <f>IF($B146="","",(AP146+AQ146)*$AC146)</f>
        <v/>
      </c>
      <c r="AS146" s="22" t="str">
        <f>IF($B146="","",AP146+AQ146-AR146)</f>
        <v/>
      </c>
      <c r="AT146" s="22" t="str">
        <f>IF($B146="","",AO146-AS146)</f>
        <v/>
      </c>
      <c r="AU146" s="22" t="str">
        <f>IF($B146="","",IF($AC146=1,N($R146)-($G146-AR146),0))</f>
        <v/>
      </c>
      <c r="AV146" s="22" t="str">
        <f>IF($B146="","",($G146-$AH146)*$AA146)</f>
        <v/>
      </c>
      <c r="AW146" s="22" t="str">
        <f>IF($B146="","",IF($AJ146=0,0,($AH146-$AI146)*$AK146/$AJ146)*MAX($AA146,$AB146))</f>
        <v/>
      </c>
      <c r="AX146" s="22" t="str">
        <f>IF($B146="","",(AV146+AW146)*$AC146)</f>
        <v/>
      </c>
      <c r="AY146" s="22" t="str">
        <f>IF($B146="","",AV146+AW146-AX146)</f>
        <v/>
      </c>
      <c r="AZ146" s="22" t="str">
        <f>IF($B146="","",AO146-AY146)</f>
        <v/>
      </c>
      <c r="BA146" s="22" t="str">
        <f>IF($B146="","",IF($AC146=1,N($R146)-($G146-AX146),0))</f>
        <v/>
      </c>
      <c r="BB146" s="22" t="str">
        <f>IF($B146="","",ROUND(AQ146-AW146,0))</f>
        <v/>
      </c>
      <c r="BC146" s="22" t="str">
        <f>IF($B146="","",ROUND(BA146-AU146,0))</f>
        <v/>
      </c>
      <c r="BD146" s="22" t="str">
        <f>IF($B146="","",BB146+BC146)</f>
        <v/>
      </c>
      <c r="BE146" s="22" t="str">
        <f>IF($B146="","",ROUND(AV146-AP146,0))</f>
        <v/>
      </c>
      <c r="BF146" s="22" t="str">
        <f>IF($B146="","",ROUND(AT146-AZ146,0))</f>
        <v/>
      </c>
      <c r="BG146" s="22" t="str">
        <f>IF($B146="","",ROUND(BF146*TarifPPh,0))</f>
        <v/>
      </c>
      <c r="BH146" t="str">
        <f>IF($B146="","",IF($D146="","Kategori kosong",IF($F146="","Tgl perolehan kosong",IF(N($H146)&gt;$G146,"Residu &gt; harga perolehan",IF(AND(LEFT($U146,8)="Bangunan",$W146="Saldo Menurun"),"Bangunan wajib Garis Lurus (Ps.11 UU PPh)",IF(AND($S146="Unit Produksi",N($K146)=0),"Isi kapasitas unit",IF(AND(OR($S146="Garis Lurus",$S146="Saldo Menurun"),N($T146)&lt;=0),"Umur komersial kosong",IF(AND(OR($W146="Garis Lurus",$W146="Saldo Menurun"),N($V146)&lt;=0),"Masa manfaat fiskal kosong",IF(AND($Q146&lt;&gt;"",$Q146&lt;$F146),"Tgl pelepasan &lt; perolehan","OK")))))))))</f>
        <v/>
      </c>
    </row>
    <row r="147" spans="1:60" x14ac:dyDescent="0.25">
      <c r="A147" t="str">
        <f>IF($B147="","",ROW()-6)</f>
        <v/>
      </c>
      <c r="B147" s="9"/>
      <c r="C147" s="9"/>
      <c r="D147" s="9"/>
      <c r="E147" s="9"/>
      <c r="F147" s="17"/>
      <c r="G147" s="18"/>
      <c r="H147" s="18"/>
      <c r="I147" s="9"/>
      <c r="J147" s="9"/>
      <c r="K147" s="19"/>
      <c r="L147" s="19"/>
      <c r="M147" s="19"/>
      <c r="N147" s="9"/>
      <c r="O147" s="9"/>
      <c r="P147" s="9"/>
      <c r="Q147" s="17"/>
      <c r="R147" s="18"/>
      <c r="S147" t="str">
        <f>IF($B147="","",IF($I147&lt;&gt;"",$I147,IFERROR(INDEX(Kat_Metode,MATCH($D147,Kat_Nama,0)),"")))</f>
        <v/>
      </c>
      <c r="T147" t="str">
        <f>IF($B147="","",IF($J147&lt;&gt;"",$J147,IFERROR(INDEX(Kat_Umur,MATCH($D147,Kat_Nama,0)),0)))</f>
        <v/>
      </c>
      <c r="U147" t="str">
        <f>IF($B147="","",IF($N147&lt;&gt;"",$N147,IFERROR(INDEX(Kat_Kelompok,MATCH($D147,Kat_Nama,0)),"")))</f>
        <v/>
      </c>
      <c r="V147" t="str">
        <f>IF($B147="","",IF($U147="Masa Manfaat Sebenarnya",N($O147),IFERROR(INDEX(Kel_Masa,MATCH($U147,Kel_Nama,0)),0)))</f>
        <v/>
      </c>
      <c r="W147" t="str">
        <f>IF($B147="","",IF($P147&lt;&gt;"",$P147,IF(OR($U147="Tidak Disusutkan",$V147=0),"Tidak Disusutkan","Garis Lurus")))</f>
        <v/>
      </c>
      <c r="X147" t="str">
        <f>IF($B147="","",IF($Y147&gt;TahunBuku*12+12,"Belum Diperoleh",IF($Z147&lt;=TahunBuku*12,"Dilepas (thn lalu)",IF($AC147=1,"Dilepas thn ini",IF($AB147=1,"Perolehan baru","Aktif")))))</f>
        <v/>
      </c>
      <c r="Y147" s="20" t="str">
        <f>IF($B147="","",YEAR($F147)*12+MONTH($F147))</f>
        <v/>
      </c>
      <c r="Z147" s="20" t="str">
        <f>IF($B147="","",IF($Q147="",99999,YEAR($Q147)*12+MONTH($Q147)))</f>
        <v/>
      </c>
      <c r="AA147" s="20" t="str">
        <f>IF($B147="","",--AND($Y147&lt;=TahunBuku*12,$Z147&gt;TahunBuku*12))</f>
        <v/>
      </c>
      <c r="AB147" s="20" t="str">
        <f>IF($B147="","",--AND($Y147&gt;TahunBuku*12,$Y147&lt;=TahunBuku*12+12))</f>
        <v/>
      </c>
      <c r="AC147" s="20" t="str">
        <f>IF($B147="","",--AND($Z147&gt;TahunBuku*12,$Z147&lt;=TahunBuku*12+12,$Y147&lt;=$Z147))</f>
        <v/>
      </c>
      <c r="AD147" s="21" t="str">
        <f>IF($B147="","",IFERROR(IF($S147="Garis Lurus",$G147-($G147-$H147)*MIN($T147*12,MAX(0,TahunBuku*12-$Y147+1))/($T147*12),IF($S147="Saldo Menurun",IF(TahunBuku-1&lt;YEAR($F147),$G147,IF(TahunBuku-1&gt;=INT(($Y147+$T147*12-2)/12),$H147,MAX($H147,$G147*(1-2/$T147*(13-MONTH($F147))/12)*(1-2/$T147)^(TahunBuku-1-YEAR($F147))))),IF($S147="Unit Produksi",$G147-($G147-$H147)*MIN(1,N($L147)/$K147),$G147))),$G147))</f>
        <v/>
      </c>
      <c r="AE147" s="21" t="str">
        <f>IF($B147="","",IFERROR(IF($S147="Garis Lurus",$G147-($G147-$H147)*MIN($T147*12,MAX(0,TahunBuku*12+12-$Y147+1))/($T147*12),IF($S147="Saldo Menurun",IF(TahunBuku&lt;YEAR($F147),$G147,IF(TahunBuku&gt;=INT(($Y147+$T147*12-2)/12),$H147,MAX($H147,$G147*(1-2/$T147*(13-MONTH($F147))/12)*(1-2/$T147)^(TahunBuku-YEAR($F147))))),IF($S147="Unit Produksi",$G147-($G147-$H147)*MIN(1,(N($L147)+N($M147))/$K147),$G147))),$G147))</f>
        <v/>
      </c>
      <c r="AF147" s="20" t="str">
        <f>IF($B147="","",IF(OR($S147="Garis Lurus",$S147="Saldo Menurun",$S147="Unit Produksi"),MAX(0,IF($S147="Unit Produksi",TahunBuku*12+12,MIN(TahunBuku*12+12,$Y147+$T147*12-1))-MAX(TahunBuku*12+1,$Y147)+1),0))</f>
        <v/>
      </c>
      <c r="AG147" s="20" t="str">
        <f>IF($B147="","",IF(OR($S147="Garis Lurus",$S147="Saldo Menurun",$S147="Unit Produksi"),MAX(0,MIN($Z147,IF($S147="Unit Produksi",TahunBuku*12+12,MIN(TahunBuku*12+12,$Y147+$T147*12-1)))-MAX(TahunBuku*12+1,$Y147)+1),0))</f>
        <v/>
      </c>
      <c r="AH147" s="21" t="str">
        <f>IF($B147="","",IFERROR(IF($W147="Garis Lurus",$G147*(1-MIN($V147*12,MAX(0,TahunBuku*12-$Y147+1))/($V147*12)),IF($W147="Saldo Menurun",IF(TahunBuku-1&lt;YEAR($F147),$G147,IF(TahunBuku-1&gt;=INT(($Y147+$V147*12-2)/12),0,$G147*(1-2/$V147*(13-MONTH($F147))/12)*(1-2/$V147)^(TahunBuku-1-YEAR($F147)))),$G147)),$G147))</f>
        <v/>
      </c>
      <c r="AI147" s="21" t="str">
        <f>IF($B147="","",IFERROR(IF($W147="Garis Lurus",$G147*(1-MIN($V147*12,MAX(0,TahunBuku*12+12-$Y147+1))/($V147*12)),IF($W147="Saldo Menurun",IF(TahunBuku&lt;YEAR($F147),$G147,IF(TahunBuku&gt;=INT(($Y147+$V147*12-2)/12),0,$G147*(1-2/$V147*(13-MONTH($F147))/12)*(1-2/$V147)^(TahunBuku-YEAR($F147)))),$G147)),$G147))</f>
        <v/>
      </c>
      <c r="AJ147" s="20" t="str">
        <f>IF($B147="","",IF(OR($W147="Garis Lurus",$W147="Saldo Menurun"),MAX(0,MIN(TahunBuku*12+12,$Y147+$V147*12-1)-MAX(TahunBuku*12+1,$Y147)+1),0))</f>
        <v/>
      </c>
      <c r="AK147" s="20" t="str">
        <f>IF($B147="","",IF(OR($W147="Garis Lurus",$W147="Saldo Menurun"),MAX(0,MIN($Z147,TahunBuku*12+12,$Y147+$V147*12-1)-MAX(TahunBuku*12+1,$Y147)+1),0))</f>
        <v/>
      </c>
      <c r="AL147" s="22" t="str">
        <f>IF($B147="","",$G147*$AA147)</f>
        <v/>
      </c>
      <c r="AM147" s="22" t="str">
        <f>IF($B147="","",$G147*$AB147)</f>
        <v/>
      </c>
      <c r="AN147" s="22" t="str">
        <f>IF($B147="","",$G147*$AC147)</f>
        <v/>
      </c>
      <c r="AO147" s="22" t="str">
        <f>IF($B147="","",AL147+AM147-AN147)</f>
        <v/>
      </c>
      <c r="AP147" s="22" t="str">
        <f>IF($B147="","",($G147-$AD147)*$AA147)</f>
        <v/>
      </c>
      <c r="AQ147" s="22" t="str">
        <f>IF($B147="","",IF($AF147=0,0,($AD147-$AE147)*$AG147/$AF147)*MAX($AA147,$AB147))</f>
        <v/>
      </c>
      <c r="AR147" s="22" t="str">
        <f>IF($B147="","",(AP147+AQ147)*$AC147)</f>
        <v/>
      </c>
      <c r="AS147" s="22" t="str">
        <f>IF($B147="","",AP147+AQ147-AR147)</f>
        <v/>
      </c>
      <c r="AT147" s="22" t="str">
        <f>IF($B147="","",AO147-AS147)</f>
        <v/>
      </c>
      <c r="AU147" s="22" t="str">
        <f>IF($B147="","",IF($AC147=1,N($R147)-($G147-AR147),0))</f>
        <v/>
      </c>
      <c r="AV147" s="22" t="str">
        <f>IF($B147="","",($G147-$AH147)*$AA147)</f>
        <v/>
      </c>
      <c r="AW147" s="22" t="str">
        <f>IF($B147="","",IF($AJ147=0,0,($AH147-$AI147)*$AK147/$AJ147)*MAX($AA147,$AB147))</f>
        <v/>
      </c>
      <c r="AX147" s="22" t="str">
        <f>IF($B147="","",(AV147+AW147)*$AC147)</f>
        <v/>
      </c>
      <c r="AY147" s="22" t="str">
        <f>IF($B147="","",AV147+AW147-AX147)</f>
        <v/>
      </c>
      <c r="AZ147" s="22" t="str">
        <f>IF($B147="","",AO147-AY147)</f>
        <v/>
      </c>
      <c r="BA147" s="22" t="str">
        <f>IF($B147="","",IF($AC147=1,N($R147)-($G147-AX147),0))</f>
        <v/>
      </c>
      <c r="BB147" s="22" t="str">
        <f>IF($B147="","",ROUND(AQ147-AW147,0))</f>
        <v/>
      </c>
      <c r="BC147" s="22" t="str">
        <f>IF($B147="","",ROUND(BA147-AU147,0))</f>
        <v/>
      </c>
      <c r="BD147" s="22" t="str">
        <f>IF($B147="","",BB147+BC147)</f>
        <v/>
      </c>
      <c r="BE147" s="22" t="str">
        <f>IF($B147="","",ROUND(AV147-AP147,0))</f>
        <v/>
      </c>
      <c r="BF147" s="22" t="str">
        <f>IF($B147="","",ROUND(AT147-AZ147,0))</f>
        <v/>
      </c>
      <c r="BG147" s="22" t="str">
        <f>IF($B147="","",ROUND(BF147*TarifPPh,0))</f>
        <v/>
      </c>
      <c r="BH147" t="str">
        <f>IF($B147="","",IF($D147="","Kategori kosong",IF($F147="","Tgl perolehan kosong",IF(N($H147)&gt;$G147,"Residu &gt; harga perolehan",IF(AND(LEFT($U147,8)="Bangunan",$W147="Saldo Menurun"),"Bangunan wajib Garis Lurus (Ps.11 UU PPh)",IF(AND($S147="Unit Produksi",N($K147)=0),"Isi kapasitas unit",IF(AND(OR($S147="Garis Lurus",$S147="Saldo Menurun"),N($T147)&lt;=0),"Umur komersial kosong",IF(AND(OR($W147="Garis Lurus",$W147="Saldo Menurun"),N($V147)&lt;=0),"Masa manfaat fiskal kosong",IF(AND($Q147&lt;&gt;"",$Q147&lt;$F147),"Tgl pelepasan &lt; perolehan","OK")))))))))</f>
        <v/>
      </c>
    </row>
    <row r="148" spans="1:60" x14ac:dyDescent="0.25">
      <c r="A148" t="str">
        <f>IF($B148="","",ROW()-6)</f>
        <v/>
      </c>
      <c r="B148" s="9"/>
      <c r="C148" s="9"/>
      <c r="D148" s="9"/>
      <c r="E148" s="9"/>
      <c r="F148" s="17"/>
      <c r="G148" s="18"/>
      <c r="H148" s="18"/>
      <c r="I148" s="9"/>
      <c r="J148" s="9"/>
      <c r="K148" s="19"/>
      <c r="L148" s="19"/>
      <c r="M148" s="19"/>
      <c r="N148" s="9"/>
      <c r="O148" s="9"/>
      <c r="P148" s="9"/>
      <c r="Q148" s="17"/>
      <c r="R148" s="18"/>
      <c r="S148" t="str">
        <f>IF($B148="","",IF($I148&lt;&gt;"",$I148,IFERROR(INDEX(Kat_Metode,MATCH($D148,Kat_Nama,0)),"")))</f>
        <v/>
      </c>
      <c r="T148" t="str">
        <f>IF($B148="","",IF($J148&lt;&gt;"",$J148,IFERROR(INDEX(Kat_Umur,MATCH($D148,Kat_Nama,0)),0)))</f>
        <v/>
      </c>
      <c r="U148" t="str">
        <f>IF($B148="","",IF($N148&lt;&gt;"",$N148,IFERROR(INDEX(Kat_Kelompok,MATCH($D148,Kat_Nama,0)),"")))</f>
        <v/>
      </c>
      <c r="V148" t="str">
        <f>IF($B148="","",IF($U148="Masa Manfaat Sebenarnya",N($O148),IFERROR(INDEX(Kel_Masa,MATCH($U148,Kel_Nama,0)),0)))</f>
        <v/>
      </c>
      <c r="W148" t="str">
        <f>IF($B148="","",IF($P148&lt;&gt;"",$P148,IF(OR($U148="Tidak Disusutkan",$V148=0),"Tidak Disusutkan","Garis Lurus")))</f>
        <v/>
      </c>
      <c r="X148" t="str">
        <f>IF($B148="","",IF($Y148&gt;TahunBuku*12+12,"Belum Diperoleh",IF($Z148&lt;=TahunBuku*12,"Dilepas (thn lalu)",IF($AC148=1,"Dilepas thn ini",IF($AB148=1,"Perolehan baru","Aktif")))))</f>
        <v/>
      </c>
      <c r="Y148" s="20" t="str">
        <f>IF($B148="","",YEAR($F148)*12+MONTH($F148))</f>
        <v/>
      </c>
      <c r="Z148" s="20" t="str">
        <f>IF($B148="","",IF($Q148="",99999,YEAR($Q148)*12+MONTH($Q148)))</f>
        <v/>
      </c>
      <c r="AA148" s="20" t="str">
        <f>IF($B148="","",--AND($Y148&lt;=TahunBuku*12,$Z148&gt;TahunBuku*12))</f>
        <v/>
      </c>
      <c r="AB148" s="20" t="str">
        <f>IF($B148="","",--AND($Y148&gt;TahunBuku*12,$Y148&lt;=TahunBuku*12+12))</f>
        <v/>
      </c>
      <c r="AC148" s="20" t="str">
        <f>IF($B148="","",--AND($Z148&gt;TahunBuku*12,$Z148&lt;=TahunBuku*12+12,$Y148&lt;=$Z148))</f>
        <v/>
      </c>
      <c r="AD148" s="21" t="str">
        <f>IF($B148="","",IFERROR(IF($S148="Garis Lurus",$G148-($G148-$H148)*MIN($T148*12,MAX(0,TahunBuku*12-$Y148+1))/($T148*12),IF($S148="Saldo Menurun",IF(TahunBuku-1&lt;YEAR($F148),$G148,IF(TahunBuku-1&gt;=INT(($Y148+$T148*12-2)/12),$H148,MAX($H148,$G148*(1-2/$T148*(13-MONTH($F148))/12)*(1-2/$T148)^(TahunBuku-1-YEAR($F148))))),IF($S148="Unit Produksi",$G148-($G148-$H148)*MIN(1,N($L148)/$K148),$G148))),$G148))</f>
        <v/>
      </c>
      <c r="AE148" s="21" t="str">
        <f>IF($B148="","",IFERROR(IF($S148="Garis Lurus",$G148-($G148-$H148)*MIN($T148*12,MAX(0,TahunBuku*12+12-$Y148+1))/($T148*12),IF($S148="Saldo Menurun",IF(TahunBuku&lt;YEAR($F148),$G148,IF(TahunBuku&gt;=INT(($Y148+$T148*12-2)/12),$H148,MAX($H148,$G148*(1-2/$T148*(13-MONTH($F148))/12)*(1-2/$T148)^(TahunBuku-YEAR($F148))))),IF($S148="Unit Produksi",$G148-($G148-$H148)*MIN(1,(N($L148)+N($M148))/$K148),$G148))),$G148))</f>
        <v/>
      </c>
      <c r="AF148" s="20" t="str">
        <f>IF($B148="","",IF(OR($S148="Garis Lurus",$S148="Saldo Menurun",$S148="Unit Produksi"),MAX(0,IF($S148="Unit Produksi",TahunBuku*12+12,MIN(TahunBuku*12+12,$Y148+$T148*12-1))-MAX(TahunBuku*12+1,$Y148)+1),0))</f>
        <v/>
      </c>
      <c r="AG148" s="20" t="str">
        <f>IF($B148="","",IF(OR($S148="Garis Lurus",$S148="Saldo Menurun",$S148="Unit Produksi"),MAX(0,MIN($Z148,IF($S148="Unit Produksi",TahunBuku*12+12,MIN(TahunBuku*12+12,$Y148+$T148*12-1)))-MAX(TahunBuku*12+1,$Y148)+1),0))</f>
        <v/>
      </c>
      <c r="AH148" s="21" t="str">
        <f>IF($B148="","",IFERROR(IF($W148="Garis Lurus",$G148*(1-MIN($V148*12,MAX(0,TahunBuku*12-$Y148+1))/($V148*12)),IF($W148="Saldo Menurun",IF(TahunBuku-1&lt;YEAR($F148),$G148,IF(TahunBuku-1&gt;=INT(($Y148+$V148*12-2)/12),0,$G148*(1-2/$V148*(13-MONTH($F148))/12)*(1-2/$V148)^(TahunBuku-1-YEAR($F148)))),$G148)),$G148))</f>
        <v/>
      </c>
      <c r="AI148" s="21" t="str">
        <f>IF($B148="","",IFERROR(IF($W148="Garis Lurus",$G148*(1-MIN($V148*12,MAX(0,TahunBuku*12+12-$Y148+1))/($V148*12)),IF($W148="Saldo Menurun",IF(TahunBuku&lt;YEAR($F148),$G148,IF(TahunBuku&gt;=INT(($Y148+$V148*12-2)/12),0,$G148*(1-2/$V148*(13-MONTH($F148))/12)*(1-2/$V148)^(TahunBuku-YEAR($F148)))),$G148)),$G148))</f>
        <v/>
      </c>
      <c r="AJ148" s="20" t="str">
        <f>IF($B148="","",IF(OR($W148="Garis Lurus",$W148="Saldo Menurun"),MAX(0,MIN(TahunBuku*12+12,$Y148+$V148*12-1)-MAX(TahunBuku*12+1,$Y148)+1),0))</f>
        <v/>
      </c>
      <c r="AK148" s="20" t="str">
        <f>IF($B148="","",IF(OR($W148="Garis Lurus",$W148="Saldo Menurun"),MAX(0,MIN($Z148,TahunBuku*12+12,$Y148+$V148*12-1)-MAX(TahunBuku*12+1,$Y148)+1),0))</f>
        <v/>
      </c>
      <c r="AL148" s="22" t="str">
        <f>IF($B148="","",$G148*$AA148)</f>
        <v/>
      </c>
      <c r="AM148" s="22" t="str">
        <f>IF($B148="","",$G148*$AB148)</f>
        <v/>
      </c>
      <c r="AN148" s="22" t="str">
        <f>IF($B148="","",$G148*$AC148)</f>
        <v/>
      </c>
      <c r="AO148" s="22" t="str">
        <f>IF($B148="","",AL148+AM148-AN148)</f>
        <v/>
      </c>
      <c r="AP148" s="22" t="str">
        <f>IF($B148="","",($G148-$AD148)*$AA148)</f>
        <v/>
      </c>
      <c r="AQ148" s="22" t="str">
        <f>IF($B148="","",IF($AF148=0,0,($AD148-$AE148)*$AG148/$AF148)*MAX($AA148,$AB148))</f>
        <v/>
      </c>
      <c r="AR148" s="22" t="str">
        <f>IF($B148="","",(AP148+AQ148)*$AC148)</f>
        <v/>
      </c>
      <c r="AS148" s="22" t="str">
        <f>IF($B148="","",AP148+AQ148-AR148)</f>
        <v/>
      </c>
      <c r="AT148" s="22" t="str">
        <f>IF($B148="","",AO148-AS148)</f>
        <v/>
      </c>
      <c r="AU148" s="22" t="str">
        <f>IF($B148="","",IF($AC148=1,N($R148)-($G148-AR148),0))</f>
        <v/>
      </c>
      <c r="AV148" s="22" t="str">
        <f>IF($B148="","",($G148-$AH148)*$AA148)</f>
        <v/>
      </c>
      <c r="AW148" s="22" t="str">
        <f>IF($B148="","",IF($AJ148=0,0,($AH148-$AI148)*$AK148/$AJ148)*MAX($AA148,$AB148))</f>
        <v/>
      </c>
      <c r="AX148" s="22" t="str">
        <f>IF($B148="","",(AV148+AW148)*$AC148)</f>
        <v/>
      </c>
      <c r="AY148" s="22" t="str">
        <f>IF($B148="","",AV148+AW148-AX148)</f>
        <v/>
      </c>
      <c r="AZ148" s="22" t="str">
        <f>IF($B148="","",AO148-AY148)</f>
        <v/>
      </c>
      <c r="BA148" s="22" t="str">
        <f>IF($B148="","",IF($AC148=1,N($R148)-($G148-AX148),0))</f>
        <v/>
      </c>
      <c r="BB148" s="22" t="str">
        <f>IF($B148="","",ROUND(AQ148-AW148,0))</f>
        <v/>
      </c>
      <c r="BC148" s="22" t="str">
        <f>IF($B148="","",ROUND(BA148-AU148,0))</f>
        <v/>
      </c>
      <c r="BD148" s="22" t="str">
        <f>IF($B148="","",BB148+BC148)</f>
        <v/>
      </c>
      <c r="BE148" s="22" t="str">
        <f>IF($B148="","",ROUND(AV148-AP148,0))</f>
        <v/>
      </c>
      <c r="BF148" s="22" t="str">
        <f>IF($B148="","",ROUND(AT148-AZ148,0))</f>
        <v/>
      </c>
      <c r="BG148" s="22" t="str">
        <f>IF($B148="","",ROUND(BF148*TarifPPh,0))</f>
        <v/>
      </c>
      <c r="BH148" t="str">
        <f>IF($B148="","",IF($D148="","Kategori kosong",IF($F148="","Tgl perolehan kosong",IF(N($H148)&gt;$G148,"Residu &gt; harga perolehan",IF(AND(LEFT($U148,8)="Bangunan",$W148="Saldo Menurun"),"Bangunan wajib Garis Lurus (Ps.11 UU PPh)",IF(AND($S148="Unit Produksi",N($K148)=0),"Isi kapasitas unit",IF(AND(OR($S148="Garis Lurus",$S148="Saldo Menurun"),N($T148)&lt;=0),"Umur komersial kosong",IF(AND(OR($W148="Garis Lurus",$W148="Saldo Menurun"),N($V148)&lt;=0),"Masa manfaat fiskal kosong",IF(AND($Q148&lt;&gt;"",$Q148&lt;$F148),"Tgl pelepasan &lt; perolehan","OK")))))))))</f>
        <v/>
      </c>
    </row>
    <row r="149" spans="1:60" x14ac:dyDescent="0.25">
      <c r="A149" t="str">
        <f>IF($B149="","",ROW()-6)</f>
        <v/>
      </c>
      <c r="B149" s="9"/>
      <c r="C149" s="9"/>
      <c r="D149" s="9"/>
      <c r="E149" s="9"/>
      <c r="F149" s="17"/>
      <c r="G149" s="18"/>
      <c r="H149" s="18"/>
      <c r="I149" s="9"/>
      <c r="J149" s="9"/>
      <c r="K149" s="19"/>
      <c r="L149" s="19"/>
      <c r="M149" s="19"/>
      <c r="N149" s="9"/>
      <c r="O149" s="9"/>
      <c r="P149" s="9"/>
      <c r="Q149" s="17"/>
      <c r="R149" s="18"/>
      <c r="S149" t="str">
        <f>IF($B149="","",IF($I149&lt;&gt;"",$I149,IFERROR(INDEX(Kat_Metode,MATCH($D149,Kat_Nama,0)),"")))</f>
        <v/>
      </c>
      <c r="T149" t="str">
        <f>IF($B149="","",IF($J149&lt;&gt;"",$J149,IFERROR(INDEX(Kat_Umur,MATCH($D149,Kat_Nama,0)),0)))</f>
        <v/>
      </c>
      <c r="U149" t="str">
        <f>IF($B149="","",IF($N149&lt;&gt;"",$N149,IFERROR(INDEX(Kat_Kelompok,MATCH($D149,Kat_Nama,0)),"")))</f>
        <v/>
      </c>
      <c r="V149" t="str">
        <f>IF($B149="","",IF($U149="Masa Manfaat Sebenarnya",N($O149),IFERROR(INDEX(Kel_Masa,MATCH($U149,Kel_Nama,0)),0)))</f>
        <v/>
      </c>
      <c r="W149" t="str">
        <f>IF($B149="","",IF($P149&lt;&gt;"",$P149,IF(OR($U149="Tidak Disusutkan",$V149=0),"Tidak Disusutkan","Garis Lurus")))</f>
        <v/>
      </c>
      <c r="X149" t="str">
        <f>IF($B149="","",IF($Y149&gt;TahunBuku*12+12,"Belum Diperoleh",IF($Z149&lt;=TahunBuku*12,"Dilepas (thn lalu)",IF($AC149=1,"Dilepas thn ini",IF($AB149=1,"Perolehan baru","Aktif")))))</f>
        <v/>
      </c>
      <c r="Y149" s="20" t="str">
        <f>IF($B149="","",YEAR($F149)*12+MONTH($F149))</f>
        <v/>
      </c>
      <c r="Z149" s="20" t="str">
        <f>IF($B149="","",IF($Q149="",99999,YEAR($Q149)*12+MONTH($Q149)))</f>
        <v/>
      </c>
      <c r="AA149" s="20" t="str">
        <f>IF($B149="","",--AND($Y149&lt;=TahunBuku*12,$Z149&gt;TahunBuku*12))</f>
        <v/>
      </c>
      <c r="AB149" s="20" t="str">
        <f>IF($B149="","",--AND($Y149&gt;TahunBuku*12,$Y149&lt;=TahunBuku*12+12))</f>
        <v/>
      </c>
      <c r="AC149" s="20" t="str">
        <f>IF($B149="","",--AND($Z149&gt;TahunBuku*12,$Z149&lt;=TahunBuku*12+12,$Y149&lt;=$Z149))</f>
        <v/>
      </c>
      <c r="AD149" s="21" t="str">
        <f>IF($B149="","",IFERROR(IF($S149="Garis Lurus",$G149-($G149-$H149)*MIN($T149*12,MAX(0,TahunBuku*12-$Y149+1))/($T149*12),IF($S149="Saldo Menurun",IF(TahunBuku-1&lt;YEAR($F149),$G149,IF(TahunBuku-1&gt;=INT(($Y149+$T149*12-2)/12),$H149,MAX($H149,$G149*(1-2/$T149*(13-MONTH($F149))/12)*(1-2/$T149)^(TahunBuku-1-YEAR($F149))))),IF($S149="Unit Produksi",$G149-($G149-$H149)*MIN(1,N($L149)/$K149),$G149))),$G149))</f>
        <v/>
      </c>
      <c r="AE149" s="21" t="str">
        <f>IF($B149="","",IFERROR(IF($S149="Garis Lurus",$G149-($G149-$H149)*MIN($T149*12,MAX(0,TahunBuku*12+12-$Y149+1))/($T149*12),IF($S149="Saldo Menurun",IF(TahunBuku&lt;YEAR($F149),$G149,IF(TahunBuku&gt;=INT(($Y149+$T149*12-2)/12),$H149,MAX($H149,$G149*(1-2/$T149*(13-MONTH($F149))/12)*(1-2/$T149)^(TahunBuku-YEAR($F149))))),IF($S149="Unit Produksi",$G149-($G149-$H149)*MIN(1,(N($L149)+N($M149))/$K149),$G149))),$G149))</f>
        <v/>
      </c>
      <c r="AF149" s="20" t="str">
        <f>IF($B149="","",IF(OR($S149="Garis Lurus",$S149="Saldo Menurun",$S149="Unit Produksi"),MAX(0,IF($S149="Unit Produksi",TahunBuku*12+12,MIN(TahunBuku*12+12,$Y149+$T149*12-1))-MAX(TahunBuku*12+1,$Y149)+1),0))</f>
        <v/>
      </c>
      <c r="AG149" s="20" t="str">
        <f>IF($B149="","",IF(OR($S149="Garis Lurus",$S149="Saldo Menurun",$S149="Unit Produksi"),MAX(0,MIN($Z149,IF($S149="Unit Produksi",TahunBuku*12+12,MIN(TahunBuku*12+12,$Y149+$T149*12-1)))-MAX(TahunBuku*12+1,$Y149)+1),0))</f>
        <v/>
      </c>
      <c r="AH149" s="21" t="str">
        <f>IF($B149="","",IFERROR(IF($W149="Garis Lurus",$G149*(1-MIN($V149*12,MAX(0,TahunBuku*12-$Y149+1))/($V149*12)),IF($W149="Saldo Menurun",IF(TahunBuku-1&lt;YEAR($F149),$G149,IF(TahunBuku-1&gt;=INT(($Y149+$V149*12-2)/12),0,$G149*(1-2/$V149*(13-MONTH($F149))/12)*(1-2/$V149)^(TahunBuku-1-YEAR($F149)))),$G149)),$G149))</f>
        <v/>
      </c>
      <c r="AI149" s="21" t="str">
        <f>IF($B149="","",IFERROR(IF($W149="Garis Lurus",$G149*(1-MIN($V149*12,MAX(0,TahunBuku*12+12-$Y149+1))/($V149*12)),IF($W149="Saldo Menurun",IF(TahunBuku&lt;YEAR($F149),$G149,IF(TahunBuku&gt;=INT(($Y149+$V149*12-2)/12),0,$G149*(1-2/$V149*(13-MONTH($F149))/12)*(1-2/$V149)^(TahunBuku-YEAR($F149)))),$G149)),$G149))</f>
        <v/>
      </c>
      <c r="AJ149" s="20" t="str">
        <f>IF($B149="","",IF(OR($W149="Garis Lurus",$W149="Saldo Menurun"),MAX(0,MIN(TahunBuku*12+12,$Y149+$V149*12-1)-MAX(TahunBuku*12+1,$Y149)+1),0))</f>
        <v/>
      </c>
      <c r="AK149" s="20" t="str">
        <f>IF($B149="","",IF(OR($W149="Garis Lurus",$W149="Saldo Menurun"),MAX(0,MIN($Z149,TahunBuku*12+12,$Y149+$V149*12-1)-MAX(TahunBuku*12+1,$Y149)+1),0))</f>
        <v/>
      </c>
      <c r="AL149" s="22" t="str">
        <f>IF($B149="","",$G149*$AA149)</f>
        <v/>
      </c>
      <c r="AM149" s="22" t="str">
        <f>IF($B149="","",$G149*$AB149)</f>
        <v/>
      </c>
      <c r="AN149" s="22" t="str">
        <f>IF($B149="","",$G149*$AC149)</f>
        <v/>
      </c>
      <c r="AO149" s="22" t="str">
        <f>IF($B149="","",AL149+AM149-AN149)</f>
        <v/>
      </c>
      <c r="AP149" s="22" t="str">
        <f>IF($B149="","",($G149-$AD149)*$AA149)</f>
        <v/>
      </c>
      <c r="AQ149" s="22" t="str">
        <f>IF($B149="","",IF($AF149=0,0,($AD149-$AE149)*$AG149/$AF149)*MAX($AA149,$AB149))</f>
        <v/>
      </c>
      <c r="AR149" s="22" t="str">
        <f>IF($B149="","",(AP149+AQ149)*$AC149)</f>
        <v/>
      </c>
      <c r="AS149" s="22" t="str">
        <f>IF($B149="","",AP149+AQ149-AR149)</f>
        <v/>
      </c>
      <c r="AT149" s="22" t="str">
        <f>IF($B149="","",AO149-AS149)</f>
        <v/>
      </c>
      <c r="AU149" s="22" t="str">
        <f>IF($B149="","",IF($AC149=1,N($R149)-($G149-AR149),0))</f>
        <v/>
      </c>
      <c r="AV149" s="22" t="str">
        <f>IF($B149="","",($G149-$AH149)*$AA149)</f>
        <v/>
      </c>
      <c r="AW149" s="22" t="str">
        <f>IF($B149="","",IF($AJ149=0,0,($AH149-$AI149)*$AK149/$AJ149)*MAX($AA149,$AB149))</f>
        <v/>
      </c>
      <c r="AX149" s="22" t="str">
        <f>IF($B149="","",(AV149+AW149)*$AC149)</f>
        <v/>
      </c>
      <c r="AY149" s="22" t="str">
        <f>IF($B149="","",AV149+AW149-AX149)</f>
        <v/>
      </c>
      <c r="AZ149" s="22" t="str">
        <f>IF($B149="","",AO149-AY149)</f>
        <v/>
      </c>
      <c r="BA149" s="22" t="str">
        <f>IF($B149="","",IF($AC149=1,N($R149)-($G149-AX149),0))</f>
        <v/>
      </c>
      <c r="BB149" s="22" t="str">
        <f>IF($B149="","",ROUND(AQ149-AW149,0))</f>
        <v/>
      </c>
      <c r="BC149" s="22" t="str">
        <f>IF($B149="","",ROUND(BA149-AU149,0))</f>
        <v/>
      </c>
      <c r="BD149" s="22" t="str">
        <f>IF($B149="","",BB149+BC149)</f>
        <v/>
      </c>
      <c r="BE149" s="22" t="str">
        <f>IF($B149="","",ROUND(AV149-AP149,0))</f>
        <v/>
      </c>
      <c r="BF149" s="22" t="str">
        <f>IF($B149="","",ROUND(AT149-AZ149,0))</f>
        <v/>
      </c>
      <c r="BG149" s="22" t="str">
        <f>IF($B149="","",ROUND(BF149*TarifPPh,0))</f>
        <v/>
      </c>
      <c r="BH149" t="str">
        <f>IF($B149="","",IF($D149="","Kategori kosong",IF($F149="","Tgl perolehan kosong",IF(N($H149)&gt;$G149,"Residu &gt; harga perolehan",IF(AND(LEFT($U149,8)="Bangunan",$W149="Saldo Menurun"),"Bangunan wajib Garis Lurus (Ps.11 UU PPh)",IF(AND($S149="Unit Produksi",N($K149)=0),"Isi kapasitas unit",IF(AND(OR($S149="Garis Lurus",$S149="Saldo Menurun"),N($T149)&lt;=0),"Umur komersial kosong",IF(AND(OR($W149="Garis Lurus",$W149="Saldo Menurun"),N($V149)&lt;=0),"Masa manfaat fiskal kosong",IF(AND($Q149&lt;&gt;"",$Q149&lt;$F149),"Tgl pelepasan &lt; perolehan","OK")))))))))</f>
        <v/>
      </c>
    </row>
    <row r="150" spans="1:60" x14ac:dyDescent="0.25">
      <c r="A150" t="str">
        <f>IF($B150="","",ROW()-6)</f>
        <v/>
      </c>
      <c r="B150" s="9"/>
      <c r="C150" s="9"/>
      <c r="D150" s="9"/>
      <c r="E150" s="9"/>
      <c r="F150" s="17"/>
      <c r="G150" s="18"/>
      <c r="H150" s="18"/>
      <c r="I150" s="9"/>
      <c r="J150" s="9"/>
      <c r="K150" s="19"/>
      <c r="L150" s="19"/>
      <c r="M150" s="19"/>
      <c r="N150" s="9"/>
      <c r="O150" s="9"/>
      <c r="P150" s="9"/>
      <c r="Q150" s="17"/>
      <c r="R150" s="18"/>
      <c r="S150" t="str">
        <f>IF($B150="","",IF($I150&lt;&gt;"",$I150,IFERROR(INDEX(Kat_Metode,MATCH($D150,Kat_Nama,0)),"")))</f>
        <v/>
      </c>
      <c r="T150" t="str">
        <f>IF($B150="","",IF($J150&lt;&gt;"",$J150,IFERROR(INDEX(Kat_Umur,MATCH($D150,Kat_Nama,0)),0)))</f>
        <v/>
      </c>
      <c r="U150" t="str">
        <f>IF($B150="","",IF($N150&lt;&gt;"",$N150,IFERROR(INDEX(Kat_Kelompok,MATCH($D150,Kat_Nama,0)),"")))</f>
        <v/>
      </c>
      <c r="V150" t="str">
        <f>IF($B150="","",IF($U150="Masa Manfaat Sebenarnya",N($O150),IFERROR(INDEX(Kel_Masa,MATCH($U150,Kel_Nama,0)),0)))</f>
        <v/>
      </c>
      <c r="W150" t="str">
        <f>IF($B150="","",IF($P150&lt;&gt;"",$P150,IF(OR($U150="Tidak Disusutkan",$V150=0),"Tidak Disusutkan","Garis Lurus")))</f>
        <v/>
      </c>
      <c r="X150" t="str">
        <f>IF($B150="","",IF($Y150&gt;TahunBuku*12+12,"Belum Diperoleh",IF($Z150&lt;=TahunBuku*12,"Dilepas (thn lalu)",IF($AC150=1,"Dilepas thn ini",IF($AB150=1,"Perolehan baru","Aktif")))))</f>
        <v/>
      </c>
      <c r="Y150" s="20" t="str">
        <f>IF($B150="","",YEAR($F150)*12+MONTH($F150))</f>
        <v/>
      </c>
      <c r="Z150" s="20" t="str">
        <f>IF($B150="","",IF($Q150="",99999,YEAR($Q150)*12+MONTH($Q150)))</f>
        <v/>
      </c>
      <c r="AA150" s="20" t="str">
        <f>IF($B150="","",--AND($Y150&lt;=TahunBuku*12,$Z150&gt;TahunBuku*12))</f>
        <v/>
      </c>
      <c r="AB150" s="20" t="str">
        <f>IF($B150="","",--AND($Y150&gt;TahunBuku*12,$Y150&lt;=TahunBuku*12+12))</f>
        <v/>
      </c>
      <c r="AC150" s="20" t="str">
        <f>IF($B150="","",--AND($Z150&gt;TahunBuku*12,$Z150&lt;=TahunBuku*12+12,$Y150&lt;=$Z150))</f>
        <v/>
      </c>
      <c r="AD150" s="21" t="str">
        <f>IF($B150="","",IFERROR(IF($S150="Garis Lurus",$G150-($G150-$H150)*MIN($T150*12,MAX(0,TahunBuku*12-$Y150+1))/($T150*12),IF($S150="Saldo Menurun",IF(TahunBuku-1&lt;YEAR($F150),$G150,IF(TahunBuku-1&gt;=INT(($Y150+$T150*12-2)/12),$H150,MAX($H150,$G150*(1-2/$T150*(13-MONTH($F150))/12)*(1-2/$T150)^(TahunBuku-1-YEAR($F150))))),IF($S150="Unit Produksi",$G150-($G150-$H150)*MIN(1,N($L150)/$K150),$G150))),$G150))</f>
        <v/>
      </c>
      <c r="AE150" s="21" t="str">
        <f>IF($B150="","",IFERROR(IF($S150="Garis Lurus",$G150-($G150-$H150)*MIN($T150*12,MAX(0,TahunBuku*12+12-$Y150+1))/($T150*12),IF($S150="Saldo Menurun",IF(TahunBuku&lt;YEAR($F150),$G150,IF(TahunBuku&gt;=INT(($Y150+$T150*12-2)/12),$H150,MAX($H150,$G150*(1-2/$T150*(13-MONTH($F150))/12)*(1-2/$T150)^(TahunBuku-YEAR($F150))))),IF($S150="Unit Produksi",$G150-($G150-$H150)*MIN(1,(N($L150)+N($M150))/$K150),$G150))),$G150))</f>
        <v/>
      </c>
      <c r="AF150" s="20" t="str">
        <f>IF($B150="","",IF(OR($S150="Garis Lurus",$S150="Saldo Menurun",$S150="Unit Produksi"),MAX(0,IF($S150="Unit Produksi",TahunBuku*12+12,MIN(TahunBuku*12+12,$Y150+$T150*12-1))-MAX(TahunBuku*12+1,$Y150)+1),0))</f>
        <v/>
      </c>
      <c r="AG150" s="20" t="str">
        <f>IF($B150="","",IF(OR($S150="Garis Lurus",$S150="Saldo Menurun",$S150="Unit Produksi"),MAX(0,MIN($Z150,IF($S150="Unit Produksi",TahunBuku*12+12,MIN(TahunBuku*12+12,$Y150+$T150*12-1)))-MAX(TahunBuku*12+1,$Y150)+1),0))</f>
        <v/>
      </c>
      <c r="AH150" s="21" t="str">
        <f>IF($B150="","",IFERROR(IF($W150="Garis Lurus",$G150*(1-MIN($V150*12,MAX(0,TahunBuku*12-$Y150+1))/($V150*12)),IF($W150="Saldo Menurun",IF(TahunBuku-1&lt;YEAR($F150),$G150,IF(TahunBuku-1&gt;=INT(($Y150+$V150*12-2)/12),0,$G150*(1-2/$V150*(13-MONTH($F150))/12)*(1-2/$V150)^(TahunBuku-1-YEAR($F150)))),$G150)),$G150))</f>
        <v/>
      </c>
      <c r="AI150" s="21" t="str">
        <f>IF($B150="","",IFERROR(IF($W150="Garis Lurus",$G150*(1-MIN($V150*12,MAX(0,TahunBuku*12+12-$Y150+1))/($V150*12)),IF($W150="Saldo Menurun",IF(TahunBuku&lt;YEAR($F150),$G150,IF(TahunBuku&gt;=INT(($Y150+$V150*12-2)/12),0,$G150*(1-2/$V150*(13-MONTH($F150))/12)*(1-2/$V150)^(TahunBuku-YEAR($F150)))),$G150)),$G150))</f>
        <v/>
      </c>
      <c r="AJ150" s="20" t="str">
        <f>IF($B150="","",IF(OR($W150="Garis Lurus",$W150="Saldo Menurun"),MAX(0,MIN(TahunBuku*12+12,$Y150+$V150*12-1)-MAX(TahunBuku*12+1,$Y150)+1),0))</f>
        <v/>
      </c>
      <c r="AK150" s="20" t="str">
        <f>IF($B150="","",IF(OR($W150="Garis Lurus",$W150="Saldo Menurun"),MAX(0,MIN($Z150,TahunBuku*12+12,$Y150+$V150*12-1)-MAX(TahunBuku*12+1,$Y150)+1),0))</f>
        <v/>
      </c>
      <c r="AL150" s="22" t="str">
        <f>IF($B150="","",$G150*$AA150)</f>
        <v/>
      </c>
      <c r="AM150" s="22" t="str">
        <f>IF($B150="","",$G150*$AB150)</f>
        <v/>
      </c>
      <c r="AN150" s="22" t="str">
        <f>IF($B150="","",$G150*$AC150)</f>
        <v/>
      </c>
      <c r="AO150" s="22" t="str">
        <f>IF($B150="","",AL150+AM150-AN150)</f>
        <v/>
      </c>
      <c r="AP150" s="22" t="str">
        <f>IF($B150="","",($G150-$AD150)*$AA150)</f>
        <v/>
      </c>
      <c r="AQ150" s="22" t="str">
        <f>IF($B150="","",IF($AF150=0,0,($AD150-$AE150)*$AG150/$AF150)*MAX($AA150,$AB150))</f>
        <v/>
      </c>
      <c r="AR150" s="22" t="str">
        <f>IF($B150="","",(AP150+AQ150)*$AC150)</f>
        <v/>
      </c>
      <c r="AS150" s="22" t="str">
        <f>IF($B150="","",AP150+AQ150-AR150)</f>
        <v/>
      </c>
      <c r="AT150" s="22" t="str">
        <f>IF($B150="","",AO150-AS150)</f>
        <v/>
      </c>
      <c r="AU150" s="22" t="str">
        <f>IF($B150="","",IF($AC150=1,N($R150)-($G150-AR150),0))</f>
        <v/>
      </c>
      <c r="AV150" s="22" t="str">
        <f>IF($B150="","",($G150-$AH150)*$AA150)</f>
        <v/>
      </c>
      <c r="AW150" s="22" t="str">
        <f>IF($B150="","",IF($AJ150=0,0,($AH150-$AI150)*$AK150/$AJ150)*MAX($AA150,$AB150))</f>
        <v/>
      </c>
      <c r="AX150" s="22" t="str">
        <f>IF($B150="","",(AV150+AW150)*$AC150)</f>
        <v/>
      </c>
      <c r="AY150" s="22" t="str">
        <f>IF($B150="","",AV150+AW150-AX150)</f>
        <v/>
      </c>
      <c r="AZ150" s="22" t="str">
        <f>IF($B150="","",AO150-AY150)</f>
        <v/>
      </c>
      <c r="BA150" s="22" t="str">
        <f>IF($B150="","",IF($AC150=1,N($R150)-($G150-AX150),0))</f>
        <v/>
      </c>
      <c r="BB150" s="22" t="str">
        <f>IF($B150="","",ROUND(AQ150-AW150,0))</f>
        <v/>
      </c>
      <c r="BC150" s="22" t="str">
        <f>IF($B150="","",ROUND(BA150-AU150,0))</f>
        <v/>
      </c>
      <c r="BD150" s="22" t="str">
        <f>IF($B150="","",BB150+BC150)</f>
        <v/>
      </c>
      <c r="BE150" s="22" t="str">
        <f>IF($B150="","",ROUND(AV150-AP150,0))</f>
        <v/>
      </c>
      <c r="BF150" s="22" t="str">
        <f>IF($B150="","",ROUND(AT150-AZ150,0))</f>
        <v/>
      </c>
      <c r="BG150" s="22" t="str">
        <f>IF($B150="","",ROUND(BF150*TarifPPh,0))</f>
        <v/>
      </c>
      <c r="BH150" t="str">
        <f>IF($B150="","",IF($D150="","Kategori kosong",IF($F150="","Tgl perolehan kosong",IF(N($H150)&gt;$G150,"Residu &gt; harga perolehan",IF(AND(LEFT($U150,8)="Bangunan",$W150="Saldo Menurun"),"Bangunan wajib Garis Lurus (Ps.11 UU PPh)",IF(AND($S150="Unit Produksi",N($K150)=0),"Isi kapasitas unit",IF(AND(OR($S150="Garis Lurus",$S150="Saldo Menurun"),N($T150)&lt;=0),"Umur komersial kosong",IF(AND(OR($W150="Garis Lurus",$W150="Saldo Menurun"),N($V150)&lt;=0),"Masa manfaat fiskal kosong",IF(AND($Q150&lt;&gt;"",$Q150&lt;$F150),"Tgl pelepasan &lt; perolehan","OK")))))))))</f>
        <v/>
      </c>
    </row>
    <row r="151" spans="1:60" x14ac:dyDescent="0.25">
      <c r="A151" t="str">
        <f>IF($B151="","",ROW()-6)</f>
        <v/>
      </c>
      <c r="B151" s="9"/>
      <c r="C151" s="9"/>
      <c r="D151" s="9"/>
      <c r="E151" s="9"/>
      <c r="F151" s="17"/>
      <c r="G151" s="18"/>
      <c r="H151" s="18"/>
      <c r="I151" s="9"/>
      <c r="J151" s="9"/>
      <c r="K151" s="19"/>
      <c r="L151" s="19"/>
      <c r="M151" s="19"/>
      <c r="N151" s="9"/>
      <c r="O151" s="9"/>
      <c r="P151" s="9"/>
      <c r="Q151" s="17"/>
      <c r="R151" s="18"/>
      <c r="S151" t="str">
        <f>IF($B151="","",IF($I151&lt;&gt;"",$I151,IFERROR(INDEX(Kat_Metode,MATCH($D151,Kat_Nama,0)),"")))</f>
        <v/>
      </c>
      <c r="T151" t="str">
        <f>IF($B151="","",IF($J151&lt;&gt;"",$J151,IFERROR(INDEX(Kat_Umur,MATCH($D151,Kat_Nama,0)),0)))</f>
        <v/>
      </c>
      <c r="U151" t="str">
        <f>IF($B151="","",IF($N151&lt;&gt;"",$N151,IFERROR(INDEX(Kat_Kelompok,MATCH($D151,Kat_Nama,0)),"")))</f>
        <v/>
      </c>
      <c r="V151" t="str">
        <f>IF($B151="","",IF($U151="Masa Manfaat Sebenarnya",N($O151),IFERROR(INDEX(Kel_Masa,MATCH($U151,Kel_Nama,0)),0)))</f>
        <v/>
      </c>
      <c r="W151" t="str">
        <f>IF($B151="","",IF($P151&lt;&gt;"",$P151,IF(OR($U151="Tidak Disusutkan",$V151=0),"Tidak Disusutkan","Garis Lurus")))</f>
        <v/>
      </c>
      <c r="X151" t="str">
        <f>IF($B151="","",IF($Y151&gt;TahunBuku*12+12,"Belum Diperoleh",IF($Z151&lt;=TahunBuku*12,"Dilepas (thn lalu)",IF($AC151=1,"Dilepas thn ini",IF($AB151=1,"Perolehan baru","Aktif")))))</f>
        <v/>
      </c>
      <c r="Y151" s="20" t="str">
        <f>IF($B151="","",YEAR($F151)*12+MONTH($F151))</f>
        <v/>
      </c>
      <c r="Z151" s="20" t="str">
        <f>IF($B151="","",IF($Q151="",99999,YEAR($Q151)*12+MONTH($Q151)))</f>
        <v/>
      </c>
      <c r="AA151" s="20" t="str">
        <f>IF($B151="","",--AND($Y151&lt;=TahunBuku*12,$Z151&gt;TahunBuku*12))</f>
        <v/>
      </c>
      <c r="AB151" s="20" t="str">
        <f>IF($B151="","",--AND($Y151&gt;TahunBuku*12,$Y151&lt;=TahunBuku*12+12))</f>
        <v/>
      </c>
      <c r="AC151" s="20" t="str">
        <f>IF($B151="","",--AND($Z151&gt;TahunBuku*12,$Z151&lt;=TahunBuku*12+12,$Y151&lt;=$Z151))</f>
        <v/>
      </c>
      <c r="AD151" s="21" t="str">
        <f>IF($B151="","",IFERROR(IF($S151="Garis Lurus",$G151-($G151-$H151)*MIN($T151*12,MAX(0,TahunBuku*12-$Y151+1))/($T151*12),IF($S151="Saldo Menurun",IF(TahunBuku-1&lt;YEAR($F151),$G151,IF(TahunBuku-1&gt;=INT(($Y151+$T151*12-2)/12),$H151,MAX($H151,$G151*(1-2/$T151*(13-MONTH($F151))/12)*(1-2/$T151)^(TahunBuku-1-YEAR($F151))))),IF($S151="Unit Produksi",$G151-($G151-$H151)*MIN(1,N($L151)/$K151),$G151))),$G151))</f>
        <v/>
      </c>
      <c r="AE151" s="21" t="str">
        <f>IF($B151="","",IFERROR(IF($S151="Garis Lurus",$G151-($G151-$H151)*MIN($T151*12,MAX(0,TahunBuku*12+12-$Y151+1))/($T151*12),IF($S151="Saldo Menurun",IF(TahunBuku&lt;YEAR($F151),$G151,IF(TahunBuku&gt;=INT(($Y151+$T151*12-2)/12),$H151,MAX($H151,$G151*(1-2/$T151*(13-MONTH($F151))/12)*(1-2/$T151)^(TahunBuku-YEAR($F151))))),IF($S151="Unit Produksi",$G151-($G151-$H151)*MIN(1,(N($L151)+N($M151))/$K151),$G151))),$G151))</f>
        <v/>
      </c>
      <c r="AF151" s="20" t="str">
        <f>IF($B151="","",IF(OR($S151="Garis Lurus",$S151="Saldo Menurun",$S151="Unit Produksi"),MAX(0,IF($S151="Unit Produksi",TahunBuku*12+12,MIN(TahunBuku*12+12,$Y151+$T151*12-1))-MAX(TahunBuku*12+1,$Y151)+1),0))</f>
        <v/>
      </c>
      <c r="AG151" s="20" t="str">
        <f>IF($B151="","",IF(OR($S151="Garis Lurus",$S151="Saldo Menurun",$S151="Unit Produksi"),MAX(0,MIN($Z151,IF($S151="Unit Produksi",TahunBuku*12+12,MIN(TahunBuku*12+12,$Y151+$T151*12-1)))-MAX(TahunBuku*12+1,$Y151)+1),0))</f>
        <v/>
      </c>
      <c r="AH151" s="21" t="str">
        <f>IF($B151="","",IFERROR(IF($W151="Garis Lurus",$G151*(1-MIN($V151*12,MAX(0,TahunBuku*12-$Y151+1))/($V151*12)),IF($W151="Saldo Menurun",IF(TahunBuku-1&lt;YEAR($F151),$G151,IF(TahunBuku-1&gt;=INT(($Y151+$V151*12-2)/12),0,$G151*(1-2/$V151*(13-MONTH($F151))/12)*(1-2/$V151)^(TahunBuku-1-YEAR($F151)))),$G151)),$G151))</f>
        <v/>
      </c>
      <c r="AI151" s="21" t="str">
        <f>IF($B151="","",IFERROR(IF($W151="Garis Lurus",$G151*(1-MIN($V151*12,MAX(0,TahunBuku*12+12-$Y151+1))/($V151*12)),IF($W151="Saldo Menurun",IF(TahunBuku&lt;YEAR($F151),$G151,IF(TahunBuku&gt;=INT(($Y151+$V151*12-2)/12),0,$G151*(1-2/$V151*(13-MONTH($F151))/12)*(1-2/$V151)^(TahunBuku-YEAR($F151)))),$G151)),$G151))</f>
        <v/>
      </c>
      <c r="AJ151" s="20" t="str">
        <f>IF($B151="","",IF(OR($W151="Garis Lurus",$W151="Saldo Menurun"),MAX(0,MIN(TahunBuku*12+12,$Y151+$V151*12-1)-MAX(TahunBuku*12+1,$Y151)+1),0))</f>
        <v/>
      </c>
      <c r="AK151" s="20" t="str">
        <f>IF($B151="","",IF(OR($W151="Garis Lurus",$W151="Saldo Menurun"),MAX(0,MIN($Z151,TahunBuku*12+12,$Y151+$V151*12-1)-MAX(TahunBuku*12+1,$Y151)+1),0))</f>
        <v/>
      </c>
      <c r="AL151" s="22" t="str">
        <f>IF($B151="","",$G151*$AA151)</f>
        <v/>
      </c>
      <c r="AM151" s="22" t="str">
        <f>IF($B151="","",$G151*$AB151)</f>
        <v/>
      </c>
      <c r="AN151" s="22" t="str">
        <f>IF($B151="","",$G151*$AC151)</f>
        <v/>
      </c>
      <c r="AO151" s="22" t="str">
        <f>IF($B151="","",AL151+AM151-AN151)</f>
        <v/>
      </c>
      <c r="AP151" s="22" t="str">
        <f>IF($B151="","",($G151-$AD151)*$AA151)</f>
        <v/>
      </c>
      <c r="AQ151" s="22" t="str">
        <f>IF($B151="","",IF($AF151=0,0,($AD151-$AE151)*$AG151/$AF151)*MAX($AA151,$AB151))</f>
        <v/>
      </c>
      <c r="AR151" s="22" t="str">
        <f>IF($B151="","",(AP151+AQ151)*$AC151)</f>
        <v/>
      </c>
      <c r="AS151" s="22" t="str">
        <f>IF($B151="","",AP151+AQ151-AR151)</f>
        <v/>
      </c>
      <c r="AT151" s="22" t="str">
        <f>IF($B151="","",AO151-AS151)</f>
        <v/>
      </c>
      <c r="AU151" s="22" t="str">
        <f>IF($B151="","",IF($AC151=1,N($R151)-($G151-AR151),0))</f>
        <v/>
      </c>
      <c r="AV151" s="22" t="str">
        <f>IF($B151="","",($G151-$AH151)*$AA151)</f>
        <v/>
      </c>
      <c r="AW151" s="22" t="str">
        <f>IF($B151="","",IF($AJ151=0,0,($AH151-$AI151)*$AK151/$AJ151)*MAX($AA151,$AB151))</f>
        <v/>
      </c>
      <c r="AX151" s="22" t="str">
        <f>IF($B151="","",(AV151+AW151)*$AC151)</f>
        <v/>
      </c>
      <c r="AY151" s="22" t="str">
        <f>IF($B151="","",AV151+AW151-AX151)</f>
        <v/>
      </c>
      <c r="AZ151" s="22" t="str">
        <f>IF($B151="","",AO151-AY151)</f>
        <v/>
      </c>
      <c r="BA151" s="22" t="str">
        <f>IF($B151="","",IF($AC151=1,N($R151)-($G151-AX151),0))</f>
        <v/>
      </c>
      <c r="BB151" s="22" t="str">
        <f>IF($B151="","",ROUND(AQ151-AW151,0))</f>
        <v/>
      </c>
      <c r="BC151" s="22" t="str">
        <f>IF($B151="","",ROUND(BA151-AU151,0))</f>
        <v/>
      </c>
      <c r="BD151" s="22" t="str">
        <f>IF($B151="","",BB151+BC151)</f>
        <v/>
      </c>
      <c r="BE151" s="22" t="str">
        <f>IF($B151="","",ROUND(AV151-AP151,0))</f>
        <v/>
      </c>
      <c r="BF151" s="22" t="str">
        <f>IF($B151="","",ROUND(AT151-AZ151,0))</f>
        <v/>
      </c>
      <c r="BG151" s="22" t="str">
        <f>IF($B151="","",ROUND(BF151*TarifPPh,0))</f>
        <v/>
      </c>
      <c r="BH151" t="str">
        <f>IF($B151="","",IF($D151="","Kategori kosong",IF($F151="","Tgl perolehan kosong",IF(N($H151)&gt;$G151,"Residu &gt; harga perolehan",IF(AND(LEFT($U151,8)="Bangunan",$W151="Saldo Menurun"),"Bangunan wajib Garis Lurus (Ps.11 UU PPh)",IF(AND($S151="Unit Produksi",N($K151)=0),"Isi kapasitas unit",IF(AND(OR($S151="Garis Lurus",$S151="Saldo Menurun"),N($T151)&lt;=0),"Umur komersial kosong",IF(AND(OR($W151="Garis Lurus",$W151="Saldo Menurun"),N($V151)&lt;=0),"Masa manfaat fiskal kosong",IF(AND($Q151&lt;&gt;"",$Q151&lt;$F151),"Tgl pelepasan &lt; perolehan","OK")))))))))</f>
        <v/>
      </c>
    </row>
    <row r="152" spans="1:60" x14ac:dyDescent="0.25">
      <c r="A152" t="str">
        <f>IF($B152="","",ROW()-6)</f>
        <v/>
      </c>
      <c r="B152" s="9"/>
      <c r="C152" s="9"/>
      <c r="D152" s="9"/>
      <c r="E152" s="9"/>
      <c r="F152" s="17"/>
      <c r="G152" s="18"/>
      <c r="H152" s="18"/>
      <c r="I152" s="9"/>
      <c r="J152" s="9"/>
      <c r="K152" s="19"/>
      <c r="L152" s="19"/>
      <c r="M152" s="19"/>
      <c r="N152" s="9"/>
      <c r="O152" s="9"/>
      <c r="P152" s="9"/>
      <c r="Q152" s="17"/>
      <c r="R152" s="18"/>
      <c r="S152" t="str">
        <f>IF($B152="","",IF($I152&lt;&gt;"",$I152,IFERROR(INDEX(Kat_Metode,MATCH($D152,Kat_Nama,0)),"")))</f>
        <v/>
      </c>
      <c r="T152" t="str">
        <f>IF($B152="","",IF($J152&lt;&gt;"",$J152,IFERROR(INDEX(Kat_Umur,MATCH($D152,Kat_Nama,0)),0)))</f>
        <v/>
      </c>
      <c r="U152" t="str">
        <f>IF($B152="","",IF($N152&lt;&gt;"",$N152,IFERROR(INDEX(Kat_Kelompok,MATCH($D152,Kat_Nama,0)),"")))</f>
        <v/>
      </c>
      <c r="V152" t="str">
        <f>IF($B152="","",IF($U152="Masa Manfaat Sebenarnya",N($O152),IFERROR(INDEX(Kel_Masa,MATCH($U152,Kel_Nama,0)),0)))</f>
        <v/>
      </c>
      <c r="W152" t="str">
        <f>IF($B152="","",IF($P152&lt;&gt;"",$P152,IF(OR($U152="Tidak Disusutkan",$V152=0),"Tidak Disusutkan","Garis Lurus")))</f>
        <v/>
      </c>
      <c r="X152" t="str">
        <f>IF($B152="","",IF($Y152&gt;TahunBuku*12+12,"Belum Diperoleh",IF($Z152&lt;=TahunBuku*12,"Dilepas (thn lalu)",IF($AC152=1,"Dilepas thn ini",IF($AB152=1,"Perolehan baru","Aktif")))))</f>
        <v/>
      </c>
      <c r="Y152" s="20" t="str">
        <f>IF($B152="","",YEAR($F152)*12+MONTH($F152))</f>
        <v/>
      </c>
      <c r="Z152" s="20" t="str">
        <f>IF($B152="","",IF($Q152="",99999,YEAR($Q152)*12+MONTH($Q152)))</f>
        <v/>
      </c>
      <c r="AA152" s="20" t="str">
        <f>IF($B152="","",--AND($Y152&lt;=TahunBuku*12,$Z152&gt;TahunBuku*12))</f>
        <v/>
      </c>
      <c r="AB152" s="20" t="str">
        <f>IF($B152="","",--AND($Y152&gt;TahunBuku*12,$Y152&lt;=TahunBuku*12+12))</f>
        <v/>
      </c>
      <c r="AC152" s="20" t="str">
        <f>IF($B152="","",--AND($Z152&gt;TahunBuku*12,$Z152&lt;=TahunBuku*12+12,$Y152&lt;=$Z152))</f>
        <v/>
      </c>
      <c r="AD152" s="21" t="str">
        <f>IF($B152="","",IFERROR(IF($S152="Garis Lurus",$G152-($G152-$H152)*MIN($T152*12,MAX(0,TahunBuku*12-$Y152+1))/($T152*12),IF($S152="Saldo Menurun",IF(TahunBuku-1&lt;YEAR($F152),$G152,IF(TahunBuku-1&gt;=INT(($Y152+$T152*12-2)/12),$H152,MAX($H152,$G152*(1-2/$T152*(13-MONTH($F152))/12)*(1-2/$T152)^(TahunBuku-1-YEAR($F152))))),IF($S152="Unit Produksi",$G152-($G152-$H152)*MIN(1,N($L152)/$K152),$G152))),$G152))</f>
        <v/>
      </c>
      <c r="AE152" s="21" t="str">
        <f>IF($B152="","",IFERROR(IF($S152="Garis Lurus",$G152-($G152-$H152)*MIN($T152*12,MAX(0,TahunBuku*12+12-$Y152+1))/($T152*12),IF($S152="Saldo Menurun",IF(TahunBuku&lt;YEAR($F152),$G152,IF(TahunBuku&gt;=INT(($Y152+$T152*12-2)/12),$H152,MAX($H152,$G152*(1-2/$T152*(13-MONTH($F152))/12)*(1-2/$T152)^(TahunBuku-YEAR($F152))))),IF($S152="Unit Produksi",$G152-($G152-$H152)*MIN(1,(N($L152)+N($M152))/$K152),$G152))),$G152))</f>
        <v/>
      </c>
      <c r="AF152" s="20" t="str">
        <f>IF($B152="","",IF(OR($S152="Garis Lurus",$S152="Saldo Menurun",$S152="Unit Produksi"),MAX(0,IF($S152="Unit Produksi",TahunBuku*12+12,MIN(TahunBuku*12+12,$Y152+$T152*12-1))-MAX(TahunBuku*12+1,$Y152)+1),0))</f>
        <v/>
      </c>
      <c r="AG152" s="20" t="str">
        <f>IF($B152="","",IF(OR($S152="Garis Lurus",$S152="Saldo Menurun",$S152="Unit Produksi"),MAX(0,MIN($Z152,IF($S152="Unit Produksi",TahunBuku*12+12,MIN(TahunBuku*12+12,$Y152+$T152*12-1)))-MAX(TahunBuku*12+1,$Y152)+1),0))</f>
        <v/>
      </c>
      <c r="AH152" s="21" t="str">
        <f>IF($B152="","",IFERROR(IF($W152="Garis Lurus",$G152*(1-MIN($V152*12,MAX(0,TahunBuku*12-$Y152+1))/($V152*12)),IF($W152="Saldo Menurun",IF(TahunBuku-1&lt;YEAR($F152),$G152,IF(TahunBuku-1&gt;=INT(($Y152+$V152*12-2)/12),0,$G152*(1-2/$V152*(13-MONTH($F152))/12)*(1-2/$V152)^(TahunBuku-1-YEAR($F152)))),$G152)),$G152))</f>
        <v/>
      </c>
      <c r="AI152" s="21" t="str">
        <f>IF($B152="","",IFERROR(IF($W152="Garis Lurus",$G152*(1-MIN($V152*12,MAX(0,TahunBuku*12+12-$Y152+1))/($V152*12)),IF($W152="Saldo Menurun",IF(TahunBuku&lt;YEAR($F152),$G152,IF(TahunBuku&gt;=INT(($Y152+$V152*12-2)/12),0,$G152*(1-2/$V152*(13-MONTH($F152))/12)*(1-2/$V152)^(TahunBuku-YEAR($F152)))),$G152)),$G152))</f>
        <v/>
      </c>
      <c r="AJ152" s="20" t="str">
        <f>IF($B152="","",IF(OR($W152="Garis Lurus",$W152="Saldo Menurun"),MAX(0,MIN(TahunBuku*12+12,$Y152+$V152*12-1)-MAX(TahunBuku*12+1,$Y152)+1),0))</f>
        <v/>
      </c>
      <c r="AK152" s="20" t="str">
        <f>IF($B152="","",IF(OR($W152="Garis Lurus",$W152="Saldo Menurun"),MAX(0,MIN($Z152,TahunBuku*12+12,$Y152+$V152*12-1)-MAX(TahunBuku*12+1,$Y152)+1),0))</f>
        <v/>
      </c>
      <c r="AL152" s="22" t="str">
        <f>IF($B152="","",$G152*$AA152)</f>
        <v/>
      </c>
      <c r="AM152" s="22" t="str">
        <f>IF($B152="","",$G152*$AB152)</f>
        <v/>
      </c>
      <c r="AN152" s="22" t="str">
        <f>IF($B152="","",$G152*$AC152)</f>
        <v/>
      </c>
      <c r="AO152" s="22" t="str">
        <f>IF($B152="","",AL152+AM152-AN152)</f>
        <v/>
      </c>
      <c r="AP152" s="22" t="str">
        <f>IF($B152="","",($G152-$AD152)*$AA152)</f>
        <v/>
      </c>
      <c r="AQ152" s="22" t="str">
        <f>IF($B152="","",IF($AF152=0,0,($AD152-$AE152)*$AG152/$AF152)*MAX($AA152,$AB152))</f>
        <v/>
      </c>
      <c r="AR152" s="22" t="str">
        <f>IF($B152="","",(AP152+AQ152)*$AC152)</f>
        <v/>
      </c>
      <c r="AS152" s="22" t="str">
        <f>IF($B152="","",AP152+AQ152-AR152)</f>
        <v/>
      </c>
      <c r="AT152" s="22" t="str">
        <f>IF($B152="","",AO152-AS152)</f>
        <v/>
      </c>
      <c r="AU152" s="22" t="str">
        <f>IF($B152="","",IF($AC152=1,N($R152)-($G152-AR152),0))</f>
        <v/>
      </c>
      <c r="AV152" s="22" t="str">
        <f>IF($B152="","",($G152-$AH152)*$AA152)</f>
        <v/>
      </c>
      <c r="AW152" s="22" t="str">
        <f>IF($B152="","",IF($AJ152=0,0,($AH152-$AI152)*$AK152/$AJ152)*MAX($AA152,$AB152))</f>
        <v/>
      </c>
      <c r="AX152" s="22" t="str">
        <f>IF($B152="","",(AV152+AW152)*$AC152)</f>
        <v/>
      </c>
      <c r="AY152" s="22" t="str">
        <f>IF($B152="","",AV152+AW152-AX152)</f>
        <v/>
      </c>
      <c r="AZ152" s="22" t="str">
        <f>IF($B152="","",AO152-AY152)</f>
        <v/>
      </c>
      <c r="BA152" s="22" t="str">
        <f>IF($B152="","",IF($AC152=1,N($R152)-($G152-AX152),0))</f>
        <v/>
      </c>
      <c r="BB152" s="22" t="str">
        <f>IF($B152="","",ROUND(AQ152-AW152,0))</f>
        <v/>
      </c>
      <c r="BC152" s="22" t="str">
        <f>IF($B152="","",ROUND(BA152-AU152,0))</f>
        <v/>
      </c>
      <c r="BD152" s="22" t="str">
        <f>IF($B152="","",BB152+BC152)</f>
        <v/>
      </c>
      <c r="BE152" s="22" t="str">
        <f>IF($B152="","",ROUND(AV152-AP152,0))</f>
        <v/>
      </c>
      <c r="BF152" s="22" t="str">
        <f>IF($B152="","",ROUND(AT152-AZ152,0))</f>
        <v/>
      </c>
      <c r="BG152" s="22" t="str">
        <f>IF($B152="","",ROUND(BF152*TarifPPh,0))</f>
        <v/>
      </c>
      <c r="BH152" t="str">
        <f>IF($B152="","",IF($D152="","Kategori kosong",IF($F152="","Tgl perolehan kosong",IF(N($H152)&gt;$G152,"Residu &gt; harga perolehan",IF(AND(LEFT($U152,8)="Bangunan",$W152="Saldo Menurun"),"Bangunan wajib Garis Lurus (Ps.11 UU PPh)",IF(AND($S152="Unit Produksi",N($K152)=0),"Isi kapasitas unit",IF(AND(OR($S152="Garis Lurus",$S152="Saldo Menurun"),N($T152)&lt;=0),"Umur komersial kosong",IF(AND(OR($W152="Garis Lurus",$W152="Saldo Menurun"),N($V152)&lt;=0),"Masa manfaat fiskal kosong",IF(AND($Q152&lt;&gt;"",$Q152&lt;$F152),"Tgl pelepasan &lt; perolehan","OK")))))))))</f>
        <v/>
      </c>
    </row>
    <row r="153" spans="1:60" x14ac:dyDescent="0.25">
      <c r="A153" t="str">
        <f>IF($B153="","",ROW()-6)</f>
        <v/>
      </c>
      <c r="B153" s="9"/>
      <c r="C153" s="9"/>
      <c r="D153" s="9"/>
      <c r="E153" s="9"/>
      <c r="F153" s="17"/>
      <c r="G153" s="18"/>
      <c r="H153" s="18"/>
      <c r="I153" s="9"/>
      <c r="J153" s="9"/>
      <c r="K153" s="19"/>
      <c r="L153" s="19"/>
      <c r="M153" s="19"/>
      <c r="N153" s="9"/>
      <c r="O153" s="9"/>
      <c r="P153" s="9"/>
      <c r="Q153" s="17"/>
      <c r="R153" s="18"/>
      <c r="S153" t="str">
        <f>IF($B153="","",IF($I153&lt;&gt;"",$I153,IFERROR(INDEX(Kat_Metode,MATCH($D153,Kat_Nama,0)),"")))</f>
        <v/>
      </c>
      <c r="T153" t="str">
        <f>IF($B153="","",IF($J153&lt;&gt;"",$J153,IFERROR(INDEX(Kat_Umur,MATCH($D153,Kat_Nama,0)),0)))</f>
        <v/>
      </c>
      <c r="U153" t="str">
        <f>IF($B153="","",IF($N153&lt;&gt;"",$N153,IFERROR(INDEX(Kat_Kelompok,MATCH($D153,Kat_Nama,0)),"")))</f>
        <v/>
      </c>
      <c r="V153" t="str">
        <f>IF($B153="","",IF($U153="Masa Manfaat Sebenarnya",N($O153),IFERROR(INDEX(Kel_Masa,MATCH($U153,Kel_Nama,0)),0)))</f>
        <v/>
      </c>
      <c r="W153" t="str">
        <f>IF($B153="","",IF($P153&lt;&gt;"",$P153,IF(OR($U153="Tidak Disusutkan",$V153=0),"Tidak Disusutkan","Garis Lurus")))</f>
        <v/>
      </c>
      <c r="X153" t="str">
        <f>IF($B153="","",IF($Y153&gt;TahunBuku*12+12,"Belum Diperoleh",IF($Z153&lt;=TahunBuku*12,"Dilepas (thn lalu)",IF($AC153=1,"Dilepas thn ini",IF($AB153=1,"Perolehan baru","Aktif")))))</f>
        <v/>
      </c>
      <c r="Y153" s="20" t="str">
        <f>IF($B153="","",YEAR($F153)*12+MONTH($F153))</f>
        <v/>
      </c>
      <c r="Z153" s="20" t="str">
        <f>IF($B153="","",IF($Q153="",99999,YEAR($Q153)*12+MONTH($Q153)))</f>
        <v/>
      </c>
      <c r="AA153" s="20" t="str">
        <f>IF($B153="","",--AND($Y153&lt;=TahunBuku*12,$Z153&gt;TahunBuku*12))</f>
        <v/>
      </c>
      <c r="AB153" s="20" t="str">
        <f>IF($B153="","",--AND($Y153&gt;TahunBuku*12,$Y153&lt;=TahunBuku*12+12))</f>
        <v/>
      </c>
      <c r="AC153" s="20" t="str">
        <f>IF($B153="","",--AND($Z153&gt;TahunBuku*12,$Z153&lt;=TahunBuku*12+12,$Y153&lt;=$Z153))</f>
        <v/>
      </c>
      <c r="AD153" s="21" t="str">
        <f>IF($B153="","",IFERROR(IF($S153="Garis Lurus",$G153-($G153-$H153)*MIN($T153*12,MAX(0,TahunBuku*12-$Y153+1))/($T153*12),IF($S153="Saldo Menurun",IF(TahunBuku-1&lt;YEAR($F153),$G153,IF(TahunBuku-1&gt;=INT(($Y153+$T153*12-2)/12),$H153,MAX($H153,$G153*(1-2/$T153*(13-MONTH($F153))/12)*(1-2/$T153)^(TahunBuku-1-YEAR($F153))))),IF($S153="Unit Produksi",$G153-($G153-$H153)*MIN(1,N($L153)/$K153),$G153))),$G153))</f>
        <v/>
      </c>
      <c r="AE153" s="21" t="str">
        <f>IF($B153="","",IFERROR(IF($S153="Garis Lurus",$G153-($G153-$H153)*MIN($T153*12,MAX(0,TahunBuku*12+12-$Y153+1))/($T153*12),IF($S153="Saldo Menurun",IF(TahunBuku&lt;YEAR($F153),$G153,IF(TahunBuku&gt;=INT(($Y153+$T153*12-2)/12),$H153,MAX($H153,$G153*(1-2/$T153*(13-MONTH($F153))/12)*(1-2/$T153)^(TahunBuku-YEAR($F153))))),IF($S153="Unit Produksi",$G153-($G153-$H153)*MIN(1,(N($L153)+N($M153))/$K153),$G153))),$G153))</f>
        <v/>
      </c>
      <c r="AF153" s="20" t="str">
        <f>IF($B153="","",IF(OR($S153="Garis Lurus",$S153="Saldo Menurun",$S153="Unit Produksi"),MAX(0,IF($S153="Unit Produksi",TahunBuku*12+12,MIN(TahunBuku*12+12,$Y153+$T153*12-1))-MAX(TahunBuku*12+1,$Y153)+1),0))</f>
        <v/>
      </c>
      <c r="AG153" s="20" t="str">
        <f>IF($B153="","",IF(OR($S153="Garis Lurus",$S153="Saldo Menurun",$S153="Unit Produksi"),MAX(0,MIN($Z153,IF($S153="Unit Produksi",TahunBuku*12+12,MIN(TahunBuku*12+12,$Y153+$T153*12-1)))-MAX(TahunBuku*12+1,$Y153)+1),0))</f>
        <v/>
      </c>
      <c r="AH153" s="21" t="str">
        <f>IF($B153="","",IFERROR(IF($W153="Garis Lurus",$G153*(1-MIN($V153*12,MAX(0,TahunBuku*12-$Y153+1))/($V153*12)),IF($W153="Saldo Menurun",IF(TahunBuku-1&lt;YEAR($F153),$G153,IF(TahunBuku-1&gt;=INT(($Y153+$V153*12-2)/12),0,$G153*(1-2/$V153*(13-MONTH($F153))/12)*(1-2/$V153)^(TahunBuku-1-YEAR($F153)))),$G153)),$G153))</f>
        <v/>
      </c>
      <c r="AI153" s="21" t="str">
        <f>IF($B153="","",IFERROR(IF($W153="Garis Lurus",$G153*(1-MIN($V153*12,MAX(0,TahunBuku*12+12-$Y153+1))/($V153*12)),IF($W153="Saldo Menurun",IF(TahunBuku&lt;YEAR($F153),$G153,IF(TahunBuku&gt;=INT(($Y153+$V153*12-2)/12),0,$G153*(1-2/$V153*(13-MONTH($F153))/12)*(1-2/$V153)^(TahunBuku-YEAR($F153)))),$G153)),$G153))</f>
        <v/>
      </c>
      <c r="AJ153" s="20" t="str">
        <f>IF($B153="","",IF(OR($W153="Garis Lurus",$W153="Saldo Menurun"),MAX(0,MIN(TahunBuku*12+12,$Y153+$V153*12-1)-MAX(TahunBuku*12+1,$Y153)+1),0))</f>
        <v/>
      </c>
      <c r="AK153" s="20" t="str">
        <f>IF($B153="","",IF(OR($W153="Garis Lurus",$W153="Saldo Menurun"),MAX(0,MIN($Z153,TahunBuku*12+12,$Y153+$V153*12-1)-MAX(TahunBuku*12+1,$Y153)+1),0))</f>
        <v/>
      </c>
      <c r="AL153" s="22" t="str">
        <f>IF($B153="","",$G153*$AA153)</f>
        <v/>
      </c>
      <c r="AM153" s="22" t="str">
        <f>IF($B153="","",$G153*$AB153)</f>
        <v/>
      </c>
      <c r="AN153" s="22" t="str">
        <f>IF($B153="","",$G153*$AC153)</f>
        <v/>
      </c>
      <c r="AO153" s="22" t="str">
        <f>IF($B153="","",AL153+AM153-AN153)</f>
        <v/>
      </c>
      <c r="AP153" s="22" t="str">
        <f>IF($B153="","",($G153-$AD153)*$AA153)</f>
        <v/>
      </c>
      <c r="AQ153" s="22" t="str">
        <f>IF($B153="","",IF($AF153=0,0,($AD153-$AE153)*$AG153/$AF153)*MAX($AA153,$AB153))</f>
        <v/>
      </c>
      <c r="AR153" s="22" t="str">
        <f>IF($B153="","",(AP153+AQ153)*$AC153)</f>
        <v/>
      </c>
      <c r="AS153" s="22" t="str">
        <f>IF($B153="","",AP153+AQ153-AR153)</f>
        <v/>
      </c>
      <c r="AT153" s="22" t="str">
        <f>IF($B153="","",AO153-AS153)</f>
        <v/>
      </c>
      <c r="AU153" s="22" t="str">
        <f>IF($B153="","",IF($AC153=1,N($R153)-($G153-AR153),0))</f>
        <v/>
      </c>
      <c r="AV153" s="22" t="str">
        <f>IF($B153="","",($G153-$AH153)*$AA153)</f>
        <v/>
      </c>
      <c r="AW153" s="22" t="str">
        <f>IF($B153="","",IF($AJ153=0,0,($AH153-$AI153)*$AK153/$AJ153)*MAX($AA153,$AB153))</f>
        <v/>
      </c>
      <c r="AX153" s="22" t="str">
        <f>IF($B153="","",(AV153+AW153)*$AC153)</f>
        <v/>
      </c>
      <c r="AY153" s="22" t="str">
        <f>IF($B153="","",AV153+AW153-AX153)</f>
        <v/>
      </c>
      <c r="AZ153" s="22" t="str">
        <f>IF($B153="","",AO153-AY153)</f>
        <v/>
      </c>
      <c r="BA153" s="22" t="str">
        <f>IF($B153="","",IF($AC153=1,N($R153)-($G153-AX153),0))</f>
        <v/>
      </c>
      <c r="BB153" s="22" t="str">
        <f>IF($B153="","",ROUND(AQ153-AW153,0))</f>
        <v/>
      </c>
      <c r="BC153" s="22" t="str">
        <f>IF($B153="","",ROUND(BA153-AU153,0))</f>
        <v/>
      </c>
      <c r="BD153" s="22" t="str">
        <f>IF($B153="","",BB153+BC153)</f>
        <v/>
      </c>
      <c r="BE153" s="22" t="str">
        <f>IF($B153="","",ROUND(AV153-AP153,0))</f>
        <v/>
      </c>
      <c r="BF153" s="22" t="str">
        <f>IF($B153="","",ROUND(AT153-AZ153,0))</f>
        <v/>
      </c>
      <c r="BG153" s="22" t="str">
        <f>IF($B153="","",ROUND(BF153*TarifPPh,0))</f>
        <v/>
      </c>
      <c r="BH153" t="str">
        <f>IF($B153="","",IF($D153="","Kategori kosong",IF($F153="","Tgl perolehan kosong",IF(N($H153)&gt;$G153,"Residu &gt; harga perolehan",IF(AND(LEFT($U153,8)="Bangunan",$W153="Saldo Menurun"),"Bangunan wajib Garis Lurus (Ps.11 UU PPh)",IF(AND($S153="Unit Produksi",N($K153)=0),"Isi kapasitas unit",IF(AND(OR($S153="Garis Lurus",$S153="Saldo Menurun"),N($T153)&lt;=0),"Umur komersial kosong",IF(AND(OR($W153="Garis Lurus",$W153="Saldo Menurun"),N($V153)&lt;=0),"Masa manfaat fiskal kosong",IF(AND($Q153&lt;&gt;"",$Q153&lt;$F153),"Tgl pelepasan &lt; perolehan","OK")))))))))</f>
        <v/>
      </c>
    </row>
    <row r="154" spans="1:60" x14ac:dyDescent="0.25">
      <c r="A154" t="str">
        <f>IF($B154="","",ROW()-6)</f>
        <v/>
      </c>
      <c r="B154" s="9"/>
      <c r="C154" s="9"/>
      <c r="D154" s="9"/>
      <c r="E154" s="9"/>
      <c r="F154" s="17"/>
      <c r="G154" s="18"/>
      <c r="H154" s="18"/>
      <c r="I154" s="9"/>
      <c r="J154" s="9"/>
      <c r="K154" s="19"/>
      <c r="L154" s="19"/>
      <c r="M154" s="19"/>
      <c r="N154" s="9"/>
      <c r="O154" s="9"/>
      <c r="P154" s="9"/>
      <c r="Q154" s="17"/>
      <c r="R154" s="18"/>
      <c r="S154" t="str">
        <f>IF($B154="","",IF($I154&lt;&gt;"",$I154,IFERROR(INDEX(Kat_Metode,MATCH($D154,Kat_Nama,0)),"")))</f>
        <v/>
      </c>
      <c r="T154" t="str">
        <f>IF($B154="","",IF($J154&lt;&gt;"",$J154,IFERROR(INDEX(Kat_Umur,MATCH($D154,Kat_Nama,0)),0)))</f>
        <v/>
      </c>
      <c r="U154" t="str">
        <f>IF($B154="","",IF($N154&lt;&gt;"",$N154,IFERROR(INDEX(Kat_Kelompok,MATCH($D154,Kat_Nama,0)),"")))</f>
        <v/>
      </c>
      <c r="V154" t="str">
        <f>IF($B154="","",IF($U154="Masa Manfaat Sebenarnya",N($O154),IFERROR(INDEX(Kel_Masa,MATCH($U154,Kel_Nama,0)),0)))</f>
        <v/>
      </c>
      <c r="W154" t="str">
        <f>IF($B154="","",IF($P154&lt;&gt;"",$P154,IF(OR($U154="Tidak Disusutkan",$V154=0),"Tidak Disusutkan","Garis Lurus")))</f>
        <v/>
      </c>
      <c r="X154" t="str">
        <f>IF($B154="","",IF($Y154&gt;TahunBuku*12+12,"Belum Diperoleh",IF($Z154&lt;=TahunBuku*12,"Dilepas (thn lalu)",IF($AC154=1,"Dilepas thn ini",IF($AB154=1,"Perolehan baru","Aktif")))))</f>
        <v/>
      </c>
      <c r="Y154" s="20" t="str">
        <f>IF($B154="","",YEAR($F154)*12+MONTH($F154))</f>
        <v/>
      </c>
      <c r="Z154" s="20" t="str">
        <f>IF($B154="","",IF($Q154="",99999,YEAR($Q154)*12+MONTH($Q154)))</f>
        <v/>
      </c>
      <c r="AA154" s="20" t="str">
        <f>IF($B154="","",--AND($Y154&lt;=TahunBuku*12,$Z154&gt;TahunBuku*12))</f>
        <v/>
      </c>
      <c r="AB154" s="20" t="str">
        <f>IF($B154="","",--AND($Y154&gt;TahunBuku*12,$Y154&lt;=TahunBuku*12+12))</f>
        <v/>
      </c>
      <c r="AC154" s="20" t="str">
        <f>IF($B154="","",--AND($Z154&gt;TahunBuku*12,$Z154&lt;=TahunBuku*12+12,$Y154&lt;=$Z154))</f>
        <v/>
      </c>
      <c r="AD154" s="21" t="str">
        <f>IF($B154="","",IFERROR(IF($S154="Garis Lurus",$G154-($G154-$H154)*MIN($T154*12,MAX(0,TahunBuku*12-$Y154+1))/($T154*12),IF($S154="Saldo Menurun",IF(TahunBuku-1&lt;YEAR($F154),$G154,IF(TahunBuku-1&gt;=INT(($Y154+$T154*12-2)/12),$H154,MAX($H154,$G154*(1-2/$T154*(13-MONTH($F154))/12)*(1-2/$T154)^(TahunBuku-1-YEAR($F154))))),IF($S154="Unit Produksi",$G154-($G154-$H154)*MIN(1,N($L154)/$K154),$G154))),$G154))</f>
        <v/>
      </c>
      <c r="AE154" s="21" t="str">
        <f>IF($B154="","",IFERROR(IF($S154="Garis Lurus",$G154-($G154-$H154)*MIN($T154*12,MAX(0,TahunBuku*12+12-$Y154+1))/($T154*12),IF($S154="Saldo Menurun",IF(TahunBuku&lt;YEAR($F154),$G154,IF(TahunBuku&gt;=INT(($Y154+$T154*12-2)/12),$H154,MAX($H154,$G154*(1-2/$T154*(13-MONTH($F154))/12)*(1-2/$T154)^(TahunBuku-YEAR($F154))))),IF($S154="Unit Produksi",$G154-($G154-$H154)*MIN(1,(N($L154)+N($M154))/$K154),$G154))),$G154))</f>
        <v/>
      </c>
      <c r="AF154" s="20" t="str">
        <f>IF($B154="","",IF(OR($S154="Garis Lurus",$S154="Saldo Menurun",$S154="Unit Produksi"),MAX(0,IF($S154="Unit Produksi",TahunBuku*12+12,MIN(TahunBuku*12+12,$Y154+$T154*12-1))-MAX(TahunBuku*12+1,$Y154)+1),0))</f>
        <v/>
      </c>
      <c r="AG154" s="20" t="str">
        <f>IF($B154="","",IF(OR($S154="Garis Lurus",$S154="Saldo Menurun",$S154="Unit Produksi"),MAX(0,MIN($Z154,IF($S154="Unit Produksi",TahunBuku*12+12,MIN(TahunBuku*12+12,$Y154+$T154*12-1)))-MAX(TahunBuku*12+1,$Y154)+1),0))</f>
        <v/>
      </c>
      <c r="AH154" s="21" t="str">
        <f>IF($B154="","",IFERROR(IF($W154="Garis Lurus",$G154*(1-MIN($V154*12,MAX(0,TahunBuku*12-$Y154+1))/($V154*12)),IF($W154="Saldo Menurun",IF(TahunBuku-1&lt;YEAR($F154),$G154,IF(TahunBuku-1&gt;=INT(($Y154+$V154*12-2)/12),0,$G154*(1-2/$V154*(13-MONTH($F154))/12)*(1-2/$V154)^(TahunBuku-1-YEAR($F154)))),$G154)),$G154))</f>
        <v/>
      </c>
      <c r="AI154" s="21" t="str">
        <f>IF($B154="","",IFERROR(IF($W154="Garis Lurus",$G154*(1-MIN($V154*12,MAX(0,TahunBuku*12+12-$Y154+1))/($V154*12)),IF($W154="Saldo Menurun",IF(TahunBuku&lt;YEAR($F154),$G154,IF(TahunBuku&gt;=INT(($Y154+$V154*12-2)/12),0,$G154*(1-2/$V154*(13-MONTH($F154))/12)*(1-2/$V154)^(TahunBuku-YEAR($F154)))),$G154)),$G154))</f>
        <v/>
      </c>
      <c r="AJ154" s="20" t="str">
        <f>IF($B154="","",IF(OR($W154="Garis Lurus",$W154="Saldo Menurun"),MAX(0,MIN(TahunBuku*12+12,$Y154+$V154*12-1)-MAX(TahunBuku*12+1,$Y154)+1),0))</f>
        <v/>
      </c>
      <c r="AK154" s="20" t="str">
        <f>IF($B154="","",IF(OR($W154="Garis Lurus",$W154="Saldo Menurun"),MAX(0,MIN($Z154,TahunBuku*12+12,$Y154+$V154*12-1)-MAX(TahunBuku*12+1,$Y154)+1),0))</f>
        <v/>
      </c>
      <c r="AL154" s="22" t="str">
        <f>IF($B154="","",$G154*$AA154)</f>
        <v/>
      </c>
      <c r="AM154" s="22" t="str">
        <f>IF($B154="","",$G154*$AB154)</f>
        <v/>
      </c>
      <c r="AN154" s="22" t="str">
        <f>IF($B154="","",$G154*$AC154)</f>
        <v/>
      </c>
      <c r="AO154" s="22" t="str">
        <f>IF($B154="","",AL154+AM154-AN154)</f>
        <v/>
      </c>
      <c r="AP154" s="22" t="str">
        <f>IF($B154="","",($G154-$AD154)*$AA154)</f>
        <v/>
      </c>
      <c r="AQ154" s="22" t="str">
        <f>IF($B154="","",IF($AF154=0,0,($AD154-$AE154)*$AG154/$AF154)*MAX($AA154,$AB154))</f>
        <v/>
      </c>
      <c r="AR154" s="22" t="str">
        <f>IF($B154="","",(AP154+AQ154)*$AC154)</f>
        <v/>
      </c>
      <c r="AS154" s="22" t="str">
        <f>IF($B154="","",AP154+AQ154-AR154)</f>
        <v/>
      </c>
      <c r="AT154" s="22" t="str">
        <f>IF($B154="","",AO154-AS154)</f>
        <v/>
      </c>
      <c r="AU154" s="22" t="str">
        <f>IF($B154="","",IF($AC154=1,N($R154)-($G154-AR154),0))</f>
        <v/>
      </c>
      <c r="AV154" s="22" t="str">
        <f>IF($B154="","",($G154-$AH154)*$AA154)</f>
        <v/>
      </c>
      <c r="AW154" s="22" t="str">
        <f>IF($B154="","",IF($AJ154=0,0,($AH154-$AI154)*$AK154/$AJ154)*MAX($AA154,$AB154))</f>
        <v/>
      </c>
      <c r="AX154" s="22" t="str">
        <f>IF($B154="","",(AV154+AW154)*$AC154)</f>
        <v/>
      </c>
      <c r="AY154" s="22" t="str">
        <f>IF($B154="","",AV154+AW154-AX154)</f>
        <v/>
      </c>
      <c r="AZ154" s="22" t="str">
        <f>IF($B154="","",AO154-AY154)</f>
        <v/>
      </c>
      <c r="BA154" s="22" t="str">
        <f>IF($B154="","",IF($AC154=1,N($R154)-($G154-AX154),0))</f>
        <v/>
      </c>
      <c r="BB154" s="22" t="str">
        <f>IF($B154="","",ROUND(AQ154-AW154,0))</f>
        <v/>
      </c>
      <c r="BC154" s="22" t="str">
        <f>IF($B154="","",ROUND(BA154-AU154,0))</f>
        <v/>
      </c>
      <c r="BD154" s="22" t="str">
        <f>IF($B154="","",BB154+BC154)</f>
        <v/>
      </c>
      <c r="BE154" s="22" t="str">
        <f>IF($B154="","",ROUND(AV154-AP154,0))</f>
        <v/>
      </c>
      <c r="BF154" s="22" t="str">
        <f>IF($B154="","",ROUND(AT154-AZ154,0))</f>
        <v/>
      </c>
      <c r="BG154" s="22" t="str">
        <f>IF($B154="","",ROUND(BF154*TarifPPh,0))</f>
        <v/>
      </c>
      <c r="BH154" t="str">
        <f>IF($B154="","",IF($D154="","Kategori kosong",IF($F154="","Tgl perolehan kosong",IF(N($H154)&gt;$G154,"Residu &gt; harga perolehan",IF(AND(LEFT($U154,8)="Bangunan",$W154="Saldo Menurun"),"Bangunan wajib Garis Lurus (Ps.11 UU PPh)",IF(AND($S154="Unit Produksi",N($K154)=0),"Isi kapasitas unit",IF(AND(OR($S154="Garis Lurus",$S154="Saldo Menurun"),N($T154)&lt;=0),"Umur komersial kosong",IF(AND(OR($W154="Garis Lurus",$W154="Saldo Menurun"),N($V154)&lt;=0),"Masa manfaat fiskal kosong",IF(AND($Q154&lt;&gt;"",$Q154&lt;$F154),"Tgl pelepasan &lt; perolehan","OK")))))))))</f>
        <v/>
      </c>
    </row>
    <row r="155" spans="1:60" x14ac:dyDescent="0.25">
      <c r="A155" t="str">
        <f>IF($B155="","",ROW()-6)</f>
        <v/>
      </c>
      <c r="B155" s="9"/>
      <c r="C155" s="9"/>
      <c r="D155" s="9"/>
      <c r="E155" s="9"/>
      <c r="F155" s="17"/>
      <c r="G155" s="18"/>
      <c r="H155" s="18"/>
      <c r="I155" s="9"/>
      <c r="J155" s="9"/>
      <c r="K155" s="19"/>
      <c r="L155" s="19"/>
      <c r="M155" s="19"/>
      <c r="N155" s="9"/>
      <c r="O155" s="9"/>
      <c r="P155" s="9"/>
      <c r="Q155" s="17"/>
      <c r="R155" s="18"/>
      <c r="S155" t="str">
        <f>IF($B155="","",IF($I155&lt;&gt;"",$I155,IFERROR(INDEX(Kat_Metode,MATCH($D155,Kat_Nama,0)),"")))</f>
        <v/>
      </c>
      <c r="T155" t="str">
        <f>IF($B155="","",IF($J155&lt;&gt;"",$J155,IFERROR(INDEX(Kat_Umur,MATCH($D155,Kat_Nama,0)),0)))</f>
        <v/>
      </c>
      <c r="U155" t="str">
        <f>IF($B155="","",IF($N155&lt;&gt;"",$N155,IFERROR(INDEX(Kat_Kelompok,MATCH($D155,Kat_Nama,0)),"")))</f>
        <v/>
      </c>
      <c r="V155" t="str">
        <f>IF($B155="","",IF($U155="Masa Manfaat Sebenarnya",N($O155),IFERROR(INDEX(Kel_Masa,MATCH($U155,Kel_Nama,0)),0)))</f>
        <v/>
      </c>
      <c r="W155" t="str">
        <f>IF($B155="","",IF($P155&lt;&gt;"",$P155,IF(OR($U155="Tidak Disusutkan",$V155=0),"Tidak Disusutkan","Garis Lurus")))</f>
        <v/>
      </c>
      <c r="X155" t="str">
        <f>IF($B155="","",IF($Y155&gt;TahunBuku*12+12,"Belum Diperoleh",IF($Z155&lt;=TahunBuku*12,"Dilepas (thn lalu)",IF($AC155=1,"Dilepas thn ini",IF($AB155=1,"Perolehan baru","Aktif")))))</f>
        <v/>
      </c>
      <c r="Y155" s="20" t="str">
        <f>IF($B155="","",YEAR($F155)*12+MONTH($F155))</f>
        <v/>
      </c>
      <c r="Z155" s="20" t="str">
        <f>IF($B155="","",IF($Q155="",99999,YEAR($Q155)*12+MONTH($Q155)))</f>
        <v/>
      </c>
      <c r="AA155" s="20" t="str">
        <f>IF($B155="","",--AND($Y155&lt;=TahunBuku*12,$Z155&gt;TahunBuku*12))</f>
        <v/>
      </c>
      <c r="AB155" s="20" t="str">
        <f>IF($B155="","",--AND($Y155&gt;TahunBuku*12,$Y155&lt;=TahunBuku*12+12))</f>
        <v/>
      </c>
      <c r="AC155" s="20" t="str">
        <f>IF($B155="","",--AND($Z155&gt;TahunBuku*12,$Z155&lt;=TahunBuku*12+12,$Y155&lt;=$Z155))</f>
        <v/>
      </c>
      <c r="AD155" s="21" t="str">
        <f>IF($B155="","",IFERROR(IF($S155="Garis Lurus",$G155-($G155-$H155)*MIN($T155*12,MAX(0,TahunBuku*12-$Y155+1))/($T155*12),IF($S155="Saldo Menurun",IF(TahunBuku-1&lt;YEAR($F155),$G155,IF(TahunBuku-1&gt;=INT(($Y155+$T155*12-2)/12),$H155,MAX($H155,$G155*(1-2/$T155*(13-MONTH($F155))/12)*(1-2/$T155)^(TahunBuku-1-YEAR($F155))))),IF($S155="Unit Produksi",$G155-($G155-$H155)*MIN(1,N($L155)/$K155),$G155))),$G155))</f>
        <v/>
      </c>
      <c r="AE155" s="21" t="str">
        <f>IF($B155="","",IFERROR(IF($S155="Garis Lurus",$G155-($G155-$H155)*MIN($T155*12,MAX(0,TahunBuku*12+12-$Y155+1))/($T155*12),IF($S155="Saldo Menurun",IF(TahunBuku&lt;YEAR($F155),$G155,IF(TahunBuku&gt;=INT(($Y155+$T155*12-2)/12),$H155,MAX($H155,$G155*(1-2/$T155*(13-MONTH($F155))/12)*(1-2/$T155)^(TahunBuku-YEAR($F155))))),IF($S155="Unit Produksi",$G155-($G155-$H155)*MIN(1,(N($L155)+N($M155))/$K155),$G155))),$G155))</f>
        <v/>
      </c>
      <c r="AF155" s="20" t="str">
        <f>IF($B155="","",IF(OR($S155="Garis Lurus",$S155="Saldo Menurun",$S155="Unit Produksi"),MAX(0,IF($S155="Unit Produksi",TahunBuku*12+12,MIN(TahunBuku*12+12,$Y155+$T155*12-1))-MAX(TahunBuku*12+1,$Y155)+1),0))</f>
        <v/>
      </c>
      <c r="AG155" s="20" t="str">
        <f>IF($B155="","",IF(OR($S155="Garis Lurus",$S155="Saldo Menurun",$S155="Unit Produksi"),MAX(0,MIN($Z155,IF($S155="Unit Produksi",TahunBuku*12+12,MIN(TahunBuku*12+12,$Y155+$T155*12-1)))-MAX(TahunBuku*12+1,$Y155)+1),0))</f>
        <v/>
      </c>
      <c r="AH155" s="21" t="str">
        <f>IF($B155="","",IFERROR(IF($W155="Garis Lurus",$G155*(1-MIN($V155*12,MAX(0,TahunBuku*12-$Y155+1))/($V155*12)),IF($W155="Saldo Menurun",IF(TahunBuku-1&lt;YEAR($F155),$G155,IF(TahunBuku-1&gt;=INT(($Y155+$V155*12-2)/12),0,$G155*(1-2/$V155*(13-MONTH($F155))/12)*(1-2/$V155)^(TahunBuku-1-YEAR($F155)))),$G155)),$G155))</f>
        <v/>
      </c>
      <c r="AI155" s="21" t="str">
        <f>IF($B155="","",IFERROR(IF($W155="Garis Lurus",$G155*(1-MIN($V155*12,MAX(0,TahunBuku*12+12-$Y155+1))/($V155*12)),IF($W155="Saldo Menurun",IF(TahunBuku&lt;YEAR($F155),$G155,IF(TahunBuku&gt;=INT(($Y155+$V155*12-2)/12),0,$G155*(1-2/$V155*(13-MONTH($F155))/12)*(1-2/$V155)^(TahunBuku-YEAR($F155)))),$G155)),$G155))</f>
        <v/>
      </c>
      <c r="AJ155" s="20" t="str">
        <f>IF($B155="","",IF(OR($W155="Garis Lurus",$W155="Saldo Menurun"),MAX(0,MIN(TahunBuku*12+12,$Y155+$V155*12-1)-MAX(TahunBuku*12+1,$Y155)+1),0))</f>
        <v/>
      </c>
      <c r="AK155" s="20" t="str">
        <f>IF($B155="","",IF(OR($W155="Garis Lurus",$W155="Saldo Menurun"),MAX(0,MIN($Z155,TahunBuku*12+12,$Y155+$V155*12-1)-MAX(TahunBuku*12+1,$Y155)+1),0))</f>
        <v/>
      </c>
      <c r="AL155" s="22" t="str">
        <f>IF($B155="","",$G155*$AA155)</f>
        <v/>
      </c>
      <c r="AM155" s="22" t="str">
        <f>IF($B155="","",$G155*$AB155)</f>
        <v/>
      </c>
      <c r="AN155" s="22" t="str">
        <f>IF($B155="","",$G155*$AC155)</f>
        <v/>
      </c>
      <c r="AO155" s="22" t="str">
        <f>IF($B155="","",AL155+AM155-AN155)</f>
        <v/>
      </c>
      <c r="AP155" s="22" t="str">
        <f>IF($B155="","",($G155-$AD155)*$AA155)</f>
        <v/>
      </c>
      <c r="AQ155" s="22" t="str">
        <f>IF($B155="","",IF($AF155=0,0,($AD155-$AE155)*$AG155/$AF155)*MAX($AA155,$AB155))</f>
        <v/>
      </c>
      <c r="AR155" s="22" t="str">
        <f>IF($B155="","",(AP155+AQ155)*$AC155)</f>
        <v/>
      </c>
      <c r="AS155" s="22" t="str">
        <f>IF($B155="","",AP155+AQ155-AR155)</f>
        <v/>
      </c>
      <c r="AT155" s="22" t="str">
        <f>IF($B155="","",AO155-AS155)</f>
        <v/>
      </c>
      <c r="AU155" s="22" t="str">
        <f>IF($B155="","",IF($AC155=1,N($R155)-($G155-AR155),0))</f>
        <v/>
      </c>
      <c r="AV155" s="22" t="str">
        <f>IF($B155="","",($G155-$AH155)*$AA155)</f>
        <v/>
      </c>
      <c r="AW155" s="22" t="str">
        <f>IF($B155="","",IF($AJ155=0,0,($AH155-$AI155)*$AK155/$AJ155)*MAX($AA155,$AB155))</f>
        <v/>
      </c>
      <c r="AX155" s="22" t="str">
        <f>IF($B155="","",(AV155+AW155)*$AC155)</f>
        <v/>
      </c>
      <c r="AY155" s="22" t="str">
        <f>IF($B155="","",AV155+AW155-AX155)</f>
        <v/>
      </c>
      <c r="AZ155" s="22" t="str">
        <f>IF($B155="","",AO155-AY155)</f>
        <v/>
      </c>
      <c r="BA155" s="22" t="str">
        <f>IF($B155="","",IF($AC155=1,N($R155)-($G155-AX155),0))</f>
        <v/>
      </c>
      <c r="BB155" s="22" t="str">
        <f>IF($B155="","",ROUND(AQ155-AW155,0))</f>
        <v/>
      </c>
      <c r="BC155" s="22" t="str">
        <f>IF($B155="","",ROUND(BA155-AU155,0))</f>
        <v/>
      </c>
      <c r="BD155" s="22" t="str">
        <f>IF($B155="","",BB155+BC155)</f>
        <v/>
      </c>
      <c r="BE155" s="22" t="str">
        <f>IF($B155="","",ROUND(AV155-AP155,0))</f>
        <v/>
      </c>
      <c r="BF155" s="22" t="str">
        <f>IF($B155="","",ROUND(AT155-AZ155,0))</f>
        <v/>
      </c>
      <c r="BG155" s="22" t="str">
        <f>IF($B155="","",ROUND(BF155*TarifPPh,0))</f>
        <v/>
      </c>
      <c r="BH155" t="str">
        <f>IF($B155="","",IF($D155="","Kategori kosong",IF($F155="","Tgl perolehan kosong",IF(N($H155)&gt;$G155,"Residu &gt; harga perolehan",IF(AND(LEFT($U155,8)="Bangunan",$W155="Saldo Menurun"),"Bangunan wajib Garis Lurus (Ps.11 UU PPh)",IF(AND($S155="Unit Produksi",N($K155)=0),"Isi kapasitas unit",IF(AND(OR($S155="Garis Lurus",$S155="Saldo Menurun"),N($T155)&lt;=0),"Umur komersial kosong",IF(AND(OR($W155="Garis Lurus",$W155="Saldo Menurun"),N($V155)&lt;=0),"Masa manfaat fiskal kosong",IF(AND($Q155&lt;&gt;"",$Q155&lt;$F155),"Tgl pelepasan &lt; perolehan","OK")))))))))</f>
        <v/>
      </c>
    </row>
    <row r="156" spans="1:60" x14ac:dyDescent="0.25">
      <c r="A156" t="str">
        <f>IF($B156="","",ROW()-6)</f>
        <v/>
      </c>
      <c r="B156" s="9"/>
      <c r="C156" s="9"/>
      <c r="D156" s="9"/>
      <c r="E156" s="9"/>
      <c r="F156" s="17"/>
      <c r="G156" s="18"/>
      <c r="H156" s="18"/>
      <c r="I156" s="9"/>
      <c r="J156" s="9"/>
      <c r="K156" s="19"/>
      <c r="L156" s="19"/>
      <c r="M156" s="19"/>
      <c r="N156" s="9"/>
      <c r="O156" s="9"/>
      <c r="P156" s="9"/>
      <c r="Q156" s="17"/>
      <c r="R156" s="18"/>
      <c r="S156" t="str">
        <f>IF($B156="","",IF($I156&lt;&gt;"",$I156,IFERROR(INDEX(Kat_Metode,MATCH($D156,Kat_Nama,0)),"")))</f>
        <v/>
      </c>
      <c r="T156" t="str">
        <f>IF($B156="","",IF($J156&lt;&gt;"",$J156,IFERROR(INDEX(Kat_Umur,MATCH($D156,Kat_Nama,0)),0)))</f>
        <v/>
      </c>
      <c r="U156" t="str">
        <f>IF($B156="","",IF($N156&lt;&gt;"",$N156,IFERROR(INDEX(Kat_Kelompok,MATCH($D156,Kat_Nama,0)),"")))</f>
        <v/>
      </c>
      <c r="V156" t="str">
        <f>IF($B156="","",IF($U156="Masa Manfaat Sebenarnya",N($O156),IFERROR(INDEX(Kel_Masa,MATCH($U156,Kel_Nama,0)),0)))</f>
        <v/>
      </c>
      <c r="W156" t="str">
        <f>IF($B156="","",IF($P156&lt;&gt;"",$P156,IF(OR($U156="Tidak Disusutkan",$V156=0),"Tidak Disusutkan","Garis Lurus")))</f>
        <v/>
      </c>
      <c r="X156" t="str">
        <f>IF($B156="","",IF($Y156&gt;TahunBuku*12+12,"Belum Diperoleh",IF($Z156&lt;=TahunBuku*12,"Dilepas (thn lalu)",IF($AC156=1,"Dilepas thn ini",IF($AB156=1,"Perolehan baru","Aktif")))))</f>
        <v/>
      </c>
      <c r="Y156" s="20" t="str">
        <f>IF($B156="","",YEAR($F156)*12+MONTH($F156))</f>
        <v/>
      </c>
      <c r="Z156" s="20" t="str">
        <f>IF($B156="","",IF($Q156="",99999,YEAR($Q156)*12+MONTH($Q156)))</f>
        <v/>
      </c>
      <c r="AA156" s="20" t="str">
        <f>IF($B156="","",--AND($Y156&lt;=TahunBuku*12,$Z156&gt;TahunBuku*12))</f>
        <v/>
      </c>
      <c r="AB156" s="20" t="str">
        <f>IF($B156="","",--AND($Y156&gt;TahunBuku*12,$Y156&lt;=TahunBuku*12+12))</f>
        <v/>
      </c>
      <c r="AC156" s="20" t="str">
        <f>IF($B156="","",--AND($Z156&gt;TahunBuku*12,$Z156&lt;=TahunBuku*12+12,$Y156&lt;=$Z156))</f>
        <v/>
      </c>
      <c r="AD156" s="21" t="str">
        <f>IF($B156="","",IFERROR(IF($S156="Garis Lurus",$G156-($G156-$H156)*MIN($T156*12,MAX(0,TahunBuku*12-$Y156+1))/($T156*12),IF($S156="Saldo Menurun",IF(TahunBuku-1&lt;YEAR($F156),$G156,IF(TahunBuku-1&gt;=INT(($Y156+$T156*12-2)/12),$H156,MAX($H156,$G156*(1-2/$T156*(13-MONTH($F156))/12)*(1-2/$T156)^(TahunBuku-1-YEAR($F156))))),IF($S156="Unit Produksi",$G156-($G156-$H156)*MIN(1,N($L156)/$K156),$G156))),$G156))</f>
        <v/>
      </c>
      <c r="AE156" s="21" t="str">
        <f>IF($B156="","",IFERROR(IF($S156="Garis Lurus",$G156-($G156-$H156)*MIN($T156*12,MAX(0,TahunBuku*12+12-$Y156+1))/($T156*12),IF($S156="Saldo Menurun",IF(TahunBuku&lt;YEAR($F156),$G156,IF(TahunBuku&gt;=INT(($Y156+$T156*12-2)/12),$H156,MAX($H156,$G156*(1-2/$T156*(13-MONTH($F156))/12)*(1-2/$T156)^(TahunBuku-YEAR($F156))))),IF($S156="Unit Produksi",$G156-($G156-$H156)*MIN(1,(N($L156)+N($M156))/$K156),$G156))),$G156))</f>
        <v/>
      </c>
      <c r="AF156" s="20" t="str">
        <f>IF($B156="","",IF(OR($S156="Garis Lurus",$S156="Saldo Menurun",$S156="Unit Produksi"),MAX(0,IF($S156="Unit Produksi",TahunBuku*12+12,MIN(TahunBuku*12+12,$Y156+$T156*12-1))-MAX(TahunBuku*12+1,$Y156)+1),0))</f>
        <v/>
      </c>
      <c r="AG156" s="20" t="str">
        <f>IF($B156="","",IF(OR($S156="Garis Lurus",$S156="Saldo Menurun",$S156="Unit Produksi"),MAX(0,MIN($Z156,IF($S156="Unit Produksi",TahunBuku*12+12,MIN(TahunBuku*12+12,$Y156+$T156*12-1)))-MAX(TahunBuku*12+1,$Y156)+1),0))</f>
        <v/>
      </c>
      <c r="AH156" s="21" t="str">
        <f>IF($B156="","",IFERROR(IF($W156="Garis Lurus",$G156*(1-MIN($V156*12,MAX(0,TahunBuku*12-$Y156+1))/($V156*12)),IF($W156="Saldo Menurun",IF(TahunBuku-1&lt;YEAR($F156),$G156,IF(TahunBuku-1&gt;=INT(($Y156+$V156*12-2)/12),0,$G156*(1-2/$V156*(13-MONTH($F156))/12)*(1-2/$V156)^(TahunBuku-1-YEAR($F156)))),$G156)),$G156))</f>
        <v/>
      </c>
      <c r="AI156" s="21" t="str">
        <f>IF($B156="","",IFERROR(IF($W156="Garis Lurus",$G156*(1-MIN($V156*12,MAX(0,TahunBuku*12+12-$Y156+1))/($V156*12)),IF($W156="Saldo Menurun",IF(TahunBuku&lt;YEAR($F156),$G156,IF(TahunBuku&gt;=INT(($Y156+$V156*12-2)/12),0,$G156*(1-2/$V156*(13-MONTH($F156))/12)*(1-2/$V156)^(TahunBuku-YEAR($F156)))),$G156)),$G156))</f>
        <v/>
      </c>
      <c r="AJ156" s="20" t="str">
        <f>IF($B156="","",IF(OR($W156="Garis Lurus",$W156="Saldo Menurun"),MAX(0,MIN(TahunBuku*12+12,$Y156+$V156*12-1)-MAX(TahunBuku*12+1,$Y156)+1),0))</f>
        <v/>
      </c>
      <c r="AK156" s="20" t="str">
        <f>IF($B156="","",IF(OR($W156="Garis Lurus",$W156="Saldo Menurun"),MAX(0,MIN($Z156,TahunBuku*12+12,$Y156+$V156*12-1)-MAX(TahunBuku*12+1,$Y156)+1),0))</f>
        <v/>
      </c>
      <c r="AL156" s="22" t="str">
        <f>IF($B156="","",$G156*$AA156)</f>
        <v/>
      </c>
      <c r="AM156" s="22" t="str">
        <f>IF($B156="","",$G156*$AB156)</f>
        <v/>
      </c>
      <c r="AN156" s="22" t="str">
        <f>IF($B156="","",$G156*$AC156)</f>
        <v/>
      </c>
      <c r="AO156" s="22" t="str">
        <f>IF($B156="","",AL156+AM156-AN156)</f>
        <v/>
      </c>
      <c r="AP156" s="22" t="str">
        <f>IF($B156="","",($G156-$AD156)*$AA156)</f>
        <v/>
      </c>
      <c r="AQ156" s="22" t="str">
        <f>IF($B156="","",IF($AF156=0,0,($AD156-$AE156)*$AG156/$AF156)*MAX($AA156,$AB156))</f>
        <v/>
      </c>
      <c r="AR156" s="22" t="str">
        <f>IF($B156="","",(AP156+AQ156)*$AC156)</f>
        <v/>
      </c>
      <c r="AS156" s="22" t="str">
        <f>IF($B156="","",AP156+AQ156-AR156)</f>
        <v/>
      </c>
      <c r="AT156" s="22" t="str">
        <f>IF($B156="","",AO156-AS156)</f>
        <v/>
      </c>
      <c r="AU156" s="22" t="str">
        <f>IF($B156="","",IF($AC156=1,N($R156)-($G156-AR156),0))</f>
        <v/>
      </c>
      <c r="AV156" s="22" t="str">
        <f>IF($B156="","",($G156-$AH156)*$AA156)</f>
        <v/>
      </c>
      <c r="AW156" s="22" t="str">
        <f>IF($B156="","",IF($AJ156=0,0,($AH156-$AI156)*$AK156/$AJ156)*MAX($AA156,$AB156))</f>
        <v/>
      </c>
      <c r="AX156" s="22" t="str">
        <f>IF($B156="","",(AV156+AW156)*$AC156)</f>
        <v/>
      </c>
      <c r="AY156" s="22" t="str">
        <f>IF($B156="","",AV156+AW156-AX156)</f>
        <v/>
      </c>
      <c r="AZ156" s="22" t="str">
        <f>IF($B156="","",AO156-AY156)</f>
        <v/>
      </c>
      <c r="BA156" s="22" t="str">
        <f>IF($B156="","",IF($AC156=1,N($R156)-($G156-AX156),0))</f>
        <v/>
      </c>
      <c r="BB156" s="22" t="str">
        <f>IF($B156="","",ROUND(AQ156-AW156,0))</f>
        <v/>
      </c>
      <c r="BC156" s="22" t="str">
        <f>IF($B156="","",ROUND(BA156-AU156,0))</f>
        <v/>
      </c>
      <c r="BD156" s="22" t="str">
        <f>IF($B156="","",BB156+BC156)</f>
        <v/>
      </c>
      <c r="BE156" s="22" t="str">
        <f>IF($B156="","",ROUND(AV156-AP156,0))</f>
        <v/>
      </c>
      <c r="BF156" s="22" t="str">
        <f>IF($B156="","",ROUND(AT156-AZ156,0))</f>
        <v/>
      </c>
      <c r="BG156" s="22" t="str">
        <f>IF($B156="","",ROUND(BF156*TarifPPh,0))</f>
        <v/>
      </c>
      <c r="BH156" t="str">
        <f>IF($B156="","",IF($D156="","Kategori kosong",IF($F156="","Tgl perolehan kosong",IF(N($H156)&gt;$G156,"Residu &gt; harga perolehan",IF(AND(LEFT($U156,8)="Bangunan",$W156="Saldo Menurun"),"Bangunan wajib Garis Lurus (Ps.11 UU PPh)",IF(AND($S156="Unit Produksi",N($K156)=0),"Isi kapasitas unit",IF(AND(OR($S156="Garis Lurus",$S156="Saldo Menurun"),N($T156)&lt;=0),"Umur komersial kosong",IF(AND(OR($W156="Garis Lurus",$W156="Saldo Menurun"),N($V156)&lt;=0),"Masa manfaat fiskal kosong",IF(AND($Q156&lt;&gt;"",$Q156&lt;$F156),"Tgl pelepasan &lt; perolehan","OK")))))))))</f>
        <v/>
      </c>
    </row>
    <row r="157" spans="1:60" x14ac:dyDescent="0.25">
      <c r="A157" t="str">
        <f>IF($B157="","",ROW()-6)</f>
        <v/>
      </c>
      <c r="B157" s="9"/>
      <c r="C157" s="9"/>
      <c r="D157" s="9"/>
      <c r="E157" s="9"/>
      <c r="F157" s="17"/>
      <c r="G157" s="18"/>
      <c r="H157" s="18"/>
      <c r="I157" s="9"/>
      <c r="J157" s="9"/>
      <c r="K157" s="19"/>
      <c r="L157" s="19"/>
      <c r="M157" s="19"/>
      <c r="N157" s="9"/>
      <c r="O157" s="9"/>
      <c r="P157" s="9"/>
      <c r="Q157" s="17"/>
      <c r="R157" s="18"/>
      <c r="S157" t="str">
        <f>IF($B157="","",IF($I157&lt;&gt;"",$I157,IFERROR(INDEX(Kat_Metode,MATCH($D157,Kat_Nama,0)),"")))</f>
        <v/>
      </c>
      <c r="T157" t="str">
        <f>IF($B157="","",IF($J157&lt;&gt;"",$J157,IFERROR(INDEX(Kat_Umur,MATCH($D157,Kat_Nama,0)),0)))</f>
        <v/>
      </c>
      <c r="U157" t="str">
        <f>IF($B157="","",IF($N157&lt;&gt;"",$N157,IFERROR(INDEX(Kat_Kelompok,MATCH($D157,Kat_Nama,0)),"")))</f>
        <v/>
      </c>
      <c r="V157" t="str">
        <f>IF($B157="","",IF($U157="Masa Manfaat Sebenarnya",N($O157),IFERROR(INDEX(Kel_Masa,MATCH($U157,Kel_Nama,0)),0)))</f>
        <v/>
      </c>
      <c r="W157" t="str">
        <f>IF($B157="","",IF($P157&lt;&gt;"",$P157,IF(OR($U157="Tidak Disusutkan",$V157=0),"Tidak Disusutkan","Garis Lurus")))</f>
        <v/>
      </c>
      <c r="X157" t="str">
        <f>IF($B157="","",IF($Y157&gt;TahunBuku*12+12,"Belum Diperoleh",IF($Z157&lt;=TahunBuku*12,"Dilepas (thn lalu)",IF($AC157=1,"Dilepas thn ini",IF($AB157=1,"Perolehan baru","Aktif")))))</f>
        <v/>
      </c>
      <c r="Y157" s="20" t="str">
        <f>IF($B157="","",YEAR($F157)*12+MONTH($F157))</f>
        <v/>
      </c>
      <c r="Z157" s="20" t="str">
        <f>IF($B157="","",IF($Q157="",99999,YEAR($Q157)*12+MONTH($Q157)))</f>
        <v/>
      </c>
      <c r="AA157" s="20" t="str">
        <f>IF($B157="","",--AND($Y157&lt;=TahunBuku*12,$Z157&gt;TahunBuku*12))</f>
        <v/>
      </c>
      <c r="AB157" s="20" t="str">
        <f>IF($B157="","",--AND($Y157&gt;TahunBuku*12,$Y157&lt;=TahunBuku*12+12))</f>
        <v/>
      </c>
      <c r="AC157" s="20" t="str">
        <f>IF($B157="","",--AND($Z157&gt;TahunBuku*12,$Z157&lt;=TahunBuku*12+12,$Y157&lt;=$Z157))</f>
        <v/>
      </c>
      <c r="AD157" s="21" t="str">
        <f>IF($B157="","",IFERROR(IF($S157="Garis Lurus",$G157-($G157-$H157)*MIN($T157*12,MAX(0,TahunBuku*12-$Y157+1))/($T157*12),IF($S157="Saldo Menurun",IF(TahunBuku-1&lt;YEAR($F157),$G157,IF(TahunBuku-1&gt;=INT(($Y157+$T157*12-2)/12),$H157,MAX($H157,$G157*(1-2/$T157*(13-MONTH($F157))/12)*(1-2/$T157)^(TahunBuku-1-YEAR($F157))))),IF($S157="Unit Produksi",$G157-($G157-$H157)*MIN(1,N($L157)/$K157),$G157))),$G157))</f>
        <v/>
      </c>
      <c r="AE157" s="21" t="str">
        <f>IF($B157="","",IFERROR(IF($S157="Garis Lurus",$G157-($G157-$H157)*MIN($T157*12,MAX(0,TahunBuku*12+12-$Y157+1))/($T157*12),IF($S157="Saldo Menurun",IF(TahunBuku&lt;YEAR($F157),$G157,IF(TahunBuku&gt;=INT(($Y157+$T157*12-2)/12),$H157,MAX($H157,$G157*(1-2/$T157*(13-MONTH($F157))/12)*(1-2/$T157)^(TahunBuku-YEAR($F157))))),IF($S157="Unit Produksi",$G157-($G157-$H157)*MIN(1,(N($L157)+N($M157))/$K157),$G157))),$G157))</f>
        <v/>
      </c>
      <c r="AF157" s="20" t="str">
        <f>IF($B157="","",IF(OR($S157="Garis Lurus",$S157="Saldo Menurun",$S157="Unit Produksi"),MAX(0,IF($S157="Unit Produksi",TahunBuku*12+12,MIN(TahunBuku*12+12,$Y157+$T157*12-1))-MAX(TahunBuku*12+1,$Y157)+1),0))</f>
        <v/>
      </c>
      <c r="AG157" s="20" t="str">
        <f>IF($B157="","",IF(OR($S157="Garis Lurus",$S157="Saldo Menurun",$S157="Unit Produksi"),MAX(0,MIN($Z157,IF($S157="Unit Produksi",TahunBuku*12+12,MIN(TahunBuku*12+12,$Y157+$T157*12-1)))-MAX(TahunBuku*12+1,$Y157)+1),0))</f>
        <v/>
      </c>
      <c r="AH157" s="21" t="str">
        <f>IF($B157="","",IFERROR(IF($W157="Garis Lurus",$G157*(1-MIN($V157*12,MAX(0,TahunBuku*12-$Y157+1))/($V157*12)),IF($W157="Saldo Menurun",IF(TahunBuku-1&lt;YEAR($F157),$G157,IF(TahunBuku-1&gt;=INT(($Y157+$V157*12-2)/12),0,$G157*(1-2/$V157*(13-MONTH($F157))/12)*(1-2/$V157)^(TahunBuku-1-YEAR($F157)))),$G157)),$G157))</f>
        <v/>
      </c>
      <c r="AI157" s="21" t="str">
        <f>IF($B157="","",IFERROR(IF($W157="Garis Lurus",$G157*(1-MIN($V157*12,MAX(0,TahunBuku*12+12-$Y157+1))/($V157*12)),IF($W157="Saldo Menurun",IF(TahunBuku&lt;YEAR($F157),$G157,IF(TahunBuku&gt;=INT(($Y157+$V157*12-2)/12),0,$G157*(1-2/$V157*(13-MONTH($F157))/12)*(1-2/$V157)^(TahunBuku-YEAR($F157)))),$G157)),$G157))</f>
        <v/>
      </c>
      <c r="AJ157" s="20" t="str">
        <f>IF($B157="","",IF(OR($W157="Garis Lurus",$W157="Saldo Menurun"),MAX(0,MIN(TahunBuku*12+12,$Y157+$V157*12-1)-MAX(TahunBuku*12+1,$Y157)+1),0))</f>
        <v/>
      </c>
      <c r="AK157" s="20" t="str">
        <f>IF($B157="","",IF(OR($W157="Garis Lurus",$W157="Saldo Menurun"),MAX(0,MIN($Z157,TahunBuku*12+12,$Y157+$V157*12-1)-MAX(TahunBuku*12+1,$Y157)+1),0))</f>
        <v/>
      </c>
      <c r="AL157" s="22" t="str">
        <f>IF($B157="","",$G157*$AA157)</f>
        <v/>
      </c>
      <c r="AM157" s="22" t="str">
        <f>IF($B157="","",$G157*$AB157)</f>
        <v/>
      </c>
      <c r="AN157" s="22" t="str">
        <f>IF($B157="","",$G157*$AC157)</f>
        <v/>
      </c>
      <c r="AO157" s="22" t="str">
        <f>IF($B157="","",AL157+AM157-AN157)</f>
        <v/>
      </c>
      <c r="AP157" s="22" t="str">
        <f>IF($B157="","",($G157-$AD157)*$AA157)</f>
        <v/>
      </c>
      <c r="AQ157" s="22" t="str">
        <f>IF($B157="","",IF($AF157=0,0,($AD157-$AE157)*$AG157/$AF157)*MAX($AA157,$AB157))</f>
        <v/>
      </c>
      <c r="AR157" s="22" t="str">
        <f>IF($B157="","",(AP157+AQ157)*$AC157)</f>
        <v/>
      </c>
      <c r="AS157" s="22" t="str">
        <f>IF($B157="","",AP157+AQ157-AR157)</f>
        <v/>
      </c>
      <c r="AT157" s="22" t="str">
        <f>IF($B157="","",AO157-AS157)</f>
        <v/>
      </c>
      <c r="AU157" s="22" t="str">
        <f>IF($B157="","",IF($AC157=1,N($R157)-($G157-AR157),0))</f>
        <v/>
      </c>
      <c r="AV157" s="22" t="str">
        <f>IF($B157="","",($G157-$AH157)*$AA157)</f>
        <v/>
      </c>
      <c r="AW157" s="22" t="str">
        <f>IF($B157="","",IF($AJ157=0,0,($AH157-$AI157)*$AK157/$AJ157)*MAX($AA157,$AB157))</f>
        <v/>
      </c>
      <c r="AX157" s="22" t="str">
        <f>IF($B157="","",(AV157+AW157)*$AC157)</f>
        <v/>
      </c>
      <c r="AY157" s="22" t="str">
        <f>IF($B157="","",AV157+AW157-AX157)</f>
        <v/>
      </c>
      <c r="AZ157" s="22" t="str">
        <f>IF($B157="","",AO157-AY157)</f>
        <v/>
      </c>
      <c r="BA157" s="22" t="str">
        <f>IF($B157="","",IF($AC157=1,N($R157)-($G157-AX157),0))</f>
        <v/>
      </c>
      <c r="BB157" s="22" t="str">
        <f>IF($B157="","",ROUND(AQ157-AW157,0))</f>
        <v/>
      </c>
      <c r="BC157" s="22" t="str">
        <f>IF($B157="","",ROUND(BA157-AU157,0))</f>
        <v/>
      </c>
      <c r="BD157" s="22" t="str">
        <f>IF($B157="","",BB157+BC157)</f>
        <v/>
      </c>
      <c r="BE157" s="22" t="str">
        <f>IF($B157="","",ROUND(AV157-AP157,0))</f>
        <v/>
      </c>
      <c r="BF157" s="22" t="str">
        <f>IF($B157="","",ROUND(AT157-AZ157,0))</f>
        <v/>
      </c>
      <c r="BG157" s="22" t="str">
        <f>IF($B157="","",ROUND(BF157*TarifPPh,0))</f>
        <v/>
      </c>
      <c r="BH157" t="str">
        <f>IF($B157="","",IF($D157="","Kategori kosong",IF($F157="","Tgl perolehan kosong",IF(N($H157)&gt;$G157,"Residu &gt; harga perolehan",IF(AND(LEFT($U157,8)="Bangunan",$W157="Saldo Menurun"),"Bangunan wajib Garis Lurus (Ps.11 UU PPh)",IF(AND($S157="Unit Produksi",N($K157)=0),"Isi kapasitas unit",IF(AND(OR($S157="Garis Lurus",$S157="Saldo Menurun"),N($T157)&lt;=0),"Umur komersial kosong",IF(AND(OR($W157="Garis Lurus",$W157="Saldo Menurun"),N($V157)&lt;=0),"Masa manfaat fiskal kosong",IF(AND($Q157&lt;&gt;"",$Q157&lt;$F157),"Tgl pelepasan &lt; perolehan","OK")))))))))</f>
        <v/>
      </c>
    </row>
    <row r="158" spans="1:60" x14ac:dyDescent="0.25">
      <c r="A158" t="str">
        <f>IF($B158="","",ROW()-6)</f>
        <v/>
      </c>
      <c r="B158" s="9"/>
      <c r="C158" s="9"/>
      <c r="D158" s="9"/>
      <c r="E158" s="9"/>
      <c r="F158" s="17"/>
      <c r="G158" s="18"/>
      <c r="H158" s="18"/>
      <c r="I158" s="9"/>
      <c r="J158" s="9"/>
      <c r="K158" s="19"/>
      <c r="L158" s="19"/>
      <c r="M158" s="19"/>
      <c r="N158" s="9"/>
      <c r="O158" s="9"/>
      <c r="P158" s="9"/>
      <c r="Q158" s="17"/>
      <c r="R158" s="18"/>
      <c r="S158" t="str">
        <f>IF($B158="","",IF($I158&lt;&gt;"",$I158,IFERROR(INDEX(Kat_Metode,MATCH($D158,Kat_Nama,0)),"")))</f>
        <v/>
      </c>
      <c r="T158" t="str">
        <f>IF($B158="","",IF($J158&lt;&gt;"",$J158,IFERROR(INDEX(Kat_Umur,MATCH($D158,Kat_Nama,0)),0)))</f>
        <v/>
      </c>
      <c r="U158" t="str">
        <f>IF($B158="","",IF($N158&lt;&gt;"",$N158,IFERROR(INDEX(Kat_Kelompok,MATCH($D158,Kat_Nama,0)),"")))</f>
        <v/>
      </c>
      <c r="V158" t="str">
        <f>IF($B158="","",IF($U158="Masa Manfaat Sebenarnya",N($O158),IFERROR(INDEX(Kel_Masa,MATCH($U158,Kel_Nama,0)),0)))</f>
        <v/>
      </c>
      <c r="W158" t="str">
        <f>IF($B158="","",IF($P158&lt;&gt;"",$P158,IF(OR($U158="Tidak Disusutkan",$V158=0),"Tidak Disusutkan","Garis Lurus")))</f>
        <v/>
      </c>
      <c r="X158" t="str">
        <f>IF($B158="","",IF($Y158&gt;TahunBuku*12+12,"Belum Diperoleh",IF($Z158&lt;=TahunBuku*12,"Dilepas (thn lalu)",IF($AC158=1,"Dilepas thn ini",IF($AB158=1,"Perolehan baru","Aktif")))))</f>
        <v/>
      </c>
      <c r="Y158" s="20" t="str">
        <f>IF($B158="","",YEAR($F158)*12+MONTH($F158))</f>
        <v/>
      </c>
      <c r="Z158" s="20" t="str">
        <f>IF($B158="","",IF($Q158="",99999,YEAR($Q158)*12+MONTH($Q158)))</f>
        <v/>
      </c>
      <c r="AA158" s="20" t="str">
        <f>IF($B158="","",--AND($Y158&lt;=TahunBuku*12,$Z158&gt;TahunBuku*12))</f>
        <v/>
      </c>
      <c r="AB158" s="20" t="str">
        <f>IF($B158="","",--AND($Y158&gt;TahunBuku*12,$Y158&lt;=TahunBuku*12+12))</f>
        <v/>
      </c>
      <c r="AC158" s="20" t="str">
        <f>IF($B158="","",--AND($Z158&gt;TahunBuku*12,$Z158&lt;=TahunBuku*12+12,$Y158&lt;=$Z158))</f>
        <v/>
      </c>
      <c r="AD158" s="21" t="str">
        <f>IF($B158="","",IFERROR(IF($S158="Garis Lurus",$G158-($G158-$H158)*MIN($T158*12,MAX(0,TahunBuku*12-$Y158+1))/($T158*12),IF($S158="Saldo Menurun",IF(TahunBuku-1&lt;YEAR($F158),$G158,IF(TahunBuku-1&gt;=INT(($Y158+$T158*12-2)/12),$H158,MAX($H158,$G158*(1-2/$T158*(13-MONTH($F158))/12)*(1-2/$T158)^(TahunBuku-1-YEAR($F158))))),IF($S158="Unit Produksi",$G158-($G158-$H158)*MIN(1,N($L158)/$K158),$G158))),$G158))</f>
        <v/>
      </c>
      <c r="AE158" s="21" t="str">
        <f>IF($B158="","",IFERROR(IF($S158="Garis Lurus",$G158-($G158-$H158)*MIN($T158*12,MAX(0,TahunBuku*12+12-$Y158+1))/($T158*12),IF($S158="Saldo Menurun",IF(TahunBuku&lt;YEAR($F158),$G158,IF(TahunBuku&gt;=INT(($Y158+$T158*12-2)/12),$H158,MAX($H158,$G158*(1-2/$T158*(13-MONTH($F158))/12)*(1-2/$T158)^(TahunBuku-YEAR($F158))))),IF($S158="Unit Produksi",$G158-($G158-$H158)*MIN(1,(N($L158)+N($M158))/$K158),$G158))),$G158))</f>
        <v/>
      </c>
      <c r="AF158" s="20" t="str">
        <f>IF($B158="","",IF(OR($S158="Garis Lurus",$S158="Saldo Menurun",$S158="Unit Produksi"),MAX(0,IF($S158="Unit Produksi",TahunBuku*12+12,MIN(TahunBuku*12+12,$Y158+$T158*12-1))-MAX(TahunBuku*12+1,$Y158)+1),0))</f>
        <v/>
      </c>
      <c r="AG158" s="20" t="str">
        <f>IF($B158="","",IF(OR($S158="Garis Lurus",$S158="Saldo Menurun",$S158="Unit Produksi"),MAX(0,MIN($Z158,IF($S158="Unit Produksi",TahunBuku*12+12,MIN(TahunBuku*12+12,$Y158+$T158*12-1)))-MAX(TahunBuku*12+1,$Y158)+1),0))</f>
        <v/>
      </c>
      <c r="AH158" s="21" t="str">
        <f>IF($B158="","",IFERROR(IF($W158="Garis Lurus",$G158*(1-MIN($V158*12,MAX(0,TahunBuku*12-$Y158+1))/($V158*12)),IF($W158="Saldo Menurun",IF(TahunBuku-1&lt;YEAR($F158),$G158,IF(TahunBuku-1&gt;=INT(($Y158+$V158*12-2)/12),0,$G158*(1-2/$V158*(13-MONTH($F158))/12)*(1-2/$V158)^(TahunBuku-1-YEAR($F158)))),$G158)),$G158))</f>
        <v/>
      </c>
      <c r="AI158" s="21" t="str">
        <f>IF($B158="","",IFERROR(IF($W158="Garis Lurus",$G158*(1-MIN($V158*12,MAX(0,TahunBuku*12+12-$Y158+1))/($V158*12)),IF($W158="Saldo Menurun",IF(TahunBuku&lt;YEAR($F158),$G158,IF(TahunBuku&gt;=INT(($Y158+$V158*12-2)/12),0,$G158*(1-2/$V158*(13-MONTH($F158))/12)*(1-2/$V158)^(TahunBuku-YEAR($F158)))),$G158)),$G158))</f>
        <v/>
      </c>
      <c r="AJ158" s="20" t="str">
        <f>IF($B158="","",IF(OR($W158="Garis Lurus",$W158="Saldo Menurun"),MAX(0,MIN(TahunBuku*12+12,$Y158+$V158*12-1)-MAX(TahunBuku*12+1,$Y158)+1),0))</f>
        <v/>
      </c>
      <c r="AK158" s="20" t="str">
        <f>IF($B158="","",IF(OR($W158="Garis Lurus",$W158="Saldo Menurun"),MAX(0,MIN($Z158,TahunBuku*12+12,$Y158+$V158*12-1)-MAX(TahunBuku*12+1,$Y158)+1),0))</f>
        <v/>
      </c>
      <c r="AL158" s="22" t="str">
        <f>IF($B158="","",$G158*$AA158)</f>
        <v/>
      </c>
      <c r="AM158" s="22" t="str">
        <f>IF($B158="","",$G158*$AB158)</f>
        <v/>
      </c>
      <c r="AN158" s="22" t="str">
        <f>IF($B158="","",$G158*$AC158)</f>
        <v/>
      </c>
      <c r="AO158" s="22" t="str">
        <f>IF($B158="","",AL158+AM158-AN158)</f>
        <v/>
      </c>
      <c r="AP158" s="22" t="str">
        <f>IF($B158="","",($G158-$AD158)*$AA158)</f>
        <v/>
      </c>
      <c r="AQ158" s="22" t="str">
        <f>IF($B158="","",IF($AF158=0,0,($AD158-$AE158)*$AG158/$AF158)*MAX($AA158,$AB158))</f>
        <v/>
      </c>
      <c r="AR158" s="22" t="str">
        <f>IF($B158="","",(AP158+AQ158)*$AC158)</f>
        <v/>
      </c>
      <c r="AS158" s="22" t="str">
        <f>IF($B158="","",AP158+AQ158-AR158)</f>
        <v/>
      </c>
      <c r="AT158" s="22" t="str">
        <f>IF($B158="","",AO158-AS158)</f>
        <v/>
      </c>
      <c r="AU158" s="22" t="str">
        <f>IF($B158="","",IF($AC158=1,N($R158)-($G158-AR158),0))</f>
        <v/>
      </c>
      <c r="AV158" s="22" t="str">
        <f>IF($B158="","",($G158-$AH158)*$AA158)</f>
        <v/>
      </c>
      <c r="AW158" s="22" t="str">
        <f>IF($B158="","",IF($AJ158=0,0,($AH158-$AI158)*$AK158/$AJ158)*MAX($AA158,$AB158))</f>
        <v/>
      </c>
      <c r="AX158" s="22" t="str">
        <f>IF($B158="","",(AV158+AW158)*$AC158)</f>
        <v/>
      </c>
      <c r="AY158" s="22" t="str">
        <f>IF($B158="","",AV158+AW158-AX158)</f>
        <v/>
      </c>
      <c r="AZ158" s="22" t="str">
        <f>IF($B158="","",AO158-AY158)</f>
        <v/>
      </c>
      <c r="BA158" s="22" t="str">
        <f>IF($B158="","",IF($AC158=1,N($R158)-($G158-AX158),0))</f>
        <v/>
      </c>
      <c r="BB158" s="22" t="str">
        <f>IF($B158="","",ROUND(AQ158-AW158,0))</f>
        <v/>
      </c>
      <c r="BC158" s="22" t="str">
        <f>IF($B158="","",ROUND(BA158-AU158,0))</f>
        <v/>
      </c>
      <c r="BD158" s="22" t="str">
        <f>IF($B158="","",BB158+BC158)</f>
        <v/>
      </c>
      <c r="BE158" s="22" t="str">
        <f>IF($B158="","",ROUND(AV158-AP158,0))</f>
        <v/>
      </c>
      <c r="BF158" s="22" t="str">
        <f>IF($B158="","",ROUND(AT158-AZ158,0))</f>
        <v/>
      </c>
      <c r="BG158" s="22" t="str">
        <f>IF($B158="","",ROUND(BF158*TarifPPh,0))</f>
        <v/>
      </c>
      <c r="BH158" t="str">
        <f>IF($B158="","",IF($D158="","Kategori kosong",IF($F158="","Tgl perolehan kosong",IF(N($H158)&gt;$G158,"Residu &gt; harga perolehan",IF(AND(LEFT($U158,8)="Bangunan",$W158="Saldo Menurun"),"Bangunan wajib Garis Lurus (Ps.11 UU PPh)",IF(AND($S158="Unit Produksi",N($K158)=0),"Isi kapasitas unit",IF(AND(OR($S158="Garis Lurus",$S158="Saldo Menurun"),N($T158)&lt;=0),"Umur komersial kosong",IF(AND(OR($W158="Garis Lurus",$W158="Saldo Menurun"),N($V158)&lt;=0),"Masa manfaat fiskal kosong",IF(AND($Q158&lt;&gt;"",$Q158&lt;$F158),"Tgl pelepasan &lt; perolehan","OK")))))))))</f>
        <v/>
      </c>
    </row>
    <row r="159" spans="1:60" x14ac:dyDescent="0.25">
      <c r="A159" t="str">
        <f>IF($B159="","",ROW()-6)</f>
        <v/>
      </c>
      <c r="B159" s="9"/>
      <c r="C159" s="9"/>
      <c r="D159" s="9"/>
      <c r="E159" s="9"/>
      <c r="F159" s="17"/>
      <c r="G159" s="18"/>
      <c r="H159" s="18"/>
      <c r="I159" s="9"/>
      <c r="J159" s="9"/>
      <c r="K159" s="19"/>
      <c r="L159" s="19"/>
      <c r="M159" s="19"/>
      <c r="N159" s="9"/>
      <c r="O159" s="9"/>
      <c r="P159" s="9"/>
      <c r="Q159" s="17"/>
      <c r="R159" s="18"/>
      <c r="S159" t="str">
        <f>IF($B159="","",IF($I159&lt;&gt;"",$I159,IFERROR(INDEX(Kat_Metode,MATCH($D159,Kat_Nama,0)),"")))</f>
        <v/>
      </c>
      <c r="T159" t="str">
        <f>IF($B159="","",IF($J159&lt;&gt;"",$J159,IFERROR(INDEX(Kat_Umur,MATCH($D159,Kat_Nama,0)),0)))</f>
        <v/>
      </c>
      <c r="U159" t="str">
        <f>IF($B159="","",IF($N159&lt;&gt;"",$N159,IFERROR(INDEX(Kat_Kelompok,MATCH($D159,Kat_Nama,0)),"")))</f>
        <v/>
      </c>
      <c r="V159" t="str">
        <f>IF($B159="","",IF($U159="Masa Manfaat Sebenarnya",N($O159),IFERROR(INDEX(Kel_Masa,MATCH($U159,Kel_Nama,0)),0)))</f>
        <v/>
      </c>
      <c r="W159" t="str">
        <f>IF($B159="","",IF($P159&lt;&gt;"",$P159,IF(OR($U159="Tidak Disusutkan",$V159=0),"Tidak Disusutkan","Garis Lurus")))</f>
        <v/>
      </c>
      <c r="X159" t="str">
        <f>IF($B159="","",IF($Y159&gt;TahunBuku*12+12,"Belum Diperoleh",IF($Z159&lt;=TahunBuku*12,"Dilepas (thn lalu)",IF($AC159=1,"Dilepas thn ini",IF($AB159=1,"Perolehan baru","Aktif")))))</f>
        <v/>
      </c>
      <c r="Y159" s="20" t="str">
        <f>IF($B159="","",YEAR($F159)*12+MONTH($F159))</f>
        <v/>
      </c>
      <c r="Z159" s="20" t="str">
        <f>IF($B159="","",IF($Q159="",99999,YEAR($Q159)*12+MONTH($Q159)))</f>
        <v/>
      </c>
      <c r="AA159" s="20" t="str">
        <f>IF($B159="","",--AND($Y159&lt;=TahunBuku*12,$Z159&gt;TahunBuku*12))</f>
        <v/>
      </c>
      <c r="AB159" s="20" t="str">
        <f>IF($B159="","",--AND($Y159&gt;TahunBuku*12,$Y159&lt;=TahunBuku*12+12))</f>
        <v/>
      </c>
      <c r="AC159" s="20" t="str">
        <f>IF($B159="","",--AND($Z159&gt;TahunBuku*12,$Z159&lt;=TahunBuku*12+12,$Y159&lt;=$Z159))</f>
        <v/>
      </c>
      <c r="AD159" s="21" t="str">
        <f>IF($B159="","",IFERROR(IF($S159="Garis Lurus",$G159-($G159-$H159)*MIN($T159*12,MAX(0,TahunBuku*12-$Y159+1))/($T159*12),IF($S159="Saldo Menurun",IF(TahunBuku-1&lt;YEAR($F159),$G159,IF(TahunBuku-1&gt;=INT(($Y159+$T159*12-2)/12),$H159,MAX($H159,$G159*(1-2/$T159*(13-MONTH($F159))/12)*(1-2/$T159)^(TahunBuku-1-YEAR($F159))))),IF($S159="Unit Produksi",$G159-($G159-$H159)*MIN(1,N($L159)/$K159),$G159))),$G159))</f>
        <v/>
      </c>
      <c r="AE159" s="21" t="str">
        <f>IF($B159="","",IFERROR(IF($S159="Garis Lurus",$G159-($G159-$H159)*MIN($T159*12,MAX(0,TahunBuku*12+12-$Y159+1))/($T159*12),IF($S159="Saldo Menurun",IF(TahunBuku&lt;YEAR($F159),$G159,IF(TahunBuku&gt;=INT(($Y159+$T159*12-2)/12),$H159,MAX($H159,$G159*(1-2/$T159*(13-MONTH($F159))/12)*(1-2/$T159)^(TahunBuku-YEAR($F159))))),IF($S159="Unit Produksi",$G159-($G159-$H159)*MIN(1,(N($L159)+N($M159))/$K159),$G159))),$G159))</f>
        <v/>
      </c>
      <c r="AF159" s="20" t="str">
        <f>IF($B159="","",IF(OR($S159="Garis Lurus",$S159="Saldo Menurun",$S159="Unit Produksi"),MAX(0,IF($S159="Unit Produksi",TahunBuku*12+12,MIN(TahunBuku*12+12,$Y159+$T159*12-1))-MAX(TahunBuku*12+1,$Y159)+1),0))</f>
        <v/>
      </c>
      <c r="AG159" s="20" t="str">
        <f>IF($B159="","",IF(OR($S159="Garis Lurus",$S159="Saldo Menurun",$S159="Unit Produksi"),MAX(0,MIN($Z159,IF($S159="Unit Produksi",TahunBuku*12+12,MIN(TahunBuku*12+12,$Y159+$T159*12-1)))-MAX(TahunBuku*12+1,$Y159)+1),0))</f>
        <v/>
      </c>
      <c r="AH159" s="21" t="str">
        <f>IF($B159="","",IFERROR(IF($W159="Garis Lurus",$G159*(1-MIN($V159*12,MAX(0,TahunBuku*12-$Y159+1))/($V159*12)),IF($W159="Saldo Menurun",IF(TahunBuku-1&lt;YEAR($F159),$G159,IF(TahunBuku-1&gt;=INT(($Y159+$V159*12-2)/12),0,$G159*(1-2/$V159*(13-MONTH($F159))/12)*(1-2/$V159)^(TahunBuku-1-YEAR($F159)))),$G159)),$G159))</f>
        <v/>
      </c>
      <c r="AI159" s="21" t="str">
        <f>IF($B159="","",IFERROR(IF($W159="Garis Lurus",$G159*(1-MIN($V159*12,MAX(0,TahunBuku*12+12-$Y159+1))/($V159*12)),IF($W159="Saldo Menurun",IF(TahunBuku&lt;YEAR($F159),$G159,IF(TahunBuku&gt;=INT(($Y159+$V159*12-2)/12),0,$G159*(1-2/$V159*(13-MONTH($F159))/12)*(1-2/$V159)^(TahunBuku-YEAR($F159)))),$G159)),$G159))</f>
        <v/>
      </c>
      <c r="AJ159" s="20" t="str">
        <f>IF($B159="","",IF(OR($W159="Garis Lurus",$W159="Saldo Menurun"),MAX(0,MIN(TahunBuku*12+12,$Y159+$V159*12-1)-MAX(TahunBuku*12+1,$Y159)+1),0))</f>
        <v/>
      </c>
      <c r="AK159" s="20" t="str">
        <f>IF($B159="","",IF(OR($W159="Garis Lurus",$W159="Saldo Menurun"),MAX(0,MIN($Z159,TahunBuku*12+12,$Y159+$V159*12-1)-MAX(TahunBuku*12+1,$Y159)+1),0))</f>
        <v/>
      </c>
      <c r="AL159" s="22" t="str">
        <f>IF($B159="","",$G159*$AA159)</f>
        <v/>
      </c>
      <c r="AM159" s="22" t="str">
        <f>IF($B159="","",$G159*$AB159)</f>
        <v/>
      </c>
      <c r="AN159" s="22" t="str">
        <f>IF($B159="","",$G159*$AC159)</f>
        <v/>
      </c>
      <c r="AO159" s="22" t="str">
        <f>IF($B159="","",AL159+AM159-AN159)</f>
        <v/>
      </c>
      <c r="AP159" s="22" t="str">
        <f>IF($B159="","",($G159-$AD159)*$AA159)</f>
        <v/>
      </c>
      <c r="AQ159" s="22" t="str">
        <f>IF($B159="","",IF($AF159=0,0,($AD159-$AE159)*$AG159/$AF159)*MAX($AA159,$AB159))</f>
        <v/>
      </c>
      <c r="AR159" s="22" t="str">
        <f>IF($B159="","",(AP159+AQ159)*$AC159)</f>
        <v/>
      </c>
      <c r="AS159" s="22" t="str">
        <f>IF($B159="","",AP159+AQ159-AR159)</f>
        <v/>
      </c>
      <c r="AT159" s="22" t="str">
        <f>IF($B159="","",AO159-AS159)</f>
        <v/>
      </c>
      <c r="AU159" s="22" t="str">
        <f>IF($B159="","",IF($AC159=1,N($R159)-($G159-AR159),0))</f>
        <v/>
      </c>
      <c r="AV159" s="22" t="str">
        <f>IF($B159="","",($G159-$AH159)*$AA159)</f>
        <v/>
      </c>
      <c r="AW159" s="22" t="str">
        <f>IF($B159="","",IF($AJ159=0,0,($AH159-$AI159)*$AK159/$AJ159)*MAX($AA159,$AB159))</f>
        <v/>
      </c>
      <c r="AX159" s="22" t="str">
        <f>IF($B159="","",(AV159+AW159)*$AC159)</f>
        <v/>
      </c>
      <c r="AY159" s="22" t="str">
        <f>IF($B159="","",AV159+AW159-AX159)</f>
        <v/>
      </c>
      <c r="AZ159" s="22" t="str">
        <f>IF($B159="","",AO159-AY159)</f>
        <v/>
      </c>
      <c r="BA159" s="22" t="str">
        <f>IF($B159="","",IF($AC159=1,N($R159)-($G159-AX159),0))</f>
        <v/>
      </c>
      <c r="BB159" s="22" t="str">
        <f>IF($B159="","",ROUND(AQ159-AW159,0))</f>
        <v/>
      </c>
      <c r="BC159" s="22" t="str">
        <f>IF($B159="","",ROUND(BA159-AU159,0))</f>
        <v/>
      </c>
      <c r="BD159" s="22" t="str">
        <f>IF($B159="","",BB159+BC159)</f>
        <v/>
      </c>
      <c r="BE159" s="22" t="str">
        <f>IF($B159="","",ROUND(AV159-AP159,0))</f>
        <v/>
      </c>
      <c r="BF159" s="22" t="str">
        <f>IF($B159="","",ROUND(AT159-AZ159,0))</f>
        <v/>
      </c>
      <c r="BG159" s="22" t="str">
        <f>IF($B159="","",ROUND(BF159*TarifPPh,0))</f>
        <v/>
      </c>
      <c r="BH159" t="str">
        <f>IF($B159="","",IF($D159="","Kategori kosong",IF($F159="","Tgl perolehan kosong",IF(N($H159)&gt;$G159,"Residu &gt; harga perolehan",IF(AND(LEFT($U159,8)="Bangunan",$W159="Saldo Menurun"),"Bangunan wajib Garis Lurus (Ps.11 UU PPh)",IF(AND($S159="Unit Produksi",N($K159)=0),"Isi kapasitas unit",IF(AND(OR($S159="Garis Lurus",$S159="Saldo Menurun"),N($T159)&lt;=0),"Umur komersial kosong",IF(AND(OR($W159="Garis Lurus",$W159="Saldo Menurun"),N($V159)&lt;=0),"Masa manfaat fiskal kosong",IF(AND($Q159&lt;&gt;"",$Q159&lt;$F159),"Tgl pelepasan &lt; perolehan","OK")))))))))</f>
        <v/>
      </c>
    </row>
    <row r="160" spans="1:60" x14ac:dyDescent="0.25">
      <c r="A160" t="str">
        <f>IF($B160="","",ROW()-6)</f>
        <v/>
      </c>
      <c r="B160" s="9"/>
      <c r="C160" s="9"/>
      <c r="D160" s="9"/>
      <c r="E160" s="9"/>
      <c r="F160" s="17"/>
      <c r="G160" s="18"/>
      <c r="H160" s="18"/>
      <c r="I160" s="9"/>
      <c r="J160" s="9"/>
      <c r="K160" s="19"/>
      <c r="L160" s="19"/>
      <c r="M160" s="19"/>
      <c r="N160" s="9"/>
      <c r="O160" s="9"/>
      <c r="P160" s="9"/>
      <c r="Q160" s="17"/>
      <c r="R160" s="18"/>
      <c r="S160" t="str">
        <f>IF($B160="","",IF($I160&lt;&gt;"",$I160,IFERROR(INDEX(Kat_Metode,MATCH($D160,Kat_Nama,0)),"")))</f>
        <v/>
      </c>
      <c r="T160" t="str">
        <f>IF($B160="","",IF($J160&lt;&gt;"",$J160,IFERROR(INDEX(Kat_Umur,MATCH($D160,Kat_Nama,0)),0)))</f>
        <v/>
      </c>
      <c r="U160" t="str">
        <f>IF($B160="","",IF($N160&lt;&gt;"",$N160,IFERROR(INDEX(Kat_Kelompok,MATCH($D160,Kat_Nama,0)),"")))</f>
        <v/>
      </c>
      <c r="V160" t="str">
        <f>IF($B160="","",IF($U160="Masa Manfaat Sebenarnya",N($O160),IFERROR(INDEX(Kel_Masa,MATCH($U160,Kel_Nama,0)),0)))</f>
        <v/>
      </c>
      <c r="W160" t="str">
        <f>IF($B160="","",IF($P160&lt;&gt;"",$P160,IF(OR($U160="Tidak Disusutkan",$V160=0),"Tidak Disusutkan","Garis Lurus")))</f>
        <v/>
      </c>
      <c r="X160" t="str">
        <f>IF($B160="","",IF($Y160&gt;TahunBuku*12+12,"Belum Diperoleh",IF($Z160&lt;=TahunBuku*12,"Dilepas (thn lalu)",IF($AC160=1,"Dilepas thn ini",IF($AB160=1,"Perolehan baru","Aktif")))))</f>
        <v/>
      </c>
      <c r="Y160" s="20" t="str">
        <f>IF($B160="","",YEAR($F160)*12+MONTH($F160))</f>
        <v/>
      </c>
      <c r="Z160" s="20" t="str">
        <f>IF($B160="","",IF($Q160="",99999,YEAR($Q160)*12+MONTH($Q160)))</f>
        <v/>
      </c>
      <c r="AA160" s="20" t="str">
        <f>IF($B160="","",--AND($Y160&lt;=TahunBuku*12,$Z160&gt;TahunBuku*12))</f>
        <v/>
      </c>
      <c r="AB160" s="20" t="str">
        <f>IF($B160="","",--AND($Y160&gt;TahunBuku*12,$Y160&lt;=TahunBuku*12+12))</f>
        <v/>
      </c>
      <c r="AC160" s="20" t="str">
        <f>IF($B160="","",--AND($Z160&gt;TahunBuku*12,$Z160&lt;=TahunBuku*12+12,$Y160&lt;=$Z160))</f>
        <v/>
      </c>
      <c r="AD160" s="21" t="str">
        <f>IF($B160="","",IFERROR(IF($S160="Garis Lurus",$G160-($G160-$H160)*MIN($T160*12,MAX(0,TahunBuku*12-$Y160+1))/($T160*12),IF($S160="Saldo Menurun",IF(TahunBuku-1&lt;YEAR($F160),$G160,IF(TahunBuku-1&gt;=INT(($Y160+$T160*12-2)/12),$H160,MAX($H160,$G160*(1-2/$T160*(13-MONTH($F160))/12)*(1-2/$T160)^(TahunBuku-1-YEAR($F160))))),IF($S160="Unit Produksi",$G160-($G160-$H160)*MIN(1,N($L160)/$K160),$G160))),$G160))</f>
        <v/>
      </c>
      <c r="AE160" s="21" t="str">
        <f>IF($B160="","",IFERROR(IF($S160="Garis Lurus",$G160-($G160-$H160)*MIN($T160*12,MAX(0,TahunBuku*12+12-$Y160+1))/($T160*12),IF($S160="Saldo Menurun",IF(TahunBuku&lt;YEAR($F160),$G160,IF(TahunBuku&gt;=INT(($Y160+$T160*12-2)/12),$H160,MAX($H160,$G160*(1-2/$T160*(13-MONTH($F160))/12)*(1-2/$T160)^(TahunBuku-YEAR($F160))))),IF($S160="Unit Produksi",$G160-($G160-$H160)*MIN(1,(N($L160)+N($M160))/$K160),$G160))),$G160))</f>
        <v/>
      </c>
      <c r="AF160" s="20" t="str">
        <f>IF($B160="","",IF(OR($S160="Garis Lurus",$S160="Saldo Menurun",$S160="Unit Produksi"),MAX(0,IF($S160="Unit Produksi",TahunBuku*12+12,MIN(TahunBuku*12+12,$Y160+$T160*12-1))-MAX(TahunBuku*12+1,$Y160)+1),0))</f>
        <v/>
      </c>
      <c r="AG160" s="20" t="str">
        <f>IF($B160="","",IF(OR($S160="Garis Lurus",$S160="Saldo Menurun",$S160="Unit Produksi"),MAX(0,MIN($Z160,IF($S160="Unit Produksi",TahunBuku*12+12,MIN(TahunBuku*12+12,$Y160+$T160*12-1)))-MAX(TahunBuku*12+1,$Y160)+1),0))</f>
        <v/>
      </c>
      <c r="AH160" s="21" t="str">
        <f>IF($B160="","",IFERROR(IF($W160="Garis Lurus",$G160*(1-MIN($V160*12,MAX(0,TahunBuku*12-$Y160+1))/($V160*12)),IF($W160="Saldo Menurun",IF(TahunBuku-1&lt;YEAR($F160),$G160,IF(TahunBuku-1&gt;=INT(($Y160+$V160*12-2)/12),0,$G160*(1-2/$V160*(13-MONTH($F160))/12)*(1-2/$V160)^(TahunBuku-1-YEAR($F160)))),$G160)),$G160))</f>
        <v/>
      </c>
      <c r="AI160" s="21" t="str">
        <f>IF($B160="","",IFERROR(IF($W160="Garis Lurus",$G160*(1-MIN($V160*12,MAX(0,TahunBuku*12+12-$Y160+1))/($V160*12)),IF($W160="Saldo Menurun",IF(TahunBuku&lt;YEAR($F160),$G160,IF(TahunBuku&gt;=INT(($Y160+$V160*12-2)/12),0,$G160*(1-2/$V160*(13-MONTH($F160))/12)*(1-2/$V160)^(TahunBuku-YEAR($F160)))),$G160)),$G160))</f>
        <v/>
      </c>
      <c r="AJ160" s="20" t="str">
        <f>IF($B160="","",IF(OR($W160="Garis Lurus",$W160="Saldo Menurun"),MAX(0,MIN(TahunBuku*12+12,$Y160+$V160*12-1)-MAX(TahunBuku*12+1,$Y160)+1),0))</f>
        <v/>
      </c>
      <c r="AK160" s="20" t="str">
        <f>IF($B160="","",IF(OR($W160="Garis Lurus",$W160="Saldo Menurun"),MAX(0,MIN($Z160,TahunBuku*12+12,$Y160+$V160*12-1)-MAX(TahunBuku*12+1,$Y160)+1),0))</f>
        <v/>
      </c>
      <c r="AL160" s="22" t="str">
        <f>IF($B160="","",$G160*$AA160)</f>
        <v/>
      </c>
      <c r="AM160" s="22" t="str">
        <f>IF($B160="","",$G160*$AB160)</f>
        <v/>
      </c>
      <c r="AN160" s="22" t="str">
        <f>IF($B160="","",$G160*$AC160)</f>
        <v/>
      </c>
      <c r="AO160" s="22" t="str">
        <f>IF($B160="","",AL160+AM160-AN160)</f>
        <v/>
      </c>
      <c r="AP160" s="22" t="str">
        <f>IF($B160="","",($G160-$AD160)*$AA160)</f>
        <v/>
      </c>
      <c r="AQ160" s="22" t="str">
        <f>IF($B160="","",IF($AF160=0,0,($AD160-$AE160)*$AG160/$AF160)*MAX($AA160,$AB160))</f>
        <v/>
      </c>
      <c r="AR160" s="22" t="str">
        <f>IF($B160="","",(AP160+AQ160)*$AC160)</f>
        <v/>
      </c>
      <c r="AS160" s="22" t="str">
        <f>IF($B160="","",AP160+AQ160-AR160)</f>
        <v/>
      </c>
      <c r="AT160" s="22" t="str">
        <f>IF($B160="","",AO160-AS160)</f>
        <v/>
      </c>
      <c r="AU160" s="22" t="str">
        <f>IF($B160="","",IF($AC160=1,N($R160)-($G160-AR160),0))</f>
        <v/>
      </c>
      <c r="AV160" s="22" t="str">
        <f>IF($B160="","",($G160-$AH160)*$AA160)</f>
        <v/>
      </c>
      <c r="AW160" s="22" t="str">
        <f>IF($B160="","",IF($AJ160=0,0,($AH160-$AI160)*$AK160/$AJ160)*MAX($AA160,$AB160))</f>
        <v/>
      </c>
      <c r="AX160" s="22" t="str">
        <f>IF($B160="","",(AV160+AW160)*$AC160)</f>
        <v/>
      </c>
      <c r="AY160" s="22" t="str">
        <f>IF($B160="","",AV160+AW160-AX160)</f>
        <v/>
      </c>
      <c r="AZ160" s="22" t="str">
        <f>IF($B160="","",AO160-AY160)</f>
        <v/>
      </c>
      <c r="BA160" s="22" t="str">
        <f>IF($B160="","",IF($AC160=1,N($R160)-($G160-AX160),0))</f>
        <v/>
      </c>
      <c r="BB160" s="22" t="str">
        <f>IF($B160="","",ROUND(AQ160-AW160,0))</f>
        <v/>
      </c>
      <c r="BC160" s="22" t="str">
        <f>IF($B160="","",ROUND(BA160-AU160,0))</f>
        <v/>
      </c>
      <c r="BD160" s="22" t="str">
        <f>IF($B160="","",BB160+BC160)</f>
        <v/>
      </c>
      <c r="BE160" s="22" t="str">
        <f>IF($B160="","",ROUND(AV160-AP160,0))</f>
        <v/>
      </c>
      <c r="BF160" s="22" t="str">
        <f>IF($B160="","",ROUND(AT160-AZ160,0))</f>
        <v/>
      </c>
      <c r="BG160" s="22" t="str">
        <f>IF($B160="","",ROUND(BF160*TarifPPh,0))</f>
        <v/>
      </c>
      <c r="BH160" t="str">
        <f>IF($B160="","",IF($D160="","Kategori kosong",IF($F160="","Tgl perolehan kosong",IF(N($H160)&gt;$G160,"Residu &gt; harga perolehan",IF(AND(LEFT($U160,8)="Bangunan",$W160="Saldo Menurun"),"Bangunan wajib Garis Lurus (Ps.11 UU PPh)",IF(AND($S160="Unit Produksi",N($K160)=0),"Isi kapasitas unit",IF(AND(OR($S160="Garis Lurus",$S160="Saldo Menurun"),N($T160)&lt;=0),"Umur komersial kosong",IF(AND(OR($W160="Garis Lurus",$W160="Saldo Menurun"),N($V160)&lt;=0),"Masa manfaat fiskal kosong",IF(AND($Q160&lt;&gt;"",$Q160&lt;$F160),"Tgl pelepasan &lt; perolehan","OK")))))))))</f>
        <v/>
      </c>
    </row>
    <row r="161" spans="1:60" x14ac:dyDescent="0.25">
      <c r="A161" t="str">
        <f>IF($B161="","",ROW()-6)</f>
        <v/>
      </c>
      <c r="B161" s="9"/>
      <c r="C161" s="9"/>
      <c r="D161" s="9"/>
      <c r="E161" s="9"/>
      <c r="F161" s="17"/>
      <c r="G161" s="18"/>
      <c r="H161" s="18"/>
      <c r="I161" s="9"/>
      <c r="J161" s="9"/>
      <c r="K161" s="19"/>
      <c r="L161" s="19"/>
      <c r="M161" s="19"/>
      <c r="N161" s="9"/>
      <c r="O161" s="9"/>
      <c r="P161" s="9"/>
      <c r="Q161" s="17"/>
      <c r="R161" s="18"/>
      <c r="S161" t="str">
        <f>IF($B161="","",IF($I161&lt;&gt;"",$I161,IFERROR(INDEX(Kat_Metode,MATCH($D161,Kat_Nama,0)),"")))</f>
        <v/>
      </c>
      <c r="T161" t="str">
        <f>IF($B161="","",IF($J161&lt;&gt;"",$J161,IFERROR(INDEX(Kat_Umur,MATCH($D161,Kat_Nama,0)),0)))</f>
        <v/>
      </c>
      <c r="U161" t="str">
        <f>IF($B161="","",IF($N161&lt;&gt;"",$N161,IFERROR(INDEX(Kat_Kelompok,MATCH($D161,Kat_Nama,0)),"")))</f>
        <v/>
      </c>
      <c r="V161" t="str">
        <f>IF($B161="","",IF($U161="Masa Manfaat Sebenarnya",N($O161),IFERROR(INDEX(Kel_Masa,MATCH($U161,Kel_Nama,0)),0)))</f>
        <v/>
      </c>
      <c r="W161" t="str">
        <f>IF($B161="","",IF($P161&lt;&gt;"",$P161,IF(OR($U161="Tidak Disusutkan",$V161=0),"Tidak Disusutkan","Garis Lurus")))</f>
        <v/>
      </c>
      <c r="X161" t="str">
        <f>IF($B161="","",IF($Y161&gt;TahunBuku*12+12,"Belum Diperoleh",IF($Z161&lt;=TahunBuku*12,"Dilepas (thn lalu)",IF($AC161=1,"Dilepas thn ini",IF($AB161=1,"Perolehan baru","Aktif")))))</f>
        <v/>
      </c>
      <c r="Y161" s="20" t="str">
        <f>IF($B161="","",YEAR($F161)*12+MONTH($F161))</f>
        <v/>
      </c>
      <c r="Z161" s="20" t="str">
        <f>IF($B161="","",IF($Q161="",99999,YEAR($Q161)*12+MONTH($Q161)))</f>
        <v/>
      </c>
      <c r="AA161" s="20" t="str">
        <f>IF($B161="","",--AND($Y161&lt;=TahunBuku*12,$Z161&gt;TahunBuku*12))</f>
        <v/>
      </c>
      <c r="AB161" s="20" t="str">
        <f>IF($B161="","",--AND($Y161&gt;TahunBuku*12,$Y161&lt;=TahunBuku*12+12))</f>
        <v/>
      </c>
      <c r="AC161" s="20" t="str">
        <f>IF($B161="","",--AND($Z161&gt;TahunBuku*12,$Z161&lt;=TahunBuku*12+12,$Y161&lt;=$Z161))</f>
        <v/>
      </c>
      <c r="AD161" s="21" t="str">
        <f>IF($B161="","",IFERROR(IF($S161="Garis Lurus",$G161-($G161-$H161)*MIN($T161*12,MAX(0,TahunBuku*12-$Y161+1))/($T161*12),IF($S161="Saldo Menurun",IF(TahunBuku-1&lt;YEAR($F161),$G161,IF(TahunBuku-1&gt;=INT(($Y161+$T161*12-2)/12),$H161,MAX($H161,$G161*(1-2/$T161*(13-MONTH($F161))/12)*(1-2/$T161)^(TahunBuku-1-YEAR($F161))))),IF($S161="Unit Produksi",$G161-($G161-$H161)*MIN(1,N($L161)/$K161),$G161))),$G161))</f>
        <v/>
      </c>
      <c r="AE161" s="21" t="str">
        <f>IF($B161="","",IFERROR(IF($S161="Garis Lurus",$G161-($G161-$H161)*MIN($T161*12,MAX(0,TahunBuku*12+12-$Y161+1))/($T161*12),IF($S161="Saldo Menurun",IF(TahunBuku&lt;YEAR($F161),$G161,IF(TahunBuku&gt;=INT(($Y161+$T161*12-2)/12),$H161,MAX($H161,$G161*(1-2/$T161*(13-MONTH($F161))/12)*(1-2/$T161)^(TahunBuku-YEAR($F161))))),IF($S161="Unit Produksi",$G161-($G161-$H161)*MIN(1,(N($L161)+N($M161))/$K161),$G161))),$G161))</f>
        <v/>
      </c>
      <c r="AF161" s="20" t="str">
        <f>IF($B161="","",IF(OR($S161="Garis Lurus",$S161="Saldo Menurun",$S161="Unit Produksi"),MAX(0,IF($S161="Unit Produksi",TahunBuku*12+12,MIN(TahunBuku*12+12,$Y161+$T161*12-1))-MAX(TahunBuku*12+1,$Y161)+1),0))</f>
        <v/>
      </c>
      <c r="AG161" s="20" t="str">
        <f>IF($B161="","",IF(OR($S161="Garis Lurus",$S161="Saldo Menurun",$S161="Unit Produksi"),MAX(0,MIN($Z161,IF($S161="Unit Produksi",TahunBuku*12+12,MIN(TahunBuku*12+12,$Y161+$T161*12-1)))-MAX(TahunBuku*12+1,$Y161)+1),0))</f>
        <v/>
      </c>
      <c r="AH161" s="21" t="str">
        <f>IF($B161="","",IFERROR(IF($W161="Garis Lurus",$G161*(1-MIN($V161*12,MAX(0,TahunBuku*12-$Y161+1))/($V161*12)),IF($W161="Saldo Menurun",IF(TahunBuku-1&lt;YEAR($F161),$G161,IF(TahunBuku-1&gt;=INT(($Y161+$V161*12-2)/12),0,$G161*(1-2/$V161*(13-MONTH($F161))/12)*(1-2/$V161)^(TahunBuku-1-YEAR($F161)))),$G161)),$G161))</f>
        <v/>
      </c>
      <c r="AI161" s="21" t="str">
        <f>IF($B161="","",IFERROR(IF($W161="Garis Lurus",$G161*(1-MIN($V161*12,MAX(0,TahunBuku*12+12-$Y161+1))/($V161*12)),IF($W161="Saldo Menurun",IF(TahunBuku&lt;YEAR($F161),$G161,IF(TahunBuku&gt;=INT(($Y161+$V161*12-2)/12),0,$G161*(1-2/$V161*(13-MONTH($F161))/12)*(1-2/$V161)^(TahunBuku-YEAR($F161)))),$G161)),$G161))</f>
        <v/>
      </c>
      <c r="AJ161" s="20" t="str">
        <f>IF($B161="","",IF(OR($W161="Garis Lurus",$W161="Saldo Menurun"),MAX(0,MIN(TahunBuku*12+12,$Y161+$V161*12-1)-MAX(TahunBuku*12+1,$Y161)+1),0))</f>
        <v/>
      </c>
      <c r="AK161" s="20" t="str">
        <f>IF($B161="","",IF(OR($W161="Garis Lurus",$W161="Saldo Menurun"),MAX(0,MIN($Z161,TahunBuku*12+12,$Y161+$V161*12-1)-MAX(TahunBuku*12+1,$Y161)+1),0))</f>
        <v/>
      </c>
      <c r="AL161" s="22" t="str">
        <f>IF($B161="","",$G161*$AA161)</f>
        <v/>
      </c>
      <c r="AM161" s="22" t="str">
        <f>IF($B161="","",$G161*$AB161)</f>
        <v/>
      </c>
      <c r="AN161" s="22" t="str">
        <f>IF($B161="","",$G161*$AC161)</f>
        <v/>
      </c>
      <c r="AO161" s="22" t="str">
        <f>IF($B161="","",AL161+AM161-AN161)</f>
        <v/>
      </c>
      <c r="AP161" s="22" t="str">
        <f>IF($B161="","",($G161-$AD161)*$AA161)</f>
        <v/>
      </c>
      <c r="AQ161" s="22" t="str">
        <f>IF($B161="","",IF($AF161=0,0,($AD161-$AE161)*$AG161/$AF161)*MAX($AA161,$AB161))</f>
        <v/>
      </c>
      <c r="AR161" s="22" t="str">
        <f>IF($B161="","",(AP161+AQ161)*$AC161)</f>
        <v/>
      </c>
      <c r="AS161" s="22" t="str">
        <f>IF($B161="","",AP161+AQ161-AR161)</f>
        <v/>
      </c>
      <c r="AT161" s="22" t="str">
        <f>IF($B161="","",AO161-AS161)</f>
        <v/>
      </c>
      <c r="AU161" s="22" t="str">
        <f>IF($B161="","",IF($AC161=1,N($R161)-($G161-AR161),0))</f>
        <v/>
      </c>
      <c r="AV161" s="22" t="str">
        <f>IF($B161="","",($G161-$AH161)*$AA161)</f>
        <v/>
      </c>
      <c r="AW161" s="22" t="str">
        <f>IF($B161="","",IF($AJ161=0,0,($AH161-$AI161)*$AK161/$AJ161)*MAX($AA161,$AB161))</f>
        <v/>
      </c>
      <c r="AX161" s="22" t="str">
        <f>IF($B161="","",(AV161+AW161)*$AC161)</f>
        <v/>
      </c>
      <c r="AY161" s="22" t="str">
        <f>IF($B161="","",AV161+AW161-AX161)</f>
        <v/>
      </c>
      <c r="AZ161" s="22" t="str">
        <f>IF($B161="","",AO161-AY161)</f>
        <v/>
      </c>
      <c r="BA161" s="22" t="str">
        <f>IF($B161="","",IF($AC161=1,N($R161)-($G161-AX161),0))</f>
        <v/>
      </c>
      <c r="BB161" s="22" t="str">
        <f>IF($B161="","",ROUND(AQ161-AW161,0))</f>
        <v/>
      </c>
      <c r="BC161" s="22" t="str">
        <f>IF($B161="","",ROUND(BA161-AU161,0))</f>
        <v/>
      </c>
      <c r="BD161" s="22" t="str">
        <f>IF($B161="","",BB161+BC161)</f>
        <v/>
      </c>
      <c r="BE161" s="22" t="str">
        <f>IF($B161="","",ROUND(AV161-AP161,0))</f>
        <v/>
      </c>
      <c r="BF161" s="22" t="str">
        <f>IF($B161="","",ROUND(AT161-AZ161,0))</f>
        <v/>
      </c>
      <c r="BG161" s="22" t="str">
        <f>IF($B161="","",ROUND(BF161*TarifPPh,0))</f>
        <v/>
      </c>
      <c r="BH161" t="str">
        <f>IF($B161="","",IF($D161="","Kategori kosong",IF($F161="","Tgl perolehan kosong",IF(N($H161)&gt;$G161,"Residu &gt; harga perolehan",IF(AND(LEFT($U161,8)="Bangunan",$W161="Saldo Menurun"),"Bangunan wajib Garis Lurus (Ps.11 UU PPh)",IF(AND($S161="Unit Produksi",N($K161)=0),"Isi kapasitas unit",IF(AND(OR($S161="Garis Lurus",$S161="Saldo Menurun"),N($T161)&lt;=0),"Umur komersial kosong",IF(AND(OR($W161="Garis Lurus",$W161="Saldo Menurun"),N($V161)&lt;=0),"Masa manfaat fiskal kosong",IF(AND($Q161&lt;&gt;"",$Q161&lt;$F161),"Tgl pelepasan &lt; perolehan","OK")))))))))</f>
        <v/>
      </c>
    </row>
    <row r="162" spans="1:60" x14ac:dyDescent="0.25">
      <c r="A162" t="str">
        <f>IF($B162="","",ROW()-6)</f>
        <v/>
      </c>
      <c r="B162" s="9"/>
      <c r="C162" s="9"/>
      <c r="D162" s="9"/>
      <c r="E162" s="9"/>
      <c r="F162" s="17"/>
      <c r="G162" s="18"/>
      <c r="H162" s="18"/>
      <c r="I162" s="9"/>
      <c r="J162" s="9"/>
      <c r="K162" s="19"/>
      <c r="L162" s="19"/>
      <c r="M162" s="19"/>
      <c r="N162" s="9"/>
      <c r="O162" s="9"/>
      <c r="P162" s="9"/>
      <c r="Q162" s="17"/>
      <c r="R162" s="18"/>
      <c r="S162" t="str">
        <f>IF($B162="","",IF($I162&lt;&gt;"",$I162,IFERROR(INDEX(Kat_Metode,MATCH($D162,Kat_Nama,0)),"")))</f>
        <v/>
      </c>
      <c r="T162" t="str">
        <f>IF($B162="","",IF($J162&lt;&gt;"",$J162,IFERROR(INDEX(Kat_Umur,MATCH($D162,Kat_Nama,0)),0)))</f>
        <v/>
      </c>
      <c r="U162" t="str">
        <f>IF($B162="","",IF($N162&lt;&gt;"",$N162,IFERROR(INDEX(Kat_Kelompok,MATCH($D162,Kat_Nama,0)),"")))</f>
        <v/>
      </c>
      <c r="V162" t="str">
        <f>IF($B162="","",IF($U162="Masa Manfaat Sebenarnya",N($O162),IFERROR(INDEX(Kel_Masa,MATCH($U162,Kel_Nama,0)),0)))</f>
        <v/>
      </c>
      <c r="W162" t="str">
        <f>IF($B162="","",IF($P162&lt;&gt;"",$P162,IF(OR($U162="Tidak Disusutkan",$V162=0),"Tidak Disusutkan","Garis Lurus")))</f>
        <v/>
      </c>
      <c r="X162" t="str">
        <f>IF($B162="","",IF($Y162&gt;TahunBuku*12+12,"Belum Diperoleh",IF($Z162&lt;=TahunBuku*12,"Dilepas (thn lalu)",IF($AC162=1,"Dilepas thn ini",IF($AB162=1,"Perolehan baru","Aktif")))))</f>
        <v/>
      </c>
      <c r="Y162" s="20" t="str">
        <f>IF($B162="","",YEAR($F162)*12+MONTH($F162))</f>
        <v/>
      </c>
      <c r="Z162" s="20" t="str">
        <f>IF($B162="","",IF($Q162="",99999,YEAR($Q162)*12+MONTH($Q162)))</f>
        <v/>
      </c>
      <c r="AA162" s="20" t="str">
        <f>IF($B162="","",--AND($Y162&lt;=TahunBuku*12,$Z162&gt;TahunBuku*12))</f>
        <v/>
      </c>
      <c r="AB162" s="20" t="str">
        <f>IF($B162="","",--AND($Y162&gt;TahunBuku*12,$Y162&lt;=TahunBuku*12+12))</f>
        <v/>
      </c>
      <c r="AC162" s="20" t="str">
        <f>IF($B162="","",--AND($Z162&gt;TahunBuku*12,$Z162&lt;=TahunBuku*12+12,$Y162&lt;=$Z162))</f>
        <v/>
      </c>
      <c r="AD162" s="21" t="str">
        <f>IF($B162="","",IFERROR(IF($S162="Garis Lurus",$G162-($G162-$H162)*MIN($T162*12,MAX(0,TahunBuku*12-$Y162+1))/($T162*12),IF($S162="Saldo Menurun",IF(TahunBuku-1&lt;YEAR($F162),$G162,IF(TahunBuku-1&gt;=INT(($Y162+$T162*12-2)/12),$H162,MAX($H162,$G162*(1-2/$T162*(13-MONTH($F162))/12)*(1-2/$T162)^(TahunBuku-1-YEAR($F162))))),IF($S162="Unit Produksi",$G162-($G162-$H162)*MIN(1,N($L162)/$K162),$G162))),$G162))</f>
        <v/>
      </c>
      <c r="AE162" s="21" t="str">
        <f>IF($B162="","",IFERROR(IF($S162="Garis Lurus",$G162-($G162-$H162)*MIN($T162*12,MAX(0,TahunBuku*12+12-$Y162+1))/($T162*12),IF($S162="Saldo Menurun",IF(TahunBuku&lt;YEAR($F162),$G162,IF(TahunBuku&gt;=INT(($Y162+$T162*12-2)/12),$H162,MAX($H162,$G162*(1-2/$T162*(13-MONTH($F162))/12)*(1-2/$T162)^(TahunBuku-YEAR($F162))))),IF($S162="Unit Produksi",$G162-($G162-$H162)*MIN(1,(N($L162)+N($M162))/$K162),$G162))),$G162))</f>
        <v/>
      </c>
      <c r="AF162" s="20" t="str">
        <f>IF($B162="","",IF(OR($S162="Garis Lurus",$S162="Saldo Menurun",$S162="Unit Produksi"),MAX(0,IF($S162="Unit Produksi",TahunBuku*12+12,MIN(TahunBuku*12+12,$Y162+$T162*12-1))-MAX(TahunBuku*12+1,$Y162)+1),0))</f>
        <v/>
      </c>
      <c r="AG162" s="20" t="str">
        <f>IF($B162="","",IF(OR($S162="Garis Lurus",$S162="Saldo Menurun",$S162="Unit Produksi"),MAX(0,MIN($Z162,IF($S162="Unit Produksi",TahunBuku*12+12,MIN(TahunBuku*12+12,$Y162+$T162*12-1)))-MAX(TahunBuku*12+1,$Y162)+1),0))</f>
        <v/>
      </c>
      <c r="AH162" s="21" t="str">
        <f>IF($B162="","",IFERROR(IF($W162="Garis Lurus",$G162*(1-MIN($V162*12,MAX(0,TahunBuku*12-$Y162+1))/($V162*12)),IF($W162="Saldo Menurun",IF(TahunBuku-1&lt;YEAR($F162),$G162,IF(TahunBuku-1&gt;=INT(($Y162+$V162*12-2)/12),0,$G162*(1-2/$V162*(13-MONTH($F162))/12)*(1-2/$V162)^(TahunBuku-1-YEAR($F162)))),$G162)),$G162))</f>
        <v/>
      </c>
      <c r="AI162" s="21" t="str">
        <f>IF($B162="","",IFERROR(IF($W162="Garis Lurus",$G162*(1-MIN($V162*12,MAX(0,TahunBuku*12+12-$Y162+1))/($V162*12)),IF($W162="Saldo Menurun",IF(TahunBuku&lt;YEAR($F162),$G162,IF(TahunBuku&gt;=INT(($Y162+$V162*12-2)/12),0,$G162*(1-2/$V162*(13-MONTH($F162))/12)*(1-2/$V162)^(TahunBuku-YEAR($F162)))),$G162)),$G162))</f>
        <v/>
      </c>
      <c r="AJ162" s="20" t="str">
        <f>IF($B162="","",IF(OR($W162="Garis Lurus",$W162="Saldo Menurun"),MAX(0,MIN(TahunBuku*12+12,$Y162+$V162*12-1)-MAX(TahunBuku*12+1,$Y162)+1),0))</f>
        <v/>
      </c>
      <c r="AK162" s="20" t="str">
        <f>IF($B162="","",IF(OR($W162="Garis Lurus",$W162="Saldo Menurun"),MAX(0,MIN($Z162,TahunBuku*12+12,$Y162+$V162*12-1)-MAX(TahunBuku*12+1,$Y162)+1),0))</f>
        <v/>
      </c>
      <c r="AL162" s="22" t="str">
        <f>IF($B162="","",$G162*$AA162)</f>
        <v/>
      </c>
      <c r="AM162" s="22" t="str">
        <f>IF($B162="","",$G162*$AB162)</f>
        <v/>
      </c>
      <c r="AN162" s="22" t="str">
        <f>IF($B162="","",$G162*$AC162)</f>
        <v/>
      </c>
      <c r="AO162" s="22" t="str">
        <f>IF($B162="","",AL162+AM162-AN162)</f>
        <v/>
      </c>
      <c r="AP162" s="22" t="str">
        <f>IF($B162="","",($G162-$AD162)*$AA162)</f>
        <v/>
      </c>
      <c r="AQ162" s="22" t="str">
        <f>IF($B162="","",IF($AF162=0,0,($AD162-$AE162)*$AG162/$AF162)*MAX($AA162,$AB162))</f>
        <v/>
      </c>
      <c r="AR162" s="22" t="str">
        <f>IF($B162="","",(AP162+AQ162)*$AC162)</f>
        <v/>
      </c>
      <c r="AS162" s="22" t="str">
        <f>IF($B162="","",AP162+AQ162-AR162)</f>
        <v/>
      </c>
      <c r="AT162" s="22" t="str">
        <f>IF($B162="","",AO162-AS162)</f>
        <v/>
      </c>
      <c r="AU162" s="22" t="str">
        <f>IF($B162="","",IF($AC162=1,N($R162)-($G162-AR162),0))</f>
        <v/>
      </c>
      <c r="AV162" s="22" t="str">
        <f>IF($B162="","",($G162-$AH162)*$AA162)</f>
        <v/>
      </c>
      <c r="AW162" s="22" t="str">
        <f>IF($B162="","",IF($AJ162=0,0,($AH162-$AI162)*$AK162/$AJ162)*MAX($AA162,$AB162))</f>
        <v/>
      </c>
      <c r="AX162" s="22" t="str">
        <f>IF($B162="","",(AV162+AW162)*$AC162)</f>
        <v/>
      </c>
      <c r="AY162" s="22" t="str">
        <f>IF($B162="","",AV162+AW162-AX162)</f>
        <v/>
      </c>
      <c r="AZ162" s="22" t="str">
        <f>IF($B162="","",AO162-AY162)</f>
        <v/>
      </c>
      <c r="BA162" s="22" t="str">
        <f>IF($B162="","",IF($AC162=1,N($R162)-($G162-AX162),0))</f>
        <v/>
      </c>
      <c r="BB162" s="22" t="str">
        <f>IF($B162="","",ROUND(AQ162-AW162,0))</f>
        <v/>
      </c>
      <c r="BC162" s="22" t="str">
        <f>IF($B162="","",ROUND(BA162-AU162,0))</f>
        <v/>
      </c>
      <c r="BD162" s="22" t="str">
        <f>IF($B162="","",BB162+BC162)</f>
        <v/>
      </c>
      <c r="BE162" s="22" t="str">
        <f>IF($B162="","",ROUND(AV162-AP162,0))</f>
        <v/>
      </c>
      <c r="BF162" s="22" t="str">
        <f>IF($B162="","",ROUND(AT162-AZ162,0))</f>
        <v/>
      </c>
      <c r="BG162" s="22" t="str">
        <f>IF($B162="","",ROUND(BF162*TarifPPh,0))</f>
        <v/>
      </c>
      <c r="BH162" t="str">
        <f>IF($B162="","",IF($D162="","Kategori kosong",IF($F162="","Tgl perolehan kosong",IF(N($H162)&gt;$G162,"Residu &gt; harga perolehan",IF(AND(LEFT($U162,8)="Bangunan",$W162="Saldo Menurun"),"Bangunan wajib Garis Lurus (Ps.11 UU PPh)",IF(AND($S162="Unit Produksi",N($K162)=0),"Isi kapasitas unit",IF(AND(OR($S162="Garis Lurus",$S162="Saldo Menurun"),N($T162)&lt;=0),"Umur komersial kosong",IF(AND(OR($W162="Garis Lurus",$W162="Saldo Menurun"),N($V162)&lt;=0),"Masa manfaat fiskal kosong",IF(AND($Q162&lt;&gt;"",$Q162&lt;$F162),"Tgl pelepasan &lt; perolehan","OK")))))))))</f>
        <v/>
      </c>
    </row>
    <row r="163" spans="1:60" x14ac:dyDescent="0.25">
      <c r="A163" t="str">
        <f>IF($B163="","",ROW()-6)</f>
        <v/>
      </c>
      <c r="B163" s="9"/>
      <c r="C163" s="9"/>
      <c r="D163" s="9"/>
      <c r="E163" s="9"/>
      <c r="F163" s="17"/>
      <c r="G163" s="18"/>
      <c r="H163" s="18"/>
      <c r="I163" s="9"/>
      <c r="J163" s="9"/>
      <c r="K163" s="19"/>
      <c r="L163" s="19"/>
      <c r="M163" s="19"/>
      <c r="N163" s="9"/>
      <c r="O163" s="9"/>
      <c r="P163" s="9"/>
      <c r="Q163" s="17"/>
      <c r="R163" s="18"/>
      <c r="S163" t="str">
        <f>IF($B163="","",IF($I163&lt;&gt;"",$I163,IFERROR(INDEX(Kat_Metode,MATCH($D163,Kat_Nama,0)),"")))</f>
        <v/>
      </c>
      <c r="T163" t="str">
        <f>IF($B163="","",IF($J163&lt;&gt;"",$J163,IFERROR(INDEX(Kat_Umur,MATCH($D163,Kat_Nama,0)),0)))</f>
        <v/>
      </c>
      <c r="U163" t="str">
        <f>IF($B163="","",IF($N163&lt;&gt;"",$N163,IFERROR(INDEX(Kat_Kelompok,MATCH($D163,Kat_Nama,0)),"")))</f>
        <v/>
      </c>
      <c r="V163" t="str">
        <f>IF($B163="","",IF($U163="Masa Manfaat Sebenarnya",N($O163),IFERROR(INDEX(Kel_Masa,MATCH($U163,Kel_Nama,0)),0)))</f>
        <v/>
      </c>
      <c r="W163" t="str">
        <f>IF($B163="","",IF($P163&lt;&gt;"",$P163,IF(OR($U163="Tidak Disusutkan",$V163=0),"Tidak Disusutkan","Garis Lurus")))</f>
        <v/>
      </c>
      <c r="X163" t="str">
        <f>IF($B163="","",IF($Y163&gt;TahunBuku*12+12,"Belum Diperoleh",IF($Z163&lt;=TahunBuku*12,"Dilepas (thn lalu)",IF($AC163=1,"Dilepas thn ini",IF($AB163=1,"Perolehan baru","Aktif")))))</f>
        <v/>
      </c>
      <c r="Y163" s="20" t="str">
        <f>IF($B163="","",YEAR($F163)*12+MONTH($F163))</f>
        <v/>
      </c>
      <c r="Z163" s="20" t="str">
        <f>IF($B163="","",IF($Q163="",99999,YEAR($Q163)*12+MONTH($Q163)))</f>
        <v/>
      </c>
      <c r="AA163" s="20" t="str">
        <f>IF($B163="","",--AND($Y163&lt;=TahunBuku*12,$Z163&gt;TahunBuku*12))</f>
        <v/>
      </c>
      <c r="AB163" s="20" t="str">
        <f>IF($B163="","",--AND($Y163&gt;TahunBuku*12,$Y163&lt;=TahunBuku*12+12))</f>
        <v/>
      </c>
      <c r="AC163" s="20" t="str">
        <f>IF($B163="","",--AND($Z163&gt;TahunBuku*12,$Z163&lt;=TahunBuku*12+12,$Y163&lt;=$Z163))</f>
        <v/>
      </c>
      <c r="AD163" s="21" t="str">
        <f>IF($B163="","",IFERROR(IF($S163="Garis Lurus",$G163-($G163-$H163)*MIN($T163*12,MAX(0,TahunBuku*12-$Y163+1))/($T163*12),IF($S163="Saldo Menurun",IF(TahunBuku-1&lt;YEAR($F163),$G163,IF(TahunBuku-1&gt;=INT(($Y163+$T163*12-2)/12),$H163,MAX($H163,$G163*(1-2/$T163*(13-MONTH($F163))/12)*(1-2/$T163)^(TahunBuku-1-YEAR($F163))))),IF($S163="Unit Produksi",$G163-($G163-$H163)*MIN(1,N($L163)/$K163),$G163))),$G163))</f>
        <v/>
      </c>
      <c r="AE163" s="21" t="str">
        <f>IF($B163="","",IFERROR(IF($S163="Garis Lurus",$G163-($G163-$H163)*MIN($T163*12,MAX(0,TahunBuku*12+12-$Y163+1))/($T163*12),IF($S163="Saldo Menurun",IF(TahunBuku&lt;YEAR($F163),$G163,IF(TahunBuku&gt;=INT(($Y163+$T163*12-2)/12),$H163,MAX($H163,$G163*(1-2/$T163*(13-MONTH($F163))/12)*(1-2/$T163)^(TahunBuku-YEAR($F163))))),IF($S163="Unit Produksi",$G163-($G163-$H163)*MIN(1,(N($L163)+N($M163))/$K163),$G163))),$G163))</f>
        <v/>
      </c>
      <c r="AF163" s="20" t="str">
        <f>IF($B163="","",IF(OR($S163="Garis Lurus",$S163="Saldo Menurun",$S163="Unit Produksi"),MAX(0,IF($S163="Unit Produksi",TahunBuku*12+12,MIN(TahunBuku*12+12,$Y163+$T163*12-1))-MAX(TahunBuku*12+1,$Y163)+1),0))</f>
        <v/>
      </c>
      <c r="AG163" s="20" t="str">
        <f>IF($B163="","",IF(OR($S163="Garis Lurus",$S163="Saldo Menurun",$S163="Unit Produksi"),MAX(0,MIN($Z163,IF($S163="Unit Produksi",TahunBuku*12+12,MIN(TahunBuku*12+12,$Y163+$T163*12-1)))-MAX(TahunBuku*12+1,$Y163)+1),0))</f>
        <v/>
      </c>
      <c r="AH163" s="21" t="str">
        <f>IF($B163="","",IFERROR(IF($W163="Garis Lurus",$G163*(1-MIN($V163*12,MAX(0,TahunBuku*12-$Y163+1))/($V163*12)),IF($W163="Saldo Menurun",IF(TahunBuku-1&lt;YEAR($F163),$G163,IF(TahunBuku-1&gt;=INT(($Y163+$V163*12-2)/12),0,$G163*(1-2/$V163*(13-MONTH($F163))/12)*(1-2/$V163)^(TahunBuku-1-YEAR($F163)))),$G163)),$G163))</f>
        <v/>
      </c>
      <c r="AI163" s="21" t="str">
        <f>IF($B163="","",IFERROR(IF($W163="Garis Lurus",$G163*(1-MIN($V163*12,MAX(0,TahunBuku*12+12-$Y163+1))/($V163*12)),IF($W163="Saldo Menurun",IF(TahunBuku&lt;YEAR($F163),$G163,IF(TahunBuku&gt;=INT(($Y163+$V163*12-2)/12),0,$G163*(1-2/$V163*(13-MONTH($F163))/12)*(1-2/$V163)^(TahunBuku-YEAR($F163)))),$G163)),$G163))</f>
        <v/>
      </c>
      <c r="AJ163" s="20" t="str">
        <f>IF($B163="","",IF(OR($W163="Garis Lurus",$W163="Saldo Menurun"),MAX(0,MIN(TahunBuku*12+12,$Y163+$V163*12-1)-MAX(TahunBuku*12+1,$Y163)+1),0))</f>
        <v/>
      </c>
      <c r="AK163" s="20" t="str">
        <f>IF($B163="","",IF(OR($W163="Garis Lurus",$W163="Saldo Menurun"),MAX(0,MIN($Z163,TahunBuku*12+12,$Y163+$V163*12-1)-MAX(TahunBuku*12+1,$Y163)+1),0))</f>
        <v/>
      </c>
      <c r="AL163" s="22" t="str">
        <f>IF($B163="","",$G163*$AA163)</f>
        <v/>
      </c>
      <c r="AM163" s="22" t="str">
        <f>IF($B163="","",$G163*$AB163)</f>
        <v/>
      </c>
      <c r="AN163" s="22" t="str">
        <f>IF($B163="","",$G163*$AC163)</f>
        <v/>
      </c>
      <c r="AO163" s="22" t="str">
        <f>IF($B163="","",AL163+AM163-AN163)</f>
        <v/>
      </c>
      <c r="AP163" s="22" t="str">
        <f>IF($B163="","",($G163-$AD163)*$AA163)</f>
        <v/>
      </c>
      <c r="AQ163" s="22" t="str">
        <f>IF($B163="","",IF($AF163=0,0,($AD163-$AE163)*$AG163/$AF163)*MAX($AA163,$AB163))</f>
        <v/>
      </c>
      <c r="AR163" s="22" t="str">
        <f>IF($B163="","",(AP163+AQ163)*$AC163)</f>
        <v/>
      </c>
      <c r="AS163" s="22" t="str">
        <f>IF($B163="","",AP163+AQ163-AR163)</f>
        <v/>
      </c>
      <c r="AT163" s="22" t="str">
        <f>IF($B163="","",AO163-AS163)</f>
        <v/>
      </c>
      <c r="AU163" s="22" t="str">
        <f>IF($B163="","",IF($AC163=1,N($R163)-($G163-AR163),0))</f>
        <v/>
      </c>
      <c r="AV163" s="22" t="str">
        <f>IF($B163="","",($G163-$AH163)*$AA163)</f>
        <v/>
      </c>
      <c r="AW163" s="22" t="str">
        <f>IF($B163="","",IF($AJ163=0,0,($AH163-$AI163)*$AK163/$AJ163)*MAX($AA163,$AB163))</f>
        <v/>
      </c>
      <c r="AX163" s="22" t="str">
        <f>IF($B163="","",(AV163+AW163)*$AC163)</f>
        <v/>
      </c>
      <c r="AY163" s="22" t="str">
        <f>IF($B163="","",AV163+AW163-AX163)</f>
        <v/>
      </c>
      <c r="AZ163" s="22" t="str">
        <f>IF($B163="","",AO163-AY163)</f>
        <v/>
      </c>
      <c r="BA163" s="22" t="str">
        <f>IF($B163="","",IF($AC163=1,N($R163)-($G163-AX163),0))</f>
        <v/>
      </c>
      <c r="BB163" s="22" t="str">
        <f>IF($B163="","",ROUND(AQ163-AW163,0))</f>
        <v/>
      </c>
      <c r="BC163" s="22" t="str">
        <f>IF($B163="","",ROUND(BA163-AU163,0))</f>
        <v/>
      </c>
      <c r="BD163" s="22" t="str">
        <f>IF($B163="","",BB163+BC163)</f>
        <v/>
      </c>
      <c r="BE163" s="22" t="str">
        <f>IF($B163="","",ROUND(AV163-AP163,0))</f>
        <v/>
      </c>
      <c r="BF163" s="22" t="str">
        <f>IF($B163="","",ROUND(AT163-AZ163,0))</f>
        <v/>
      </c>
      <c r="BG163" s="22" t="str">
        <f>IF($B163="","",ROUND(BF163*TarifPPh,0))</f>
        <v/>
      </c>
      <c r="BH163" t="str">
        <f>IF($B163="","",IF($D163="","Kategori kosong",IF($F163="","Tgl perolehan kosong",IF(N($H163)&gt;$G163,"Residu &gt; harga perolehan",IF(AND(LEFT($U163,8)="Bangunan",$W163="Saldo Menurun"),"Bangunan wajib Garis Lurus (Ps.11 UU PPh)",IF(AND($S163="Unit Produksi",N($K163)=0),"Isi kapasitas unit",IF(AND(OR($S163="Garis Lurus",$S163="Saldo Menurun"),N($T163)&lt;=0),"Umur komersial kosong",IF(AND(OR($W163="Garis Lurus",$W163="Saldo Menurun"),N($V163)&lt;=0),"Masa manfaat fiskal kosong",IF(AND($Q163&lt;&gt;"",$Q163&lt;$F163),"Tgl pelepasan &lt; perolehan","OK")))))))))</f>
        <v/>
      </c>
    </row>
    <row r="164" spans="1:60" x14ac:dyDescent="0.25">
      <c r="A164" t="str">
        <f>IF($B164="","",ROW()-6)</f>
        <v/>
      </c>
      <c r="B164" s="9"/>
      <c r="C164" s="9"/>
      <c r="D164" s="9"/>
      <c r="E164" s="9"/>
      <c r="F164" s="17"/>
      <c r="G164" s="18"/>
      <c r="H164" s="18"/>
      <c r="I164" s="9"/>
      <c r="J164" s="9"/>
      <c r="K164" s="19"/>
      <c r="L164" s="19"/>
      <c r="M164" s="19"/>
      <c r="N164" s="9"/>
      <c r="O164" s="9"/>
      <c r="P164" s="9"/>
      <c r="Q164" s="17"/>
      <c r="R164" s="18"/>
      <c r="S164" t="str">
        <f>IF($B164="","",IF($I164&lt;&gt;"",$I164,IFERROR(INDEX(Kat_Metode,MATCH($D164,Kat_Nama,0)),"")))</f>
        <v/>
      </c>
      <c r="T164" t="str">
        <f>IF($B164="","",IF($J164&lt;&gt;"",$J164,IFERROR(INDEX(Kat_Umur,MATCH($D164,Kat_Nama,0)),0)))</f>
        <v/>
      </c>
      <c r="U164" t="str">
        <f>IF($B164="","",IF($N164&lt;&gt;"",$N164,IFERROR(INDEX(Kat_Kelompok,MATCH($D164,Kat_Nama,0)),"")))</f>
        <v/>
      </c>
      <c r="V164" t="str">
        <f>IF($B164="","",IF($U164="Masa Manfaat Sebenarnya",N($O164),IFERROR(INDEX(Kel_Masa,MATCH($U164,Kel_Nama,0)),0)))</f>
        <v/>
      </c>
      <c r="W164" t="str">
        <f>IF($B164="","",IF($P164&lt;&gt;"",$P164,IF(OR($U164="Tidak Disusutkan",$V164=0),"Tidak Disusutkan","Garis Lurus")))</f>
        <v/>
      </c>
      <c r="X164" t="str">
        <f>IF($B164="","",IF($Y164&gt;TahunBuku*12+12,"Belum Diperoleh",IF($Z164&lt;=TahunBuku*12,"Dilepas (thn lalu)",IF($AC164=1,"Dilepas thn ini",IF($AB164=1,"Perolehan baru","Aktif")))))</f>
        <v/>
      </c>
      <c r="Y164" s="20" t="str">
        <f>IF($B164="","",YEAR($F164)*12+MONTH($F164))</f>
        <v/>
      </c>
      <c r="Z164" s="20" t="str">
        <f>IF($B164="","",IF($Q164="",99999,YEAR($Q164)*12+MONTH($Q164)))</f>
        <v/>
      </c>
      <c r="AA164" s="20" t="str">
        <f>IF($B164="","",--AND($Y164&lt;=TahunBuku*12,$Z164&gt;TahunBuku*12))</f>
        <v/>
      </c>
      <c r="AB164" s="20" t="str">
        <f>IF($B164="","",--AND($Y164&gt;TahunBuku*12,$Y164&lt;=TahunBuku*12+12))</f>
        <v/>
      </c>
      <c r="AC164" s="20" t="str">
        <f>IF($B164="","",--AND($Z164&gt;TahunBuku*12,$Z164&lt;=TahunBuku*12+12,$Y164&lt;=$Z164))</f>
        <v/>
      </c>
      <c r="AD164" s="21" t="str">
        <f>IF($B164="","",IFERROR(IF($S164="Garis Lurus",$G164-($G164-$H164)*MIN($T164*12,MAX(0,TahunBuku*12-$Y164+1))/($T164*12),IF($S164="Saldo Menurun",IF(TahunBuku-1&lt;YEAR($F164),$G164,IF(TahunBuku-1&gt;=INT(($Y164+$T164*12-2)/12),$H164,MAX($H164,$G164*(1-2/$T164*(13-MONTH($F164))/12)*(1-2/$T164)^(TahunBuku-1-YEAR($F164))))),IF($S164="Unit Produksi",$G164-($G164-$H164)*MIN(1,N($L164)/$K164),$G164))),$G164))</f>
        <v/>
      </c>
      <c r="AE164" s="21" t="str">
        <f>IF($B164="","",IFERROR(IF($S164="Garis Lurus",$G164-($G164-$H164)*MIN($T164*12,MAX(0,TahunBuku*12+12-$Y164+1))/($T164*12),IF($S164="Saldo Menurun",IF(TahunBuku&lt;YEAR($F164),$G164,IF(TahunBuku&gt;=INT(($Y164+$T164*12-2)/12),$H164,MAX($H164,$G164*(1-2/$T164*(13-MONTH($F164))/12)*(1-2/$T164)^(TahunBuku-YEAR($F164))))),IF($S164="Unit Produksi",$G164-($G164-$H164)*MIN(1,(N($L164)+N($M164))/$K164),$G164))),$G164))</f>
        <v/>
      </c>
      <c r="AF164" s="20" t="str">
        <f>IF($B164="","",IF(OR($S164="Garis Lurus",$S164="Saldo Menurun",$S164="Unit Produksi"),MAX(0,IF($S164="Unit Produksi",TahunBuku*12+12,MIN(TahunBuku*12+12,$Y164+$T164*12-1))-MAX(TahunBuku*12+1,$Y164)+1),0))</f>
        <v/>
      </c>
      <c r="AG164" s="20" t="str">
        <f>IF($B164="","",IF(OR($S164="Garis Lurus",$S164="Saldo Menurun",$S164="Unit Produksi"),MAX(0,MIN($Z164,IF($S164="Unit Produksi",TahunBuku*12+12,MIN(TahunBuku*12+12,$Y164+$T164*12-1)))-MAX(TahunBuku*12+1,$Y164)+1),0))</f>
        <v/>
      </c>
      <c r="AH164" s="21" t="str">
        <f>IF($B164="","",IFERROR(IF($W164="Garis Lurus",$G164*(1-MIN($V164*12,MAX(0,TahunBuku*12-$Y164+1))/($V164*12)),IF($W164="Saldo Menurun",IF(TahunBuku-1&lt;YEAR($F164),$G164,IF(TahunBuku-1&gt;=INT(($Y164+$V164*12-2)/12),0,$G164*(1-2/$V164*(13-MONTH($F164))/12)*(1-2/$V164)^(TahunBuku-1-YEAR($F164)))),$G164)),$G164))</f>
        <v/>
      </c>
      <c r="AI164" s="21" t="str">
        <f>IF($B164="","",IFERROR(IF($W164="Garis Lurus",$G164*(1-MIN($V164*12,MAX(0,TahunBuku*12+12-$Y164+1))/($V164*12)),IF($W164="Saldo Menurun",IF(TahunBuku&lt;YEAR($F164),$G164,IF(TahunBuku&gt;=INT(($Y164+$V164*12-2)/12),0,$G164*(1-2/$V164*(13-MONTH($F164))/12)*(1-2/$V164)^(TahunBuku-YEAR($F164)))),$G164)),$G164))</f>
        <v/>
      </c>
      <c r="AJ164" s="20" t="str">
        <f>IF($B164="","",IF(OR($W164="Garis Lurus",$W164="Saldo Menurun"),MAX(0,MIN(TahunBuku*12+12,$Y164+$V164*12-1)-MAX(TahunBuku*12+1,$Y164)+1),0))</f>
        <v/>
      </c>
      <c r="AK164" s="20" t="str">
        <f>IF($B164="","",IF(OR($W164="Garis Lurus",$W164="Saldo Menurun"),MAX(0,MIN($Z164,TahunBuku*12+12,$Y164+$V164*12-1)-MAX(TahunBuku*12+1,$Y164)+1),0))</f>
        <v/>
      </c>
      <c r="AL164" s="22" t="str">
        <f>IF($B164="","",$G164*$AA164)</f>
        <v/>
      </c>
      <c r="AM164" s="22" t="str">
        <f>IF($B164="","",$G164*$AB164)</f>
        <v/>
      </c>
      <c r="AN164" s="22" t="str">
        <f>IF($B164="","",$G164*$AC164)</f>
        <v/>
      </c>
      <c r="AO164" s="22" t="str">
        <f>IF($B164="","",AL164+AM164-AN164)</f>
        <v/>
      </c>
      <c r="AP164" s="22" t="str">
        <f>IF($B164="","",($G164-$AD164)*$AA164)</f>
        <v/>
      </c>
      <c r="AQ164" s="22" t="str">
        <f>IF($B164="","",IF($AF164=0,0,($AD164-$AE164)*$AG164/$AF164)*MAX($AA164,$AB164))</f>
        <v/>
      </c>
      <c r="AR164" s="22" t="str">
        <f>IF($B164="","",(AP164+AQ164)*$AC164)</f>
        <v/>
      </c>
      <c r="AS164" s="22" t="str">
        <f>IF($B164="","",AP164+AQ164-AR164)</f>
        <v/>
      </c>
      <c r="AT164" s="22" t="str">
        <f>IF($B164="","",AO164-AS164)</f>
        <v/>
      </c>
      <c r="AU164" s="22" t="str">
        <f>IF($B164="","",IF($AC164=1,N($R164)-($G164-AR164),0))</f>
        <v/>
      </c>
      <c r="AV164" s="22" t="str">
        <f>IF($B164="","",($G164-$AH164)*$AA164)</f>
        <v/>
      </c>
      <c r="AW164" s="22" t="str">
        <f>IF($B164="","",IF($AJ164=0,0,($AH164-$AI164)*$AK164/$AJ164)*MAX($AA164,$AB164))</f>
        <v/>
      </c>
      <c r="AX164" s="22" t="str">
        <f>IF($B164="","",(AV164+AW164)*$AC164)</f>
        <v/>
      </c>
      <c r="AY164" s="22" t="str">
        <f>IF($B164="","",AV164+AW164-AX164)</f>
        <v/>
      </c>
      <c r="AZ164" s="22" t="str">
        <f>IF($B164="","",AO164-AY164)</f>
        <v/>
      </c>
      <c r="BA164" s="22" t="str">
        <f>IF($B164="","",IF($AC164=1,N($R164)-($G164-AX164),0))</f>
        <v/>
      </c>
      <c r="BB164" s="22" t="str">
        <f>IF($B164="","",ROUND(AQ164-AW164,0))</f>
        <v/>
      </c>
      <c r="BC164" s="22" t="str">
        <f>IF($B164="","",ROUND(BA164-AU164,0))</f>
        <v/>
      </c>
      <c r="BD164" s="22" t="str">
        <f>IF($B164="","",BB164+BC164)</f>
        <v/>
      </c>
      <c r="BE164" s="22" t="str">
        <f>IF($B164="","",ROUND(AV164-AP164,0))</f>
        <v/>
      </c>
      <c r="BF164" s="22" t="str">
        <f>IF($B164="","",ROUND(AT164-AZ164,0))</f>
        <v/>
      </c>
      <c r="BG164" s="22" t="str">
        <f>IF($B164="","",ROUND(BF164*TarifPPh,0))</f>
        <v/>
      </c>
      <c r="BH164" t="str">
        <f>IF($B164="","",IF($D164="","Kategori kosong",IF($F164="","Tgl perolehan kosong",IF(N($H164)&gt;$G164,"Residu &gt; harga perolehan",IF(AND(LEFT($U164,8)="Bangunan",$W164="Saldo Menurun"),"Bangunan wajib Garis Lurus (Ps.11 UU PPh)",IF(AND($S164="Unit Produksi",N($K164)=0),"Isi kapasitas unit",IF(AND(OR($S164="Garis Lurus",$S164="Saldo Menurun"),N($T164)&lt;=0),"Umur komersial kosong",IF(AND(OR($W164="Garis Lurus",$W164="Saldo Menurun"),N($V164)&lt;=0),"Masa manfaat fiskal kosong",IF(AND($Q164&lt;&gt;"",$Q164&lt;$F164),"Tgl pelepasan &lt; perolehan","OK")))))))))</f>
        <v/>
      </c>
    </row>
    <row r="165" spans="1:60" x14ac:dyDescent="0.25">
      <c r="A165" t="str">
        <f>IF($B165="","",ROW()-6)</f>
        <v/>
      </c>
      <c r="B165" s="9"/>
      <c r="C165" s="9"/>
      <c r="D165" s="9"/>
      <c r="E165" s="9"/>
      <c r="F165" s="17"/>
      <c r="G165" s="18"/>
      <c r="H165" s="18"/>
      <c r="I165" s="9"/>
      <c r="J165" s="9"/>
      <c r="K165" s="19"/>
      <c r="L165" s="19"/>
      <c r="M165" s="19"/>
      <c r="N165" s="9"/>
      <c r="O165" s="9"/>
      <c r="P165" s="9"/>
      <c r="Q165" s="17"/>
      <c r="R165" s="18"/>
      <c r="S165" t="str">
        <f>IF($B165="","",IF($I165&lt;&gt;"",$I165,IFERROR(INDEX(Kat_Metode,MATCH($D165,Kat_Nama,0)),"")))</f>
        <v/>
      </c>
      <c r="T165" t="str">
        <f>IF($B165="","",IF($J165&lt;&gt;"",$J165,IFERROR(INDEX(Kat_Umur,MATCH($D165,Kat_Nama,0)),0)))</f>
        <v/>
      </c>
      <c r="U165" t="str">
        <f>IF($B165="","",IF($N165&lt;&gt;"",$N165,IFERROR(INDEX(Kat_Kelompok,MATCH($D165,Kat_Nama,0)),"")))</f>
        <v/>
      </c>
      <c r="V165" t="str">
        <f>IF($B165="","",IF($U165="Masa Manfaat Sebenarnya",N($O165),IFERROR(INDEX(Kel_Masa,MATCH($U165,Kel_Nama,0)),0)))</f>
        <v/>
      </c>
      <c r="W165" t="str">
        <f>IF($B165="","",IF($P165&lt;&gt;"",$P165,IF(OR($U165="Tidak Disusutkan",$V165=0),"Tidak Disusutkan","Garis Lurus")))</f>
        <v/>
      </c>
      <c r="X165" t="str">
        <f>IF($B165="","",IF($Y165&gt;TahunBuku*12+12,"Belum Diperoleh",IF($Z165&lt;=TahunBuku*12,"Dilepas (thn lalu)",IF($AC165=1,"Dilepas thn ini",IF($AB165=1,"Perolehan baru","Aktif")))))</f>
        <v/>
      </c>
      <c r="Y165" s="20" t="str">
        <f>IF($B165="","",YEAR($F165)*12+MONTH($F165))</f>
        <v/>
      </c>
      <c r="Z165" s="20" t="str">
        <f>IF($B165="","",IF($Q165="",99999,YEAR($Q165)*12+MONTH($Q165)))</f>
        <v/>
      </c>
      <c r="AA165" s="20" t="str">
        <f>IF($B165="","",--AND($Y165&lt;=TahunBuku*12,$Z165&gt;TahunBuku*12))</f>
        <v/>
      </c>
      <c r="AB165" s="20" t="str">
        <f>IF($B165="","",--AND($Y165&gt;TahunBuku*12,$Y165&lt;=TahunBuku*12+12))</f>
        <v/>
      </c>
      <c r="AC165" s="20" t="str">
        <f>IF($B165="","",--AND($Z165&gt;TahunBuku*12,$Z165&lt;=TahunBuku*12+12,$Y165&lt;=$Z165))</f>
        <v/>
      </c>
      <c r="AD165" s="21" t="str">
        <f>IF($B165="","",IFERROR(IF($S165="Garis Lurus",$G165-($G165-$H165)*MIN($T165*12,MAX(0,TahunBuku*12-$Y165+1))/($T165*12),IF($S165="Saldo Menurun",IF(TahunBuku-1&lt;YEAR($F165),$G165,IF(TahunBuku-1&gt;=INT(($Y165+$T165*12-2)/12),$H165,MAX($H165,$G165*(1-2/$T165*(13-MONTH($F165))/12)*(1-2/$T165)^(TahunBuku-1-YEAR($F165))))),IF($S165="Unit Produksi",$G165-($G165-$H165)*MIN(1,N($L165)/$K165),$G165))),$G165))</f>
        <v/>
      </c>
      <c r="AE165" s="21" t="str">
        <f>IF($B165="","",IFERROR(IF($S165="Garis Lurus",$G165-($G165-$H165)*MIN($T165*12,MAX(0,TahunBuku*12+12-$Y165+1))/($T165*12),IF($S165="Saldo Menurun",IF(TahunBuku&lt;YEAR($F165),$G165,IF(TahunBuku&gt;=INT(($Y165+$T165*12-2)/12),$H165,MAX($H165,$G165*(1-2/$T165*(13-MONTH($F165))/12)*(1-2/$T165)^(TahunBuku-YEAR($F165))))),IF($S165="Unit Produksi",$G165-($G165-$H165)*MIN(1,(N($L165)+N($M165))/$K165),$G165))),$G165))</f>
        <v/>
      </c>
      <c r="AF165" s="20" t="str">
        <f>IF($B165="","",IF(OR($S165="Garis Lurus",$S165="Saldo Menurun",$S165="Unit Produksi"),MAX(0,IF($S165="Unit Produksi",TahunBuku*12+12,MIN(TahunBuku*12+12,$Y165+$T165*12-1))-MAX(TahunBuku*12+1,$Y165)+1),0))</f>
        <v/>
      </c>
      <c r="AG165" s="20" t="str">
        <f>IF($B165="","",IF(OR($S165="Garis Lurus",$S165="Saldo Menurun",$S165="Unit Produksi"),MAX(0,MIN($Z165,IF($S165="Unit Produksi",TahunBuku*12+12,MIN(TahunBuku*12+12,$Y165+$T165*12-1)))-MAX(TahunBuku*12+1,$Y165)+1),0))</f>
        <v/>
      </c>
      <c r="AH165" s="21" t="str">
        <f>IF($B165="","",IFERROR(IF($W165="Garis Lurus",$G165*(1-MIN($V165*12,MAX(0,TahunBuku*12-$Y165+1))/($V165*12)),IF($W165="Saldo Menurun",IF(TahunBuku-1&lt;YEAR($F165),$G165,IF(TahunBuku-1&gt;=INT(($Y165+$V165*12-2)/12),0,$G165*(1-2/$V165*(13-MONTH($F165))/12)*(1-2/$V165)^(TahunBuku-1-YEAR($F165)))),$G165)),$G165))</f>
        <v/>
      </c>
      <c r="AI165" s="21" t="str">
        <f>IF($B165="","",IFERROR(IF($W165="Garis Lurus",$G165*(1-MIN($V165*12,MAX(0,TahunBuku*12+12-$Y165+1))/($V165*12)),IF($W165="Saldo Menurun",IF(TahunBuku&lt;YEAR($F165),$G165,IF(TahunBuku&gt;=INT(($Y165+$V165*12-2)/12),0,$G165*(1-2/$V165*(13-MONTH($F165))/12)*(1-2/$V165)^(TahunBuku-YEAR($F165)))),$G165)),$G165))</f>
        <v/>
      </c>
      <c r="AJ165" s="20" t="str">
        <f>IF($B165="","",IF(OR($W165="Garis Lurus",$W165="Saldo Menurun"),MAX(0,MIN(TahunBuku*12+12,$Y165+$V165*12-1)-MAX(TahunBuku*12+1,$Y165)+1),0))</f>
        <v/>
      </c>
      <c r="AK165" s="20" t="str">
        <f>IF($B165="","",IF(OR($W165="Garis Lurus",$W165="Saldo Menurun"),MAX(0,MIN($Z165,TahunBuku*12+12,$Y165+$V165*12-1)-MAX(TahunBuku*12+1,$Y165)+1),0))</f>
        <v/>
      </c>
      <c r="AL165" s="22" t="str">
        <f>IF($B165="","",$G165*$AA165)</f>
        <v/>
      </c>
      <c r="AM165" s="22" t="str">
        <f>IF($B165="","",$G165*$AB165)</f>
        <v/>
      </c>
      <c r="AN165" s="22" t="str">
        <f>IF($B165="","",$G165*$AC165)</f>
        <v/>
      </c>
      <c r="AO165" s="22" t="str">
        <f>IF($B165="","",AL165+AM165-AN165)</f>
        <v/>
      </c>
      <c r="AP165" s="22" t="str">
        <f>IF($B165="","",($G165-$AD165)*$AA165)</f>
        <v/>
      </c>
      <c r="AQ165" s="22" t="str">
        <f>IF($B165="","",IF($AF165=0,0,($AD165-$AE165)*$AG165/$AF165)*MAX($AA165,$AB165))</f>
        <v/>
      </c>
      <c r="AR165" s="22" t="str">
        <f>IF($B165="","",(AP165+AQ165)*$AC165)</f>
        <v/>
      </c>
      <c r="AS165" s="22" t="str">
        <f>IF($B165="","",AP165+AQ165-AR165)</f>
        <v/>
      </c>
      <c r="AT165" s="22" t="str">
        <f>IF($B165="","",AO165-AS165)</f>
        <v/>
      </c>
      <c r="AU165" s="22" t="str">
        <f>IF($B165="","",IF($AC165=1,N($R165)-($G165-AR165),0))</f>
        <v/>
      </c>
      <c r="AV165" s="22" t="str">
        <f>IF($B165="","",($G165-$AH165)*$AA165)</f>
        <v/>
      </c>
      <c r="AW165" s="22" t="str">
        <f>IF($B165="","",IF($AJ165=0,0,($AH165-$AI165)*$AK165/$AJ165)*MAX($AA165,$AB165))</f>
        <v/>
      </c>
      <c r="AX165" s="22" t="str">
        <f>IF($B165="","",(AV165+AW165)*$AC165)</f>
        <v/>
      </c>
      <c r="AY165" s="22" t="str">
        <f>IF($B165="","",AV165+AW165-AX165)</f>
        <v/>
      </c>
      <c r="AZ165" s="22" t="str">
        <f>IF($B165="","",AO165-AY165)</f>
        <v/>
      </c>
      <c r="BA165" s="22" t="str">
        <f>IF($B165="","",IF($AC165=1,N($R165)-($G165-AX165),0))</f>
        <v/>
      </c>
      <c r="BB165" s="22" t="str">
        <f>IF($B165="","",ROUND(AQ165-AW165,0))</f>
        <v/>
      </c>
      <c r="BC165" s="22" t="str">
        <f>IF($B165="","",ROUND(BA165-AU165,0))</f>
        <v/>
      </c>
      <c r="BD165" s="22" t="str">
        <f>IF($B165="","",BB165+BC165)</f>
        <v/>
      </c>
      <c r="BE165" s="22" t="str">
        <f>IF($B165="","",ROUND(AV165-AP165,0))</f>
        <v/>
      </c>
      <c r="BF165" s="22" t="str">
        <f>IF($B165="","",ROUND(AT165-AZ165,0))</f>
        <v/>
      </c>
      <c r="BG165" s="22" t="str">
        <f>IF($B165="","",ROUND(BF165*TarifPPh,0))</f>
        <v/>
      </c>
      <c r="BH165" t="str">
        <f>IF($B165="","",IF($D165="","Kategori kosong",IF($F165="","Tgl perolehan kosong",IF(N($H165)&gt;$G165,"Residu &gt; harga perolehan",IF(AND(LEFT($U165,8)="Bangunan",$W165="Saldo Menurun"),"Bangunan wajib Garis Lurus (Ps.11 UU PPh)",IF(AND($S165="Unit Produksi",N($K165)=0),"Isi kapasitas unit",IF(AND(OR($S165="Garis Lurus",$S165="Saldo Menurun"),N($T165)&lt;=0),"Umur komersial kosong",IF(AND(OR($W165="Garis Lurus",$W165="Saldo Menurun"),N($V165)&lt;=0),"Masa manfaat fiskal kosong",IF(AND($Q165&lt;&gt;"",$Q165&lt;$F165),"Tgl pelepasan &lt; perolehan","OK")))))))))</f>
        <v/>
      </c>
    </row>
    <row r="166" spans="1:60" x14ac:dyDescent="0.25">
      <c r="A166" t="str">
        <f>IF($B166="","",ROW()-6)</f>
        <v/>
      </c>
      <c r="B166" s="9"/>
      <c r="C166" s="9"/>
      <c r="D166" s="9"/>
      <c r="E166" s="9"/>
      <c r="F166" s="17"/>
      <c r="G166" s="18"/>
      <c r="H166" s="18"/>
      <c r="I166" s="9"/>
      <c r="J166" s="9"/>
      <c r="K166" s="19"/>
      <c r="L166" s="19"/>
      <c r="M166" s="19"/>
      <c r="N166" s="9"/>
      <c r="O166" s="9"/>
      <c r="P166" s="9"/>
      <c r="Q166" s="17"/>
      <c r="R166" s="18"/>
      <c r="S166" t="str">
        <f>IF($B166="","",IF($I166&lt;&gt;"",$I166,IFERROR(INDEX(Kat_Metode,MATCH($D166,Kat_Nama,0)),"")))</f>
        <v/>
      </c>
      <c r="T166" t="str">
        <f>IF($B166="","",IF($J166&lt;&gt;"",$J166,IFERROR(INDEX(Kat_Umur,MATCH($D166,Kat_Nama,0)),0)))</f>
        <v/>
      </c>
      <c r="U166" t="str">
        <f>IF($B166="","",IF($N166&lt;&gt;"",$N166,IFERROR(INDEX(Kat_Kelompok,MATCH($D166,Kat_Nama,0)),"")))</f>
        <v/>
      </c>
      <c r="V166" t="str">
        <f>IF($B166="","",IF($U166="Masa Manfaat Sebenarnya",N($O166),IFERROR(INDEX(Kel_Masa,MATCH($U166,Kel_Nama,0)),0)))</f>
        <v/>
      </c>
      <c r="W166" t="str">
        <f>IF($B166="","",IF($P166&lt;&gt;"",$P166,IF(OR($U166="Tidak Disusutkan",$V166=0),"Tidak Disusutkan","Garis Lurus")))</f>
        <v/>
      </c>
      <c r="X166" t="str">
        <f>IF($B166="","",IF($Y166&gt;TahunBuku*12+12,"Belum Diperoleh",IF($Z166&lt;=TahunBuku*12,"Dilepas (thn lalu)",IF($AC166=1,"Dilepas thn ini",IF($AB166=1,"Perolehan baru","Aktif")))))</f>
        <v/>
      </c>
      <c r="Y166" s="20" t="str">
        <f>IF($B166="","",YEAR($F166)*12+MONTH($F166))</f>
        <v/>
      </c>
      <c r="Z166" s="20" t="str">
        <f>IF($B166="","",IF($Q166="",99999,YEAR($Q166)*12+MONTH($Q166)))</f>
        <v/>
      </c>
      <c r="AA166" s="20" t="str">
        <f>IF($B166="","",--AND($Y166&lt;=TahunBuku*12,$Z166&gt;TahunBuku*12))</f>
        <v/>
      </c>
      <c r="AB166" s="20" t="str">
        <f>IF($B166="","",--AND($Y166&gt;TahunBuku*12,$Y166&lt;=TahunBuku*12+12))</f>
        <v/>
      </c>
      <c r="AC166" s="20" t="str">
        <f>IF($B166="","",--AND($Z166&gt;TahunBuku*12,$Z166&lt;=TahunBuku*12+12,$Y166&lt;=$Z166))</f>
        <v/>
      </c>
      <c r="AD166" s="21" t="str">
        <f>IF($B166="","",IFERROR(IF($S166="Garis Lurus",$G166-($G166-$H166)*MIN($T166*12,MAX(0,TahunBuku*12-$Y166+1))/($T166*12),IF($S166="Saldo Menurun",IF(TahunBuku-1&lt;YEAR($F166),$G166,IF(TahunBuku-1&gt;=INT(($Y166+$T166*12-2)/12),$H166,MAX($H166,$G166*(1-2/$T166*(13-MONTH($F166))/12)*(1-2/$T166)^(TahunBuku-1-YEAR($F166))))),IF($S166="Unit Produksi",$G166-($G166-$H166)*MIN(1,N($L166)/$K166),$G166))),$G166))</f>
        <v/>
      </c>
      <c r="AE166" s="21" t="str">
        <f>IF($B166="","",IFERROR(IF($S166="Garis Lurus",$G166-($G166-$H166)*MIN($T166*12,MAX(0,TahunBuku*12+12-$Y166+1))/($T166*12),IF($S166="Saldo Menurun",IF(TahunBuku&lt;YEAR($F166),$G166,IF(TahunBuku&gt;=INT(($Y166+$T166*12-2)/12),$H166,MAX($H166,$G166*(1-2/$T166*(13-MONTH($F166))/12)*(1-2/$T166)^(TahunBuku-YEAR($F166))))),IF($S166="Unit Produksi",$G166-($G166-$H166)*MIN(1,(N($L166)+N($M166))/$K166),$G166))),$G166))</f>
        <v/>
      </c>
      <c r="AF166" s="20" t="str">
        <f>IF($B166="","",IF(OR($S166="Garis Lurus",$S166="Saldo Menurun",$S166="Unit Produksi"),MAX(0,IF($S166="Unit Produksi",TahunBuku*12+12,MIN(TahunBuku*12+12,$Y166+$T166*12-1))-MAX(TahunBuku*12+1,$Y166)+1),0))</f>
        <v/>
      </c>
      <c r="AG166" s="20" t="str">
        <f>IF($B166="","",IF(OR($S166="Garis Lurus",$S166="Saldo Menurun",$S166="Unit Produksi"),MAX(0,MIN($Z166,IF($S166="Unit Produksi",TahunBuku*12+12,MIN(TahunBuku*12+12,$Y166+$T166*12-1)))-MAX(TahunBuku*12+1,$Y166)+1),0))</f>
        <v/>
      </c>
      <c r="AH166" s="21" t="str">
        <f>IF($B166="","",IFERROR(IF($W166="Garis Lurus",$G166*(1-MIN($V166*12,MAX(0,TahunBuku*12-$Y166+1))/($V166*12)),IF($W166="Saldo Menurun",IF(TahunBuku-1&lt;YEAR($F166),$G166,IF(TahunBuku-1&gt;=INT(($Y166+$V166*12-2)/12),0,$G166*(1-2/$V166*(13-MONTH($F166))/12)*(1-2/$V166)^(TahunBuku-1-YEAR($F166)))),$G166)),$G166))</f>
        <v/>
      </c>
      <c r="AI166" s="21" t="str">
        <f>IF($B166="","",IFERROR(IF($W166="Garis Lurus",$G166*(1-MIN($V166*12,MAX(0,TahunBuku*12+12-$Y166+1))/($V166*12)),IF($W166="Saldo Menurun",IF(TahunBuku&lt;YEAR($F166),$G166,IF(TahunBuku&gt;=INT(($Y166+$V166*12-2)/12),0,$G166*(1-2/$V166*(13-MONTH($F166))/12)*(1-2/$V166)^(TahunBuku-YEAR($F166)))),$G166)),$G166))</f>
        <v/>
      </c>
      <c r="AJ166" s="20" t="str">
        <f>IF($B166="","",IF(OR($W166="Garis Lurus",$W166="Saldo Menurun"),MAX(0,MIN(TahunBuku*12+12,$Y166+$V166*12-1)-MAX(TahunBuku*12+1,$Y166)+1),0))</f>
        <v/>
      </c>
      <c r="AK166" s="20" t="str">
        <f>IF($B166="","",IF(OR($W166="Garis Lurus",$W166="Saldo Menurun"),MAX(0,MIN($Z166,TahunBuku*12+12,$Y166+$V166*12-1)-MAX(TahunBuku*12+1,$Y166)+1),0))</f>
        <v/>
      </c>
      <c r="AL166" s="22" t="str">
        <f>IF($B166="","",$G166*$AA166)</f>
        <v/>
      </c>
      <c r="AM166" s="22" t="str">
        <f>IF($B166="","",$G166*$AB166)</f>
        <v/>
      </c>
      <c r="AN166" s="22" t="str">
        <f>IF($B166="","",$G166*$AC166)</f>
        <v/>
      </c>
      <c r="AO166" s="22" t="str">
        <f>IF($B166="","",AL166+AM166-AN166)</f>
        <v/>
      </c>
      <c r="AP166" s="22" t="str">
        <f>IF($B166="","",($G166-$AD166)*$AA166)</f>
        <v/>
      </c>
      <c r="AQ166" s="22" t="str">
        <f>IF($B166="","",IF($AF166=0,0,($AD166-$AE166)*$AG166/$AF166)*MAX($AA166,$AB166))</f>
        <v/>
      </c>
      <c r="AR166" s="22" t="str">
        <f>IF($B166="","",(AP166+AQ166)*$AC166)</f>
        <v/>
      </c>
      <c r="AS166" s="22" t="str">
        <f>IF($B166="","",AP166+AQ166-AR166)</f>
        <v/>
      </c>
      <c r="AT166" s="22" t="str">
        <f>IF($B166="","",AO166-AS166)</f>
        <v/>
      </c>
      <c r="AU166" s="22" t="str">
        <f>IF($B166="","",IF($AC166=1,N($R166)-($G166-AR166),0))</f>
        <v/>
      </c>
      <c r="AV166" s="22" t="str">
        <f>IF($B166="","",($G166-$AH166)*$AA166)</f>
        <v/>
      </c>
      <c r="AW166" s="22" t="str">
        <f>IF($B166="","",IF($AJ166=0,0,($AH166-$AI166)*$AK166/$AJ166)*MAX($AA166,$AB166))</f>
        <v/>
      </c>
      <c r="AX166" s="22" t="str">
        <f>IF($B166="","",(AV166+AW166)*$AC166)</f>
        <v/>
      </c>
      <c r="AY166" s="22" t="str">
        <f>IF($B166="","",AV166+AW166-AX166)</f>
        <v/>
      </c>
      <c r="AZ166" s="22" t="str">
        <f>IF($B166="","",AO166-AY166)</f>
        <v/>
      </c>
      <c r="BA166" s="22" t="str">
        <f>IF($B166="","",IF($AC166=1,N($R166)-($G166-AX166),0))</f>
        <v/>
      </c>
      <c r="BB166" s="22" t="str">
        <f>IF($B166="","",ROUND(AQ166-AW166,0))</f>
        <v/>
      </c>
      <c r="BC166" s="22" t="str">
        <f>IF($B166="","",ROUND(BA166-AU166,0))</f>
        <v/>
      </c>
      <c r="BD166" s="22" t="str">
        <f>IF($B166="","",BB166+BC166)</f>
        <v/>
      </c>
      <c r="BE166" s="22" t="str">
        <f>IF($B166="","",ROUND(AV166-AP166,0))</f>
        <v/>
      </c>
      <c r="BF166" s="22" t="str">
        <f>IF($B166="","",ROUND(AT166-AZ166,0))</f>
        <v/>
      </c>
      <c r="BG166" s="22" t="str">
        <f>IF($B166="","",ROUND(BF166*TarifPPh,0))</f>
        <v/>
      </c>
      <c r="BH166" t="str">
        <f>IF($B166="","",IF($D166="","Kategori kosong",IF($F166="","Tgl perolehan kosong",IF(N($H166)&gt;$G166,"Residu &gt; harga perolehan",IF(AND(LEFT($U166,8)="Bangunan",$W166="Saldo Menurun"),"Bangunan wajib Garis Lurus (Ps.11 UU PPh)",IF(AND($S166="Unit Produksi",N($K166)=0),"Isi kapasitas unit",IF(AND(OR($S166="Garis Lurus",$S166="Saldo Menurun"),N($T166)&lt;=0),"Umur komersial kosong",IF(AND(OR($W166="Garis Lurus",$W166="Saldo Menurun"),N($V166)&lt;=0),"Masa manfaat fiskal kosong",IF(AND($Q166&lt;&gt;"",$Q166&lt;$F166),"Tgl pelepasan &lt; perolehan","OK")))))))))</f>
        <v/>
      </c>
    </row>
    <row r="167" spans="1:60" x14ac:dyDescent="0.25">
      <c r="A167" t="str">
        <f>IF($B167="","",ROW()-6)</f>
        <v/>
      </c>
      <c r="B167" s="9"/>
      <c r="C167" s="9"/>
      <c r="D167" s="9"/>
      <c r="E167" s="9"/>
      <c r="F167" s="17"/>
      <c r="G167" s="18"/>
      <c r="H167" s="18"/>
      <c r="I167" s="9"/>
      <c r="J167" s="9"/>
      <c r="K167" s="19"/>
      <c r="L167" s="19"/>
      <c r="M167" s="19"/>
      <c r="N167" s="9"/>
      <c r="O167" s="9"/>
      <c r="P167" s="9"/>
      <c r="Q167" s="17"/>
      <c r="R167" s="18"/>
      <c r="S167" t="str">
        <f>IF($B167="","",IF($I167&lt;&gt;"",$I167,IFERROR(INDEX(Kat_Metode,MATCH($D167,Kat_Nama,0)),"")))</f>
        <v/>
      </c>
      <c r="T167" t="str">
        <f>IF($B167="","",IF($J167&lt;&gt;"",$J167,IFERROR(INDEX(Kat_Umur,MATCH($D167,Kat_Nama,0)),0)))</f>
        <v/>
      </c>
      <c r="U167" t="str">
        <f>IF($B167="","",IF($N167&lt;&gt;"",$N167,IFERROR(INDEX(Kat_Kelompok,MATCH($D167,Kat_Nama,0)),"")))</f>
        <v/>
      </c>
      <c r="V167" t="str">
        <f>IF($B167="","",IF($U167="Masa Manfaat Sebenarnya",N($O167),IFERROR(INDEX(Kel_Masa,MATCH($U167,Kel_Nama,0)),0)))</f>
        <v/>
      </c>
      <c r="W167" t="str">
        <f>IF($B167="","",IF($P167&lt;&gt;"",$P167,IF(OR($U167="Tidak Disusutkan",$V167=0),"Tidak Disusutkan","Garis Lurus")))</f>
        <v/>
      </c>
      <c r="X167" t="str">
        <f>IF($B167="","",IF($Y167&gt;TahunBuku*12+12,"Belum Diperoleh",IF($Z167&lt;=TahunBuku*12,"Dilepas (thn lalu)",IF($AC167=1,"Dilepas thn ini",IF($AB167=1,"Perolehan baru","Aktif")))))</f>
        <v/>
      </c>
      <c r="Y167" s="20" t="str">
        <f>IF($B167="","",YEAR($F167)*12+MONTH($F167))</f>
        <v/>
      </c>
      <c r="Z167" s="20" t="str">
        <f>IF($B167="","",IF($Q167="",99999,YEAR($Q167)*12+MONTH($Q167)))</f>
        <v/>
      </c>
      <c r="AA167" s="20" t="str">
        <f>IF($B167="","",--AND($Y167&lt;=TahunBuku*12,$Z167&gt;TahunBuku*12))</f>
        <v/>
      </c>
      <c r="AB167" s="20" t="str">
        <f>IF($B167="","",--AND($Y167&gt;TahunBuku*12,$Y167&lt;=TahunBuku*12+12))</f>
        <v/>
      </c>
      <c r="AC167" s="20" t="str">
        <f>IF($B167="","",--AND($Z167&gt;TahunBuku*12,$Z167&lt;=TahunBuku*12+12,$Y167&lt;=$Z167))</f>
        <v/>
      </c>
      <c r="AD167" s="21" t="str">
        <f>IF($B167="","",IFERROR(IF($S167="Garis Lurus",$G167-($G167-$H167)*MIN($T167*12,MAX(0,TahunBuku*12-$Y167+1))/($T167*12),IF($S167="Saldo Menurun",IF(TahunBuku-1&lt;YEAR($F167),$G167,IF(TahunBuku-1&gt;=INT(($Y167+$T167*12-2)/12),$H167,MAX($H167,$G167*(1-2/$T167*(13-MONTH($F167))/12)*(1-2/$T167)^(TahunBuku-1-YEAR($F167))))),IF($S167="Unit Produksi",$G167-($G167-$H167)*MIN(1,N($L167)/$K167),$G167))),$G167))</f>
        <v/>
      </c>
      <c r="AE167" s="21" t="str">
        <f>IF($B167="","",IFERROR(IF($S167="Garis Lurus",$G167-($G167-$H167)*MIN($T167*12,MAX(0,TahunBuku*12+12-$Y167+1))/($T167*12),IF($S167="Saldo Menurun",IF(TahunBuku&lt;YEAR($F167),$G167,IF(TahunBuku&gt;=INT(($Y167+$T167*12-2)/12),$H167,MAX($H167,$G167*(1-2/$T167*(13-MONTH($F167))/12)*(1-2/$T167)^(TahunBuku-YEAR($F167))))),IF($S167="Unit Produksi",$G167-($G167-$H167)*MIN(1,(N($L167)+N($M167))/$K167),$G167))),$G167))</f>
        <v/>
      </c>
      <c r="AF167" s="20" t="str">
        <f>IF($B167="","",IF(OR($S167="Garis Lurus",$S167="Saldo Menurun",$S167="Unit Produksi"),MAX(0,IF($S167="Unit Produksi",TahunBuku*12+12,MIN(TahunBuku*12+12,$Y167+$T167*12-1))-MAX(TahunBuku*12+1,$Y167)+1),0))</f>
        <v/>
      </c>
      <c r="AG167" s="20" t="str">
        <f>IF($B167="","",IF(OR($S167="Garis Lurus",$S167="Saldo Menurun",$S167="Unit Produksi"),MAX(0,MIN($Z167,IF($S167="Unit Produksi",TahunBuku*12+12,MIN(TahunBuku*12+12,$Y167+$T167*12-1)))-MAX(TahunBuku*12+1,$Y167)+1),0))</f>
        <v/>
      </c>
      <c r="AH167" s="21" t="str">
        <f>IF($B167="","",IFERROR(IF($W167="Garis Lurus",$G167*(1-MIN($V167*12,MAX(0,TahunBuku*12-$Y167+1))/($V167*12)),IF($W167="Saldo Menurun",IF(TahunBuku-1&lt;YEAR($F167),$G167,IF(TahunBuku-1&gt;=INT(($Y167+$V167*12-2)/12),0,$G167*(1-2/$V167*(13-MONTH($F167))/12)*(1-2/$V167)^(TahunBuku-1-YEAR($F167)))),$G167)),$G167))</f>
        <v/>
      </c>
      <c r="AI167" s="21" t="str">
        <f>IF($B167="","",IFERROR(IF($W167="Garis Lurus",$G167*(1-MIN($V167*12,MAX(0,TahunBuku*12+12-$Y167+1))/($V167*12)),IF($W167="Saldo Menurun",IF(TahunBuku&lt;YEAR($F167),$G167,IF(TahunBuku&gt;=INT(($Y167+$V167*12-2)/12),0,$G167*(1-2/$V167*(13-MONTH($F167))/12)*(1-2/$V167)^(TahunBuku-YEAR($F167)))),$G167)),$G167))</f>
        <v/>
      </c>
      <c r="AJ167" s="20" t="str">
        <f>IF($B167="","",IF(OR($W167="Garis Lurus",$W167="Saldo Menurun"),MAX(0,MIN(TahunBuku*12+12,$Y167+$V167*12-1)-MAX(TahunBuku*12+1,$Y167)+1),0))</f>
        <v/>
      </c>
      <c r="AK167" s="20" t="str">
        <f>IF($B167="","",IF(OR($W167="Garis Lurus",$W167="Saldo Menurun"),MAX(0,MIN($Z167,TahunBuku*12+12,$Y167+$V167*12-1)-MAX(TahunBuku*12+1,$Y167)+1),0))</f>
        <v/>
      </c>
      <c r="AL167" s="22" t="str">
        <f>IF($B167="","",$G167*$AA167)</f>
        <v/>
      </c>
      <c r="AM167" s="22" t="str">
        <f>IF($B167="","",$G167*$AB167)</f>
        <v/>
      </c>
      <c r="AN167" s="22" t="str">
        <f>IF($B167="","",$G167*$AC167)</f>
        <v/>
      </c>
      <c r="AO167" s="22" t="str">
        <f>IF($B167="","",AL167+AM167-AN167)</f>
        <v/>
      </c>
      <c r="AP167" s="22" t="str">
        <f>IF($B167="","",($G167-$AD167)*$AA167)</f>
        <v/>
      </c>
      <c r="AQ167" s="22" t="str">
        <f>IF($B167="","",IF($AF167=0,0,($AD167-$AE167)*$AG167/$AF167)*MAX($AA167,$AB167))</f>
        <v/>
      </c>
      <c r="AR167" s="22" t="str">
        <f>IF($B167="","",(AP167+AQ167)*$AC167)</f>
        <v/>
      </c>
      <c r="AS167" s="22" t="str">
        <f>IF($B167="","",AP167+AQ167-AR167)</f>
        <v/>
      </c>
      <c r="AT167" s="22" t="str">
        <f>IF($B167="","",AO167-AS167)</f>
        <v/>
      </c>
      <c r="AU167" s="22" t="str">
        <f>IF($B167="","",IF($AC167=1,N($R167)-($G167-AR167),0))</f>
        <v/>
      </c>
      <c r="AV167" s="22" t="str">
        <f>IF($B167="","",($G167-$AH167)*$AA167)</f>
        <v/>
      </c>
      <c r="AW167" s="22" t="str">
        <f>IF($B167="","",IF($AJ167=0,0,($AH167-$AI167)*$AK167/$AJ167)*MAX($AA167,$AB167))</f>
        <v/>
      </c>
      <c r="AX167" s="22" t="str">
        <f>IF($B167="","",(AV167+AW167)*$AC167)</f>
        <v/>
      </c>
      <c r="AY167" s="22" t="str">
        <f>IF($B167="","",AV167+AW167-AX167)</f>
        <v/>
      </c>
      <c r="AZ167" s="22" t="str">
        <f>IF($B167="","",AO167-AY167)</f>
        <v/>
      </c>
      <c r="BA167" s="22" t="str">
        <f>IF($B167="","",IF($AC167=1,N($R167)-($G167-AX167),0))</f>
        <v/>
      </c>
      <c r="BB167" s="22" t="str">
        <f>IF($B167="","",ROUND(AQ167-AW167,0))</f>
        <v/>
      </c>
      <c r="BC167" s="22" t="str">
        <f>IF($B167="","",ROUND(BA167-AU167,0))</f>
        <v/>
      </c>
      <c r="BD167" s="22" t="str">
        <f>IF($B167="","",BB167+BC167)</f>
        <v/>
      </c>
      <c r="BE167" s="22" t="str">
        <f>IF($B167="","",ROUND(AV167-AP167,0))</f>
        <v/>
      </c>
      <c r="BF167" s="22" t="str">
        <f>IF($B167="","",ROUND(AT167-AZ167,0))</f>
        <v/>
      </c>
      <c r="BG167" s="22" t="str">
        <f>IF($B167="","",ROUND(BF167*TarifPPh,0))</f>
        <v/>
      </c>
      <c r="BH167" t="str">
        <f>IF($B167="","",IF($D167="","Kategori kosong",IF($F167="","Tgl perolehan kosong",IF(N($H167)&gt;$G167,"Residu &gt; harga perolehan",IF(AND(LEFT($U167,8)="Bangunan",$W167="Saldo Menurun"),"Bangunan wajib Garis Lurus (Ps.11 UU PPh)",IF(AND($S167="Unit Produksi",N($K167)=0),"Isi kapasitas unit",IF(AND(OR($S167="Garis Lurus",$S167="Saldo Menurun"),N($T167)&lt;=0),"Umur komersial kosong",IF(AND(OR($W167="Garis Lurus",$W167="Saldo Menurun"),N($V167)&lt;=0),"Masa manfaat fiskal kosong",IF(AND($Q167&lt;&gt;"",$Q167&lt;$F167),"Tgl pelepasan &lt; perolehan","OK")))))))))</f>
        <v/>
      </c>
    </row>
    <row r="168" spans="1:60" x14ac:dyDescent="0.25">
      <c r="A168" t="str">
        <f>IF($B168="","",ROW()-6)</f>
        <v/>
      </c>
      <c r="B168" s="9"/>
      <c r="C168" s="9"/>
      <c r="D168" s="9"/>
      <c r="E168" s="9"/>
      <c r="F168" s="17"/>
      <c r="G168" s="18"/>
      <c r="H168" s="18"/>
      <c r="I168" s="9"/>
      <c r="J168" s="9"/>
      <c r="K168" s="19"/>
      <c r="L168" s="19"/>
      <c r="M168" s="19"/>
      <c r="N168" s="9"/>
      <c r="O168" s="9"/>
      <c r="P168" s="9"/>
      <c r="Q168" s="17"/>
      <c r="R168" s="18"/>
      <c r="S168" t="str">
        <f>IF($B168="","",IF($I168&lt;&gt;"",$I168,IFERROR(INDEX(Kat_Metode,MATCH($D168,Kat_Nama,0)),"")))</f>
        <v/>
      </c>
      <c r="T168" t="str">
        <f>IF($B168="","",IF($J168&lt;&gt;"",$J168,IFERROR(INDEX(Kat_Umur,MATCH($D168,Kat_Nama,0)),0)))</f>
        <v/>
      </c>
      <c r="U168" t="str">
        <f>IF($B168="","",IF($N168&lt;&gt;"",$N168,IFERROR(INDEX(Kat_Kelompok,MATCH($D168,Kat_Nama,0)),"")))</f>
        <v/>
      </c>
      <c r="V168" t="str">
        <f>IF($B168="","",IF($U168="Masa Manfaat Sebenarnya",N($O168),IFERROR(INDEX(Kel_Masa,MATCH($U168,Kel_Nama,0)),0)))</f>
        <v/>
      </c>
      <c r="W168" t="str">
        <f>IF($B168="","",IF($P168&lt;&gt;"",$P168,IF(OR($U168="Tidak Disusutkan",$V168=0),"Tidak Disusutkan","Garis Lurus")))</f>
        <v/>
      </c>
      <c r="X168" t="str">
        <f>IF($B168="","",IF($Y168&gt;TahunBuku*12+12,"Belum Diperoleh",IF($Z168&lt;=TahunBuku*12,"Dilepas (thn lalu)",IF($AC168=1,"Dilepas thn ini",IF($AB168=1,"Perolehan baru","Aktif")))))</f>
        <v/>
      </c>
      <c r="Y168" s="20" t="str">
        <f>IF($B168="","",YEAR($F168)*12+MONTH($F168))</f>
        <v/>
      </c>
      <c r="Z168" s="20" t="str">
        <f>IF($B168="","",IF($Q168="",99999,YEAR($Q168)*12+MONTH($Q168)))</f>
        <v/>
      </c>
      <c r="AA168" s="20" t="str">
        <f>IF($B168="","",--AND($Y168&lt;=TahunBuku*12,$Z168&gt;TahunBuku*12))</f>
        <v/>
      </c>
      <c r="AB168" s="20" t="str">
        <f>IF($B168="","",--AND($Y168&gt;TahunBuku*12,$Y168&lt;=TahunBuku*12+12))</f>
        <v/>
      </c>
      <c r="AC168" s="20" t="str">
        <f>IF($B168="","",--AND($Z168&gt;TahunBuku*12,$Z168&lt;=TahunBuku*12+12,$Y168&lt;=$Z168))</f>
        <v/>
      </c>
      <c r="AD168" s="21" t="str">
        <f>IF($B168="","",IFERROR(IF($S168="Garis Lurus",$G168-($G168-$H168)*MIN($T168*12,MAX(0,TahunBuku*12-$Y168+1))/($T168*12),IF($S168="Saldo Menurun",IF(TahunBuku-1&lt;YEAR($F168),$G168,IF(TahunBuku-1&gt;=INT(($Y168+$T168*12-2)/12),$H168,MAX($H168,$G168*(1-2/$T168*(13-MONTH($F168))/12)*(1-2/$T168)^(TahunBuku-1-YEAR($F168))))),IF($S168="Unit Produksi",$G168-($G168-$H168)*MIN(1,N($L168)/$K168),$G168))),$G168))</f>
        <v/>
      </c>
      <c r="AE168" s="21" t="str">
        <f>IF($B168="","",IFERROR(IF($S168="Garis Lurus",$G168-($G168-$H168)*MIN($T168*12,MAX(0,TahunBuku*12+12-$Y168+1))/($T168*12),IF($S168="Saldo Menurun",IF(TahunBuku&lt;YEAR($F168),$G168,IF(TahunBuku&gt;=INT(($Y168+$T168*12-2)/12),$H168,MAX($H168,$G168*(1-2/$T168*(13-MONTH($F168))/12)*(1-2/$T168)^(TahunBuku-YEAR($F168))))),IF($S168="Unit Produksi",$G168-($G168-$H168)*MIN(1,(N($L168)+N($M168))/$K168),$G168))),$G168))</f>
        <v/>
      </c>
      <c r="AF168" s="20" t="str">
        <f>IF($B168="","",IF(OR($S168="Garis Lurus",$S168="Saldo Menurun",$S168="Unit Produksi"),MAX(0,IF($S168="Unit Produksi",TahunBuku*12+12,MIN(TahunBuku*12+12,$Y168+$T168*12-1))-MAX(TahunBuku*12+1,$Y168)+1),0))</f>
        <v/>
      </c>
      <c r="AG168" s="20" t="str">
        <f>IF($B168="","",IF(OR($S168="Garis Lurus",$S168="Saldo Menurun",$S168="Unit Produksi"),MAX(0,MIN($Z168,IF($S168="Unit Produksi",TahunBuku*12+12,MIN(TahunBuku*12+12,$Y168+$T168*12-1)))-MAX(TahunBuku*12+1,$Y168)+1),0))</f>
        <v/>
      </c>
      <c r="AH168" s="21" t="str">
        <f>IF($B168="","",IFERROR(IF($W168="Garis Lurus",$G168*(1-MIN($V168*12,MAX(0,TahunBuku*12-$Y168+1))/($V168*12)),IF($W168="Saldo Menurun",IF(TahunBuku-1&lt;YEAR($F168),$G168,IF(TahunBuku-1&gt;=INT(($Y168+$V168*12-2)/12),0,$G168*(1-2/$V168*(13-MONTH($F168))/12)*(1-2/$V168)^(TahunBuku-1-YEAR($F168)))),$G168)),$G168))</f>
        <v/>
      </c>
      <c r="AI168" s="21" t="str">
        <f>IF($B168="","",IFERROR(IF($W168="Garis Lurus",$G168*(1-MIN($V168*12,MAX(0,TahunBuku*12+12-$Y168+1))/($V168*12)),IF($W168="Saldo Menurun",IF(TahunBuku&lt;YEAR($F168),$G168,IF(TahunBuku&gt;=INT(($Y168+$V168*12-2)/12),0,$G168*(1-2/$V168*(13-MONTH($F168))/12)*(1-2/$V168)^(TahunBuku-YEAR($F168)))),$G168)),$G168))</f>
        <v/>
      </c>
      <c r="AJ168" s="20" t="str">
        <f>IF($B168="","",IF(OR($W168="Garis Lurus",$W168="Saldo Menurun"),MAX(0,MIN(TahunBuku*12+12,$Y168+$V168*12-1)-MAX(TahunBuku*12+1,$Y168)+1),0))</f>
        <v/>
      </c>
      <c r="AK168" s="20" t="str">
        <f>IF($B168="","",IF(OR($W168="Garis Lurus",$W168="Saldo Menurun"),MAX(0,MIN($Z168,TahunBuku*12+12,$Y168+$V168*12-1)-MAX(TahunBuku*12+1,$Y168)+1),0))</f>
        <v/>
      </c>
      <c r="AL168" s="22" t="str">
        <f>IF($B168="","",$G168*$AA168)</f>
        <v/>
      </c>
      <c r="AM168" s="22" t="str">
        <f>IF($B168="","",$G168*$AB168)</f>
        <v/>
      </c>
      <c r="AN168" s="22" t="str">
        <f>IF($B168="","",$G168*$AC168)</f>
        <v/>
      </c>
      <c r="AO168" s="22" t="str">
        <f>IF($B168="","",AL168+AM168-AN168)</f>
        <v/>
      </c>
      <c r="AP168" s="22" t="str">
        <f>IF($B168="","",($G168-$AD168)*$AA168)</f>
        <v/>
      </c>
      <c r="AQ168" s="22" t="str">
        <f>IF($B168="","",IF($AF168=0,0,($AD168-$AE168)*$AG168/$AF168)*MAX($AA168,$AB168))</f>
        <v/>
      </c>
      <c r="AR168" s="22" t="str">
        <f>IF($B168="","",(AP168+AQ168)*$AC168)</f>
        <v/>
      </c>
      <c r="AS168" s="22" t="str">
        <f>IF($B168="","",AP168+AQ168-AR168)</f>
        <v/>
      </c>
      <c r="AT168" s="22" t="str">
        <f>IF($B168="","",AO168-AS168)</f>
        <v/>
      </c>
      <c r="AU168" s="22" t="str">
        <f>IF($B168="","",IF($AC168=1,N($R168)-($G168-AR168),0))</f>
        <v/>
      </c>
      <c r="AV168" s="22" t="str">
        <f>IF($B168="","",($G168-$AH168)*$AA168)</f>
        <v/>
      </c>
      <c r="AW168" s="22" t="str">
        <f>IF($B168="","",IF($AJ168=0,0,($AH168-$AI168)*$AK168/$AJ168)*MAX($AA168,$AB168))</f>
        <v/>
      </c>
      <c r="AX168" s="22" t="str">
        <f>IF($B168="","",(AV168+AW168)*$AC168)</f>
        <v/>
      </c>
      <c r="AY168" s="22" t="str">
        <f>IF($B168="","",AV168+AW168-AX168)</f>
        <v/>
      </c>
      <c r="AZ168" s="22" t="str">
        <f>IF($B168="","",AO168-AY168)</f>
        <v/>
      </c>
      <c r="BA168" s="22" t="str">
        <f>IF($B168="","",IF($AC168=1,N($R168)-($G168-AX168),0))</f>
        <v/>
      </c>
      <c r="BB168" s="22" t="str">
        <f>IF($B168="","",ROUND(AQ168-AW168,0))</f>
        <v/>
      </c>
      <c r="BC168" s="22" t="str">
        <f>IF($B168="","",ROUND(BA168-AU168,0))</f>
        <v/>
      </c>
      <c r="BD168" s="22" t="str">
        <f>IF($B168="","",BB168+BC168)</f>
        <v/>
      </c>
      <c r="BE168" s="22" t="str">
        <f>IF($B168="","",ROUND(AV168-AP168,0))</f>
        <v/>
      </c>
      <c r="BF168" s="22" t="str">
        <f>IF($B168="","",ROUND(AT168-AZ168,0))</f>
        <v/>
      </c>
      <c r="BG168" s="22" t="str">
        <f>IF($B168="","",ROUND(BF168*TarifPPh,0))</f>
        <v/>
      </c>
      <c r="BH168" t="str">
        <f>IF($B168="","",IF($D168="","Kategori kosong",IF($F168="","Tgl perolehan kosong",IF(N($H168)&gt;$G168,"Residu &gt; harga perolehan",IF(AND(LEFT($U168,8)="Bangunan",$W168="Saldo Menurun"),"Bangunan wajib Garis Lurus (Ps.11 UU PPh)",IF(AND($S168="Unit Produksi",N($K168)=0),"Isi kapasitas unit",IF(AND(OR($S168="Garis Lurus",$S168="Saldo Menurun"),N($T168)&lt;=0),"Umur komersial kosong",IF(AND(OR($W168="Garis Lurus",$W168="Saldo Menurun"),N($V168)&lt;=0),"Masa manfaat fiskal kosong",IF(AND($Q168&lt;&gt;"",$Q168&lt;$F168),"Tgl pelepasan &lt; perolehan","OK")))))))))</f>
        <v/>
      </c>
    </row>
    <row r="169" spans="1:60" x14ac:dyDescent="0.25">
      <c r="A169" t="str">
        <f>IF($B169="","",ROW()-6)</f>
        <v/>
      </c>
      <c r="B169" s="9"/>
      <c r="C169" s="9"/>
      <c r="D169" s="9"/>
      <c r="E169" s="9"/>
      <c r="F169" s="17"/>
      <c r="G169" s="18"/>
      <c r="H169" s="18"/>
      <c r="I169" s="9"/>
      <c r="J169" s="9"/>
      <c r="K169" s="19"/>
      <c r="L169" s="19"/>
      <c r="M169" s="19"/>
      <c r="N169" s="9"/>
      <c r="O169" s="9"/>
      <c r="P169" s="9"/>
      <c r="Q169" s="17"/>
      <c r="R169" s="18"/>
      <c r="S169" t="str">
        <f>IF($B169="","",IF($I169&lt;&gt;"",$I169,IFERROR(INDEX(Kat_Metode,MATCH($D169,Kat_Nama,0)),"")))</f>
        <v/>
      </c>
      <c r="T169" t="str">
        <f>IF($B169="","",IF($J169&lt;&gt;"",$J169,IFERROR(INDEX(Kat_Umur,MATCH($D169,Kat_Nama,0)),0)))</f>
        <v/>
      </c>
      <c r="U169" t="str">
        <f>IF($B169="","",IF($N169&lt;&gt;"",$N169,IFERROR(INDEX(Kat_Kelompok,MATCH($D169,Kat_Nama,0)),"")))</f>
        <v/>
      </c>
      <c r="V169" t="str">
        <f>IF($B169="","",IF($U169="Masa Manfaat Sebenarnya",N($O169),IFERROR(INDEX(Kel_Masa,MATCH($U169,Kel_Nama,0)),0)))</f>
        <v/>
      </c>
      <c r="W169" t="str">
        <f>IF($B169="","",IF($P169&lt;&gt;"",$P169,IF(OR($U169="Tidak Disusutkan",$V169=0),"Tidak Disusutkan","Garis Lurus")))</f>
        <v/>
      </c>
      <c r="X169" t="str">
        <f>IF($B169="","",IF($Y169&gt;TahunBuku*12+12,"Belum Diperoleh",IF($Z169&lt;=TahunBuku*12,"Dilepas (thn lalu)",IF($AC169=1,"Dilepas thn ini",IF($AB169=1,"Perolehan baru","Aktif")))))</f>
        <v/>
      </c>
      <c r="Y169" s="20" t="str">
        <f>IF($B169="","",YEAR($F169)*12+MONTH($F169))</f>
        <v/>
      </c>
      <c r="Z169" s="20" t="str">
        <f>IF($B169="","",IF($Q169="",99999,YEAR($Q169)*12+MONTH($Q169)))</f>
        <v/>
      </c>
      <c r="AA169" s="20" t="str">
        <f>IF($B169="","",--AND($Y169&lt;=TahunBuku*12,$Z169&gt;TahunBuku*12))</f>
        <v/>
      </c>
      <c r="AB169" s="20" t="str">
        <f>IF($B169="","",--AND($Y169&gt;TahunBuku*12,$Y169&lt;=TahunBuku*12+12))</f>
        <v/>
      </c>
      <c r="AC169" s="20" t="str">
        <f>IF($B169="","",--AND($Z169&gt;TahunBuku*12,$Z169&lt;=TahunBuku*12+12,$Y169&lt;=$Z169))</f>
        <v/>
      </c>
      <c r="AD169" s="21" t="str">
        <f>IF($B169="","",IFERROR(IF($S169="Garis Lurus",$G169-($G169-$H169)*MIN($T169*12,MAX(0,TahunBuku*12-$Y169+1))/($T169*12),IF($S169="Saldo Menurun",IF(TahunBuku-1&lt;YEAR($F169),$G169,IF(TahunBuku-1&gt;=INT(($Y169+$T169*12-2)/12),$H169,MAX($H169,$G169*(1-2/$T169*(13-MONTH($F169))/12)*(1-2/$T169)^(TahunBuku-1-YEAR($F169))))),IF($S169="Unit Produksi",$G169-($G169-$H169)*MIN(1,N($L169)/$K169),$G169))),$G169))</f>
        <v/>
      </c>
      <c r="AE169" s="21" t="str">
        <f>IF($B169="","",IFERROR(IF($S169="Garis Lurus",$G169-($G169-$H169)*MIN($T169*12,MAX(0,TahunBuku*12+12-$Y169+1))/($T169*12),IF($S169="Saldo Menurun",IF(TahunBuku&lt;YEAR($F169),$G169,IF(TahunBuku&gt;=INT(($Y169+$T169*12-2)/12),$H169,MAX($H169,$G169*(1-2/$T169*(13-MONTH($F169))/12)*(1-2/$T169)^(TahunBuku-YEAR($F169))))),IF($S169="Unit Produksi",$G169-($G169-$H169)*MIN(1,(N($L169)+N($M169))/$K169),$G169))),$G169))</f>
        <v/>
      </c>
      <c r="AF169" s="20" t="str">
        <f>IF($B169="","",IF(OR($S169="Garis Lurus",$S169="Saldo Menurun",$S169="Unit Produksi"),MAX(0,IF($S169="Unit Produksi",TahunBuku*12+12,MIN(TahunBuku*12+12,$Y169+$T169*12-1))-MAX(TahunBuku*12+1,$Y169)+1),0))</f>
        <v/>
      </c>
      <c r="AG169" s="20" t="str">
        <f>IF($B169="","",IF(OR($S169="Garis Lurus",$S169="Saldo Menurun",$S169="Unit Produksi"),MAX(0,MIN($Z169,IF($S169="Unit Produksi",TahunBuku*12+12,MIN(TahunBuku*12+12,$Y169+$T169*12-1)))-MAX(TahunBuku*12+1,$Y169)+1),0))</f>
        <v/>
      </c>
      <c r="AH169" s="21" t="str">
        <f>IF($B169="","",IFERROR(IF($W169="Garis Lurus",$G169*(1-MIN($V169*12,MAX(0,TahunBuku*12-$Y169+1))/($V169*12)),IF($W169="Saldo Menurun",IF(TahunBuku-1&lt;YEAR($F169),$G169,IF(TahunBuku-1&gt;=INT(($Y169+$V169*12-2)/12),0,$G169*(1-2/$V169*(13-MONTH($F169))/12)*(1-2/$V169)^(TahunBuku-1-YEAR($F169)))),$G169)),$G169))</f>
        <v/>
      </c>
      <c r="AI169" s="21" t="str">
        <f>IF($B169="","",IFERROR(IF($W169="Garis Lurus",$G169*(1-MIN($V169*12,MAX(0,TahunBuku*12+12-$Y169+1))/($V169*12)),IF($W169="Saldo Menurun",IF(TahunBuku&lt;YEAR($F169),$G169,IF(TahunBuku&gt;=INT(($Y169+$V169*12-2)/12),0,$G169*(1-2/$V169*(13-MONTH($F169))/12)*(1-2/$V169)^(TahunBuku-YEAR($F169)))),$G169)),$G169))</f>
        <v/>
      </c>
      <c r="AJ169" s="20" t="str">
        <f>IF($B169="","",IF(OR($W169="Garis Lurus",$W169="Saldo Menurun"),MAX(0,MIN(TahunBuku*12+12,$Y169+$V169*12-1)-MAX(TahunBuku*12+1,$Y169)+1),0))</f>
        <v/>
      </c>
      <c r="AK169" s="20" t="str">
        <f>IF($B169="","",IF(OR($W169="Garis Lurus",$W169="Saldo Menurun"),MAX(0,MIN($Z169,TahunBuku*12+12,$Y169+$V169*12-1)-MAX(TahunBuku*12+1,$Y169)+1),0))</f>
        <v/>
      </c>
      <c r="AL169" s="22" t="str">
        <f>IF($B169="","",$G169*$AA169)</f>
        <v/>
      </c>
      <c r="AM169" s="22" t="str">
        <f>IF($B169="","",$G169*$AB169)</f>
        <v/>
      </c>
      <c r="AN169" s="22" t="str">
        <f>IF($B169="","",$G169*$AC169)</f>
        <v/>
      </c>
      <c r="AO169" s="22" t="str">
        <f>IF($B169="","",AL169+AM169-AN169)</f>
        <v/>
      </c>
      <c r="AP169" s="22" t="str">
        <f>IF($B169="","",($G169-$AD169)*$AA169)</f>
        <v/>
      </c>
      <c r="AQ169" s="22" t="str">
        <f>IF($B169="","",IF($AF169=0,0,($AD169-$AE169)*$AG169/$AF169)*MAX($AA169,$AB169))</f>
        <v/>
      </c>
      <c r="AR169" s="22" t="str">
        <f>IF($B169="","",(AP169+AQ169)*$AC169)</f>
        <v/>
      </c>
      <c r="AS169" s="22" t="str">
        <f>IF($B169="","",AP169+AQ169-AR169)</f>
        <v/>
      </c>
      <c r="AT169" s="22" t="str">
        <f>IF($B169="","",AO169-AS169)</f>
        <v/>
      </c>
      <c r="AU169" s="22" t="str">
        <f>IF($B169="","",IF($AC169=1,N($R169)-($G169-AR169),0))</f>
        <v/>
      </c>
      <c r="AV169" s="22" t="str">
        <f>IF($B169="","",($G169-$AH169)*$AA169)</f>
        <v/>
      </c>
      <c r="AW169" s="22" t="str">
        <f>IF($B169="","",IF($AJ169=0,0,($AH169-$AI169)*$AK169/$AJ169)*MAX($AA169,$AB169))</f>
        <v/>
      </c>
      <c r="AX169" s="22" t="str">
        <f>IF($B169="","",(AV169+AW169)*$AC169)</f>
        <v/>
      </c>
      <c r="AY169" s="22" t="str">
        <f>IF($B169="","",AV169+AW169-AX169)</f>
        <v/>
      </c>
      <c r="AZ169" s="22" t="str">
        <f>IF($B169="","",AO169-AY169)</f>
        <v/>
      </c>
      <c r="BA169" s="22" t="str">
        <f>IF($B169="","",IF($AC169=1,N($R169)-($G169-AX169),0))</f>
        <v/>
      </c>
      <c r="BB169" s="22" t="str">
        <f>IF($B169="","",ROUND(AQ169-AW169,0))</f>
        <v/>
      </c>
      <c r="BC169" s="22" t="str">
        <f>IF($B169="","",ROUND(BA169-AU169,0))</f>
        <v/>
      </c>
      <c r="BD169" s="22" t="str">
        <f>IF($B169="","",BB169+BC169)</f>
        <v/>
      </c>
      <c r="BE169" s="22" t="str">
        <f>IF($B169="","",ROUND(AV169-AP169,0))</f>
        <v/>
      </c>
      <c r="BF169" s="22" t="str">
        <f>IF($B169="","",ROUND(AT169-AZ169,0))</f>
        <v/>
      </c>
      <c r="BG169" s="22" t="str">
        <f>IF($B169="","",ROUND(BF169*TarifPPh,0))</f>
        <v/>
      </c>
      <c r="BH169" t="str">
        <f>IF($B169="","",IF($D169="","Kategori kosong",IF($F169="","Tgl perolehan kosong",IF(N($H169)&gt;$G169,"Residu &gt; harga perolehan",IF(AND(LEFT($U169,8)="Bangunan",$W169="Saldo Menurun"),"Bangunan wajib Garis Lurus (Ps.11 UU PPh)",IF(AND($S169="Unit Produksi",N($K169)=0),"Isi kapasitas unit",IF(AND(OR($S169="Garis Lurus",$S169="Saldo Menurun"),N($T169)&lt;=0),"Umur komersial kosong",IF(AND(OR($W169="Garis Lurus",$W169="Saldo Menurun"),N($V169)&lt;=0),"Masa manfaat fiskal kosong",IF(AND($Q169&lt;&gt;"",$Q169&lt;$F169),"Tgl pelepasan &lt; perolehan","OK")))))))))</f>
        <v/>
      </c>
    </row>
    <row r="170" spans="1:60" x14ac:dyDescent="0.25">
      <c r="A170" t="str">
        <f>IF($B170="","",ROW()-6)</f>
        <v/>
      </c>
      <c r="B170" s="9"/>
      <c r="C170" s="9"/>
      <c r="D170" s="9"/>
      <c r="E170" s="9"/>
      <c r="F170" s="17"/>
      <c r="G170" s="18"/>
      <c r="H170" s="18"/>
      <c r="I170" s="9"/>
      <c r="J170" s="9"/>
      <c r="K170" s="19"/>
      <c r="L170" s="19"/>
      <c r="M170" s="19"/>
      <c r="N170" s="9"/>
      <c r="O170" s="9"/>
      <c r="P170" s="9"/>
      <c r="Q170" s="17"/>
      <c r="R170" s="18"/>
      <c r="S170" t="str">
        <f>IF($B170="","",IF($I170&lt;&gt;"",$I170,IFERROR(INDEX(Kat_Metode,MATCH($D170,Kat_Nama,0)),"")))</f>
        <v/>
      </c>
      <c r="T170" t="str">
        <f>IF($B170="","",IF($J170&lt;&gt;"",$J170,IFERROR(INDEX(Kat_Umur,MATCH($D170,Kat_Nama,0)),0)))</f>
        <v/>
      </c>
      <c r="U170" t="str">
        <f>IF($B170="","",IF($N170&lt;&gt;"",$N170,IFERROR(INDEX(Kat_Kelompok,MATCH($D170,Kat_Nama,0)),"")))</f>
        <v/>
      </c>
      <c r="V170" t="str">
        <f>IF($B170="","",IF($U170="Masa Manfaat Sebenarnya",N($O170),IFERROR(INDEX(Kel_Masa,MATCH($U170,Kel_Nama,0)),0)))</f>
        <v/>
      </c>
      <c r="W170" t="str">
        <f>IF($B170="","",IF($P170&lt;&gt;"",$P170,IF(OR($U170="Tidak Disusutkan",$V170=0),"Tidak Disusutkan","Garis Lurus")))</f>
        <v/>
      </c>
      <c r="X170" t="str">
        <f>IF($B170="","",IF($Y170&gt;TahunBuku*12+12,"Belum Diperoleh",IF($Z170&lt;=TahunBuku*12,"Dilepas (thn lalu)",IF($AC170=1,"Dilepas thn ini",IF($AB170=1,"Perolehan baru","Aktif")))))</f>
        <v/>
      </c>
      <c r="Y170" s="20" t="str">
        <f>IF($B170="","",YEAR($F170)*12+MONTH($F170))</f>
        <v/>
      </c>
      <c r="Z170" s="20" t="str">
        <f>IF($B170="","",IF($Q170="",99999,YEAR($Q170)*12+MONTH($Q170)))</f>
        <v/>
      </c>
      <c r="AA170" s="20" t="str">
        <f>IF($B170="","",--AND($Y170&lt;=TahunBuku*12,$Z170&gt;TahunBuku*12))</f>
        <v/>
      </c>
      <c r="AB170" s="20" t="str">
        <f>IF($B170="","",--AND($Y170&gt;TahunBuku*12,$Y170&lt;=TahunBuku*12+12))</f>
        <v/>
      </c>
      <c r="AC170" s="20" t="str">
        <f>IF($B170="","",--AND($Z170&gt;TahunBuku*12,$Z170&lt;=TahunBuku*12+12,$Y170&lt;=$Z170))</f>
        <v/>
      </c>
      <c r="AD170" s="21" t="str">
        <f>IF($B170="","",IFERROR(IF($S170="Garis Lurus",$G170-($G170-$H170)*MIN($T170*12,MAX(0,TahunBuku*12-$Y170+1))/($T170*12),IF($S170="Saldo Menurun",IF(TahunBuku-1&lt;YEAR($F170),$G170,IF(TahunBuku-1&gt;=INT(($Y170+$T170*12-2)/12),$H170,MAX($H170,$G170*(1-2/$T170*(13-MONTH($F170))/12)*(1-2/$T170)^(TahunBuku-1-YEAR($F170))))),IF($S170="Unit Produksi",$G170-($G170-$H170)*MIN(1,N($L170)/$K170),$G170))),$G170))</f>
        <v/>
      </c>
      <c r="AE170" s="21" t="str">
        <f>IF($B170="","",IFERROR(IF($S170="Garis Lurus",$G170-($G170-$H170)*MIN($T170*12,MAX(0,TahunBuku*12+12-$Y170+1))/($T170*12),IF($S170="Saldo Menurun",IF(TahunBuku&lt;YEAR($F170),$G170,IF(TahunBuku&gt;=INT(($Y170+$T170*12-2)/12),$H170,MAX($H170,$G170*(1-2/$T170*(13-MONTH($F170))/12)*(1-2/$T170)^(TahunBuku-YEAR($F170))))),IF($S170="Unit Produksi",$G170-($G170-$H170)*MIN(1,(N($L170)+N($M170))/$K170),$G170))),$G170))</f>
        <v/>
      </c>
      <c r="AF170" s="20" t="str">
        <f>IF($B170="","",IF(OR($S170="Garis Lurus",$S170="Saldo Menurun",$S170="Unit Produksi"),MAX(0,IF($S170="Unit Produksi",TahunBuku*12+12,MIN(TahunBuku*12+12,$Y170+$T170*12-1))-MAX(TahunBuku*12+1,$Y170)+1),0))</f>
        <v/>
      </c>
      <c r="AG170" s="20" t="str">
        <f>IF($B170="","",IF(OR($S170="Garis Lurus",$S170="Saldo Menurun",$S170="Unit Produksi"),MAX(0,MIN($Z170,IF($S170="Unit Produksi",TahunBuku*12+12,MIN(TahunBuku*12+12,$Y170+$T170*12-1)))-MAX(TahunBuku*12+1,$Y170)+1),0))</f>
        <v/>
      </c>
      <c r="AH170" s="21" t="str">
        <f>IF($B170="","",IFERROR(IF($W170="Garis Lurus",$G170*(1-MIN($V170*12,MAX(0,TahunBuku*12-$Y170+1))/($V170*12)),IF($W170="Saldo Menurun",IF(TahunBuku-1&lt;YEAR($F170),$G170,IF(TahunBuku-1&gt;=INT(($Y170+$V170*12-2)/12),0,$G170*(1-2/$V170*(13-MONTH($F170))/12)*(1-2/$V170)^(TahunBuku-1-YEAR($F170)))),$G170)),$G170))</f>
        <v/>
      </c>
      <c r="AI170" s="21" t="str">
        <f>IF($B170="","",IFERROR(IF($W170="Garis Lurus",$G170*(1-MIN($V170*12,MAX(0,TahunBuku*12+12-$Y170+1))/($V170*12)),IF($W170="Saldo Menurun",IF(TahunBuku&lt;YEAR($F170),$G170,IF(TahunBuku&gt;=INT(($Y170+$V170*12-2)/12),0,$G170*(1-2/$V170*(13-MONTH($F170))/12)*(1-2/$V170)^(TahunBuku-YEAR($F170)))),$G170)),$G170))</f>
        <v/>
      </c>
      <c r="AJ170" s="20" t="str">
        <f>IF($B170="","",IF(OR($W170="Garis Lurus",$W170="Saldo Menurun"),MAX(0,MIN(TahunBuku*12+12,$Y170+$V170*12-1)-MAX(TahunBuku*12+1,$Y170)+1),0))</f>
        <v/>
      </c>
      <c r="AK170" s="20" t="str">
        <f>IF($B170="","",IF(OR($W170="Garis Lurus",$W170="Saldo Menurun"),MAX(0,MIN($Z170,TahunBuku*12+12,$Y170+$V170*12-1)-MAX(TahunBuku*12+1,$Y170)+1),0))</f>
        <v/>
      </c>
      <c r="AL170" s="22" t="str">
        <f>IF($B170="","",$G170*$AA170)</f>
        <v/>
      </c>
      <c r="AM170" s="22" t="str">
        <f>IF($B170="","",$G170*$AB170)</f>
        <v/>
      </c>
      <c r="AN170" s="22" t="str">
        <f>IF($B170="","",$G170*$AC170)</f>
        <v/>
      </c>
      <c r="AO170" s="22" t="str">
        <f>IF($B170="","",AL170+AM170-AN170)</f>
        <v/>
      </c>
      <c r="AP170" s="22" t="str">
        <f>IF($B170="","",($G170-$AD170)*$AA170)</f>
        <v/>
      </c>
      <c r="AQ170" s="22" t="str">
        <f>IF($B170="","",IF($AF170=0,0,($AD170-$AE170)*$AG170/$AF170)*MAX($AA170,$AB170))</f>
        <v/>
      </c>
      <c r="AR170" s="22" t="str">
        <f>IF($B170="","",(AP170+AQ170)*$AC170)</f>
        <v/>
      </c>
      <c r="AS170" s="22" t="str">
        <f>IF($B170="","",AP170+AQ170-AR170)</f>
        <v/>
      </c>
      <c r="AT170" s="22" t="str">
        <f>IF($B170="","",AO170-AS170)</f>
        <v/>
      </c>
      <c r="AU170" s="22" t="str">
        <f>IF($B170="","",IF($AC170=1,N($R170)-($G170-AR170),0))</f>
        <v/>
      </c>
      <c r="AV170" s="22" t="str">
        <f>IF($B170="","",($G170-$AH170)*$AA170)</f>
        <v/>
      </c>
      <c r="AW170" s="22" t="str">
        <f>IF($B170="","",IF($AJ170=0,0,($AH170-$AI170)*$AK170/$AJ170)*MAX($AA170,$AB170))</f>
        <v/>
      </c>
      <c r="AX170" s="22" t="str">
        <f>IF($B170="","",(AV170+AW170)*$AC170)</f>
        <v/>
      </c>
      <c r="AY170" s="22" t="str">
        <f>IF($B170="","",AV170+AW170-AX170)</f>
        <v/>
      </c>
      <c r="AZ170" s="22" t="str">
        <f>IF($B170="","",AO170-AY170)</f>
        <v/>
      </c>
      <c r="BA170" s="22" t="str">
        <f>IF($B170="","",IF($AC170=1,N($R170)-($G170-AX170),0))</f>
        <v/>
      </c>
      <c r="BB170" s="22" t="str">
        <f>IF($B170="","",ROUND(AQ170-AW170,0))</f>
        <v/>
      </c>
      <c r="BC170" s="22" t="str">
        <f>IF($B170="","",ROUND(BA170-AU170,0))</f>
        <v/>
      </c>
      <c r="BD170" s="22" t="str">
        <f>IF($B170="","",BB170+BC170)</f>
        <v/>
      </c>
      <c r="BE170" s="22" t="str">
        <f>IF($B170="","",ROUND(AV170-AP170,0))</f>
        <v/>
      </c>
      <c r="BF170" s="22" t="str">
        <f>IF($B170="","",ROUND(AT170-AZ170,0))</f>
        <v/>
      </c>
      <c r="BG170" s="22" t="str">
        <f>IF($B170="","",ROUND(BF170*TarifPPh,0))</f>
        <v/>
      </c>
      <c r="BH170" t="str">
        <f>IF($B170="","",IF($D170="","Kategori kosong",IF($F170="","Tgl perolehan kosong",IF(N($H170)&gt;$G170,"Residu &gt; harga perolehan",IF(AND(LEFT($U170,8)="Bangunan",$W170="Saldo Menurun"),"Bangunan wajib Garis Lurus (Ps.11 UU PPh)",IF(AND($S170="Unit Produksi",N($K170)=0),"Isi kapasitas unit",IF(AND(OR($S170="Garis Lurus",$S170="Saldo Menurun"),N($T170)&lt;=0),"Umur komersial kosong",IF(AND(OR($W170="Garis Lurus",$W170="Saldo Menurun"),N($V170)&lt;=0),"Masa manfaat fiskal kosong",IF(AND($Q170&lt;&gt;"",$Q170&lt;$F170),"Tgl pelepasan &lt; perolehan","OK")))))))))</f>
        <v/>
      </c>
    </row>
    <row r="171" spans="1:60" x14ac:dyDescent="0.25">
      <c r="A171" t="str">
        <f>IF($B171="","",ROW()-6)</f>
        <v/>
      </c>
      <c r="B171" s="9"/>
      <c r="C171" s="9"/>
      <c r="D171" s="9"/>
      <c r="E171" s="9"/>
      <c r="F171" s="17"/>
      <c r="G171" s="18"/>
      <c r="H171" s="18"/>
      <c r="I171" s="9"/>
      <c r="J171" s="9"/>
      <c r="K171" s="19"/>
      <c r="L171" s="19"/>
      <c r="M171" s="19"/>
      <c r="N171" s="9"/>
      <c r="O171" s="9"/>
      <c r="P171" s="9"/>
      <c r="Q171" s="17"/>
      <c r="R171" s="18"/>
      <c r="S171" t="str">
        <f>IF($B171="","",IF($I171&lt;&gt;"",$I171,IFERROR(INDEX(Kat_Metode,MATCH($D171,Kat_Nama,0)),"")))</f>
        <v/>
      </c>
      <c r="T171" t="str">
        <f>IF($B171="","",IF($J171&lt;&gt;"",$J171,IFERROR(INDEX(Kat_Umur,MATCH($D171,Kat_Nama,0)),0)))</f>
        <v/>
      </c>
      <c r="U171" t="str">
        <f>IF($B171="","",IF($N171&lt;&gt;"",$N171,IFERROR(INDEX(Kat_Kelompok,MATCH($D171,Kat_Nama,0)),"")))</f>
        <v/>
      </c>
      <c r="V171" t="str">
        <f>IF($B171="","",IF($U171="Masa Manfaat Sebenarnya",N($O171),IFERROR(INDEX(Kel_Masa,MATCH($U171,Kel_Nama,0)),0)))</f>
        <v/>
      </c>
      <c r="W171" t="str">
        <f>IF($B171="","",IF($P171&lt;&gt;"",$P171,IF(OR($U171="Tidak Disusutkan",$V171=0),"Tidak Disusutkan","Garis Lurus")))</f>
        <v/>
      </c>
      <c r="X171" t="str">
        <f>IF($B171="","",IF($Y171&gt;TahunBuku*12+12,"Belum Diperoleh",IF($Z171&lt;=TahunBuku*12,"Dilepas (thn lalu)",IF($AC171=1,"Dilepas thn ini",IF($AB171=1,"Perolehan baru","Aktif")))))</f>
        <v/>
      </c>
      <c r="Y171" s="20" t="str">
        <f>IF($B171="","",YEAR($F171)*12+MONTH($F171))</f>
        <v/>
      </c>
      <c r="Z171" s="20" t="str">
        <f>IF($B171="","",IF($Q171="",99999,YEAR($Q171)*12+MONTH($Q171)))</f>
        <v/>
      </c>
      <c r="AA171" s="20" t="str">
        <f>IF($B171="","",--AND($Y171&lt;=TahunBuku*12,$Z171&gt;TahunBuku*12))</f>
        <v/>
      </c>
      <c r="AB171" s="20" t="str">
        <f>IF($B171="","",--AND($Y171&gt;TahunBuku*12,$Y171&lt;=TahunBuku*12+12))</f>
        <v/>
      </c>
      <c r="AC171" s="20" t="str">
        <f>IF($B171="","",--AND($Z171&gt;TahunBuku*12,$Z171&lt;=TahunBuku*12+12,$Y171&lt;=$Z171))</f>
        <v/>
      </c>
      <c r="AD171" s="21" t="str">
        <f>IF($B171="","",IFERROR(IF($S171="Garis Lurus",$G171-($G171-$H171)*MIN($T171*12,MAX(0,TahunBuku*12-$Y171+1))/($T171*12),IF($S171="Saldo Menurun",IF(TahunBuku-1&lt;YEAR($F171),$G171,IF(TahunBuku-1&gt;=INT(($Y171+$T171*12-2)/12),$H171,MAX($H171,$G171*(1-2/$T171*(13-MONTH($F171))/12)*(1-2/$T171)^(TahunBuku-1-YEAR($F171))))),IF($S171="Unit Produksi",$G171-($G171-$H171)*MIN(1,N($L171)/$K171),$G171))),$G171))</f>
        <v/>
      </c>
      <c r="AE171" s="21" t="str">
        <f>IF($B171="","",IFERROR(IF($S171="Garis Lurus",$G171-($G171-$H171)*MIN($T171*12,MAX(0,TahunBuku*12+12-$Y171+1))/($T171*12),IF($S171="Saldo Menurun",IF(TahunBuku&lt;YEAR($F171),$G171,IF(TahunBuku&gt;=INT(($Y171+$T171*12-2)/12),$H171,MAX($H171,$G171*(1-2/$T171*(13-MONTH($F171))/12)*(1-2/$T171)^(TahunBuku-YEAR($F171))))),IF($S171="Unit Produksi",$G171-($G171-$H171)*MIN(1,(N($L171)+N($M171))/$K171),$G171))),$G171))</f>
        <v/>
      </c>
      <c r="AF171" s="20" t="str">
        <f>IF($B171="","",IF(OR($S171="Garis Lurus",$S171="Saldo Menurun",$S171="Unit Produksi"),MAX(0,IF($S171="Unit Produksi",TahunBuku*12+12,MIN(TahunBuku*12+12,$Y171+$T171*12-1))-MAX(TahunBuku*12+1,$Y171)+1),0))</f>
        <v/>
      </c>
      <c r="AG171" s="20" t="str">
        <f>IF($B171="","",IF(OR($S171="Garis Lurus",$S171="Saldo Menurun",$S171="Unit Produksi"),MAX(0,MIN($Z171,IF($S171="Unit Produksi",TahunBuku*12+12,MIN(TahunBuku*12+12,$Y171+$T171*12-1)))-MAX(TahunBuku*12+1,$Y171)+1),0))</f>
        <v/>
      </c>
      <c r="AH171" s="21" t="str">
        <f>IF($B171="","",IFERROR(IF($W171="Garis Lurus",$G171*(1-MIN($V171*12,MAX(0,TahunBuku*12-$Y171+1))/($V171*12)),IF($W171="Saldo Menurun",IF(TahunBuku-1&lt;YEAR($F171),$G171,IF(TahunBuku-1&gt;=INT(($Y171+$V171*12-2)/12),0,$G171*(1-2/$V171*(13-MONTH($F171))/12)*(1-2/$V171)^(TahunBuku-1-YEAR($F171)))),$G171)),$G171))</f>
        <v/>
      </c>
      <c r="AI171" s="21" t="str">
        <f>IF($B171="","",IFERROR(IF($W171="Garis Lurus",$G171*(1-MIN($V171*12,MAX(0,TahunBuku*12+12-$Y171+1))/($V171*12)),IF($W171="Saldo Menurun",IF(TahunBuku&lt;YEAR($F171),$G171,IF(TahunBuku&gt;=INT(($Y171+$V171*12-2)/12),0,$G171*(1-2/$V171*(13-MONTH($F171))/12)*(1-2/$V171)^(TahunBuku-YEAR($F171)))),$G171)),$G171))</f>
        <v/>
      </c>
      <c r="AJ171" s="20" t="str">
        <f>IF($B171="","",IF(OR($W171="Garis Lurus",$W171="Saldo Menurun"),MAX(0,MIN(TahunBuku*12+12,$Y171+$V171*12-1)-MAX(TahunBuku*12+1,$Y171)+1),0))</f>
        <v/>
      </c>
      <c r="AK171" s="20" t="str">
        <f>IF($B171="","",IF(OR($W171="Garis Lurus",$W171="Saldo Menurun"),MAX(0,MIN($Z171,TahunBuku*12+12,$Y171+$V171*12-1)-MAX(TahunBuku*12+1,$Y171)+1),0))</f>
        <v/>
      </c>
      <c r="AL171" s="22" t="str">
        <f>IF($B171="","",$G171*$AA171)</f>
        <v/>
      </c>
      <c r="AM171" s="22" t="str">
        <f>IF($B171="","",$G171*$AB171)</f>
        <v/>
      </c>
      <c r="AN171" s="22" t="str">
        <f>IF($B171="","",$G171*$AC171)</f>
        <v/>
      </c>
      <c r="AO171" s="22" t="str">
        <f>IF($B171="","",AL171+AM171-AN171)</f>
        <v/>
      </c>
      <c r="AP171" s="22" t="str">
        <f>IF($B171="","",($G171-$AD171)*$AA171)</f>
        <v/>
      </c>
      <c r="AQ171" s="22" t="str">
        <f>IF($B171="","",IF($AF171=0,0,($AD171-$AE171)*$AG171/$AF171)*MAX($AA171,$AB171))</f>
        <v/>
      </c>
      <c r="AR171" s="22" t="str">
        <f>IF($B171="","",(AP171+AQ171)*$AC171)</f>
        <v/>
      </c>
      <c r="AS171" s="22" t="str">
        <f>IF($B171="","",AP171+AQ171-AR171)</f>
        <v/>
      </c>
      <c r="AT171" s="22" t="str">
        <f>IF($B171="","",AO171-AS171)</f>
        <v/>
      </c>
      <c r="AU171" s="22" t="str">
        <f>IF($B171="","",IF($AC171=1,N($R171)-($G171-AR171),0))</f>
        <v/>
      </c>
      <c r="AV171" s="22" t="str">
        <f>IF($B171="","",($G171-$AH171)*$AA171)</f>
        <v/>
      </c>
      <c r="AW171" s="22" t="str">
        <f>IF($B171="","",IF($AJ171=0,0,($AH171-$AI171)*$AK171/$AJ171)*MAX($AA171,$AB171))</f>
        <v/>
      </c>
      <c r="AX171" s="22" t="str">
        <f>IF($B171="","",(AV171+AW171)*$AC171)</f>
        <v/>
      </c>
      <c r="AY171" s="22" t="str">
        <f>IF($B171="","",AV171+AW171-AX171)</f>
        <v/>
      </c>
      <c r="AZ171" s="22" t="str">
        <f>IF($B171="","",AO171-AY171)</f>
        <v/>
      </c>
      <c r="BA171" s="22" t="str">
        <f>IF($B171="","",IF($AC171=1,N($R171)-($G171-AX171),0))</f>
        <v/>
      </c>
      <c r="BB171" s="22" t="str">
        <f>IF($B171="","",ROUND(AQ171-AW171,0))</f>
        <v/>
      </c>
      <c r="BC171" s="22" t="str">
        <f>IF($B171="","",ROUND(BA171-AU171,0))</f>
        <v/>
      </c>
      <c r="BD171" s="22" t="str">
        <f>IF($B171="","",BB171+BC171)</f>
        <v/>
      </c>
      <c r="BE171" s="22" t="str">
        <f>IF($B171="","",ROUND(AV171-AP171,0))</f>
        <v/>
      </c>
      <c r="BF171" s="22" t="str">
        <f>IF($B171="","",ROUND(AT171-AZ171,0))</f>
        <v/>
      </c>
      <c r="BG171" s="22" t="str">
        <f>IF($B171="","",ROUND(BF171*TarifPPh,0))</f>
        <v/>
      </c>
      <c r="BH171" t="str">
        <f>IF($B171="","",IF($D171="","Kategori kosong",IF($F171="","Tgl perolehan kosong",IF(N($H171)&gt;$G171,"Residu &gt; harga perolehan",IF(AND(LEFT($U171,8)="Bangunan",$W171="Saldo Menurun"),"Bangunan wajib Garis Lurus (Ps.11 UU PPh)",IF(AND($S171="Unit Produksi",N($K171)=0),"Isi kapasitas unit",IF(AND(OR($S171="Garis Lurus",$S171="Saldo Menurun"),N($T171)&lt;=0),"Umur komersial kosong",IF(AND(OR($W171="Garis Lurus",$W171="Saldo Menurun"),N($V171)&lt;=0),"Masa manfaat fiskal kosong",IF(AND($Q171&lt;&gt;"",$Q171&lt;$F171),"Tgl pelepasan &lt; perolehan","OK")))))))))</f>
        <v/>
      </c>
    </row>
    <row r="172" spans="1:60" x14ac:dyDescent="0.25">
      <c r="A172" t="str">
        <f>IF($B172="","",ROW()-6)</f>
        <v/>
      </c>
      <c r="B172" s="9"/>
      <c r="C172" s="9"/>
      <c r="D172" s="9"/>
      <c r="E172" s="9"/>
      <c r="F172" s="17"/>
      <c r="G172" s="18"/>
      <c r="H172" s="18"/>
      <c r="I172" s="9"/>
      <c r="J172" s="9"/>
      <c r="K172" s="19"/>
      <c r="L172" s="19"/>
      <c r="M172" s="19"/>
      <c r="N172" s="9"/>
      <c r="O172" s="9"/>
      <c r="P172" s="9"/>
      <c r="Q172" s="17"/>
      <c r="R172" s="18"/>
      <c r="S172" t="str">
        <f>IF($B172="","",IF($I172&lt;&gt;"",$I172,IFERROR(INDEX(Kat_Metode,MATCH($D172,Kat_Nama,0)),"")))</f>
        <v/>
      </c>
      <c r="T172" t="str">
        <f>IF($B172="","",IF($J172&lt;&gt;"",$J172,IFERROR(INDEX(Kat_Umur,MATCH($D172,Kat_Nama,0)),0)))</f>
        <v/>
      </c>
      <c r="U172" t="str">
        <f>IF($B172="","",IF($N172&lt;&gt;"",$N172,IFERROR(INDEX(Kat_Kelompok,MATCH($D172,Kat_Nama,0)),"")))</f>
        <v/>
      </c>
      <c r="V172" t="str">
        <f>IF($B172="","",IF($U172="Masa Manfaat Sebenarnya",N($O172),IFERROR(INDEX(Kel_Masa,MATCH($U172,Kel_Nama,0)),0)))</f>
        <v/>
      </c>
      <c r="W172" t="str">
        <f>IF($B172="","",IF($P172&lt;&gt;"",$P172,IF(OR($U172="Tidak Disusutkan",$V172=0),"Tidak Disusutkan","Garis Lurus")))</f>
        <v/>
      </c>
      <c r="X172" t="str">
        <f>IF($B172="","",IF($Y172&gt;TahunBuku*12+12,"Belum Diperoleh",IF($Z172&lt;=TahunBuku*12,"Dilepas (thn lalu)",IF($AC172=1,"Dilepas thn ini",IF($AB172=1,"Perolehan baru","Aktif")))))</f>
        <v/>
      </c>
      <c r="Y172" s="20" t="str">
        <f>IF($B172="","",YEAR($F172)*12+MONTH($F172))</f>
        <v/>
      </c>
      <c r="Z172" s="20" t="str">
        <f>IF($B172="","",IF($Q172="",99999,YEAR($Q172)*12+MONTH($Q172)))</f>
        <v/>
      </c>
      <c r="AA172" s="20" t="str">
        <f>IF($B172="","",--AND($Y172&lt;=TahunBuku*12,$Z172&gt;TahunBuku*12))</f>
        <v/>
      </c>
      <c r="AB172" s="20" t="str">
        <f>IF($B172="","",--AND($Y172&gt;TahunBuku*12,$Y172&lt;=TahunBuku*12+12))</f>
        <v/>
      </c>
      <c r="AC172" s="20" t="str">
        <f>IF($B172="","",--AND($Z172&gt;TahunBuku*12,$Z172&lt;=TahunBuku*12+12,$Y172&lt;=$Z172))</f>
        <v/>
      </c>
      <c r="AD172" s="21" t="str">
        <f>IF($B172="","",IFERROR(IF($S172="Garis Lurus",$G172-($G172-$H172)*MIN($T172*12,MAX(0,TahunBuku*12-$Y172+1))/($T172*12),IF($S172="Saldo Menurun",IF(TahunBuku-1&lt;YEAR($F172),$G172,IF(TahunBuku-1&gt;=INT(($Y172+$T172*12-2)/12),$H172,MAX($H172,$G172*(1-2/$T172*(13-MONTH($F172))/12)*(1-2/$T172)^(TahunBuku-1-YEAR($F172))))),IF($S172="Unit Produksi",$G172-($G172-$H172)*MIN(1,N($L172)/$K172),$G172))),$G172))</f>
        <v/>
      </c>
      <c r="AE172" s="21" t="str">
        <f>IF($B172="","",IFERROR(IF($S172="Garis Lurus",$G172-($G172-$H172)*MIN($T172*12,MAX(0,TahunBuku*12+12-$Y172+1))/($T172*12),IF($S172="Saldo Menurun",IF(TahunBuku&lt;YEAR($F172),$G172,IF(TahunBuku&gt;=INT(($Y172+$T172*12-2)/12),$H172,MAX($H172,$G172*(1-2/$T172*(13-MONTH($F172))/12)*(1-2/$T172)^(TahunBuku-YEAR($F172))))),IF($S172="Unit Produksi",$G172-($G172-$H172)*MIN(1,(N($L172)+N($M172))/$K172),$G172))),$G172))</f>
        <v/>
      </c>
      <c r="AF172" s="20" t="str">
        <f>IF($B172="","",IF(OR($S172="Garis Lurus",$S172="Saldo Menurun",$S172="Unit Produksi"),MAX(0,IF($S172="Unit Produksi",TahunBuku*12+12,MIN(TahunBuku*12+12,$Y172+$T172*12-1))-MAX(TahunBuku*12+1,$Y172)+1),0))</f>
        <v/>
      </c>
      <c r="AG172" s="20" t="str">
        <f>IF($B172="","",IF(OR($S172="Garis Lurus",$S172="Saldo Menurun",$S172="Unit Produksi"),MAX(0,MIN($Z172,IF($S172="Unit Produksi",TahunBuku*12+12,MIN(TahunBuku*12+12,$Y172+$T172*12-1)))-MAX(TahunBuku*12+1,$Y172)+1),0))</f>
        <v/>
      </c>
      <c r="AH172" s="21" t="str">
        <f>IF($B172="","",IFERROR(IF($W172="Garis Lurus",$G172*(1-MIN($V172*12,MAX(0,TahunBuku*12-$Y172+1))/($V172*12)),IF($W172="Saldo Menurun",IF(TahunBuku-1&lt;YEAR($F172),$G172,IF(TahunBuku-1&gt;=INT(($Y172+$V172*12-2)/12),0,$G172*(1-2/$V172*(13-MONTH($F172))/12)*(1-2/$V172)^(TahunBuku-1-YEAR($F172)))),$G172)),$G172))</f>
        <v/>
      </c>
      <c r="AI172" s="21" t="str">
        <f>IF($B172="","",IFERROR(IF($W172="Garis Lurus",$G172*(1-MIN($V172*12,MAX(0,TahunBuku*12+12-$Y172+1))/($V172*12)),IF($W172="Saldo Menurun",IF(TahunBuku&lt;YEAR($F172),$G172,IF(TahunBuku&gt;=INT(($Y172+$V172*12-2)/12),0,$G172*(1-2/$V172*(13-MONTH($F172))/12)*(1-2/$V172)^(TahunBuku-YEAR($F172)))),$G172)),$G172))</f>
        <v/>
      </c>
      <c r="AJ172" s="20" t="str">
        <f>IF($B172="","",IF(OR($W172="Garis Lurus",$W172="Saldo Menurun"),MAX(0,MIN(TahunBuku*12+12,$Y172+$V172*12-1)-MAX(TahunBuku*12+1,$Y172)+1),0))</f>
        <v/>
      </c>
      <c r="AK172" s="20" t="str">
        <f>IF($B172="","",IF(OR($W172="Garis Lurus",$W172="Saldo Menurun"),MAX(0,MIN($Z172,TahunBuku*12+12,$Y172+$V172*12-1)-MAX(TahunBuku*12+1,$Y172)+1),0))</f>
        <v/>
      </c>
      <c r="AL172" s="22" t="str">
        <f>IF($B172="","",$G172*$AA172)</f>
        <v/>
      </c>
      <c r="AM172" s="22" t="str">
        <f>IF($B172="","",$G172*$AB172)</f>
        <v/>
      </c>
      <c r="AN172" s="22" t="str">
        <f>IF($B172="","",$G172*$AC172)</f>
        <v/>
      </c>
      <c r="AO172" s="22" t="str">
        <f>IF($B172="","",AL172+AM172-AN172)</f>
        <v/>
      </c>
      <c r="AP172" s="22" t="str">
        <f>IF($B172="","",($G172-$AD172)*$AA172)</f>
        <v/>
      </c>
      <c r="AQ172" s="22" t="str">
        <f>IF($B172="","",IF($AF172=0,0,($AD172-$AE172)*$AG172/$AF172)*MAX($AA172,$AB172))</f>
        <v/>
      </c>
      <c r="AR172" s="22" t="str">
        <f>IF($B172="","",(AP172+AQ172)*$AC172)</f>
        <v/>
      </c>
      <c r="AS172" s="22" t="str">
        <f>IF($B172="","",AP172+AQ172-AR172)</f>
        <v/>
      </c>
      <c r="AT172" s="22" t="str">
        <f>IF($B172="","",AO172-AS172)</f>
        <v/>
      </c>
      <c r="AU172" s="22" t="str">
        <f>IF($B172="","",IF($AC172=1,N($R172)-($G172-AR172),0))</f>
        <v/>
      </c>
      <c r="AV172" s="22" t="str">
        <f>IF($B172="","",($G172-$AH172)*$AA172)</f>
        <v/>
      </c>
      <c r="AW172" s="22" t="str">
        <f>IF($B172="","",IF($AJ172=0,0,($AH172-$AI172)*$AK172/$AJ172)*MAX($AA172,$AB172))</f>
        <v/>
      </c>
      <c r="AX172" s="22" t="str">
        <f>IF($B172="","",(AV172+AW172)*$AC172)</f>
        <v/>
      </c>
      <c r="AY172" s="22" t="str">
        <f>IF($B172="","",AV172+AW172-AX172)</f>
        <v/>
      </c>
      <c r="AZ172" s="22" t="str">
        <f>IF($B172="","",AO172-AY172)</f>
        <v/>
      </c>
      <c r="BA172" s="22" t="str">
        <f>IF($B172="","",IF($AC172=1,N($R172)-($G172-AX172),0))</f>
        <v/>
      </c>
      <c r="BB172" s="22" t="str">
        <f>IF($B172="","",ROUND(AQ172-AW172,0))</f>
        <v/>
      </c>
      <c r="BC172" s="22" t="str">
        <f>IF($B172="","",ROUND(BA172-AU172,0))</f>
        <v/>
      </c>
      <c r="BD172" s="22" t="str">
        <f>IF($B172="","",BB172+BC172)</f>
        <v/>
      </c>
      <c r="BE172" s="22" t="str">
        <f>IF($B172="","",ROUND(AV172-AP172,0))</f>
        <v/>
      </c>
      <c r="BF172" s="22" t="str">
        <f>IF($B172="","",ROUND(AT172-AZ172,0))</f>
        <v/>
      </c>
      <c r="BG172" s="22" t="str">
        <f>IF($B172="","",ROUND(BF172*TarifPPh,0))</f>
        <v/>
      </c>
      <c r="BH172" t="str">
        <f>IF($B172="","",IF($D172="","Kategori kosong",IF($F172="","Tgl perolehan kosong",IF(N($H172)&gt;$G172,"Residu &gt; harga perolehan",IF(AND(LEFT($U172,8)="Bangunan",$W172="Saldo Menurun"),"Bangunan wajib Garis Lurus (Ps.11 UU PPh)",IF(AND($S172="Unit Produksi",N($K172)=0),"Isi kapasitas unit",IF(AND(OR($S172="Garis Lurus",$S172="Saldo Menurun"),N($T172)&lt;=0),"Umur komersial kosong",IF(AND(OR($W172="Garis Lurus",$W172="Saldo Menurun"),N($V172)&lt;=0),"Masa manfaat fiskal kosong",IF(AND($Q172&lt;&gt;"",$Q172&lt;$F172),"Tgl pelepasan &lt; perolehan","OK")))))))))</f>
        <v/>
      </c>
    </row>
    <row r="173" spans="1:60" x14ac:dyDescent="0.25">
      <c r="A173" t="str">
        <f>IF($B173="","",ROW()-6)</f>
        <v/>
      </c>
      <c r="B173" s="9"/>
      <c r="C173" s="9"/>
      <c r="D173" s="9"/>
      <c r="E173" s="9"/>
      <c r="F173" s="17"/>
      <c r="G173" s="18"/>
      <c r="H173" s="18"/>
      <c r="I173" s="9"/>
      <c r="J173" s="9"/>
      <c r="K173" s="19"/>
      <c r="L173" s="19"/>
      <c r="M173" s="19"/>
      <c r="N173" s="9"/>
      <c r="O173" s="9"/>
      <c r="P173" s="9"/>
      <c r="Q173" s="17"/>
      <c r="R173" s="18"/>
      <c r="S173" t="str">
        <f>IF($B173="","",IF($I173&lt;&gt;"",$I173,IFERROR(INDEX(Kat_Metode,MATCH($D173,Kat_Nama,0)),"")))</f>
        <v/>
      </c>
      <c r="T173" t="str">
        <f>IF($B173="","",IF($J173&lt;&gt;"",$J173,IFERROR(INDEX(Kat_Umur,MATCH($D173,Kat_Nama,0)),0)))</f>
        <v/>
      </c>
      <c r="U173" t="str">
        <f>IF($B173="","",IF($N173&lt;&gt;"",$N173,IFERROR(INDEX(Kat_Kelompok,MATCH($D173,Kat_Nama,0)),"")))</f>
        <v/>
      </c>
      <c r="V173" t="str">
        <f>IF($B173="","",IF($U173="Masa Manfaat Sebenarnya",N($O173),IFERROR(INDEX(Kel_Masa,MATCH($U173,Kel_Nama,0)),0)))</f>
        <v/>
      </c>
      <c r="W173" t="str">
        <f>IF($B173="","",IF($P173&lt;&gt;"",$P173,IF(OR($U173="Tidak Disusutkan",$V173=0),"Tidak Disusutkan","Garis Lurus")))</f>
        <v/>
      </c>
      <c r="X173" t="str">
        <f>IF($B173="","",IF($Y173&gt;TahunBuku*12+12,"Belum Diperoleh",IF($Z173&lt;=TahunBuku*12,"Dilepas (thn lalu)",IF($AC173=1,"Dilepas thn ini",IF($AB173=1,"Perolehan baru","Aktif")))))</f>
        <v/>
      </c>
      <c r="Y173" s="20" t="str">
        <f>IF($B173="","",YEAR($F173)*12+MONTH($F173))</f>
        <v/>
      </c>
      <c r="Z173" s="20" t="str">
        <f>IF($B173="","",IF($Q173="",99999,YEAR($Q173)*12+MONTH($Q173)))</f>
        <v/>
      </c>
      <c r="AA173" s="20" t="str">
        <f>IF($B173="","",--AND($Y173&lt;=TahunBuku*12,$Z173&gt;TahunBuku*12))</f>
        <v/>
      </c>
      <c r="AB173" s="20" t="str">
        <f>IF($B173="","",--AND($Y173&gt;TahunBuku*12,$Y173&lt;=TahunBuku*12+12))</f>
        <v/>
      </c>
      <c r="AC173" s="20" t="str">
        <f>IF($B173="","",--AND($Z173&gt;TahunBuku*12,$Z173&lt;=TahunBuku*12+12,$Y173&lt;=$Z173))</f>
        <v/>
      </c>
      <c r="AD173" s="21" t="str">
        <f>IF($B173="","",IFERROR(IF($S173="Garis Lurus",$G173-($G173-$H173)*MIN($T173*12,MAX(0,TahunBuku*12-$Y173+1))/($T173*12),IF($S173="Saldo Menurun",IF(TahunBuku-1&lt;YEAR($F173),$G173,IF(TahunBuku-1&gt;=INT(($Y173+$T173*12-2)/12),$H173,MAX($H173,$G173*(1-2/$T173*(13-MONTH($F173))/12)*(1-2/$T173)^(TahunBuku-1-YEAR($F173))))),IF($S173="Unit Produksi",$G173-($G173-$H173)*MIN(1,N($L173)/$K173),$G173))),$G173))</f>
        <v/>
      </c>
      <c r="AE173" s="21" t="str">
        <f>IF($B173="","",IFERROR(IF($S173="Garis Lurus",$G173-($G173-$H173)*MIN($T173*12,MAX(0,TahunBuku*12+12-$Y173+1))/($T173*12),IF($S173="Saldo Menurun",IF(TahunBuku&lt;YEAR($F173),$G173,IF(TahunBuku&gt;=INT(($Y173+$T173*12-2)/12),$H173,MAX($H173,$G173*(1-2/$T173*(13-MONTH($F173))/12)*(1-2/$T173)^(TahunBuku-YEAR($F173))))),IF($S173="Unit Produksi",$G173-($G173-$H173)*MIN(1,(N($L173)+N($M173))/$K173),$G173))),$G173))</f>
        <v/>
      </c>
      <c r="AF173" s="20" t="str">
        <f>IF($B173="","",IF(OR($S173="Garis Lurus",$S173="Saldo Menurun",$S173="Unit Produksi"),MAX(0,IF($S173="Unit Produksi",TahunBuku*12+12,MIN(TahunBuku*12+12,$Y173+$T173*12-1))-MAX(TahunBuku*12+1,$Y173)+1),0))</f>
        <v/>
      </c>
      <c r="AG173" s="20" t="str">
        <f>IF($B173="","",IF(OR($S173="Garis Lurus",$S173="Saldo Menurun",$S173="Unit Produksi"),MAX(0,MIN($Z173,IF($S173="Unit Produksi",TahunBuku*12+12,MIN(TahunBuku*12+12,$Y173+$T173*12-1)))-MAX(TahunBuku*12+1,$Y173)+1),0))</f>
        <v/>
      </c>
      <c r="AH173" s="21" t="str">
        <f>IF($B173="","",IFERROR(IF($W173="Garis Lurus",$G173*(1-MIN($V173*12,MAX(0,TahunBuku*12-$Y173+1))/($V173*12)),IF($W173="Saldo Menurun",IF(TahunBuku-1&lt;YEAR($F173),$G173,IF(TahunBuku-1&gt;=INT(($Y173+$V173*12-2)/12),0,$G173*(1-2/$V173*(13-MONTH($F173))/12)*(1-2/$V173)^(TahunBuku-1-YEAR($F173)))),$G173)),$G173))</f>
        <v/>
      </c>
      <c r="AI173" s="21" t="str">
        <f>IF($B173="","",IFERROR(IF($W173="Garis Lurus",$G173*(1-MIN($V173*12,MAX(0,TahunBuku*12+12-$Y173+1))/($V173*12)),IF($W173="Saldo Menurun",IF(TahunBuku&lt;YEAR($F173),$G173,IF(TahunBuku&gt;=INT(($Y173+$V173*12-2)/12),0,$G173*(1-2/$V173*(13-MONTH($F173))/12)*(1-2/$V173)^(TahunBuku-YEAR($F173)))),$G173)),$G173))</f>
        <v/>
      </c>
      <c r="AJ173" s="20" t="str">
        <f>IF($B173="","",IF(OR($W173="Garis Lurus",$W173="Saldo Menurun"),MAX(0,MIN(TahunBuku*12+12,$Y173+$V173*12-1)-MAX(TahunBuku*12+1,$Y173)+1),0))</f>
        <v/>
      </c>
      <c r="AK173" s="20" t="str">
        <f>IF($B173="","",IF(OR($W173="Garis Lurus",$W173="Saldo Menurun"),MAX(0,MIN($Z173,TahunBuku*12+12,$Y173+$V173*12-1)-MAX(TahunBuku*12+1,$Y173)+1),0))</f>
        <v/>
      </c>
      <c r="AL173" s="22" t="str">
        <f>IF($B173="","",$G173*$AA173)</f>
        <v/>
      </c>
      <c r="AM173" s="22" t="str">
        <f>IF($B173="","",$G173*$AB173)</f>
        <v/>
      </c>
      <c r="AN173" s="22" t="str">
        <f>IF($B173="","",$G173*$AC173)</f>
        <v/>
      </c>
      <c r="AO173" s="22" t="str">
        <f>IF($B173="","",AL173+AM173-AN173)</f>
        <v/>
      </c>
      <c r="AP173" s="22" t="str">
        <f>IF($B173="","",($G173-$AD173)*$AA173)</f>
        <v/>
      </c>
      <c r="AQ173" s="22" t="str">
        <f>IF($B173="","",IF($AF173=0,0,($AD173-$AE173)*$AG173/$AF173)*MAX($AA173,$AB173))</f>
        <v/>
      </c>
      <c r="AR173" s="22" t="str">
        <f>IF($B173="","",(AP173+AQ173)*$AC173)</f>
        <v/>
      </c>
      <c r="AS173" s="22" t="str">
        <f>IF($B173="","",AP173+AQ173-AR173)</f>
        <v/>
      </c>
      <c r="AT173" s="22" t="str">
        <f>IF($B173="","",AO173-AS173)</f>
        <v/>
      </c>
      <c r="AU173" s="22" t="str">
        <f>IF($B173="","",IF($AC173=1,N($R173)-($G173-AR173),0))</f>
        <v/>
      </c>
      <c r="AV173" s="22" t="str">
        <f>IF($B173="","",($G173-$AH173)*$AA173)</f>
        <v/>
      </c>
      <c r="AW173" s="22" t="str">
        <f>IF($B173="","",IF($AJ173=0,0,($AH173-$AI173)*$AK173/$AJ173)*MAX($AA173,$AB173))</f>
        <v/>
      </c>
      <c r="AX173" s="22" t="str">
        <f>IF($B173="","",(AV173+AW173)*$AC173)</f>
        <v/>
      </c>
      <c r="AY173" s="22" t="str">
        <f>IF($B173="","",AV173+AW173-AX173)</f>
        <v/>
      </c>
      <c r="AZ173" s="22" t="str">
        <f>IF($B173="","",AO173-AY173)</f>
        <v/>
      </c>
      <c r="BA173" s="22" t="str">
        <f>IF($B173="","",IF($AC173=1,N($R173)-($G173-AX173),0))</f>
        <v/>
      </c>
      <c r="BB173" s="22" t="str">
        <f>IF($B173="","",ROUND(AQ173-AW173,0))</f>
        <v/>
      </c>
      <c r="BC173" s="22" t="str">
        <f>IF($B173="","",ROUND(BA173-AU173,0))</f>
        <v/>
      </c>
      <c r="BD173" s="22" t="str">
        <f>IF($B173="","",BB173+BC173)</f>
        <v/>
      </c>
      <c r="BE173" s="22" t="str">
        <f>IF($B173="","",ROUND(AV173-AP173,0))</f>
        <v/>
      </c>
      <c r="BF173" s="22" t="str">
        <f>IF($B173="","",ROUND(AT173-AZ173,0))</f>
        <v/>
      </c>
      <c r="BG173" s="22" t="str">
        <f>IF($B173="","",ROUND(BF173*TarifPPh,0))</f>
        <v/>
      </c>
      <c r="BH173" t="str">
        <f>IF($B173="","",IF($D173="","Kategori kosong",IF($F173="","Tgl perolehan kosong",IF(N($H173)&gt;$G173,"Residu &gt; harga perolehan",IF(AND(LEFT($U173,8)="Bangunan",$W173="Saldo Menurun"),"Bangunan wajib Garis Lurus (Ps.11 UU PPh)",IF(AND($S173="Unit Produksi",N($K173)=0),"Isi kapasitas unit",IF(AND(OR($S173="Garis Lurus",$S173="Saldo Menurun"),N($T173)&lt;=0),"Umur komersial kosong",IF(AND(OR($W173="Garis Lurus",$W173="Saldo Menurun"),N($V173)&lt;=0),"Masa manfaat fiskal kosong",IF(AND($Q173&lt;&gt;"",$Q173&lt;$F173),"Tgl pelepasan &lt; perolehan","OK")))))))))</f>
        <v/>
      </c>
    </row>
    <row r="174" spans="1:60" x14ac:dyDescent="0.25">
      <c r="A174" t="str">
        <f>IF($B174="","",ROW()-6)</f>
        <v/>
      </c>
      <c r="B174" s="9"/>
      <c r="C174" s="9"/>
      <c r="D174" s="9"/>
      <c r="E174" s="9"/>
      <c r="F174" s="17"/>
      <c r="G174" s="18"/>
      <c r="H174" s="18"/>
      <c r="I174" s="9"/>
      <c r="J174" s="9"/>
      <c r="K174" s="19"/>
      <c r="L174" s="19"/>
      <c r="M174" s="19"/>
      <c r="N174" s="9"/>
      <c r="O174" s="9"/>
      <c r="P174" s="9"/>
      <c r="Q174" s="17"/>
      <c r="R174" s="18"/>
      <c r="S174" t="str">
        <f>IF($B174="","",IF($I174&lt;&gt;"",$I174,IFERROR(INDEX(Kat_Metode,MATCH($D174,Kat_Nama,0)),"")))</f>
        <v/>
      </c>
      <c r="T174" t="str">
        <f>IF($B174="","",IF($J174&lt;&gt;"",$J174,IFERROR(INDEX(Kat_Umur,MATCH($D174,Kat_Nama,0)),0)))</f>
        <v/>
      </c>
      <c r="U174" t="str">
        <f>IF($B174="","",IF($N174&lt;&gt;"",$N174,IFERROR(INDEX(Kat_Kelompok,MATCH($D174,Kat_Nama,0)),"")))</f>
        <v/>
      </c>
      <c r="V174" t="str">
        <f>IF($B174="","",IF($U174="Masa Manfaat Sebenarnya",N($O174),IFERROR(INDEX(Kel_Masa,MATCH($U174,Kel_Nama,0)),0)))</f>
        <v/>
      </c>
      <c r="W174" t="str">
        <f>IF($B174="","",IF($P174&lt;&gt;"",$P174,IF(OR($U174="Tidak Disusutkan",$V174=0),"Tidak Disusutkan","Garis Lurus")))</f>
        <v/>
      </c>
      <c r="X174" t="str">
        <f>IF($B174="","",IF($Y174&gt;TahunBuku*12+12,"Belum Diperoleh",IF($Z174&lt;=TahunBuku*12,"Dilepas (thn lalu)",IF($AC174=1,"Dilepas thn ini",IF($AB174=1,"Perolehan baru","Aktif")))))</f>
        <v/>
      </c>
      <c r="Y174" s="20" t="str">
        <f>IF($B174="","",YEAR($F174)*12+MONTH($F174))</f>
        <v/>
      </c>
      <c r="Z174" s="20" t="str">
        <f>IF($B174="","",IF($Q174="",99999,YEAR($Q174)*12+MONTH($Q174)))</f>
        <v/>
      </c>
      <c r="AA174" s="20" t="str">
        <f>IF($B174="","",--AND($Y174&lt;=TahunBuku*12,$Z174&gt;TahunBuku*12))</f>
        <v/>
      </c>
      <c r="AB174" s="20" t="str">
        <f>IF($B174="","",--AND($Y174&gt;TahunBuku*12,$Y174&lt;=TahunBuku*12+12))</f>
        <v/>
      </c>
      <c r="AC174" s="20" t="str">
        <f>IF($B174="","",--AND($Z174&gt;TahunBuku*12,$Z174&lt;=TahunBuku*12+12,$Y174&lt;=$Z174))</f>
        <v/>
      </c>
      <c r="AD174" s="21" t="str">
        <f>IF($B174="","",IFERROR(IF($S174="Garis Lurus",$G174-($G174-$H174)*MIN($T174*12,MAX(0,TahunBuku*12-$Y174+1))/($T174*12),IF($S174="Saldo Menurun",IF(TahunBuku-1&lt;YEAR($F174),$G174,IF(TahunBuku-1&gt;=INT(($Y174+$T174*12-2)/12),$H174,MAX($H174,$G174*(1-2/$T174*(13-MONTH($F174))/12)*(1-2/$T174)^(TahunBuku-1-YEAR($F174))))),IF($S174="Unit Produksi",$G174-($G174-$H174)*MIN(1,N($L174)/$K174),$G174))),$G174))</f>
        <v/>
      </c>
      <c r="AE174" s="21" t="str">
        <f>IF($B174="","",IFERROR(IF($S174="Garis Lurus",$G174-($G174-$H174)*MIN($T174*12,MAX(0,TahunBuku*12+12-$Y174+1))/($T174*12),IF($S174="Saldo Menurun",IF(TahunBuku&lt;YEAR($F174),$G174,IF(TahunBuku&gt;=INT(($Y174+$T174*12-2)/12),$H174,MAX($H174,$G174*(1-2/$T174*(13-MONTH($F174))/12)*(1-2/$T174)^(TahunBuku-YEAR($F174))))),IF($S174="Unit Produksi",$G174-($G174-$H174)*MIN(1,(N($L174)+N($M174))/$K174),$G174))),$G174))</f>
        <v/>
      </c>
      <c r="AF174" s="20" t="str">
        <f>IF($B174="","",IF(OR($S174="Garis Lurus",$S174="Saldo Menurun",$S174="Unit Produksi"),MAX(0,IF($S174="Unit Produksi",TahunBuku*12+12,MIN(TahunBuku*12+12,$Y174+$T174*12-1))-MAX(TahunBuku*12+1,$Y174)+1),0))</f>
        <v/>
      </c>
      <c r="AG174" s="20" t="str">
        <f>IF($B174="","",IF(OR($S174="Garis Lurus",$S174="Saldo Menurun",$S174="Unit Produksi"),MAX(0,MIN($Z174,IF($S174="Unit Produksi",TahunBuku*12+12,MIN(TahunBuku*12+12,$Y174+$T174*12-1)))-MAX(TahunBuku*12+1,$Y174)+1),0))</f>
        <v/>
      </c>
      <c r="AH174" s="21" t="str">
        <f>IF($B174="","",IFERROR(IF($W174="Garis Lurus",$G174*(1-MIN($V174*12,MAX(0,TahunBuku*12-$Y174+1))/($V174*12)),IF($W174="Saldo Menurun",IF(TahunBuku-1&lt;YEAR($F174),$G174,IF(TahunBuku-1&gt;=INT(($Y174+$V174*12-2)/12),0,$G174*(1-2/$V174*(13-MONTH($F174))/12)*(1-2/$V174)^(TahunBuku-1-YEAR($F174)))),$G174)),$G174))</f>
        <v/>
      </c>
      <c r="AI174" s="21" t="str">
        <f>IF($B174="","",IFERROR(IF($W174="Garis Lurus",$G174*(1-MIN($V174*12,MAX(0,TahunBuku*12+12-$Y174+1))/($V174*12)),IF($W174="Saldo Menurun",IF(TahunBuku&lt;YEAR($F174),$G174,IF(TahunBuku&gt;=INT(($Y174+$V174*12-2)/12),0,$G174*(1-2/$V174*(13-MONTH($F174))/12)*(1-2/$V174)^(TahunBuku-YEAR($F174)))),$G174)),$G174))</f>
        <v/>
      </c>
      <c r="AJ174" s="20" t="str">
        <f>IF($B174="","",IF(OR($W174="Garis Lurus",$W174="Saldo Menurun"),MAX(0,MIN(TahunBuku*12+12,$Y174+$V174*12-1)-MAX(TahunBuku*12+1,$Y174)+1),0))</f>
        <v/>
      </c>
      <c r="AK174" s="20" t="str">
        <f>IF($B174="","",IF(OR($W174="Garis Lurus",$W174="Saldo Menurun"),MAX(0,MIN($Z174,TahunBuku*12+12,$Y174+$V174*12-1)-MAX(TahunBuku*12+1,$Y174)+1),0))</f>
        <v/>
      </c>
      <c r="AL174" s="22" t="str">
        <f>IF($B174="","",$G174*$AA174)</f>
        <v/>
      </c>
      <c r="AM174" s="22" t="str">
        <f>IF($B174="","",$G174*$AB174)</f>
        <v/>
      </c>
      <c r="AN174" s="22" t="str">
        <f>IF($B174="","",$G174*$AC174)</f>
        <v/>
      </c>
      <c r="AO174" s="22" t="str">
        <f>IF($B174="","",AL174+AM174-AN174)</f>
        <v/>
      </c>
      <c r="AP174" s="22" t="str">
        <f>IF($B174="","",($G174-$AD174)*$AA174)</f>
        <v/>
      </c>
      <c r="AQ174" s="22" t="str">
        <f>IF($B174="","",IF($AF174=0,0,($AD174-$AE174)*$AG174/$AF174)*MAX($AA174,$AB174))</f>
        <v/>
      </c>
      <c r="AR174" s="22" t="str">
        <f>IF($B174="","",(AP174+AQ174)*$AC174)</f>
        <v/>
      </c>
      <c r="AS174" s="22" t="str">
        <f>IF($B174="","",AP174+AQ174-AR174)</f>
        <v/>
      </c>
      <c r="AT174" s="22" t="str">
        <f>IF($B174="","",AO174-AS174)</f>
        <v/>
      </c>
      <c r="AU174" s="22" t="str">
        <f>IF($B174="","",IF($AC174=1,N($R174)-($G174-AR174),0))</f>
        <v/>
      </c>
      <c r="AV174" s="22" t="str">
        <f>IF($B174="","",($G174-$AH174)*$AA174)</f>
        <v/>
      </c>
      <c r="AW174" s="22" t="str">
        <f>IF($B174="","",IF($AJ174=0,0,($AH174-$AI174)*$AK174/$AJ174)*MAX($AA174,$AB174))</f>
        <v/>
      </c>
      <c r="AX174" s="22" t="str">
        <f>IF($B174="","",(AV174+AW174)*$AC174)</f>
        <v/>
      </c>
      <c r="AY174" s="22" t="str">
        <f>IF($B174="","",AV174+AW174-AX174)</f>
        <v/>
      </c>
      <c r="AZ174" s="22" t="str">
        <f>IF($B174="","",AO174-AY174)</f>
        <v/>
      </c>
      <c r="BA174" s="22" t="str">
        <f>IF($B174="","",IF($AC174=1,N($R174)-($G174-AX174),0))</f>
        <v/>
      </c>
      <c r="BB174" s="22" t="str">
        <f>IF($B174="","",ROUND(AQ174-AW174,0))</f>
        <v/>
      </c>
      <c r="BC174" s="22" t="str">
        <f>IF($B174="","",ROUND(BA174-AU174,0))</f>
        <v/>
      </c>
      <c r="BD174" s="22" t="str">
        <f>IF($B174="","",BB174+BC174)</f>
        <v/>
      </c>
      <c r="BE174" s="22" t="str">
        <f>IF($B174="","",ROUND(AV174-AP174,0))</f>
        <v/>
      </c>
      <c r="BF174" s="22" t="str">
        <f>IF($B174="","",ROUND(AT174-AZ174,0))</f>
        <v/>
      </c>
      <c r="BG174" s="22" t="str">
        <f>IF($B174="","",ROUND(BF174*TarifPPh,0))</f>
        <v/>
      </c>
      <c r="BH174" t="str">
        <f>IF($B174="","",IF($D174="","Kategori kosong",IF($F174="","Tgl perolehan kosong",IF(N($H174)&gt;$G174,"Residu &gt; harga perolehan",IF(AND(LEFT($U174,8)="Bangunan",$W174="Saldo Menurun"),"Bangunan wajib Garis Lurus (Ps.11 UU PPh)",IF(AND($S174="Unit Produksi",N($K174)=0),"Isi kapasitas unit",IF(AND(OR($S174="Garis Lurus",$S174="Saldo Menurun"),N($T174)&lt;=0),"Umur komersial kosong",IF(AND(OR($W174="Garis Lurus",$W174="Saldo Menurun"),N($V174)&lt;=0),"Masa manfaat fiskal kosong",IF(AND($Q174&lt;&gt;"",$Q174&lt;$F174),"Tgl pelepasan &lt; perolehan","OK")))))))))</f>
        <v/>
      </c>
    </row>
    <row r="175" spans="1:60" x14ac:dyDescent="0.25">
      <c r="A175" t="str">
        <f>IF($B175="","",ROW()-6)</f>
        <v/>
      </c>
      <c r="B175" s="9"/>
      <c r="C175" s="9"/>
      <c r="D175" s="9"/>
      <c r="E175" s="9"/>
      <c r="F175" s="17"/>
      <c r="G175" s="18"/>
      <c r="H175" s="18"/>
      <c r="I175" s="9"/>
      <c r="J175" s="9"/>
      <c r="K175" s="19"/>
      <c r="L175" s="19"/>
      <c r="M175" s="19"/>
      <c r="N175" s="9"/>
      <c r="O175" s="9"/>
      <c r="P175" s="9"/>
      <c r="Q175" s="17"/>
      <c r="R175" s="18"/>
      <c r="S175" t="str">
        <f>IF($B175="","",IF($I175&lt;&gt;"",$I175,IFERROR(INDEX(Kat_Metode,MATCH($D175,Kat_Nama,0)),"")))</f>
        <v/>
      </c>
      <c r="T175" t="str">
        <f>IF($B175="","",IF($J175&lt;&gt;"",$J175,IFERROR(INDEX(Kat_Umur,MATCH($D175,Kat_Nama,0)),0)))</f>
        <v/>
      </c>
      <c r="U175" t="str">
        <f>IF($B175="","",IF($N175&lt;&gt;"",$N175,IFERROR(INDEX(Kat_Kelompok,MATCH($D175,Kat_Nama,0)),"")))</f>
        <v/>
      </c>
      <c r="V175" t="str">
        <f>IF($B175="","",IF($U175="Masa Manfaat Sebenarnya",N($O175),IFERROR(INDEX(Kel_Masa,MATCH($U175,Kel_Nama,0)),0)))</f>
        <v/>
      </c>
      <c r="W175" t="str">
        <f>IF($B175="","",IF($P175&lt;&gt;"",$P175,IF(OR($U175="Tidak Disusutkan",$V175=0),"Tidak Disusutkan","Garis Lurus")))</f>
        <v/>
      </c>
      <c r="X175" t="str">
        <f>IF($B175="","",IF($Y175&gt;TahunBuku*12+12,"Belum Diperoleh",IF($Z175&lt;=TahunBuku*12,"Dilepas (thn lalu)",IF($AC175=1,"Dilepas thn ini",IF($AB175=1,"Perolehan baru","Aktif")))))</f>
        <v/>
      </c>
      <c r="Y175" s="20" t="str">
        <f>IF($B175="","",YEAR($F175)*12+MONTH($F175))</f>
        <v/>
      </c>
      <c r="Z175" s="20" t="str">
        <f>IF($B175="","",IF($Q175="",99999,YEAR($Q175)*12+MONTH($Q175)))</f>
        <v/>
      </c>
      <c r="AA175" s="20" t="str">
        <f>IF($B175="","",--AND($Y175&lt;=TahunBuku*12,$Z175&gt;TahunBuku*12))</f>
        <v/>
      </c>
      <c r="AB175" s="20" t="str">
        <f>IF($B175="","",--AND($Y175&gt;TahunBuku*12,$Y175&lt;=TahunBuku*12+12))</f>
        <v/>
      </c>
      <c r="AC175" s="20" t="str">
        <f>IF($B175="","",--AND($Z175&gt;TahunBuku*12,$Z175&lt;=TahunBuku*12+12,$Y175&lt;=$Z175))</f>
        <v/>
      </c>
      <c r="AD175" s="21" t="str">
        <f>IF($B175="","",IFERROR(IF($S175="Garis Lurus",$G175-($G175-$H175)*MIN($T175*12,MAX(0,TahunBuku*12-$Y175+1))/($T175*12),IF($S175="Saldo Menurun",IF(TahunBuku-1&lt;YEAR($F175),$G175,IF(TahunBuku-1&gt;=INT(($Y175+$T175*12-2)/12),$H175,MAX($H175,$G175*(1-2/$T175*(13-MONTH($F175))/12)*(1-2/$T175)^(TahunBuku-1-YEAR($F175))))),IF($S175="Unit Produksi",$G175-($G175-$H175)*MIN(1,N($L175)/$K175),$G175))),$G175))</f>
        <v/>
      </c>
      <c r="AE175" s="21" t="str">
        <f>IF($B175="","",IFERROR(IF($S175="Garis Lurus",$G175-($G175-$H175)*MIN($T175*12,MAX(0,TahunBuku*12+12-$Y175+1))/($T175*12),IF($S175="Saldo Menurun",IF(TahunBuku&lt;YEAR($F175),$G175,IF(TahunBuku&gt;=INT(($Y175+$T175*12-2)/12),$H175,MAX($H175,$G175*(1-2/$T175*(13-MONTH($F175))/12)*(1-2/$T175)^(TahunBuku-YEAR($F175))))),IF($S175="Unit Produksi",$G175-($G175-$H175)*MIN(1,(N($L175)+N($M175))/$K175),$G175))),$G175))</f>
        <v/>
      </c>
      <c r="AF175" s="20" t="str">
        <f>IF($B175="","",IF(OR($S175="Garis Lurus",$S175="Saldo Menurun",$S175="Unit Produksi"),MAX(0,IF($S175="Unit Produksi",TahunBuku*12+12,MIN(TahunBuku*12+12,$Y175+$T175*12-1))-MAX(TahunBuku*12+1,$Y175)+1),0))</f>
        <v/>
      </c>
      <c r="AG175" s="20" t="str">
        <f>IF($B175="","",IF(OR($S175="Garis Lurus",$S175="Saldo Menurun",$S175="Unit Produksi"),MAX(0,MIN($Z175,IF($S175="Unit Produksi",TahunBuku*12+12,MIN(TahunBuku*12+12,$Y175+$T175*12-1)))-MAX(TahunBuku*12+1,$Y175)+1),0))</f>
        <v/>
      </c>
      <c r="AH175" s="21" t="str">
        <f>IF($B175="","",IFERROR(IF($W175="Garis Lurus",$G175*(1-MIN($V175*12,MAX(0,TahunBuku*12-$Y175+1))/($V175*12)),IF($W175="Saldo Menurun",IF(TahunBuku-1&lt;YEAR($F175),$G175,IF(TahunBuku-1&gt;=INT(($Y175+$V175*12-2)/12),0,$G175*(1-2/$V175*(13-MONTH($F175))/12)*(1-2/$V175)^(TahunBuku-1-YEAR($F175)))),$G175)),$G175))</f>
        <v/>
      </c>
      <c r="AI175" s="21" t="str">
        <f>IF($B175="","",IFERROR(IF($W175="Garis Lurus",$G175*(1-MIN($V175*12,MAX(0,TahunBuku*12+12-$Y175+1))/($V175*12)),IF($W175="Saldo Menurun",IF(TahunBuku&lt;YEAR($F175),$G175,IF(TahunBuku&gt;=INT(($Y175+$V175*12-2)/12),0,$G175*(1-2/$V175*(13-MONTH($F175))/12)*(1-2/$V175)^(TahunBuku-YEAR($F175)))),$G175)),$G175))</f>
        <v/>
      </c>
      <c r="AJ175" s="20" t="str">
        <f>IF($B175="","",IF(OR($W175="Garis Lurus",$W175="Saldo Menurun"),MAX(0,MIN(TahunBuku*12+12,$Y175+$V175*12-1)-MAX(TahunBuku*12+1,$Y175)+1),0))</f>
        <v/>
      </c>
      <c r="AK175" s="20" t="str">
        <f>IF($B175="","",IF(OR($W175="Garis Lurus",$W175="Saldo Menurun"),MAX(0,MIN($Z175,TahunBuku*12+12,$Y175+$V175*12-1)-MAX(TahunBuku*12+1,$Y175)+1),0))</f>
        <v/>
      </c>
      <c r="AL175" s="22" t="str">
        <f>IF($B175="","",$G175*$AA175)</f>
        <v/>
      </c>
      <c r="AM175" s="22" t="str">
        <f>IF($B175="","",$G175*$AB175)</f>
        <v/>
      </c>
      <c r="AN175" s="22" t="str">
        <f>IF($B175="","",$G175*$AC175)</f>
        <v/>
      </c>
      <c r="AO175" s="22" t="str">
        <f>IF($B175="","",AL175+AM175-AN175)</f>
        <v/>
      </c>
      <c r="AP175" s="22" t="str">
        <f>IF($B175="","",($G175-$AD175)*$AA175)</f>
        <v/>
      </c>
      <c r="AQ175" s="22" t="str">
        <f>IF($B175="","",IF($AF175=0,0,($AD175-$AE175)*$AG175/$AF175)*MAX($AA175,$AB175))</f>
        <v/>
      </c>
      <c r="AR175" s="22" t="str">
        <f>IF($B175="","",(AP175+AQ175)*$AC175)</f>
        <v/>
      </c>
      <c r="AS175" s="22" t="str">
        <f>IF($B175="","",AP175+AQ175-AR175)</f>
        <v/>
      </c>
      <c r="AT175" s="22" t="str">
        <f>IF($B175="","",AO175-AS175)</f>
        <v/>
      </c>
      <c r="AU175" s="22" t="str">
        <f>IF($B175="","",IF($AC175=1,N($R175)-($G175-AR175),0))</f>
        <v/>
      </c>
      <c r="AV175" s="22" t="str">
        <f>IF($B175="","",($G175-$AH175)*$AA175)</f>
        <v/>
      </c>
      <c r="AW175" s="22" t="str">
        <f>IF($B175="","",IF($AJ175=0,0,($AH175-$AI175)*$AK175/$AJ175)*MAX($AA175,$AB175))</f>
        <v/>
      </c>
      <c r="AX175" s="22" t="str">
        <f>IF($B175="","",(AV175+AW175)*$AC175)</f>
        <v/>
      </c>
      <c r="AY175" s="22" t="str">
        <f>IF($B175="","",AV175+AW175-AX175)</f>
        <v/>
      </c>
      <c r="AZ175" s="22" t="str">
        <f>IF($B175="","",AO175-AY175)</f>
        <v/>
      </c>
      <c r="BA175" s="22" t="str">
        <f>IF($B175="","",IF($AC175=1,N($R175)-($G175-AX175),0))</f>
        <v/>
      </c>
      <c r="BB175" s="22" t="str">
        <f>IF($B175="","",ROUND(AQ175-AW175,0))</f>
        <v/>
      </c>
      <c r="BC175" s="22" t="str">
        <f>IF($B175="","",ROUND(BA175-AU175,0))</f>
        <v/>
      </c>
      <c r="BD175" s="22" t="str">
        <f>IF($B175="","",BB175+BC175)</f>
        <v/>
      </c>
      <c r="BE175" s="22" t="str">
        <f>IF($B175="","",ROUND(AV175-AP175,0))</f>
        <v/>
      </c>
      <c r="BF175" s="22" t="str">
        <f>IF($B175="","",ROUND(AT175-AZ175,0))</f>
        <v/>
      </c>
      <c r="BG175" s="22" t="str">
        <f>IF($B175="","",ROUND(BF175*TarifPPh,0))</f>
        <v/>
      </c>
      <c r="BH175" t="str">
        <f>IF($B175="","",IF($D175="","Kategori kosong",IF($F175="","Tgl perolehan kosong",IF(N($H175)&gt;$G175,"Residu &gt; harga perolehan",IF(AND(LEFT($U175,8)="Bangunan",$W175="Saldo Menurun"),"Bangunan wajib Garis Lurus (Ps.11 UU PPh)",IF(AND($S175="Unit Produksi",N($K175)=0),"Isi kapasitas unit",IF(AND(OR($S175="Garis Lurus",$S175="Saldo Menurun"),N($T175)&lt;=0),"Umur komersial kosong",IF(AND(OR($W175="Garis Lurus",$W175="Saldo Menurun"),N($V175)&lt;=0),"Masa manfaat fiskal kosong",IF(AND($Q175&lt;&gt;"",$Q175&lt;$F175),"Tgl pelepasan &lt; perolehan","OK")))))))))</f>
        <v/>
      </c>
    </row>
    <row r="176" spans="1:60" x14ac:dyDescent="0.25">
      <c r="A176" t="str">
        <f>IF($B176="","",ROW()-6)</f>
        <v/>
      </c>
      <c r="B176" s="9"/>
      <c r="C176" s="9"/>
      <c r="D176" s="9"/>
      <c r="E176" s="9"/>
      <c r="F176" s="17"/>
      <c r="G176" s="18"/>
      <c r="H176" s="18"/>
      <c r="I176" s="9"/>
      <c r="J176" s="9"/>
      <c r="K176" s="19"/>
      <c r="L176" s="19"/>
      <c r="M176" s="19"/>
      <c r="N176" s="9"/>
      <c r="O176" s="9"/>
      <c r="P176" s="9"/>
      <c r="Q176" s="17"/>
      <c r="R176" s="18"/>
      <c r="S176" t="str">
        <f>IF($B176="","",IF($I176&lt;&gt;"",$I176,IFERROR(INDEX(Kat_Metode,MATCH($D176,Kat_Nama,0)),"")))</f>
        <v/>
      </c>
      <c r="T176" t="str">
        <f>IF($B176="","",IF($J176&lt;&gt;"",$J176,IFERROR(INDEX(Kat_Umur,MATCH($D176,Kat_Nama,0)),0)))</f>
        <v/>
      </c>
      <c r="U176" t="str">
        <f>IF($B176="","",IF($N176&lt;&gt;"",$N176,IFERROR(INDEX(Kat_Kelompok,MATCH($D176,Kat_Nama,0)),"")))</f>
        <v/>
      </c>
      <c r="V176" t="str">
        <f>IF($B176="","",IF($U176="Masa Manfaat Sebenarnya",N($O176),IFERROR(INDEX(Kel_Masa,MATCH($U176,Kel_Nama,0)),0)))</f>
        <v/>
      </c>
      <c r="W176" t="str">
        <f>IF($B176="","",IF($P176&lt;&gt;"",$P176,IF(OR($U176="Tidak Disusutkan",$V176=0),"Tidak Disusutkan","Garis Lurus")))</f>
        <v/>
      </c>
      <c r="X176" t="str">
        <f>IF($B176="","",IF($Y176&gt;TahunBuku*12+12,"Belum Diperoleh",IF($Z176&lt;=TahunBuku*12,"Dilepas (thn lalu)",IF($AC176=1,"Dilepas thn ini",IF($AB176=1,"Perolehan baru","Aktif")))))</f>
        <v/>
      </c>
      <c r="Y176" s="20" t="str">
        <f>IF($B176="","",YEAR($F176)*12+MONTH($F176))</f>
        <v/>
      </c>
      <c r="Z176" s="20" t="str">
        <f>IF($B176="","",IF($Q176="",99999,YEAR($Q176)*12+MONTH($Q176)))</f>
        <v/>
      </c>
      <c r="AA176" s="20" t="str">
        <f>IF($B176="","",--AND($Y176&lt;=TahunBuku*12,$Z176&gt;TahunBuku*12))</f>
        <v/>
      </c>
      <c r="AB176" s="20" t="str">
        <f>IF($B176="","",--AND($Y176&gt;TahunBuku*12,$Y176&lt;=TahunBuku*12+12))</f>
        <v/>
      </c>
      <c r="AC176" s="20" t="str">
        <f>IF($B176="","",--AND($Z176&gt;TahunBuku*12,$Z176&lt;=TahunBuku*12+12,$Y176&lt;=$Z176))</f>
        <v/>
      </c>
      <c r="AD176" s="21" t="str">
        <f>IF($B176="","",IFERROR(IF($S176="Garis Lurus",$G176-($G176-$H176)*MIN($T176*12,MAX(0,TahunBuku*12-$Y176+1))/($T176*12),IF($S176="Saldo Menurun",IF(TahunBuku-1&lt;YEAR($F176),$G176,IF(TahunBuku-1&gt;=INT(($Y176+$T176*12-2)/12),$H176,MAX($H176,$G176*(1-2/$T176*(13-MONTH($F176))/12)*(1-2/$T176)^(TahunBuku-1-YEAR($F176))))),IF($S176="Unit Produksi",$G176-($G176-$H176)*MIN(1,N($L176)/$K176),$G176))),$G176))</f>
        <v/>
      </c>
      <c r="AE176" s="21" t="str">
        <f>IF($B176="","",IFERROR(IF($S176="Garis Lurus",$G176-($G176-$H176)*MIN($T176*12,MAX(0,TahunBuku*12+12-$Y176+1))/($T176*12),IF($S176="Saldo Menurun",IF(TahunBuku&lt;YEAR($F176),$G176,IF(TahunBuku&gt;=INT(($Y176+$T176*12-2)/12),$H176,MAX($H176,$G176*(1-2/$T176*(13-MONTH($F176))/12)*(1-2/$T176)^(TahunBuku-YEAR($F176))))),IF($S176="Unit Produksi",$G176-($G176-$H176)*MIN(1,(N($L176)+N($M176))/$K176),$G176))),$G176))</f>
        <v/>
      </c>
      <c r="AF176" s="20" t="str">
        <f>IF($B176="","",IF(OR($S176="Garis Lurus",$S176="Saldo Menurun",$S176="Unit Produksi"),MAX(0,IF($S176="Unit Produksi",TahunBuku*12+12,MIN(TahunBuku*12+12,$Y176+$T176*12-1))-MAX(TahunBuku*12+1,$Y176)+1),0))</f>
        <v/>
      </c>
      <c r="AG176" s="20" t="str">
        <f>IF($B176="","",IF(OR($S176="Garis Lurus",$S176="Saldo Menurun",$S176="Unit Produksi"),MAX(0,MIN($Z176,IF($S176="Unit Produksi",TahunBuku*12+12,MIN(TahunBuku*12+12,$Y176+$T176*12-1)))-MAX(TahunBuku*12+1,$Y176)+1),0))</f>
        <v/>
      </c>
      <c r="AH176" s="21" t="str">
        <f>IF($B176="","",IFERROR(IF($W176="Garis Lurus",$G176*(1-MIN($V176*12,MAX(0,TahunBuku*12-$Y176+1))/($V176*12)),IF($W176="Saldo Menurun",IF(TahunBuku-1&lt;YEAR($F176),$G176,IF(TahunBuku-1&gt;=INT(($Y176+$V176*12-2)/12),0,$G176*(1-2/$V176*(13-MONTH($F176))/12)*(1-2/$V176)^(TahunBuku-1-YEAR($F176)))),$G176)),$G176))</f>
        <v/>
      </c>
      <c r="AI176" s="21" t="str">
        <f>IF($B176="","",IFERROR(IF($W176="Garis Lurus",$G176*(1-MIN($V176*12,MAX(0,TahunBuku*12+12-$Y176+1))/($V176*12)),IF($W176="Saldo Menurun",IF(TahunBuku&lt;YEAR($F176),$G176,IF(TahunBuku&gt;=INT(($Y176+$V176*12-2)/12),0,$G176*(1-2/$V176*(13-MONTH($F176))/12)*(1-2/$V176)^(TahunBuku-YEAR($F176)))),$G176)),$G176))</f>
        <v/>
      </c>
      <c r="AJ176" s="20" t="str">
        <f>IF($B176="","",IF(OR($W176="Garis Lurus",$W176="Saldo Menurun"),MAX(0,MIN(TahunBuku*12+12,$Y176+$V176*12-1)-MAX(TahunBuku*12+1,$Y176)+1),0))</f>
        <v/>
      </c>
      <c r="AK176" s="20" t="str">
        <f>IF($B176="","",IF(OR($W176="Garis Lurus",$W176="Saldo Menurun"),MAX(0,MIN($Z176,TahunBuku*12+12,$Y176+$V176*12-1)-MAX(TahunBuku*12+1,$Y176)+1),0))</f>
        <v/>
      </c>
      <c r="AL176" s="22" t="str">
        <f>IF($B176="","",$G176*$AA176)</f>
        <v/>
      </c>
      <c r="AM176" s="22" t="str">
        <f>IF($B176="","",$G176*$AB176)</f>
        <v/>
      </c>
      <c r="AN176" s="22" t="str">
        <f>IF($B176="","",$G176*$AC176)</f>
        <v/>
      </c>
      <c r="AO176" s="22" t="str">
        <f>IF($B176="","",AL176+AM176-AN176)</f>
        <v/>
      </c>
      <c r="AP176" s="22" t="str">
        <f>IF($B176="","",($G176-$AD176)*$AA176)</f>
        <v/>
      </c>
      <c r="AQ176" s="22" t="str">
        <f>IF($B176="","",IF($AF176=0,0,($AD176-$AE176)*$AG176/$AF176)*MAX($AA176,$AB176))</f>
        <v/>
      </c>
      <c r="AR176" s="22" t="str">
        <f>IF($B176="","",(AP176+AQ176)*$AC176)</f>
        <v/>
      </c>
      <c r="AS176" s="22" t="str">
        <f>IF($B176="","",AP176+AQ176-AR176)</f>
        <v/>
      </c>
      <c r="AT176" s="22" t="str">
        <f>IF($B176="","",AO176-AS176)</f>
        <v/>
      </c>
      <c r="AU176" s="22" t="str">
        <f>IF($B176="","",IF($AC176=1,N($R176)-($G176-AR176),0))</f>
        <v/>
      </c>
      <c r="AV176" s="22" t="str">
        <f>IF($B176="","",($G176-$AH176)*$AA176)</f>
        <v/>
      </c>
      <c r="AW176" s="22" t="str">
        <f>IF($B176="","",IF($AJ176=0,0,($AH176-$AI176)*$AK176/$AJ176)*MAX($AA176,$AB176))</f>
        <v/>
      </c>
      <c r="AX176" s="22" t="str">
        <f>IF($B176="","",(AV176+AW176)*$AC176)</f>
        <v/>
      </c>
      <c r="AY176" s="22" t="str">
        <f>IF($B176="","",AV176+AW176-AX176)</f>
        <v/>
      </c>
      <c r="AZ176" s="22" t="str">
        <f>IF($B176="","",AO176-AY176)</f>
        <v/>
      </c>
      <c r="BA176" s="22" t="str">
        <f>IF($B176="","",IF($AC176=1,N($R176)-($G176-AX176),0))</f>
        <v/>
      </c>
      <c r="BB176" s="22" t="str">
        <f>IF($B176="","",ROUND(AQ176-AW176,0))</f>
        <v/>
      </c>
      <c r="BC176" s="22" t="str">
        <f>IF($B176="","",ROUND(BA176-AU176,0))</f>
        <v/>
      </c>
      <c r="BD176" s="22" t="str">
        <f>IF($B176="","",BB176+BC176)</f>
        <v/>
      </c>
      <c r="BE176" s="22" t="str">
        <f>IF($B176="","",ROUND(AV176-AP176,0))</f>
        <v/>
      </c>
      <c r="BF176" s="22" t="str">
        <f>IF($B176="","",ROUND(AT176-AZ176,0))</f>
        <v/>
      </c>
      <c r="BG176" s="22" t="str">
        <f>IF($B176="","",ROUND(BF176*TarifPPh,0))</f>
        <v/>
      </c>
      <c r="BH176" t="str">
        <f>IF($B176="","",IF($D176="","Kategori kosong",IF($F176="","Tgl perolehan kosong",IF(N($H176)&gt;$G176,"Residu &gt; harga perolehan",IF(AND(LEFT($U176,8)="Bangunan",$W176="Saldo Menurun"),"Bangunan wajib Garis Lurus (Ps.11 UU PPh)",IF(AND($S176="Unit Produksi",N($K176)=0),"Isi kapasitas unit",IF(AND(OR($S176="Garis Lurus",$S176="Saldo Menurun"),N($T176)&lt;=0),"Umur komersial kosong",IF(AND(OR($W176="Garis Lurus",$W176="Saldo Menurun"),N($V176)&lt;=0),"Masa manfaat fiskal kosong",IF(AND($Q176&lt;&gt;"",$Q176&lt;$F176),"Tgl pelepasan &lt; perolehan","OK")))))))))</f>
        <v/>
      </c>
    </row>
    <row r="177" spans="1:60" x14ac:dyDescent="0.25">
      <c r="A177" t="str">
        <f>IF($B177="","",ROW()-6)</f>
        <v/>
      </c>
      <c r="B177" s="9"/>
      <c r="C177" s="9"/>
      <c r="D177" s="9"/>
      <c r="E177" s="9"/>
      <c r="F177" s="17"/>
      <c r="G177" s="18"/>
      <c r="H177" s="18"/>
      <c r="I177" s="9"/>
      <c r="J177" s="9"/>
      <c r="K177" s="19"/>
      <c r="L177" s="19"/>
      <c r="M177" s="19"/>
      <c r="N177" s="9"/>
      <c r="O177" s="9"/>
      <c r="P177" s="9"/>
      <c r="Q177" s="17"/>
      <c r="R177" s="18"/>
      <c r="S177" t="str">
        <f>IF($B177="","",IF($I177&lt;&gt;"",$I177,IFERROR(INDEX(Kat_Metode,MATCH($D177,Kat_Nama,0)),"")))</f>
        <v/>
      </c>
      <c r="T177" t="str">
        <f>IF($B177="","",IF($J177&lt;&gt;"",$J177,IFERROR(INDEX(Kat_Umur,MATCH($D177,Kat_Nama,0)),0)))</f>
        <v/>
      </c>
      <c r="U177" t="str">
        <f>IF($B177="","",IF($N177&lt;&gt;"",$N177,IFERROR(INDEX(Kat_Kelompok,MATCH($D177,Kat_Nama,0)),"")))</f>
        <v/>
      </c>
      <c r="V177" t="str">
        <f>IF($B177="","",IF($U177="Masa Manfaat Sebenarnya",N($O177),IFERROR(INDEX(Kel_Masa,MATCH($U177,Kel_Nama,0)),0)))</f>
        <v/>
      </c>
      <c r="W177" t="str">
        <f>IF($B177="","",IF($P177&lt;&gt;"",$P177,IF(OR($U177="Tidak Disusutkan",$V177=0),"Tidak Disusutkan","Garis Lurus")))</f>
        <v/>
      </c>
      <c r="X177" t="str">
        <f>IF($B177="","",IF($Y177&gt;TahunBuku*12+12,"Belum Diperoleh",IF($Z177&lt;=TahunBuku*12,"Dilepas (thn lalu)",IF($AC177=1,"Dilepas thn ini",IF($AB177=1,"Perolehan baru","Aktif")))))</f>
        <v/>
      </c>
      <c r="Y177" s="20" t="str">
        <f>IF($B177="","",YEAR($F177)*12+MONTH($F177))</f>
        <v/>
      </c>
      <c r="Z177" s="20" t="str">
        <f>IF($B177="","",IF($Q177="",99999,YEAR($Q177)*12+MONTH($Q177)))</f>
        <v/>
      </c>
      <c r="AA177" s="20" t="str">
        <f>IF($B177="","",--AND($Y177&lt;=TahunBuku*12,$Z177&gt;TahunBuku*12))</f>
        <v/>
      </c>
      <c r="AB177" s="20" t="str">
        <f>IF($B177="","",--AND($Y177&gt;TahunBuku*12,$Y177&lt;=TahunBuku*12+12))</f>
        <v/>
      </c>
      <c r="AC177" s="20" t="str">
        <f>IF($B177="","",--AND($Z177&gt;TahunBuku*12,$Z177&lt;=TahunBuku*12+12,$Y177&lt;=$Z177))</f>
        <v/>
      </c>
      <c r="AD177" s="21" t="str">
        <f>IF($B177="","",IFERROR(IF($S177="Garis Lurus",$G177-($G177-$H177)*MIN($T177*12,MAX(0,TahunBuku*12-$Y177+1))/($T177*12),IF($S177="Saldo Menurun",IF(TahunBuku-1&lt;YEAR($F177),$G177,IF(TahunBuku-1&gt;=INT(($Y177+$T177*12-2)/12),$H177,MAX($H177,$G177*(1-2/$T177*(13-MONTH($F177))/12)*(1-2/$T177)^(TahunBuku-1-YEAR($F177))))),IF($S177="Unit Produksi",$G177-($G177-$H177)*MIN(1,N($L177)/$K177),$G177))),$G177))</f>
        <v/>
      </c>
      <c r="AE177" s="21" t="str">
        <f>IF($B177="","",IFERROR(IF($S177="Garis Lurus",$G177-($G177-$H177)*MIN($T177*12,MAX(0,TahunBuku*12+12-$Y177+1))/($T177*12),IF($S177="Saldo Menurun",IF(TahunBuku&lt;YEAR($F177),$G177,IF(TahunBuku&gt;=INT(($Y177+$T177*12-2)/12),$H177,MAX($H177,$G177*(1-2/$T177*(13-MONTH($F177))/12)*(1-2/$T177)^(TahunBuku-YEAR($F177))))),IF($S177="Unit Produksi",$G177-($G177-$H177)*MIN(1,(N($L177)+N($M177))/$K177),$G177))),$G177))</f>
        <v/>
      </c>
      <c r="AF177" s="20" t="str">
        <f>IF($B177="","",IF(OR($S177="Garis Lurus",$S177="Saldo Menurun",$S177="Unit Produksi"),MAX(0,IF($S177="Unit Produksi",TahunBuku*12+12,MIN(TahunBuku*12+12,$Y177+$T177*12-1))-MAX(TahunBuku*12+1,$Y177)+1),0))</f>
        <v/>
      </c>
      <c r="AG177" s="20" t="str">
        <f>IF($B177="","",IF(OR($S177="Garis Lurus",$S177="Saldo Menurun",$S177="Unit Produksi"),MAX(0,MIN($Z177,IF($S177="Unit Produksi",TahunBuku*12+12,MIN(TahunBuku*12+12,$Y177+$T177*12-1)))-MAX(TahunBuku*12+1,$Y177)+1),0))</f>
        <v/>
      </c>
      <c r="AH177" s="21" t="str">
        <f>IF($B177="","",IFERROR(IF($W177="Garis Lurus",$G177*(1-MIN($V177*12,MAX(0,TahunBuku*12-$Y177+1))/($V177*12)),IF($W177="Saldo Menurun",IF(TahunBuku-1&lt;YEAR($F177),$G177,IF(TahunBuku-1&gt;=INT(($Y177+$V177*12-2)/12),0,$G177*(1-2/$V177*(13-MONTH($F177))/12)*(1-2/$V177)^(TahunBuku-1-YEAR($F177)))),$G177)),$G177))</f>
        <v/>
      </c>
      <c r="AI177" s="21" t="str">
        <f>IF($B177="","",IFERROR(IF($W177="Garis Lurus",$G177*(1-MIN($V177*12,MAX(0,TahunBuku*12+12-$Y177+1))/($V177*12)),IF($W177="Saldo Menurun",IF(TahunBuku&lt;YEAR($F177),$G177,IF(TahunBuku&gt;=INT(($Y177+$V177*12-2)/12),0,$G177*(1-2/$V177*(13-MONTH($F177))/12)*(1-2/$V177)^(TahunBuku-YEAR($F177)))),$G177)),$G177))</f>
        <v/>
      </c>
      <c r="AJ177" s="20" t="str">
        <f>IF($B177="","",IF(OR($W177="Garis Lurus",$W177="Saldo Menurun"),MAX(0,MIN(TahunBuku*12+12,$Y177+$V177*12-1)-MAX(TahunBuku*12+1,$Y177)+1),0))</f>
        <v/>
      </c>
      <c r="AK177" s="20" t="str">
        <f>IF($B177="","",IF(OR($W177="Garis Lurus",$W177="Saldo Menurun"),MAX(0,MIN($Z177,TahunBuku*12+12,$Y177+$V177*12-1)-MAX(TahunBuku*12+1,$Y177)+1),0))</f>
        <v/>
      </c>
      <c r="AL177" s="22" t="str">
        <f>IF($B177="","",$G177*$AA177)</f>
        <v/>
      </c>
      <c r="AM177" s="22" t="str">
        <f>IF($B177="","",$G177*$AB177)</f>
        <v/>
      </c>
      <c r="AN177" s="22" t="str">
        <f>IF($B177="","",$G177*$AC177)</f>
        <v/>
      </c>
      <c r="AO177" s="22" t="str">
        <f>IF($B177="","",AL177+AM177-AN177)</f>
        <v/>
      </c>
      <c r="AP177" s="22" t="str">
        <f>IF($B177="","",($G177-$AD177)*$AA177)</f>
        <v/>
      </c>
      <c r="AQ177" s="22" t="str">
        <f>IF($B177="","",IF($AF177=0,0,($AD177-$AE177)*$AG177/$AF177)*MAX($AA177,$AB177))</f>
        <v/>
      </c>
      <c r="AR177" s="22" t="str">
        <f>IF($B177="","",(AP177+AQ177)*$AC177)</f>
        <v/>
      </c>
      <c r="AS177" s="22" t="str">
        <f>IF($B177="","",AP177+AQ177-AR177)</f>
        <v/>
      </c>
      <c r="AT177" s="22" t="str">
        <f>IF($B177="","",AO177-AS177)</f>
        <v/>
      </c>
      <c r="AU177" s="22" t="str">
        <f>IF($B177="","",IF($AC177=1,N($R177)-($G177-AR177),0))</f>
        <v/>
      </c>
      <c r="AV177" s="22" t="str">
        <f>IF($B177="","",($G177-$AH177)*$AA177)</f>
        <v/>
      </c>
      <c r="AW177" s="22" t="str">
        <f>IF($B177="","",IF($AJ177=0,0,($AH177-$AI177)*$AK177/$AJ177)*MAX($AA177,$AB177))</f>
        <v/>
      </c>
      <c r="AX177" s="22" t="str">
        <f>IF($B177="","",(AV177+AW177)*$AC177)</f>
        <v/>
      </c>
      <c r="AY177" s="22" t="str">
        <f>IF($B177="","",AV177+AW177-AX177)</f>
        <v/>
      </c>
      <c r="AZ177" s="22" t="str">
        <f>IF($B177="","",AO177-AY177)</f>
        <v/>
      </c>
      <c r="BA177" s="22" t="str">
        <f>IF($B177="","",IF($AC177=1,N($R177)-($G177-AX177),0))</f>
        <v/>
      </c>
      <c r="BB177" s="22" t="str">
        <f>IF($B177="","",ROUND(AQ177-AW177,0))</f>
        <v/>
      </c>
      <c r="BC177" s="22" t="str">
        <f>IF($B177="","",ROUND(BA177-AU177,0))</f>
        <v/>
      </c>
      <c r="BD177" s="22" t="str">
        <f>IF($B177="","",BB177+BC177)</f>
        <v/>
      </c>
      <c r="BE177" s="22" t="str">
        <f>IF($B177="","",ROUND(AV177-AP177,0))</f>
        <v/>
      </c>
      <c r="BF177" s="22" t="str">
        <f>IF($B177="","",ROUND(AT177-AZ177,0))</f>
        <v/>
      </c>
      <c r="BG177" s="22" t="str">
        <f>IF($B177="","",ROUND(BF177*TarifPPh,0))</f>
        <v/>
      </c>
      <c r="BH177" t="str">
        <f>IF($B177="","",IF($D177="","Kategori kosong",IF($F177="","Tgl perolehan kosong",IF(N($H177)&gt;$G177,"Residu &gt; harga perolehan",IF(AND(LEFT($U177,8)="Bangunan",$W177="Saldo Menurun"),"Bangunan wajib Garis Lurus (Ps.11 UU PPh)",IF(AND($S177="Unit Produksi",N($K177)=0),"Isi kapasitas unit",IF(AND(OR($S177="Garis Lurus",$S177="Saldo Menurun"),N($T177)&lt;=0),"Umur komersial kosong",IF(AND(OR($W177="Garis Lurus",$W177="Saldo Menurun"),N($V177)&lt;=0),"Masa manfaat fiskal kosong",IF(AND($Q177&lt;&gt;"",$Q177&lt;$F177),"Tgl pelepasan &lt; perolehan","OK")))))))))</f>
        <v/>
      </c>
    </row>
    <row r="178" spans="1:60" x14ac:dyDescent="0.25">
      <c r="A178" t="str">
        <f>IF($B178="","",ROW()-6)</f>
        <v/>
      </c>
      <c r="B178" s="9"/>
      <c r="C178" s="9"/>
      <c r="D178" s="9"/>
      <c r="E178" s="9"/>
      <c r="F178" s="17"/>
      <c r="G178" s="18"/>
      <c r="H178" s="18"/>
      <c r="I178" s="9"/>
      <c r="J178" s="9"/>
      <c r="K178" s="19"/>
      <c r="L178" s="19"/>
      <c r="M178" s="19"/>
      <c r="N178" s="9"/>
      <c r="O178" s="9"/>
      <c r="P178" s="9"/>
      <c r="Q178" s="17"/>
      <c r="R178" s="18"/>
      <c r="S178" t="str">
        <f>IF($B178="","",IF($I178&lt;&gt;"",$I178,IFERROR(INDEX(Kat_Metode,MATCH($D178,Kat_Nama,0)),"")))</f>
        <v/>
      </c>
      <c r="T178" t="str">
        <f>IF($B178="","",IF($J178&lt;&gt;"",$J178,IFERROR(INDEX(Kat_Umur,MATCH($D178,Kat_Nama,0)),0)))</f>
        <v/>
      </c>
      <c r="U178" t="str">
        <f>IF($B178="","",IF($N178&lt;&gt;"",$N178,IFERROR(INDEX(Kat_Kelompok,MATCH($D178,Kat_Nama,0)),"")))</f>
        <v/>
      </c>
      <c r="V178" t="str">
        <f>IF($B178="","",IF($U178="Masa Manfaat Sebenarnya",N($O178),IFERROR(INDEX(Kel_Masa,MATCH($U178,Kel_Nama,0)),0)))</f>
        <v/>
      </c>
      <c r="W178" t="str">
        <f>IF($B178="","",IF($P178&lt;&gt;"",$P178,IF(OR($U178="Tidak Disusutkan",$V178=0),"Tidak Disusutkan","Garis Lurus")))</f>
        <v/>
      </c>
      <c r="X178" t="str">
        <f>IF($B178="","",IF($Y178&gt;TahunBuku*12+12,"Belum Diperoleh",IF($Z178&lt;=TahunBuku*12,"Dilepas (thn lalu)",IF($AC178=1,"Dilepas thn ini",IF($AB178=1,"Perolehan baru","Aktif")))))</f>
        <v/>
      </c>
      <c r="Y178" s="20" t="str">
        <f>IF($B178="","",YEAR($F178)*12+MONTH($F178))</f>
        <v/>
      </c>
      <c r="Z178" s="20" t="str">
        <f>IF($B178="","",IF($Q178="",99999,YEAR($Q178)*12+MONTH($Q178)))</f>
        <v/>
      </c>
      <c r="AA178" s="20" t="str">
        <f>IF($B178="","",--AND($Y178&lt;=TahunBuku*12,$Z178&gt;TahunBuku*12))</f>
        <v/>
      </c>
      <c r="AB178" s="20" t="str">
        <f>IF($B178="","",--AND($Y178&gt;TahunBuku*12,$Y178&lt;=TahunBuku*12+12))</f>
        <v/>
      </c>
      <c r="AC178" s="20" t="str">
        <f>IF($B178="","",--AND($Z178&gt;TahunBuku*12,$Z178&lt;=TahunBuku*12+12,$Y178&lt;=$Z178))</f>
        <v/>
      </c>
      <c r="AD178" s="21" t="str">
        <f>IF($B178="","",IFERROR(IF($S178="Garis Lurus",$G178-($G178-$H178)*MIN($T178*12,MAX(0,TahunBuku*12-$Y178+1))/($T178*12),IF($S178="Saldo Menurun",IF(TahunBuku-1&lt;YEAR($F178),$G178,IF(TahunBuku-1&gt;=INT(($Y178+$T178*12-2)/12),$H178,MAX($H178,$G178*(1-2/$T178*(13-MONTH($F178))/12)*(1-2/$T178)^(TahunBuku-1-YEAR($F178))))),IF($S178="Unit Produksi",$G178-($G178-$H178)*MIN(1,N($L178)/$K178),$G178))),$G178))</f>
        <v/>
      </c>
      <c r="AE178" s="21" t="str">
        <f>IF($B178="","",IFERROR(IF($S178="Garis Lurus",$G178-($G178-$H178)*MIN($T178*12,MAX(0,TahunBuku*12+12-$Y178+1))/($T178*12),IF($S178="Saldo Menurun",IF(TahunBuku&lt;YEAR($F178),$G178,IF(TahunBuku&gt;=INT(($Y178+$T178*12-2)/12),$H178,MAX($H178,$G178*(1-2/$T178*(13-MONTH($F178))/12)*(1-2/$T178)^(TahunBuku-YEAR($F178))))),IF($S178="Unit Produksi",$G178-($G178-$H178)*MIN(1,(N($L178)+N($M178))/$K178),$G178))),$G178))</f>
        <v/>
      </c>
      <c r="AF178" s="20" t="str">
        <f>IF($B178="","",IF(OR($S178="Garis Lurus",$S178="Saldo Menurun",$S178="Unit Produksi"),MAX(0,IF($S178="Unit Produksi",TahunBuku*12+12,MIN(TahunBuku*12+12,$Y178+$T178*12-1))-MAX(TahunBuku*12+1,$Y178)+1),0))</f>
        <v/>
      </c>
      <c r="AG178" s="20" t="str">
        <f>IF($B178="","",IF(OR($S178="Garis Lurus",$S178="Saldo Menurun",$S178="Unit Produksi"),MAX(0,MIN($Z178,IF($S178="Unit Produksi",TahunBuku*12+12,MIN(TahunBuku*12+12,$Y178+$T178*12-1)))-MAX(TahunBuku*12+1,$Y178)+1),0))</f>
        <v/>
      </c>
      <c r="AH178" s="21" t="str">
        <f>IF($B178="","",IFERROR(IF($W178="Garis Lurus",$G178*(1-MIN($V178*12,MAX(0,TahunBuku*12-$Y178+1))/($V178*12)),IF($W178="Saldo Menurun",IF(TahunBuku-1&lt;YEAR($F178),$G178,IF(TahunBuku-1&gt;=INT(($Y178+$V178*12-2)/12),0,$G178*(1-2/$V178*(13-MONTH($F178))/12)*(1-2/$V178)^(TahunBuku-1-YEAR($F178)))),$G178)),$G178))</f>
        <v/>
      </c>
      <c r="AI178" s="21" t="str">
        <f>IF($B178="","",IFERROR(IF($W178="Garis Lurus",$G178*(1-MIN($V178*12,MAX(0,TahunBuku*12+12-$Y178+1))/($V178*12)),IF($W178="Saldo Menurun",IF(TahunBuku&lt;YEAR($F178),$G178,IF(TahunBuku&gt;=INT(($Y178+$V178*12-2)/12),0,$G178*(1-2/$V178*(13-MONTH($F178))/12)*(1-2/$V178)^(TahunBuku-YEAR($F178)))),$G178)),$G178))</f>
        <v/>
      </c>
      <c r="AJ178" s="20" t="str">
        <f>IF($B178="","",IF(OR($W178="Garis Lurus",$W178="Saldo Menurun"),MAX(0,MIN(TahunBuku*12+12,$Y178+$V178*12-1)-MAX(TahunBuku*12+1,$Y178)+1),0))</f>
        <v/>
      </c>
      <c r="AK178" s="20" t="str">
        <f>IF($B178="","",IF(OR($W178="Garis Lurus",$W178="Saldo Menurun"),MAX(0,MIN($Z178,TahunBuku*12+12,$Y178+$V178*12-1)-MAX(TahunBuku*12+1,$Y178)+1),0))</f>
        <v/>
      </c>
      <c r="AL178" s="22" t="str">
        <f>IF($B178="","",$G178*$AA178)</f>
        <v/>
      </c>
      <c r="AM178" s="22" t="str">
        <f>IF($B178="","",$G178*$AB178)</f>
        <v/>
      </c>
      <c r="AN178" s="22" t="str">
        <f>IF($B178="","",$G178*$AC178)</f>
        <v/>
      </c>
      <c r="AO178" s="22" t="str">
        <f>IF($B178="","",AL178+AM178-AN178)</f>
        <v/>
      </c>
      <c r="AP178" s="22" t="str">
        <f>IF($B178="","",($G178-$AD178)*$AA178)</f>
        <v/>
      </c>
      <c r="AQ178" s="22" t="str">
        <f>IF($B178="","",IF($AF178=0,0,($AD178-$AE178)*$AG178/$AF178)*MAX($AA178,$AB178))</f>
        <v/>
      </c>
      <c r="AR178" s="22" t="str">
        <f>IF($B178="","",(AP178+AQ178)*$AC178)</f>
        <v/>
      </c>
      <c r="AS178" s="22" t="str">
        <f>IF($B178="","",AP178+AQ178-AR178)</f>
        <v/>
      </c>
      <c r="AT178" s="22" t="str">
        <f>IF($B178="","",AO178-AS178)</f>
        <v/>
      </c>
      <c r="AU178" s="22" t="str">
        <f>IF($B178="","",IF($AC178=1,N($R178)-($G178-AR178),0))</f>
        <v/>
      </c>
      <c r="AV178" s="22" t="str">
        <f>IF($B178="","",($G178-$AH178)*$AA178)</f>
        <v/>
      </c>
      <c r="AW178" s="22" t="str">
        <f>IF($B178="","",IF($AJ178=0,0,($AH178-$AI178)*$AK178/$AJ178)*MAX($AA178,$AB178))</f>
        <v/>
      </c>
      <c r="AX178" s="22" t="str">
        <f>IF($B178="","",(AV178+AW178)*$AC178)</f>
        <v/>
      </c>
      <c r="AY178" s="22" t="str">
        <f>IF($B178="","",AV178+AW178-AX178)</f>
        <v/>
      </c>
      <c r="AZ178" s="22" t="str">
        <f>IF($B178="","",AO178-AY178)</f>
        <v/>
      </c>
      <c r="BA178" s="22" t="str">
        <f>IF($B178="","",IF($AC178=1,N($R178)-($G178-AX178),0))</f>
        <v/>
      </c>
      <c r="BB178" s="22" t="str">
        <f>IF($B178="","",ROUND(AQ178-AW178,0))</f>
        <v/>
      </c>
      <c r="BC178" s="22" t="str">
        <f>IF($B178="","",ROUND(BA178-AU178,0))</f>
        <v/>
      </c>
      <c r="BD178" s="22" t="str">
        <f>IF($B178="","",BB178+BC178)</f>
        <v/>
      </c>
      <c r="BE178" s="22" t="str">
        <f>IF($B178="","",ROUND(AV178-AP178,0))</f>
        <v/>
      </c>
      <c r="BF178" s="22" t="str">
        <f>IF($B178="","",ROUND(AT178-AZ178,0))</f>
        <v/>
      </c>
      <c r="BG178" s="22" t="str">
        <f>IF($B178="","",ROUND(BF178*TarifPPh,0))</f>
        <v/>
      </c>
      <c r="BH178" t="str">
        <f>IF($B178="","",IF($D178="","Kategori kosong",IF($F178="","Tgl perolehan kosong",IF(N($H178)&gt;$G178,"Residu &gt; harga perolehan",IF(AND(LEFT($U178,8)="Bangunan",$W178="Saldo Menurun"),"Bangunan wajib Garis Lurus (Ps.11 UU PPh)",IF(AND($S178="Unit Produksi",N($K178)=0),"Isi kapasitas unit",IF(AND(OR($S178="Garis Lurus",$S178="Saldo Menurun"),N($T178)&lt;=0),"Umur komersial kosong",IF(AND(OR($W178="Garis Lurus",$W178="Saldo Menurun"),N($V178)&lt;=0),"Masa manfaat fiskal kosong",IF(AND($Q178&lt;&gt;"",$Q178&lt;$F178),"Tgl pelepasan &lt; perolehan","OK")))))))))</f>
        <v/>
      </c>
    </row>
    <row r="179" spans="1:60" x14ac:dyDescent="0.25">
      <c r="A179" t="str">
        <f>IF($B179="","",ROW()-6)</f>
        <v/>
      </c>
      <c r="B179" s="9"/>
      <c r="C179" s="9"/>
      <c r="D179" s="9"/>
      <c r="E179" s="9"/>
      <c r="F179" s="17"/>
      <c r="G179" s="18"/>
      <c r="H179" s="18"/>
      <c r="I179" s="9"/>
      <c r="J179" s="9"/>
      <c r="K179" s="19"/>
      <c r="L179" s="19"/>
      <c r="M179" s="19"/>
      <c r="N179" s="9"/>
      <c r="O179" s="9"/>
      <c r="P179" s="9"/>
      <c r="Q179" s="17"/>
      <c r="R179" s="18"/>
      <c r="S179" t="str">
        <f>IF($B179="","",IF($I179&lt;&gt;"",$I179,IFERROR(INDEX(Kat_Metode,MATCH($D179,Kat_Nama,0)),"")))</f>
        <v/>
      </c>
      <c r="T179" t="str">
        <f>IF($B179="","",IF($J179&lt;&gt;"",$J179,IFERROR(INDEX(Kat_Umur,MATCH($D179,Kat_Nama,0)),0)))</f>
        <v/>
      </c>
      <c r="U179" t="str">
        <f>IF($B179="","",IF($N179&lt;&gt;"",$N179,IFERROR(INDEX(Kat_Kelompok,MATCH($D179,Kat_Nama,0)),"")))</f>
        <v/>
      </c>
      <c r="V179" t="str">
        <f>IF($B179="","",IF($U179="Masa Manfaat Sebenarnya",N($O179),IFERROR(INDEX(Kel_Masa,MATCH($U179,Kel_Nama,0)),0)))</f>
        <v/>
      </c>
      <c r="W179" t="str">
        <f>IF($B179="","",IF($P179&lt;&gt;"",$P179,IF(OR($U179="Tidak Disusutkan",$V179=0),"Tidak Disusutkan","Garis Lurus")))</f>
        <v/>
      </c>
      <c r="X179" t="str">
        <f>IF($B179="","",IF($Y179&gt;TahunBuku*12+12,"Belum Diperoleh",IF($Z179&lt;=TahunBuku*12,"Dilepas (thn lalu)",IF($AC179=1,"Dilepas thn ini",IF($AB179=1,"Perolehan baru","Aktif")))))</f>
        <v/>
      </c>
      <c r="Y179" s="20" t="str">
        <f>IF($B179="","",YEAR($F179)*12+MONTH($F179))</f>
        <v/>
      </c>
      <c r="Z179" s="20" t="str">
        <f>IF($B179="","",IF($Q179="",99999,YEAR($Q179)*12+MONTH($Q179)))</f>
        <v/>
      </c>
      <c r="AA179" s="20" t="str">
        <f>IF($B179="","",--AND($Y179&lt;=TahunBuku*12,$Z179&gt;TahunBuku*12))</f>
        <v/>
      </c>
      <c r="AB179" s="20" t="str">
        <f>IF($B179="","",--AND($Y179&gt;TahunBuku*12,$Y179&lt;=TahunBuku*12+12))</f>
        <v/>
      </c>
      <c r="AC179" s="20" t="str">
        <f>IF($B179="","",--AND($Z179&gt;TahunBuku*12,$Z179&lt;=TahunBuku*12+12,$Y179&lt;=$Z179))</f>
        <v/>
      </c>
      <c r="AD179" s="21" t="str">
        <f>IF($B179="","",IFERROR(IF($S179="Garis Lurus",$G179-($G179-$H179)*MIN($T179*12,MAX(0,TahunBuku*12-$Y179+1))/($T179*12),IF($S179="Saldo Menurun",IF(TahunBuku-1&lt;YEAR($F179),$G179,IF(TahunBuku-1&gt;=INT(($Y179+$T179*12-2)/12),$H179,MAX($H179,$G179*(1-2/$T179*(13-MONTH($F179))/12)*(1-2/$T179)^(TahunBuku-1-YEAR($F179))))),IF($S179="Unit Produksi",$G179-($G179-$H179)*MIN(1,N($L179)/$K179),$G179))),$G179))</f>
        <v/>
      </c>
      <c r="AE179" s="21" t="str">
        <f>IF($B179="","",IFERROR(IF($S179="Garis Lurus",$G179-($G179-$H179)*MIN($T179*12,MAX(0,TahunBuku*12+12-$Y179+1))/($T179*12),IF($S179="Saldo Menurun",IF(TahunBuku&lt;YEAR($F179),$G179,IF(TahunBuku&gt;=INT(($Y179+$T179*12-2)/12),$H179,MAX($H179,$G179*(1-2/$T179*(13-MONTH($F179))/12)*(1-2/$T179)^(TahunBuku-YEAR($F179))))),IF($S179="Unit Produksi",$G179-($G179-$H179)*MIN(1,(N($L179)+N($M179))/$K179),$G179))),$G179))</f>
        <v/>
      </c>
      <c r="AF179" s="20" t="str">
        <f>IF($B179="","",IF(OR($S179="Garis Lurus",$S179="Saldo Menurun",$S179="Unit Produksi"),MAX(0,IF($S179="Unit Produksi",TahunBuku*12+12,MIN(TahunBuku*12+12,$Y179+$T179*12-1))-MAX(TahunBuku*12+1,$Y179)+1),0))</f>
        <v/>
      </c>
      <c r="AG179" s="20" t="str">
        <f>IF($B179="","",IF(OR($S179="Garis Lurus",$S179="Saldo Menurun",$S179="Unit Produksi"),MAX(0,MIN($Z179,IF($S179="Unit Produksi",TahunBuku*12+12,MIN(TahunBuku*12+12,$Y179+$T179*12-1)))-MAX(TahunBuku*12+1,$Y179)+1),0))</f>
        <v/>
      </c>
      <c r="AH179" s="21" t="str">
        <f>IF($B179="","",IFERROR(IF($W179="Garis Lurus",$G179*(1-MIN($V179*12,MAX(0,TahunBuku*12-$Y179+1))/($V179*12)),IF($W179="Saldo Menurun",IF(TahunBuku-1&lt;YEAR($F179),$G179,IF(TahunBuku-1&gt;=INT(($Y179+$V179*12-2)/12),0,$G179*(1-2/$V179*(13-MONTH($F179))/12)*(1-2/$V179)^(TahunBuku-1-YEAR($F179)))),$G179)),$G179))</f>
        <v/>
      </c>
      <c r="AI179" s="21" t="str">
        <f>IF($B179="","",IFERROR(IF($W179="Garis Lurus",$G179*(1-MIN($V179*12,MAX(0,TahunBuku*12+12-$Y179+1))/($V179*12)),IF($W179="Saldo Menurun",IF(TahunBuku&lt;YEAR($F179),$G179,IF(TahunBuku&gt;=INT(($Y179+$V179*12-2)/12),0,$G179*(1-2/$V179*(13-MONTH($F179))/12)*(1-2/$V179)^(TahunBuku-YEAR($F179)))),$G179)),$G179))</f>
        <v/>
      </c>
      <c r="AJ179" s="20" t="str">
        <f>IF($B179="","",IF(OR($W179="Garis Lurus",$W179="Saldo Menurun"),MAX(0,MIN(TahunBuku*12+12,$Y179+$V179*12-1)-MAX(TahunBuku*12+1,$Y179)+1),0))</f>
        <v/>
      </c>
      <c r="AK179" s="20" t="str">
        <f>IF($B179="","",IF(OR($W179="Garis Lurus",$W179="Saldo Menurun"),MAX(0,MIN($Z179,TahunBuku*12+12,$Y179+$V179*12-1)-MAX(TahunBuku*12+1,$Y179)+1),0))</f>
        <v/>
      </c>
      <c r="AL179" s="22" t="str">
        <f>IF($B179="","",$G179*$AA179)</f>
        <v/>
      </c>
      <c r="AM179" s="22" t="str">
        <f>IF($B179="","",$G179*$AB179)</f>
        <v/>
      </c>
      <c r="AN179" s="22" t="str">
        <f>IF($B179="","",$G179*$AC179)</f>
        <v/>
      </c>
      <c r="AO179" s="22" t="str">
        <f>IF($B179="","",AL179+AM179-AN179)</f>
        <v/>
      </c>
      <c r="AP179" s="22" t="str">
        <f>IF($B179="","",($G179-$AD179)*$AA179)</f>
        <v/>
      </c>
      <c r="AQ179" s="22" t="str">
        <f>IF($B179="","",IF($AF179=0,0,($AD179-$AE179)*$AG179/$AF179)*MAX($AA179,$AB179))</f>
        <v/>
      </c>
      <c r="AR179" s="22" t="str">
        <f>IF($B179="","",(AP179+AQ179)*$AC179)</f>
        <v/>
      </c>
      <c r="AS179" s="22" t="str">
        <f>IF($B179="","",AP179+AQ179-AR179)</f>
        <v/>
      </c>
      <c r="AT179" s="22" t="str">
        <f>IF($B179="","",AO179-AS179)</f>
        <v/>
      </c>
      <c r="AU179" s="22" t="str">
        <f>IF($B179="","",IF($AC179=1,N($R179)-($G179-AR179),0))</f>
        <v/>
      </c>
      <c r="AV179" s="22" t="str">
        <f>IF($B179="","",($G179-$AH179)*$AA179)</f>
        <v/>
      </c>
      <c r="AW179" s="22" t="str">
        <f>IF($B179="","",IF($AJ179=0,0,($AH179-$AI179)*$AK179/$AJ179)*MAX($AA179,$AB179))</f>
        <v/>
      </c>
      <c r="AX179" s="22" t="str">
        <f>IF($B179="","",(AV179+AW179)*$AC179)</f>
        <v/>
      </c>
      <c r="AY179" s="22" t="str">
        <f>IF($B179="","",AV179+AW179-AX179)</f>
        <v/>
      </c>
      <c r="AZ179" s="22" t="str">
        <f>IF($B179="","",AO179-AY179)</f>
        <v/>
      </c>
      <c r="BA179" s="22" t="str">
        <f>IF($B179="","",IF($AC179=1,N($R179)-($G179-AX179),0))</f>
        <v/>
      </c>
      <c r="BB179" s="22" t="str">
        <f>IF($B179="","",ROUND(AQ179-AW179,0))</f>
        <v/>
      </c>
      <c r="BC179" s="22" t="str">
        <f>IF($B179="","",ROUND(BA179-AU179,0))</f>
        <v/>
      </c>
      <c r="BD179" s="22" t="str">
        <f>IF($B179="","",BB179+BC179)</f>
        <v/>
      </c>
      <c r="BE179" s="22" t="str">
        <f>IF($B179="","",ROUND(AV179-AP179,0))</f>
        <v/>
      </c>
      <c r="BF179" s="22" t="str">
        <f>IF($B179="","",ROUND(AT179-AZ179,0))</f>
        <v/>
      </c>
      <c r="BG179" s="22" t="str">
        <f>IF($B179="","",ROUND(BF179*TarifPPh,0))</f>
        <v/>
      </c>
      <c r="BH179" t="str">
        <f>IF($B179="","",IF($D179="","Kategori kosong",IF($F179="","Tgl perolehan kosong",IF(N($H179)&gt;$G179,"Residu &gt; harga perolehan",IF(AND(LEFT($U179,8)="Bangunan",$W179="Saldo Menurun"),"Bangunan wajib Garis Lurus (Ps.11 UU PPh)",IF(AND($S179="Unit Produksi",N($K179)=0),"Isi kapasitas unit",IF(AND(OR($S179="Garis Lurus",$S179="Saldo Menurun"),N($T179)&lt;=0),"Umur komersial kosong",IF(AND(OR($W179="Garis Lurus",$W179="Saldo Menurun"),N($V179)&lt;=0),"Masa manfaat fiskal kosong",IF(AND($Q179&lt;&gt;"",$Q179&lt;$F179),"Tgl pelepasan &lt; perolehan","OK")))))))))</f>
        <v/>
      </c>
    </row>
    <row r="180" spans="1:60" x14ac:dyDescent="0.25">
      <c r="A180" t="str">
        <f>IF($B180="","",ROW()-6)</f>
        <v/>
      </c>
      <c r="B180" s="9"/>
      <c r="C180" s="9"/>
      <c r="D180" s="9"/>
      <c r="E180" s="9"/>
      <c r="F180" s="17"/>
      <c r="G180" s="18"/>
      <c r="H180" s="18"/>
      <c r="I180" s="9"/>
      <c r="J180" s="9"/>
      <c r="K180" s="19"/>
      <c r="L180" s="19"/>
      <c r="M180" s="19"/>
      <c r="N180" s="9"/>
      <c r="O180" s="9"/>
      <c r="P180" s="9"/>
      <c r="Q180" s="17"/>
      <c r="R180" s="18"/>
      <c r="S180" t="str">
        <f>IF($B180="","",IF($I180&lt;&gt;"",$I180,IFERROR(INDEX(Kat_Metode,MATCH($D180,Kat_Nama,0)),"")))</f>
        <v/>
      </c>
      <c r="T180" t="str">
        <f>IF($B180="","",IF($J180&lt;&gt;"",$J180,IFERROR(INDEX(Kat_Umur,MATCH($D180,Kat_Nama,0)),0)))</f>
        <v/>
      </c>
      <c r="U180" t="str">
        <f>IF($B180="","",IF($N180&lt;&gt;"",$N180,IFERROR(INDEX(Kat_Kelompok,MATCH($D180,Kat_Nama,0)),"")))</f>
        <v/>
      </c>
      <c r="V180" t="str">
        <f>IF($B180="","",IF($U180="Masa Manfaat Sebenarnya",N($O180),IFERROR(INDEX(Kel_Masa,MATCH($U180,Kel_Nama,0)),0)))</f>
        <v/>
      </c>
      <c r="W180" t="str">
        <f>IF($B180="","",IF($P180&lt;&gt;"",$P180,IF(OR($U180="Tidak Disusutkan",$V180=0),"Tidak Disusutkan","Garis Lurus")))</f>
        <v/>
      </c>
      <c r="X180" t="str">
        <f>IF($B180="","",IF($Y180&gt;TahunBuku*12+12,"Belum Diperoleh",IF($Z180&lt;=TahunBuku*12,"Dilepas (thn lalu)",IF($AC180=1,"Dilepas thn ini",IF($AB180=1,"Perolehan baru","Aktif")))))</f>
        <v/>
      </c>
      <c r="Y180" s="20" t="str">
        <f>IF($B180="","",YEAR($F180)*12+MONTH($F180))</f>
        <v/>
      </c>
      <c r="Z180" s="20" t="str">
        <f>IF($B180="","",IF($Q180="",99999,YEAR($Q180)*12+MONTH($Q180)))</f>
        <v/>
      </c>
      <c r="AA180" s="20" t="str">
        <f>IF($B180="","",--AND($Y180&lt;=TahunBuku*12,$Z180&gt;TahunBuku*12))</f>
        <v/>
      </c>
      <c r="AB180" s="20" t="str">
        <f>IF($B180="","",--AND($Y180&gt;TahunBuku*12,$Y180&lt;=TahunBuku*12+12))</f>
        <v/>
      </c>
      <c r="AC180" s="20" t="str">
        <f>IF($B180="","",--AND($Z180&gt;TahunBuku*12,$Z180&lt;=TahunBuku*12+12,$Y180&lt;=$Z180))</f>
        <v/>
      </c>
      <c r="AD180" s="21" t="str">
        <f>IF($B180="","",IFERROR(IF($S180="Garis Lurus",$G180-($G180-$H180)*MIN($T180*12,MAX(0,TahunBuku*12-$Y180+1))/($T180*12),IF($S180="Saldo Menurun",IF(TahunBuku-1&lt;YEAR($F180),$G180,IF(TahunBuku-1&gt;=INT(($Y180+$T180*12-2)/12),$H180,MAX($H180,$G180*(1-2/$T180*(13-MONTH($F180))/12)*(1-2/$T180)^(TahunBuku-1-YEAR($F180))))),IF($S180="Unit Produksi",$G180-($G180-$H180)*MIN(1,N($L180)/$K180),$G180))),$G180))</f>
        <v/>
      </c>
      <c r="AE180" s="21" t="str">
        <f>IF($B180="","",IFERROR(IF($S180="Garis Lurus",$G180-($G180-$H180)*MIN($T180*12,MAX(0,TahunBuku*12+12-$Y180+1))/($T180*12),IF($S180="Saldo Menurun",IF(TahunBuku&lt;YEAR($F180),$G180,IF(TahunBuku&gt;=INT(($Y180+$T180*12-2)/12),$H180,MAX($H180,$G180*(1-2/$T180*(13-MONTH($F180))/12)*(1-2/$T180)^(TahunBuku-YEAR($F180))))),IF($S180="Unit Produksi",$G180-($G180-$H180)*MIN(1,(N($L180)+N($M180))/$K180),$G180))),$G180))</f>
        <v/>
      </c>
      <c r="AF180" s="20" t="str">
        <f>IF($B180="","",IF(OR($S180="Garis Lurus",$S180="Saldo Menurun",$S180="Unit Produksi"),MAX(0,IF($S180="Unit Produksi",TahunBuku*12+12,MIN(TahunBuku*12+12,$Y180+$T180*12-1))-MAX(TahunBuku*12+1,$Y180)+1),0))</f>
        <v/>
      </c>
      <c r="AG180" s="20" t="str">
        <f>IF($B180="","",IF(OR($S180="Garis Lurus",$S180="Saldo Menurun",$S180="Unit Produksi"),MAX(0,MIN($Z180,IF($S180="Unit Produksi",TahunBuku*12+12,MIN(TahunBuku*12+12,$Y180+$T180*12-1)))-MAX(TahunBuku*12+1,$Y180)+1),0))</f>
        <v/>
      </c>
      <c r="AH180" s="21" t="str">
        <f>IF($B180="","",IFERROR(IF($W180="Garis Lurus",$G180*(1-MIN($V180*12,MAX(0,TahunBuku*12-$Y180+1))/($V180*12)),IF($W180="Saldo Menurun",IF(TahunBuku-1&lt;YEAR($F180),$G180,IF(TahunBuku-1&gt;=INT(($Y180+$V180*12-2)/12),0,$G180*(1-2/$V180*(13-MONTH($F180))/12)*(1-2/$V180)^(TahunBuku-1-YEAR($F180)))),$G180)),$G180))</f>
        <v/>
      </c>
      <c r="AI180" s="21" t="str">
        <f>IF($B180="","",IFERROR(IF($W180="Garis Lurus",$G180*(1-MIN($V180*12,MAX(0,TahunBuku*12+12-$Y180+1))/($V180*12)),IF($W180="Saldo Menurun",IF(TahunBuku&lt;YEAR($F180),$G180,IF(TahunBuku&gt;=INT(($Y180+$V180*12-2)/12),0,$G180*(1-2/$V180*(13-MONTH($F180))/12)*(1-2/$V180)^(TahunBuku-YEAR($F180)))),$G180)),$G180))</f>
        <v/>
      </c>
      <c r="AJ180" s="20" t="str">
        <f>IF($B180="","",IF(OR($W180="Garis Lurus",$W180="Saldo Menurun"),MAX(0,MIN(TahunBuku*12+12,$Y180+$V180*12-1)-MAX(TahunBuku*12+1,$Y180)+1),0))</f>
        <v/>
      </c>
      <c r="AK180" s="20" t="str">
        <f>IF($B180="","",IF(OR($W180="Garis Lurus",$W180="Saldo Menurun"),MAX(0,MIN($Z180,TahunBuku*12+12,$Y180+$V180*12-1)-MAX(TahunBuku*12+1,$Y180)+1),0))</f>
        <v/>
      </c>
      <c r="AL180" s="22" t="str">
        <f>IF($B180="","",$G180*$AA180)</f>
        <v/>
      </c>
      <c r="AM180" s="22" t="str">
        <f>IF($B180="","",$G180*$AB180)</f>
        <v/>
      </c>
      <c r="AN180" s="22" t="str">
        <f>IF($B180="","",$G180*$AC180)</f>
        <v/>
      </c>
      <c r="AO180" s="22" t="str">
        <f>IF($B180="","",AL180+AM180-AN180)</f>
        <v/>
      </c>
      <c r="AP180" s="22" t="str">
        <f>IF($B180="","",($G180-$AD180)*$AA180)</f>
        <v/>
      </c>
      <c r="AQ180" s="22" t="str">
        <f>IF($B180="","",IF($AF180=0,0,($AD180-$AE180)*$AG180/$AF180)*MAX($AA180,$AB180))</f>
        <v/>
      </c>
      <c r="AR180" s="22" t="str">
        <f>IF($B180="","",(AP180+AQ180)*$AC180)</f>
        <v/>
      </c>
      <c r="AS180" s="22" t="str">
        <f>IF($B180="","",AP180+AQ180-AR180)</f>
        <v/>
      </c>
      <c r="AT180" s="22" t="str">
        <f>IF($B180="","",AO180-AS180)</f>
        <v/>
      </c>
      <c r="AU180" s="22" t="str">
        <f>IF($B180="","",IF($AC180=1,N($R180)-($G180-AR180),0))</f>
        <v/>
      </c>
      <c r="AV180" s="22" t="str">
        <f>IF($B180="","",($G180-$AH180)*$AA180)</f>
        <v/>
      </c>
      <c r="AW180" s="22" t="str">
        <f>IF($B180="","",IF($AJ180=0,0,($AH180-$AI180)*$AK180/$AJ180)*MAX($AA180,$AB180))</f>
        <v/>
      </c>
      <c r="AX180" s="22" t="str">
        <f>IF($B180="","",(AV180+AW180)*$AC180)</f>
        <v/>
      </c>
      <c r="AY180" s="22" t="str">
        <f>IF($B180="","",AV180+AW180-AX180)</f>
        <v/>
      </c>
      <c r="AZ180" s="22" t="str">
        <f>IF($B180="","",AO180-AY180)</f>
        <v/>
      </c>
      <c r="BA180" s="22" t="str">
        <f>IF($B180="","",IF($AC180=1,N($R180)-($G180-AX180),0))</f>
        <v/>
      </c>
      <c r="BB180" s="22" t="str">
        <f>IF($B180="","",ROUND(AQ180-AW180,0))</f>
        <v/>
      </c>
      <c r="BC180" s="22" t="str">
        <f>IF($B180="","",ROUND(BA180-AU180,0))</f>
        <v/>
      </c>
      <c r="BD180" s="22" t="str">
        <f>IF($B180="","",BB180+BC180)</f>
        <v/>
      </c>
      <c r="BE180" s="22" t="str">
        <f>IF($B180="","",ROUND(AV180-AP180,0))</f>
        <v/>
      </c>
      <c r="BF180" s="22" t="str">
        <f>IF($B180="","",ROUND(AT180-AZ180,0))</f>
        <v/>
      </c>
      <c r="BG180" s="22" t="str">
        <f>IF($B180="","",ROUND(BF180*TarifPPh,0))</f>
        <v/>
      </c>
      <c r="BH180" t="str">
        <f>IF($B180="","",IF($D180="","Kategori kosong",IF($F180="","Tgl perolehan kosong",IF(N($H180)&gt;$G180,"Residu &gt; harga perolehan",IF(AND(LEFT($U180,8)="Bangunan",$W180="Saldo Menurun"),"Bangunan wajib Garis Lurus (Ps.11 UU PPh)",IF(AND($S180="Unit Produksi",N($K180)=0),"Isi kapasitas unit",IF(AND(OR($S180="Garis Lurus",$S180="Saldo Menurun"),N($T180)&lt;=0),"Umur komersial kosong",IF(AND(OR($W180="Garis Lurus",$W180="Saldo Menurun"),N($V180)&lt;=0),"Masa manfaat fiskal kosong",IF(AND($Q180&lt;&gt;"",$Q180&lt;$F180),"Tgl pelepasan &lt; perolehan","OK")))))))))</f>
        <v/>
      </c>
    </row>
    <row r="181" spans="1:60" x14ac:dyDescent="0.25">
      <c r="A181" t="str">
        <f>IF($B181="","",ROW()-6)</f>
        <v/>
      </c>
      <c r="B181" s="9"/>
      <c r="C181" s="9"/>
      <c r="D181" s="9"/>
      <c r="E181" s="9"/>
      <c r="F181" s="17"/>
      <c r="G181" s="18"/>
      <c r="H181" s="18"/>
      <c r="I181" s="9"/>
      <c r="J181" s="9"/>
      <c r="K181" s="19"/>
      <c r="L181" s="19"/>
      <c r="M181" s="19"/>
      <c r="N181" s="9"/>
      <c r="O181" s="9"/>
      <c r="P181" s="9"/>
      <c r="Q181" s="17"/>
      <c r="R181" s="18"/>
      <c r="S181" t="str">
        <f>IF($B181="","",IF($I181&lt;&gt;"",$I181,IFERROR(INDEX(Kat_Metode,MATCH($D181,Kat_Nama,0)),"")))</f>
        <v/>
      </c>
      <c r="T181" t="str">
        <f>IF($B181="","",IF($J181&lt;&gt;"",$J181,IFERROR(INDEX(Kat_Umur,MATCH($D181,Kat_Nama,0)),0)))</f>
        <v/>
      </c>
      <c r="U181" t="str">
        <f>IF($B181="","",IF($N181&lt;&gt;"",$N181,IFERROR(INDEX(Kat_Kelompok,MATCH($D181,Kat_Nama,0)),"")))</f>
        <v/>
      </c>
      <c r="V181" t="str">
        <f>IF($B181="","",IF($U181="Masa Manfaat Sebenarnya",N($O181),IFERROR(INDEX(Kel_Masa,MATCH($U181,Kel_Nama,0)),0)))</f>
        <v/>
      </c>
      <c r="W181" t="str">
        <f>IF($B181="","",IF($P181&lt;&gt;"",$P181,IF(OR($U181="Tidak Disusutkan",$V181=0),"Tidak Disusutkan","Garis Lurus")))</f>
        <v/>
      </c>
      <c r="X181" t="str">
        <f>IF($B181="","",IF($Y181&gt;TahunBuku*12+12,"Belum Diperoleh",IF($Z181&lt;=TahunBuku*12,"Dilepas (thn lalu)",IF($AC181=1,"Dilepas thn ini",IF($AB181=1,"Perolehan baru","Aktif")))))</f>
        <v/>
      </c>
      <c r="Y181" s="20" t="str">
        <f>IF($B181="","",YEAR($F181)*12+MONTH($F181))</f>
        <v/>
      </c>
      <c r="Z181" s="20" t="str">
        <f>IF($B181="","",IF($Q181="",99999,YEAR($Q181)*12+MONTH($Q181)))</f>
        <v/>
      </c>
      <c r="AA181" s="20" t="str">
        <f>IF($B181="","",--AND($Y181&lt;=TahunBuku*12,$Z181&gt;TahunBuku*12))</f>
        <v/>
      </c>
      <c r="AB181" s="20" t="str">
        <f>IF($B181="","",--AND($Y181&gt;TahunBuku*12,$Y181&lt;=TahunBuku*12+12))</f>
        <v/>
      </c>
      <c r="AC181" s="20" t="str">
        <f>IF($B181="","",--AND($Z181&gt;TahunBuku*12,$Z181&lt;=TahunBuku*12+12,$Y181&lt;=$Z181))</f>
        <v/>
      </c>
      <c r="AD181" s="21" t="str">
        <f>IF($B181="","",IFERROR(IF($S181="Garis Lurus",$G181-($G181-$H181)*MIN($T181*12,MAX(0,TahunBuku*12-$Y181+1))/($T181*12),IF($S181="Saldo Menurun",IF(TahunBuku-1&lt;YEAR($F181),$G181,IF(TahunBuku-1&gt;=INT(($Y181+$T181*12-2)/12),$H181,MAX($H181,$G181*(1-2/$T181*(13-MONTH($F181))/12)*(1-2/$T181)^(TahunBuku-1-YEAR($F181))))),IF($S181="Unit Produksi",$G181-($G181-$H181)*MIN(1,N($L181)/$K181),$G181))),$G181))</f>
        <v/>
      </c>
      <c r="AE181" s="21" t="str">
        <f>IF($B181="","",IFERROR(IF($S181="Garis Lurus",$G181-($G181-$H181)*MIN($T181*12,MAX(0,TahunBuku*12+12-$Y181+1))/($T181*12),IF($S181="Saldo Menurun",IF(TahunBuku&lt;YEAR($F181),$G181,IF(TahunBuku&gt;=INT(($Y181+$T181*12-2)/12),$H181,MAX($H181,$G181*(1-2/$T181*(13-MONTH($F181))/12)*(1-2/$T181)^(TahunBuku-YEAR($F181))))),IF($S181="Unit Produksi",$G181-($G181-$H181)*MIN(1,(N($L181)+N($M181))/$K181),$G181))),$G181))</f>
        <v/>
      </c>
      <c r="AF181" s="20" t="str">
        <f>IF($B181="","",IF(OR($S181="Garis Lurus",$S181="Saldo Menurun",$S181="Unit Produksi"),MAX(0,IF($S181="Unit Produksi",TahunBuku*12+12,MIN(TahunBuku*12+12,$Y181+$T181*12-1))-MAX(TahunBuku*12+1,$Y181)+1),0))</f>
        <v/>
      </c>
      <c r="AG181" s="20" t="str">
        <f>IF($B181="","",IF(OR($S181="Garis Lurus",$S181="Saldo Menurun",$S181="Unit Produksi"),MAX(0,MIN($Z181,IF($S181="Unit Produksi",TahunBuku*12+12,MIN(TahunBuku*12+12,$Y181+$T181*12-1)))-MAX(TahunBuku*12+1,$Y181)+1),0))</f>
        <v/>
      </c>
      <c r="AH181" s="21" t="str">
        <f>IF($B181="","",IFERROR(IF($W181="Garis Lurus",$G181*(1-MIN($V181*12,MAX(0,TahunBuku*12-$Y181+1))/($V181*12)),IF($W181="Saldo Menurun",IF(TahunBuku-1&lt;YEAR($F181),$G181,IF(TahunBuku-1&gt;=INT(($Y181+$V181*12-2)/12),0,$G181*(1-2/$V181*(13-MONTH($F181))/12)*(1-2/$V181)^(TahunBuku-1-YEAR($F181)))),$G181)),$G181))</f>
        <v/>
      </c>
      <c r="AI181" s="21" t="str">
        <f>IF($B181="","",IFERROR(IF($W181="Garis Lurus",$G181*(1-MIN($V181*12,MAX(0,TahunBuku*12+12-$Y181+1))/($V181*12)),IF($W181="Saldo Menurun",IF(TahunBuku&lt;YEAR($F181),$G181,IF(TahunBuku&gt;=INT(($Y181+$V181*12-2)/12),0,$G181*(1-2/$V181*(13-MONTH($F181))/12)*(1-2/$V181)^(TahunBuku-YEAR($F181)))),$G181)),$G181))</f>
        <v/>
      </c>
      <c r="AJ181" s="20" t="str">
        <f>IF($B181="","",IF(OR($W181="Garis Lurus",$W181="Saldo Menurun"),MAX(0,MIN(TahunBuku*12+12,$Y181+$V181*12-1)-MAX(TahunBuku*12+1,$Y181)+1),0))</f>
        <v/>
      </c>
      <c r="AK181" s="20" t="str">
        <f>IF($B181="","",IF(OR($W181="Garis Lurus",$W181="Saldo Menurun"),MAX(0,MIN($Z181,TahunBuku*12+12,$Y181+$V181*12-1)-MAX(TahunBuku*12+1,$Y181)+1),0))</f>
        <v/>
      </c>
      <c r="AL181" s="22" t="str">
        <f>IF($B181="","",$G181*$AA181)</f>
        <v/>
      </c>
      <c r="AM181" s="22" t="str">
        <f>IF($B181="","",$G181*$AB181)</f>
        <v/>
      </c>
      <c r="AN181" s="22" t="str">
        <f>IF($B181="","",$G181*$AC181)</f>
        <v/>
      </c>
      <c r="AO181" s="22" t="str">
        <f>IF($B181="","",AL181+AM181-AN181)</f>
        <v/>
      </c>
      <c r="AP181" s="22" t="str">
        <f>IF($B181="","",($G181-$AD181)*$AA181)</f>
        <v/>
      </c>
      <c r="AQ181" s="22" t="str">
        <f>IF($B181="","",IF($AF181=0,0,($AD181-$AE181)*$AG181/$AF181)*MAX($AA181,$AB181))</f>
        <v/>
      </c>
      <c r="AR181" s="22" t="str">
        <f>IF($B181="","",(AP181+AQ181)*$AC181)</f>
        <v/>
      </c>
      <c r="AS181" s="22" t="str">
        <f>IF($B181="","",AP181+AQ181-AR181)</f>
        <v/>
      </c>
      <c r="AT181" s="22" t="str">
        <f>IF($B181="","",AO181-AS181)</f>
        <v/>
      </c>
      <c r="AU181" s="22" t="str">
        <f>IF($B181="","",IF($AC181=1,N($R181)-($G181-AR181),0))</f>
        <v/>
      </c>
      <c r="AV181" s="22" t="str">
        <f>IF($B181="","",($G181-$AH181)*$AA181)</f>
        <v/>
      </c>
      <c r="AW181" s="22" t="str">
        <f>IF($B181="","",IF($AJ181=0,0,($AH181-$AI181)*$AK181/$AJ181)*MAX($AA181,$AB181))</f>
        <v/>
      </c>
      <c r="AX181" s="22" t="str">
        <f>IF($B181="","",(AV181+AW181)*$AC181)</f>
        <v/>
      </c>
      <c r="AY181" s="22" t="str">
        <f>IF($B181="","",AV181+AW181-AX181)</f>
        <v/>
      </c>
      <c r="AZ181" s="22" t="str">
        <f>IF($B181="","",AO181-AY181)</f>
        <v/>
      </c>
      <c r="BA181" s="22" t="str">
        <f>IF($B181="","",IF($AC181=1,N($R181)-($G181-AX181),0))</f>
        <v/>
      </c>
      <c r="BB181" s="22" t="str">
        <f>IF($B181="","",ROUND(AQ181-AW181,0))</f>
        <v/>
      </c>
      <c r="BC181" s="22" t="str">
        <f>IF($B181="","",ROUND(BA181-AU181,0))</f>
        <v/>
      </c>
      <c r="BD181" s="22" t="str">
        <f>IF($B181="","",BB181+BC181)</f>
        <v/>
      </c>
      <c r="BE181" s="22" t="str">
        <f>IF($B181="","",ROUND(AV181-AP181,0))</f>
        <v/>
      </c>
      <c r="BF181" s="22" t="str">
        <f>IF($B181="","",ROUND(AT181-AZ181,0))</f>
        <v/>
      </c>
      <c r="BG181" s="22" t="str">
        <f>IF($B181="","",ROUND(BF181*TarifPPh,0))</f>
        <v/>
      </c>
      <c r="BH181" t="str">
        <f>IF($B181="","",IF($D181="","Kategori kosong",IF($F181="","Tgl perolehan kosong",IF(N($H181)&gt;$G181,"Residu &gt; harga perolehan",IF(AND(LEFT($U181,8)="Bangunan",$W181="Saldo Menurun"),"Bangunan wajib Garis Lurus (Ps.11 UU PPh)",IF(AND($S181="Unit Produksi",N($K181)=0),"Isi kapasitas unit",IF(AND(OR($S181="Garis Lurus",$S181="Saldo Menurun"),N($T181)&lt;=0),"Umur komersial kosong",IF(AND(OR($W181="Garis Lurus",$W181="Saldo Menurun"),N($V181)&lt;=0),"Masa manfaat fiskal kosong",IF(AND($Q181&lt;&gt;"",$Q181&lt;$F181),"Tgl pelepasan &lt; perolehan","OK")))))))))</f>
        <v/>
      </c>
    </row>
    <row r="182" spans="1:60" x14ac:dyDescent="0.25">
      <c r="A182" t="str">
        <f>IF($B182="","",ROW()-6)</f>
        <v/>
      </c>
      <c r="B182" s="9"/>
      <c r="C182" s="9"/>
      <c r="D182" s="9"/>
      <c r="E182" s="9"/>
      <c r="F182" s="17"/>
      <c r="G182" s="18"/>
      <c r="H182" s="18"/>
      <c r="I182" s="9"/>
      <c r="J182" s="9"/>
      <c r="K182" s="19"/>
      <c r="L182" s="19"/>
      <c r="M182" s="19"/>
      <c r="N182" s="9"/>
      <c r="O182" s="9"/>
      <c r="P182" s="9"/>
      <c r="Q182" s="17"/>
      <c r="R182" s="18"/>
      <c r="S182" t="str">
        <f>IF($B182="","",IF($I182&lt;&gt;"",$I182,IFERROR(INDEX(Kat_Metode,MATCH($D182,Kat_Nama,0)),"")))</f>
        <v/>
      </c>
      <c r="T182" t="str">
        <f>IF($B182="","",IF($J182&lt;&gt;"",$J182,IFERROR(INDEX(Kat_Umur,MATCH($D182,Kat_Nama,0)),0)))</f>
        <v/>
      </c>
      <c r="U182" t="str">
        <f>IF($B182="","",IF($N182&lt;&gt;"",$N182,IFERROR(INDEX(Kat_Kelompok,MATCH($D182,Kat_Nama,0)),"")))</f>
        <v/>
      </c>
      <c r="V182" t="str">
        <f>IF($B182="","",IF($U182="Masa Manfaat Sebenarnya",N($O182),IFERROR(INDEX(Kel_Masa,MATCH($U182,Kel_Nama,0)),0)))</f>
        <v/>
      </c>
      <c r="W182" t="str">
        <f>IF($B182="","",IF($P182&lt;&gt;"",$P182,IF(OR($U182="Tidak Disusutkan",$V182=0),"Tidak Disusutkan","Garis Lurus")))</f>
        <v/>
      </c>
      <c r="X182" t="str">
        <f>IF($B182="","",IF($Y182&gt;TahunBuku*12+12,"Belum Diperoleh",IF($Z182&lt;=TahunBuku*12,"Dilepas (thn lalu)",IF($AC182=1,"Dilepas thn ini",IF($AB182=1,"Perolehan baru","Aktif")))))</f>
        <v/>
      </c>
      <c r="Y182" s="20" t="str">
        <f>IF($B182="","",YEAR($F182)*12+MONTH($F182))</f>
        <v/>
      </c>
      <c r="Z182" s="20" t="str">
        <f>IF($B182="","",IF($Q182="",99999,YEAR($Q182)*12+MONTH($Q182)))</f>
        <v/>
      </c>
      <c r="AA182" s="20" t="str">
        <f>IF($B182="","",--AND($Y182&lt;=TahunBuku*12,$Z182&gt;TahunBuku*12))</f>
        <v/>
      </c>
      <c r="AB182" s="20" t="str">
        <f>IF($B182="","",--AND($Y182&gt;TahunBuku*12,$Y182&lt;=TahunBuku*12+12))</f>
        <v/>
      </c>
      <c r="AC182" s="20" t="str">
        <f>IF($B182="","",--AND($Z182&gt;TahunBuku*12,$Z182&lt;=TahunBuku*12+12,$Y182&lt;=$Z182))</f>
        <v/>
      </c>
      <c r="AD182" s="21" t="str">
        <f>IF($B182="","",IFERROR(IF($S182="Garis Lurus",$G182-($G182-$H182)*MIN($T182*12,MAX(0,TahunBuku*12-$Y182+1))/($T182*12),IF($S182="Saldo Menurun",IF(TahunBuku-1&lt;YEAR($F182),$G182,IF(TahunBuku-1&gt;=INT(($Y182+$T182*12-2)/12),$H182,MAX($H182,$G182*(1-2/$T182*(13-MONTH($F182))/12)*(1-2/$T182)^(TahunBuku-1-YEAR($F182))))),IF($S182="Unit Produksi",$G182-($G182-$H182)*MIN(1,N($L182)/$K182),$G182))),$G182))</f>
        <v/>
      </c>
      <c r="AE182" s="21" t="str">
        <f>IF($B182="","",IFERROR(IF($S182="Garis Lurus",$G182-($G182-$H182)*MIN($T182*12,MAX(0,TahunBuku*12+12-$Y182+1))/($T182*12),IF($S182="Saldo Menurun",IF(TahunBuku&lt;YEAR($F182),$G182,IF(TahunBuku&gt;=INT(($Y182+$T182*12-2)/12),$H182,MAX($H182,$G182*(1-2/$T182*(13-MONTH($F182))/12)*(1-2/$T182)^(TahunBuku-YEAR($F182))))),IF($S182="Unit Produksi",$G182-($G182-$H182)*MIN(1,(N($L182)+N($M182))/$K182),$G182))),$G182))</f>
        <v/>
      </c>
      <c r="AF182" s="20" t="str">
        <f>IF($B182="","",IF(OR($S182="Garis Lurus",$S182="Saldo Menurun",$S182="Unit Produksi"),MAX(0,IF($S182="Unit Produksi",TahunBuku*12+12,MIN(TahunBuku*12+12,$Y182+$T182*12-1))-MAX(TahunBuku*12+1,$Y182)+1),0))</f>
        <v/>
      </c>
      <c r="AG182" s="20" t="str">
        <f>IF($B182="","",IF(OR($S182="Garis Lurus",$S182="Saldo Menurun",$S182="Unit Produksi"),MAX(0,MIN($Z182,IF($S182="Unit Produksi",TahunBuku*12+12,MIN(TahunBuku*12+12,$Y182+$T182*12-1)))-MAX(TahunBuku*12+1,$Y182)+1),0))</f>
        <v/>
      </c>
      <c r="AH182" s="21" t="str">
        <f>IF($B182="","",IFERROR(IF($W182="Garis Lurus",$G182*(1-MIN($V182*12,MAX(0,TahunBuku*12-$Y182+1))/($V182*12)),IF($W182="Saldo Menurun",IF(TahunBuku-1&lt;YEAR($F182),$G182,IF(TahunBuku-1&gt;=INT(($Y182+$V182*12-2)/12),0,$G182*(1-2/$V182*(13-MONTH($F182))/12)*(1-2/$V182)^(TahunBuku-1-YEAR($F182)))),$G182)),$G182))</f>
        <v/>
      </c>
      <c r="AI182" s="21" t="str">
        <f>IF($B182="","",IFERROR(IF($W182="Garis Lurus",$G182*(1-MIN($V182*12,MAX(0,TahunBuku*12+12-$Y182+1))/($V182*12)),IF($W182="Saldo Menurun",IF(TahunBuku&lt;YEAR($F182),$G182,IF(TahunBuku&gt;=INT(($Y182+$V182*12-2)/12),0,$G182*(1-2/$V182*(13-MONTH($F182))/12)*(1-2/$V182)^(TahunBuku-YEAR($F182)))),$G182)),$G182))</f>
        <v/>
      </c>
      <c r="AJ182" s="20" t="str">
        <f>IF($B182="","",IF(OR($W182="Garis Lurus",$W182="Saldo Menurun"),MAX(0,MIN(TahunBuku*12+12,$Y182+$V182*12-1)-MAX(TahunBuku*12+1,$Y182)+1),0))</f>
        <v/>
      </c>
      <c r="AK182" s="20" t="str">
        <f>IF($B182="","",IF(OR($W182="Garis Lurus",$W182="Saldo Menurun"),MAX(0,MIN($Z182,TahunBuku*12+12,$Y182+$V182*12-1)-MAX(TahunBuku*12+1,$Y182)+1),0))</f>
        <v/>
      </c>
      <c r="AL182" s="22" t="str">
        <f>IF($B182="","",$G182*$AA182)</f>
        <v/>
      </c>
      <c r="AM182" s="22" t="str">
        <f>IF($B182="","",$G182*$AB182)</f>
        <v/>
      </c>
      <c r="AN182" s="22" t="str">
        <f>IF($B182="","",$G182*$AC182)</f>
        <v/>
      </c>
      <c r="AO182" s="22" t="str">
        <f>IF($B182="","",AL182+AM182-AN182)</f>
        <v/>
      </c>
      <c r="AP182" s="22" t="str">
        <f>IF($B182="","",($G182-$AD182)*$AA182)</f>
        <v/>
      </c>
      <c r="AQ182" s="22" t="str">
        <f>IF($B182="","",IF($AF182=0,0,($AD182-$AE182)*$AG182/$AF182)*MAX($AA182,$AB182))</f>
        <v/>
      </c>
      <c r="AR182" s="22" t="str">
        <f>IF($B182="","",(AP182+AQ182)*$AC182)</f>
        <v/>
      </c>
      <c r="AS182" s="22" t="str">
        <f>IF($B182="","",AP182+AQ182-AR182)</f>
        <v/>
      </c>
      <c r="AT182" s="22" t="str">
        <f>IF($B182="","",AO182-AS182)</f>
        <v/>
      </c>
      <c r="AU182" s="22" t="str">
        <f>IF($B182="","",IF($AC182=1,N($R182)-($G182-AR182),0))</f>
        <v/>
      </c>
      <c r="AV182" s="22" t="str">
        <f>IF($B182="","",($G182-$AH182)*$AA182)</f>
        <v/>
      </c>
      <c r="AW182" s="22" t="str">
        <f>IF($B182="","",IF($AJ182=0,0,($AH182-$AI182)*$AK182/$AJ182)*MAX($AA182,$AB182))</f>
        <v/>
      </c>
      <c r="AX182" s="22" t="str">
        <f>IF($B182="","",(AV182+AW182)*$AC182)</f>
        <v/>
      </c>
      <c r="AY182" s="22" t="str">
        <f>IF($B182="","",AV182+AW182-AX182)</f>
        <v/>
      </c>
      <c r="AZ182" s="22" t="str">
        <f>IF($B182="","",AO182-AY182)</f>
        <v/>
      </c>
      <c r="BA182" s="22" t="str">
        <f>IF($B182="","",IF($AC182=1,N($R182)-($G182-AX182),0))</f>
        <v/>
      </c>
      <c r="BB182" s="22" t="str">
        <f>IF($B182="","",ROUND(AQ182-AW182,0))</f>
        <v/>
      </c>
      <c r="BC182" s="22" t="str">
        <f>IF($B182="","",ROUND(BA182-AU182,0))</f>
        <v/>
      </c>
      <c r="BD182" s="22" t="str">
        <f>IF($B182="","",BB182+BC182)</f>
        <v/>
      </c>
      <c r="BE182" s="22" t="str">
        <f>IF($B182="","",ROUND(AV182-AP182,0))</f>
        <v/>
      </c>
      <c r="BF182" s="22" t="str">
        <f>IF($B182="","",ROUND(AT182-AZ182,0))</f>
        <v/>
      </c>
      <c r="BG182" s="22" t="str">
        <f>IF($B182="","",ROUND(BF182*TarifPPh,0))</f>
        <v/>
      </c>
      <c r="BH182" t="str">
        <f>IF($B182="","",IF($D182="","Kategori kosong",IF($F182="","Tgl perolehan kosong",IF(N($H182)&gt;$G182,"Residu &gt; harga perolehan",IF(AND(LEFT($U182,8)="Bangunan",$W182="Saldo Menurun"),"Bangunan wajib Garis Lurus (Ps.11 UU PPh)",IF(AND($S182="Unit Produksi",N($K182)=0),"Isi kapasitas unit",IF(AND(OR($S182="Garis Lurus",$S182="Saldo Menurun"),N($T182)&lt;=0),"Umur komersial kosong",IF(AND(OR($W182="Garis Lurus",$W182="Saldo Menurun"),N($V182)&lt;=0),"Masa manfaat fiskal kosong",IF(AND($Q182&lt;&gt;"",$Q182&lt;$F182),"Tgl pelepasan &lt; perolehan","OK")))))))))</f>
        <v/>
      </c>
    </row>
    <row r="183" spans="1:60" x14ac:dyDescent="0.25">
      <c r="A183" t="str">
        <f>IF($B183="","",ROW()-6)</f>
        <v/>
      </c>
      <c r="B183" s="9"/>
      <c r="C183" s="9"/>
      <c r="D183" s="9"/>
      <c r="E183" s="9"/>
      <c r="F183" s="17"/>
      <c r="G183" s="18"/>
      <c r="H183" s="18"/>
      <c r="I183" s="9"/>
      <c r="J183" s="9"/>
      <c r="K183" s="19"/>
      <c r="L183" s="19"/>
      <c r="M183" s="19"/>
      <c r="N183" s="9"/>
      <c r="O183" s="9"/>
      <c r="P183" s="9"/>
      <c r="Q183" s="17"/>
      <c r="R183" s="18"/>
      <c r="S183" t="str">
        <f>IF($B183="","",IF($I183&lt;&gt;"",$I183,IFERROR(INDEX(Kat_Metode,MATCH($D183,Kat_Nama,0)),"")))</f>
        <v/>
      </c>
      <c r="T183" t="str">
        <f>IF($B183="","",IF($J183&lt;&gt;"",$J183,IFERROR(INDEX(Kat_Umur,MATCH($D183,Kat_Nama,0)),0)))</f>
        <v/>
      </c>
      <c r="U183" t="str">
        <f>IF($B183="","",IF($N183&lt;&gt;"",$N183,IFERROR(INDEX(Kat_Kelompok,MATCH($D183,Kat_Nama,0)),"")))</f>
        <v/>
      </c>
      <c r="V183" t="str">
        <f>IF($B183="","",IF($U183="Masa Manfaat Sebenarnya",N($O183),IFERROR(INDEX(Kel_Masa,MATCH($U183,Kel_Nama,0)),0)))</f>
        <v/>
      </c>
      <c r="W183" t="str">
        <f>IF($B183="","",IF($P183&lt;&gt;"",$P183,IF(OR($U183="Tidak Disusutkan",$V183=0),"Tidak Disusutkan","Garis Lurus")))</f>
        <v/>
      </c>
      <c r="X183" t="str">
        <f>IF($B183="","",IF($Y183&gt;TahunBuku*12+12,"Belum Diperoleh",IF($Z183&lt;=TahunBuku*12,"Dilepas (thn lalu)",IF($AC183=1,"Dilepas thn ini",IF($AB183=1,"Perolehan baru","Aktif")))))</f>
        <v/>
      </c>
      <c r="Y183" s="20" t="str">
        <f>IF($B183="","",YEAR($F183)*12+MONTH($F183))</f>
        <v/>
      </c>
      <c r="Z183" s="20" t="str">
        <f>IF($B183="","",IF($Q183="",99999,YEAR($Q183)*12+MONTH($Q183)))</f>
        <v/>
      </c>
      <c r="AA183" s="20" t="str">
        <f>IF($B183="","",--AND($Y183&lt;=TahunBuku*12,$Z183&gt;TahunBuku*12))</f>
        <v/>
      </c>
      <c r="AB183" s="20" t="str">
        <f>IF($B183="","",--AND($Y183&gt;TahunBuku*12,$Y183&lt;=TahunBuku*12+12))</f>
        <v/>
      </c>
      <c r="AC183" s="20" t="str">
        <f>IF($B183="","",--AND($Z183&gt;TahunBuku*12,$Z183&lt;=TahunBuku*12+12,$Y183&lt;=$Z183))</f>
        <v/>
      </c>
      <c r="AD183" s="21" t="str">
        <f>IF($B183="","",IFERROR(IF($S183="Garis Lurus",$G183-($G183-$H183)*MIN($T183*12,MAX(0,TahunBuku*12-$Y183+1))/($T183*12),IF($S183="Saldo Menurun",IF(TahunBuku-1&lt;YEAR($F183),$G183,IF(TahunBuku-1&gt;=INT(($Y183+$T183*12-2)/12),$H183,MAX($H183,$G183*(1-2/$T183*(13-MONTH($F183))/12)*(1-2/$T183)^(TahunBuku-1-YEAR($F183))))),IF($S183="Unit Produksi",$G183-($G183-$H183)*MIN(1,N($L183)/$K183),$G183))),$G183))</f>
        <v/>
      </c>
      <c r="AE183" s="21" t="str">
        <f>IF($B183="","",IFERROR(IF($S183="Garis Lurus",$G183-($G183-$H183)*MIN($T183*12,MAX(0,TahunBuku*12+12-$Y183+1))/($T183*12),IF($S183="Saldo Menurun",IF(TahunBuku&lt;YEAR($F183),$G183,IF(TahunBuku&gt;=INT(($Y183+$T183*12-2)/12),$H183,MAX($H183,$G183*(1-2/$T183*(13-MONTH($F183))/12)*(1-2/$T183)^(TahunBuku-YEAR($F183))))),IF($S183="Unit Produksi",$G183-($G183-$H183)*MIN(1,(N($L183)+N($M183))/$K183),$G183))),$G183))</f>
        <v/>
      </c>
      <c r="AF183" s="20" t="str">
        <f>IF($B183="","",IF(OR($S183="Garis Lurus",$S183="Saldo Menurun",$S183="Unit Produksi"),MAX(0,IF($S183="Unit Produksi",TahunBuku*12+12,MIN(TahunBuku*12+12,$Y183+$T183*12-1))-MAX(TahunBuku*12+1,$Y183)+1),0))</f>
        <v/>
      </c>
      <c r="AG183" s="20" t="str">
        <f>IF($B183="","",IF(OR($S183="Garis Lurus",$S183="Saldo Menurun",$S183="Unit Produksi"),MAX(0,MIN($Z183,IF($S183="Unit Produksi",TahunBuku*12+12,MIN(TahunBuku*12+12,$Y183+$T183*12-1)))-MAX(TahunBuku*12+1,$Y183)+1),0))</f>
        <v/>
      </c>
      <c r="AH183" s="21" t="str">
        <f>IF($B183="","",IFERROR(IF($W183="Garis Lurus",$G183*(1-MIN($V183*12,MAX(0,TahunBuku*12-$Y183+1))/($V183*12)),IF($W183="Saldo Menurun",IF(TahunBuku-1&lt;YEAR($F183),$G183,IF(TahunBuku-1&gt;=INT(($Y183+$V183*12-2)/12),0,$G183*(1-2/$V183*(13-MONTH($F183))/12)*(1-2/$V183)^(TahunBuku-1-YEAR($F183)))),$G183)),$G183))</f>
        <v/>
      </c>
      <c r="AI183" s="21" t="str">
        <f>IF($B183="","",IFERROR(IF($W183="Garis Lurus",$G183*(1-MIN($V183*12,MAX(0,TahunBuku*12+12-$Y183+1))/($V183*12)),IF($W183="Saldo Menurun",IF(TahunBuku&lt;YEAR($F183),$G183,IF(TahunBuku&gt;=INT(($Y183+$V183*12-2)/12),0,$G183*(1-2/$V183*(13-MONTH($F183))/12)*(1-2/$V183)^(TahunBuku-YEAR($F183)))),$G183)),$G183))</f>
        <v/>
      </c>
      <c r="AJ183" s="20" t="str">
        <f>IF($B183="","",IF(OR($W183="Garis Lurus",$W183="Saldo Menurun"),MAX(0,MIN(TahunBuku*12+12,$Y183+$V183*12-1)-MAX(TahunBuku*12+1,$Y183)+1),0))</f>
        <v/>
      </c>
      <c r="AK183" s="20" t="str">
        <f>IF($B183="","",IF(OR($W183="Garis Lurus",$W183="Saldo Menurun"),MAX(0,MIN($Z183,TahunBuku*12+12,$Y183+$V183*12-1)-MAX(TahunBuku*12+1,$Y183)+1),0))</f>
        <v/>
      </c>
      <c r="AL183" s="22" t="str">
        <f>IF($B183="","",$G183*$AA183)</f>
        <v/>
      </c>
      <c r="AM183" s="22" t="str">
        <f>IF($B183="","",$G183*$AB183)</f>
        <v/>
      </c>
      <c r="AN183" s="22" t="str">
        <f>IF($B183="","",$G183*$AC183)</f>
        <v/>
      </c>
      <c r="AO183" s="22" t="str">
        <f>IF($B183="","",AL183+AM183-AN183)</f>
        <v/>
      </c>
      <c r="AP183" s="22" t="str">
        <f>IF($B183="","",($G183-$AD183)*$AA183)</f>
        <v/>
      </c>
      <c r="AQ183" s="22" t="str">
        <f>IF($B183="","",IF($AF183=0,0,($AD183-$AE183)*$AG183/$AF183)*MAX($AA183,$AB183))</f>
        <v/>
      </c>
      <c r="AR183" s="22" t="str">
        <f>IF($B183="","",(AP183+AQ183)*$AC183)</f>
        <v/>
      </c>
      <c r="AS183" s="22" t="str">
        <f>IF($B183="","",AP183+AQ183-AR183)</f>
        <v/>
      </c>
      <c r="AT183" s="22" t="str">
        <f>IF($B183="","",AO183-AS183)</f>
        <v/>
      </c>
      <c r="AU183" s="22" t="str">
        <f>IF($B183="","",IF($AC183=1,N($R183)-($G183-AR183),0))</f>
        <v/>
      </c>
      <c r="AV183" s="22" t="str">
        <f>IF($B183="","",($G183-$AH183)*$AA183)</f>
        <v/>
      </c>
      <c r="AW183" s="22" t="str">
        <f>IF($B183="","",IF($AJ183=0,0,($AH183-$AI183)*$AK183/$AJ183)*MAX($AA183,$AB183))</f>
        <v/>
      </c>
      <c r="AX183" s="22" t="str">
        <f>IF($B183="","",(AV183+AW183)*$AC183)</f>
        <v/>
      </c>
      <c r="AY183" s="22" t="str">
        <f>IF($B183="","",AV183+AW183-AX183)</f>
        <v/>
      </c>
      <c r="AZ183" s="22" t="str">
        <f>IF($B183="","",AO183-AY183)</f>
        <v/>
      </c>
      <c r="BA183" s="22" t="str">
        <f>IF($B183="","",IF($AC183=1,N($R183)-($G183-AX183),0))</f>
        <v/>
      </c>
      <c r="BB183" s="22" t="str">
        <f>IF($B183="","",ROUND(AQ183-AW183,0))</f>
        <v/>
      </c>
      <c r="BC183" s="22" t="str">
        <f>IF($B183="","",ROUND(BA183-AU183,0))</f>
        <v/>
      </c>
      <c r="BD183" s="22" t="str">
        <f>IF($B183="","",BB183+BC183)</f>
        <v/>
      </c>
      <c r="BE183" s="22" t="str">
        <f>IF($B183="","",ROUND(AV183-AP183,0))</f>
        <v/>
      </c>
      <c r="BF183" s="22" t="str">
        <f>IF($B183="","",ROUND(AT183-AZ183,0))</f>
        <v/>
      </c>
      <c r="BG183" s="22" t="str">
        <f>IF($B183="","",ROUND(BF183*TarifPPh,0))</f>
        <v/>
      </c>
      <c r="BH183" t="str">
        <f>IF($B183="","",IF($D183="","Kategori kosong",IF($F183="","Tgl perolehan kosong",IF(N($H183)&gt;$G183,"Residu &gt; harga perolehan",IF(AND(LEFT($U183,8)="Bangunan",$W183="Saldo Menurun"),"Bangunan wajib Garis Lurus (Ps.11 UU PPh)",IF(AND($S183="Unit Produksi",N($K183)=0),"Isi kapasitas unit",IF(AND(OR($S183="Garis Lurus",$S183="Saldo Menurun"),N($T183)&lt;=0),"Umur komersial kosong",IF(AND(OR($W183="Garis Lurus",$W183="Saldo Menurun"),N($V183)&lt;=0),"Masa manfaat fiskal kosong",IF(AND($Q183&lt;&gt;"",$Q183&lt;$F183),"Tgl pelepasan &lt; perolehan","OK")))))))))</f>
        <v/>
      </c>
    </row>
    <row r="184" spans="1:60" x14ac:dyDescent="0.25">
      <c r="A184" t="str">
        <f>IF($B184="","",ROW()-6)</f>
        <v/>
      </c>
      <c r="B184" s="9"/>
      <c r="C184" s="9"/>
      <c r="D184" s="9"/>
      <c r="E184" s="9"/>
      <c r="F184" s="17"/>
      <c r="G184" s="18"/>
      <c r="H184" s="18"/>
      <c r="I184" s="9"/>
      <c r="J184" s="9"/>
      <c r="K184" s="19"/>
      <c r="L184" s="19"/>
      <c r="M184" s="19"/>
      <c r="N184" s="9"/>
      <c r="O184" s="9"/>
      <c r="P184" s="9"/>
      <c r="Q184" s="17"/>
      <c r="R184" s="18"/>
      <c r="S184" t="str">
        <f>IF($B184="","",IF($I184&lt;&gt;"",$I184,IFERROR(INDEX(Kat_Metode,MATCH($D184,Kat_Nama,0)),"")))</f>
        <v/>
      </c>
      <c r="T184" t="str">
        <f>IF($B184="","",IF($J184&lt;&gt;"",$J184,IFERROR(INDEX(Kat_Umur,MATCH($D184,Kat_Nama,0)),0)))</f>
        <v/>
      </c>
      <c r="U184" t="str">
        <f>IF($B184="","",IF($N184&lt;&gt;"",$N184,IFERROR(INDEX(Kat_Kelompok,MATCH($D184,Kat_Nama,0)),"")))</f>
        <v/>
      </c>
      <c r="V184" t="str">
        <f>IF($B184="","",IF($U184="Masa Manfaat Sebenarnya",N($O184),IFERROR(INDEX(Kel_Masa,MATCH($U184,Kel_Nama,0)),0)))</f>
        <v/>
      </c>
      <c r="W184" t="str">
        <f>IF($B184="","",IF($P184&lt;&gt;"",$P184,IF(OR($U184="Tidak Disusutkan",$V184=0),"Tidak Disusutkan","Garis Lurus")))</f>
        <v/>
      </c>
      <c r="X184" t="str">
        <f>IF($B184="","",IF($Y184&gt;TahunBuku*12+12,"Belum Diperoleh",IF($Z184&lt;=TahunBuku*12,"Dilepas (thn lalu)",IF($AC184=1,"Dilepas thn ini",IF($AB184=1,"Perolehan baru","Aktif")))))</f>
        <v/>
      </c>
      <c r="Y184" s="20" t="str">
        <f>IF($B184="","",YEAR($F184)*12+MONTH($F184))</f>
        <v/>
      </c>
      <c r="Z184" s="20" t="str">
        <f>IF($B184="","",IF($Q184="",99999,YEAR($Q184)*12+MONTH($Q184)))</f>
        <v/>
      </c>
      <c r="AA184" s="20" t="str">
        <f>IF($B184="","",--AND($Y184&lt;=TahunBuku*12,$Z184&gt;TahunBuku*12))</f>
        <v/>
      </c>
      <c r="AB184" s="20" t="str">
        <f>IF($B184="","",--AND($Y184&gt;TahunBuku*12,$Y184&lt;=TahunBuku*12+12))</f>
        <v/>
      </c>
      <c r="AC184" s="20" t="str">
        <f>IF($B184="","",--AND($Z184&gt;TahunBuku*12,$Z184&lt;=TahunBuku*12+12,$Y184&lt;=$Z184))</f>
        <v/>
      </c>
      <c r="AD184" s="21" t="str">
        <f>IF($B184="","",IFERROR(IF($S184="Garis Lurus",$G184-($G184-$H184)*MIN($T184*12,MAX(0,TahunBuku*12-$Y184+1))/($T184*12),IF($S184="Saldo Menurun",IF(TahunBuku-1&lt;YEAR($F184),$G184,IF(TahunBuku-1&gt;=INT(($Y184+$T184*12-2)/12),$H184,MAX($H184,$G184*(1-2/$T184*(13-MONTH($F184))/12)*(1-2/$T184)^(TahunBuku-1-YEAR($F184))))),IF($S184="Unit Produksi",$G184-($G184-$H184)*MIN(1,N($L184)/$K184),$G184))),$G184))</f>
        <v/>
      </c>
      <c r="AE184" s="21" t="str">
        <f>IF($B184="","",IFERROR(IF($S184="Garis Lurus",$G184-($G184-$H184)*MIN($T184*12,MAX(0,TahunBuku*12+12-$Y184+1))/($T184*12),IF($S184="Saldo Menurun",IF(TahunBuku&lt;YEAR($F184),$G184,IF(TahunBuku&gt;=INT(($Y184+$T184*12-2)/12),$H184,MAX($H184,$G184*(1-2/$T184*(13-MONTH($F184))/12)*(1-2/$T184)^(TahunBuku-YEAR($F184))))),IF($S184="Unit Produksi",$G184-($G184-$H184)*MIN(1,(N($L184)+N($M184))/$K184),$G184))),$G184))</f>
        <v/>
      </c>
      <c r="AF184" s="20" t="str">
        <f>IF($B184="","",IF(OR($S184="Garis Lurus",$S184="Saldo Menurun",$S184="Unit Produksi"),MAX(0,IF($S184="Unit Produksi",TahunBuku*12+12,MIN(TahunBuku*12+12,$Y184+$T184*12-1))-MAX(TahunBuku*12+1,$Y184)+1),0))</f>
        <v/>
      </c>
      <c r="AG184" s="20" t="str">
        <f>IF($B184="","",IF(OR($S184="Garis Lurus",$S184="Saldo Menurun",$S184="Unit Produksi"),MAX(0,MIN($Z184,IF($S184="Unit Produksi",TahunBuku*12+12,MIN(TahunBuku*12+12,$Y184+$T184*12-1)))-MAX(TahunBuku*12+1,$Y184)+1),0))</f>
        <v/>
      </c>
      <c r="AH184" s="21" t="str">
        <f>IF($B184="","",IFERROR(IF($W184="Garis Lurus",$G184*(1-MIN($V184*12,MAX(0,TahunBuku*12-$Y184+1))/($V184*12)),IF($W184="Saldo Menurun",IF(TahunBuku-1&lt;YEAR($F184),$G184,IF(TahunBuku-1&gt;=INT(($Y184+$V184*12-2)/12),0,$G184*(1-2/$V184*(13-MONTH($F184))/12)*(1-2/$V184)^(TahunBuku-1-YEAR($F184)))),$G184)),$G184))</f>
        <v/>
      </c>
      <c r="AI184" s="21" t="str">
        <f>IF($B184="","",IFERROR(IF($W184="Garis Lurus",$G184*(1-MIN($V184*12,MAX(0,TahunBuku*12+12-$Y184+1))/($V184*12)),IF($W184="Saldo Menurun",IF(TahunBuku&lt;YEAR($F184),$G184,IF(TahunBuku&gt;=INT(($Y184+$V184*12-2)/12),0,$G184*(1-2/$V184*(13-MONTH($F184))/12)*(1-2/$V184)^(TahunBuku-YEAR($F184)))),$G184)),$G184))</f>
        <v/>
      </c>
      <c r="AJ184" s="20" t="str">
        <f>IF($B184="","",IF(OR($W184="Garis Lurus",$W184="Saldo Menurun"),MAX(0,MIN(TahunBuku*12+12,$Y184+$V184*12-1)-MAX(TahunBuku*12+1,$Y184)+1),0))</f>
        <v/>
      </c>
      <c r="AK184" s="20" t="str">
        <f>IF($B184="","",IF(OR($W184="Garis Lurus",$W184="Saldo Menurun"),MAX(0,MIN($Z184,TahunBuku*12+12,$Y184+$V184*12-1)-MAX(TahunBuku*12+1,$Y184)+1),0))</f>
        <v/>
      </c>
      <c r="AL184" s="22" t="str">
        <f>IF($B184="","",$G184*$AA184)</f>
        <v/>
      </c>
      <c r="AM184" s="22" t="str">
        <f>IF($B184="","",$G184*$AB184)</f>
        <v/>
      </c>
      <c r="AN184" s="22" t="str">
        <f>IF($B184="","",$G184*$AC184)</f>
        <v/>
      </c>
      <c r="AO184" s="22" t="str">
        <f>IF($B184="","",AL184+AM184-AN184)</f>
        <v/>
      </c>
      <c r="AP184" s="22" t="str">
        <f>IF($B184="","",($G184-$AD184)*$AA184)</f>
        <v/>
      </c>
      <c r="AQ184" s="22" t="str">
        <f>IF($B184="","",IF($AF184=0,0,($AD184-$AE184)*$AG184/$AF184)*MAX($AA184,$AB184))</f>
        <v/>
      </c>
      <c r="AR184" s="22" t="str">
        <f>IF($B184="","",(AP184+AQ184)*$AC184)</f>
        <v/>
      </c>
      <c r="AS184" s="22" t="str">
        <f>IF($B184="","",AP184+AQ184-AR184)</f>
        <v/>
      </c>
      <c r="AT184" s="22" t="str">
        <f>IF($B184="","",AO184-AS184)</f>
        <v/>
      </c>
      <c r="AU184" s="22" t="str">
        <f>IF($B184="","",IF($AC184=1,N($R184)-($G184-AR184),0))</f>
        <v/>
      </c>
      <c r="AV184" s="22" t="str">
        <f>IF($B184="","",($G184-$AH184)*$AA184)</f>
        <v/>
      </c>
      <c r="AW184" s="22" t="str">
        <f>IF($B184="","",IF($AJ184=0,0,($AH184-$AI184)*$AK184/$AJ184)*MAX($AA184,$AB184))</f>
        <v/>
      </c>
      <c r="AX184" s="22" t="str">
        <f>IF($B184="","",(AV184+AW184)*$AC184)</f>
        <v/>
      </c>
      <c r="AY184" s="22" t="str">
        <f>IF($B184="","",AV184+AW184-AX184)</f>
        <v/>
      </c>
      <c r="AZ184" s="22" t="str">
        <f>IF($B184="","",AO184-AY184)</f>
        <v/>
      </c>
      <c r="BA184" s="22" t="str">
        <f>IF($B184="","",IF($AC184=1,N($R184)-($G184-AX184),0))</f>
        <v/>
      </c>
      <c r="BB184" s="22" t="str">
        <f>IF($B184="","",ROUND(AQ184-AW184,0))</f>
        <v/>
      </c>
      <c r="BC184" s="22" t="str">
        <f>IF($B184="","",ROUND(BA184-AU184,0))</f>
        <v/>
      </c>
      <c r="BD184" s="22" t="str">
        <f>IF($B184="","",BB184+BC184)</f>
        <v/>
      </c>
      <c r="BE184" s="22" t="str">
        <f>IF($B184="","",ROUND(AV184-AP184,0))</f>
        <v/>
      </c>
      <c r="BF184" s="22" t="str">
        <f>IF($B184="","",ROUND(AT184-AZ184,0))</f>
        <v/>
      </c>
      <c r="BG184" s="22" t="str">
        <f>IF($B184="","",ROUND(BF184*TarifPPh,0))</f>
        <v/>
      </c>
      <c r="BH184" t="str">
        <f>IF($B184="","",IF($D184="","Kategori kosong",IF($F184="","Tgl perolehan kosong",IF(N($H184)&gt;$G184,"Residu &gt; harga perolehan",IF(AND(LEFT($U184,8)="Bangunan",$W184="Saldo Menurun"),"Bangunan wajib Garis Lurus (Ps.11 UU PPh)",IF(AND($S184="Unit Produksi",N($K184)=0),"Isi kapasitas unit",IF(AND(OR($S184="Garis Lurus",$S184="Saldo Menurun"),N($T184)&lt;=0),"Umur komersial kosong",IF(AND(OR($W184="Garis Lurus",$W184="Saldo Menurun"),N($V184)&lt;=0),"Masa manfaat fiskal kosong",IF(AND($Q184&lt;&gt;"",$Q184&lt;$F184),"Tgl pelepasan &lt; perolehan","OK")))))))))</f>
        <v/>
      </c>
    </row>
    <row r="185" spans="1:60" x14ac:dyDescent="0.25">
      <c r="A185" t="str">
        <f>IF($B185="","",ROW()-6)</f>
        <v/>
      </c>
      <c r="B185" s="9"/>
      <c r="C185" s="9"/>
      <c r="D185" s="9"/>
      <c r="E185" s="9"/>
      <c r="F185" s="17"/>
      <c r="G185" s="18"/>
      <c r="H185" s="18"/>
      <c r="I185" s="9"/>
      <c r="J185" s="9"/>
      <c r="K185" s="19"/>
      <c r="L185" s="19"/>
      <c r="M185" s="19"/>
      <c r="N185" s="9"/>
      <c r="O185" s="9"/>
      <c r="P185" s="9"/>
      <c r="Q185" s="17"/>
      <c r="R185" s="18"/>
      <c r="S185" t="str">
        <f>IF($B185="","",IF($I185&lt;&gt;"",$I185,IFERROR(INDEX(Kat_Metode,MATCH($D185,Kat_Nama,0)),"")))</f>
        <v/>
      </c>
      <c r="T185" t="str">
        <f>IF($B185="","",IF($J185&lt;&gt;"",$J185,IFERROR(INDEX(Kat_Umur,MATCH($D185,Kat_Nama,0)),0)))</f>
        <v/>
      </c>
      <c r="U185" t="str">
        <f>IF($B185="","",IF($N185&lt;&gt;"",$N185,IFERROR(INDEX(Kat_Kelompok,MATCH($D185,Kat_Nama,0)),"")))</f>
        <v/>
      </c>
      <c r="V185" t="str">
        <f>IF($B185="","",IF($U185="Masa Manfaat Sebenarnya",N($O185),IFERROR(INDEX(Kel_Masa,MATCH($U185,Kel_Nama,0)),0)))</f>
        <v/>
      </c>
      <c r="W185" t="str">
        <f>IF($B185="","",IF($P185&lt;&gt;"",$P185,IF(OR($U185="Tidak Disusutkan",$V185=0),"Tidak Disusutkan","Garis Lurus")))</f>
        <v/>
      </c>
      <c r="X185" t="str">
        <f>IF($B185="","",IF($Y185&gt;TahunBuku*12+12,"Belum Diperoleh",IF($Z185&lt;=TahunBuku*12,"Dilepas (thn lalu)",IF($AC185=1,"Dilepas thn ini",IF($AB185=1,"Perolehan baru","Aktif")))))</f>
        <v/>
      </c>
      <c r="Y185" s="20" t="str">
        <f>IF($B185="","",YEAR($F185)*12+MONTH($F185))</f>
        <v/>
      </c>
      <c r="Z185" s="20" t="str">
        <f>IF($B185="","",IF($Q185="",99999,YEAR($Q185)*12+MONTH($Q185)))</f>
        <v/>
      </c>
      <c r="AA185" s="20" t="str">
        <f>IF($B185="","",--AND($Y185&lt;=TahunBuku*12,$Z185&gt;TahunBuku*12))</f>
        <v/>
      </c>
      <c r="AB185" s="20" t="str">
        <f>IF($B185="","",--AND($Y185&gt;TahunBuku*12,$Y185&lt;=TahunBuku*12+12))</f>
        <v/>
      </c>
      <c r="AC185" s="20" t="str">
        <f>IF($B185="","",--AND($Z185&gt;TahunBuku*12,$Z185&lt;=TahunBuku*12+12,$Y185&lt;=$Z185))</f>
        <v/>
      </c>
      <c r="AD185" s="21" t="str">
        <f>IF($B185="","",IFERROR(IF($S185="Garis Lurus",$G185-($G185-$H185)*MIN($T185*12,MAX(0,TahunBuku*12-$Y185+1))/($T185*12),IF($S185="Saldo Menurun",IF(TahunBuku-1&lt;YEAR($F185),$G185,IF(TahunBuku-1&gt;=INT(($Y185+$T185*12-2)/12),$H185,MAX($H185,$G185*(1-2/$T185*(13-MONTH($F185))/12)*(1-2/$T185)^(TahunBuku-1-YEAR($F185))))),IF($S185="Unit Produksi",$G185-($G185-$H185)*MIN(1,N($L185)/$K185),$G185))),$G185))</f>
        <v/>
      </c>
      <c r="AE185" s="21" t="str">
        <f>IF($B185="","",IFERROR(IF($S185="Garis Lurus",$G185-($G185-$H185)*MIN($T185*12,MAX(0,TahunBuku*12+12-$Y185+1))/($T185*12),IF($S185="Saldo Menurun",IF(TahunBuku&lt;YEAR($F185),$G185,IF(TahunBuku&gt;=INT(($Y185+$T185*12-2)/12),$H185,MAX($H185,$G185*(1-2/$T185*(13-MONTH($F185))/12)*(1-2/$T185)^(TahunBuku-YEAR($F185))))),IF($S185="Unit Produksi",$G185-($G185-$H185)*MIN(1,(N($L185)+N($M185))/$K185),$G185))),$G185))</f>
        <v/>
      </c>
      <c r="AF185" s="20" t="str">
        <f>IF($B185="","",IF(OR($S185="Garis Lurus",$S185="Saldo Menurun",$S185="Unit Produksi"),MAX(0,IF($S185="Unit Produksi",TahunBuku*12+12,MIN(TahunBuku*12+12,$Y185+$T185*12-1))-MAX(TahunBuku*12+1,$Y185)+1),0))</f>
        <v/>
      </c>
      <c r="AG185" s="20" t="str">
        <f>IF($B185="","",IF(OR($S185="Garis Lurus",$S185="Saldo Menurun",$S185="Unit Produksi"),MAX(0,MIN($Z185,IF($S185="Unit Produksi",TahunBuku*12+12,MIN(TahunBuku*12+12,$Y185+$T185*12-1)))-MAX(TahunBuku*12+1,$Y185)+1),0))</f>
        <v/>
      </c>
      <c r="AH185" s="21" t="str">
        <f>IF($B185="","",IFERROR(IF($W185="Garis Lurus",$G185*(1-MIN($V185*12,MAX(0,TahunBuku*12-$Y185+1))/($V185*12)),IF($W185="Saldo Menurun",IF(TahunBuku-1&lt;YEAR($F185),$G185,IF(TahunBuku-1&gt;=INT(($Y185+$V185*12-2)/12),0,$G185*(1-2/$V185*(13-MONTH($F185))/12)*(1-2/$V185)^(TahunBuku-1-YEAR($F185)))),$G185)),$G185))</f>
        <v/>
      </c>
      <c r="AI185" s="21" t="str">
        <f>IF($B185="","",IFERROR(IF($W185="Garis Lurus",$G185*(1-MIN($V185*12,MAX(0,TahunBuku*12+12-$Y185+1))/($V185*12)),IF($W185="Saldo Menurun",IF(TahunBuku&lt;YEAR($F185),$G185,IF(TahunBuku&gt;=INT(($Y185+$V185*12-2)/12),0,$G185*(1-2/$V185*(13-MONTH($F185))/12)*(1-2/$V185)^(TahunBuku-YEAR($F185)))),$G185)),$G185))</f>
        <v/>
      </c>
      <c r="AJ185" s="20" t="str">
        <f>IF($B185="","",IF(OR($W185="Garis Lurus",$W185="Saldo Menurun"),MAX(0,MIN(TahunBuku*12+12,$Y185+$V185*12-1)-MAX(TahunBuku*12+1,$Y185)+1),0))</f>
        <v/>
      </c>
      <c r="AK185" s="20" t="str">
        <f>IF($B185="","",IF(OR($W185="Garis Lurus",$W185="Saldo Menurun"),MAX(0,MIN($Z185,TahunBuku*12+12,$Y185+$V185*12-1)-MAX(TahunBuku*12+1,$Y185)+1),0))</f>
        <v/>
      </c>
      <c r="AL185" s="22" t="str">
        <f>IF($B185="","",$G185*$AA185)</f>
        <v/>
      </c>
      <c r="AM185" s="22" t="str">
        <f>IF($B185="","",$G185*$AB185)</f>
        <v/>
      </c>
      <c r="AN185" s="22" t="str">
        <f>IF($B185="","",$G185*$AC185)</f>
        <v/>
      </c>
      <c r="AO185" s="22" t="str">
        <f>IF($B185="","",AL185+AM185-AN185)</f>
        <v/>
      </c>
      <c r="AP185" s="22" t="str">
        <f>IF($B185="","",($G185-$AD185)*$AA185)</f>
        <v/>
      </c>
      <c r="AQ185" s="22" t="str">
        <f>IF($B185="","",IF($AF185=0,0,($AD185-$AE185)*$AG185/$AF185)*MAX($AA185,$AB185))</f>
        <v/>
      </c>
      <c r="AR185" s="22" t="str">
        <f>IF($B185="","",(AP185+AQ185)*$AC185)</f>
        <v/>
      </c>
      <c r="AS185" s="22" t="str">
        <f>IF($B185="","",AP185+AQ185-AR185)</f>
        <v/>
      </c>
      <c r="AT185" s="22" t="str">
        <f>IF($B185="","",AO185-AS185)</f>
        <v/>
      </c>
      <c r="AU185" s="22" t="str">
        <f>IF($B185="","",IF($AC185=1,N($R185)-($G185-AR185),0))</f>
        <v/>
      </c>
      <c r="AV185" s="22" t="str">
        <f>IF($B185="","",($G185-$AH185)*$AA185)</f>
        <v/>
      </c>
      <c r="AW185" s="22" t="str">
        <f>IF($B185="","",IF($AJ185=0,0,($AH185-$AI185)*$AK185/$AJ185)*MAX($AA185,$AB185))</f>
        <v/>
      </c>
      <c r="AX185" s="22" t="str">
        <f>IF($B185="","",(AV185+AW185)*$AC185)</f>
        <v/>
      </c>
      <c r="AY185" s="22" t="str">
        <f>IF($B185="","",AV185+AW185-AX185)</f>
        <v/>
      </c>
      <c r="AZ185" s="22" t="str">
        <f>IF($B185="","",AO185-AY185)</f>
        <v/>
      </c>
      <c r="BA185" s="22" t="str">
        <f>IF($B185="","",IF($AC185=1,N($R185)-($G185-AX185),0))</f>
        <v/>
      </c>
      <c r="BB185" s="22" t="str">
        <f>IF($B185="","",ROUND(AQ185-AW185,0))</f>
        <v/>
      </c>
      <c r="BC185" s="22" t="str">
        <f>IF($B185="","",ROUND(BA185-AU185,0))</f>
        <v/>
      </c>
      <c r="BD185" s="22" t="str">
        <f>IF($B185="","",BB185+BC185)</f>
        <v/>
      </c>
      <c r="BE185" s="22" t="str">
        <f>IF($B185="","",ROUND(AV185-AP185,0))</f>
        <v/>
      </c>
      <c r="BF185" s="22" t="str">
        <f>IF($B185="","",ROUND(AT185-AZ185,0))</f>
        <v/>
      </c>
      <c r="BG185" s="22" t="str">
        <f>IF($B185="","",ROUND(BF185*TarifPPh,0))</f>
        <v/>
      </c>
      <c r="BH185" t="str">
        <f>IF($B185="","",IF($D185="","Kategori kosong",IF($F185="","Tgl perolehan kosong",IF(N($H185)&gt;$G185,"Residu &gt; harga perolehan",IF(AND(LEFT($U185,8)="Bangunan",$W185="Saldo Menurun"),"Bangunan wajib Garis Lurus (Ps.11 UU PPh)",IF(AND($S185="Unit Produksi",N($K185)=0),"Isi kapasitas unit",IF(AND(OR($S185="Garis Lurus",$S185="Saldo Menurun"),N($T185)&lt;=0),"Umur komersial kosong",IF(AND(OR($W185="Garis Lurus",$W185="Saldo Menurun"),N($V185)&lt;=0),"Masa manfaat fiskal kosong",IF(AND($Q185&lt;&gt;"",$Q185&lt;$F185),"Tgl pelepasan &lt; perolehan","OK")))))))))</f>
        <v/>
      </c>
    </row>
    <row r="186" spans="1:60" x14ac:dyDescent="0.25">
      <c r="A186" t="str">
        <f>IF($B186="","",ROW()-6)</f>
        <v/>
      </c>
      <c r="B186" s="9"/>
      <c r="C186" s="9"/>
      <c r="D186" s="9"/>
      <c r="E186" s="9"/>
      <c r="F186" s="17"/>
      <c r="G186" s="18"/>
      <c r="H186" s="18"/>
      <c r="I186" s="9"/>
      <c r="J186" s="9"/>
      <c r="K186" s="19"/>
      <c r="L186" s="19"/>
      <c r="M186" s="19"/>
      <c r="N186" s="9"/>
      <c r="O186" s="9"/>
      <c r="P186" s="9"/>
      <c r="Q186" s="17"/>
      <c r="R186" s="18"/>
      <c r="S186" t="str">
        <f>IF($B186="","",IF($I186&lt;&gt;"",$I186,IFERROR(INDEX(Kat_Metode,MATCH($D186,Kat_Nama,0)),"")))</f>
        <v/>
      </c>
      <c r="T186" t="str">
        <f>IF($B186="","",IF($J186&lt;&gt;"",$J186,IFERROR(INDEX(Kat_Umur,MATCH($D186,Kat_Nama,0)),0)))</f>
        <v/>
      </c>
      <c r="U186" t="str">
        <f>IF($B186="","",IF($N186&lt;&gt;"",$N186,IFERROR(INDEX(Kat_Kelompok,MATCH($D186,Kat_Nama,0)),"")))</f>
        <v/>
      </c>
      <c r="V186" t="str">
        <f>IF($B186="","",IF($U186="Masa Manfaat Sebenarnya",N($O186),IFERROR(INDEX(Kel_Masa,MATCH($U186,Kel_Nama,0)),0)))</f>
        <v/>
      </c>
      <c r="W186" t="str">
        <f>IF($B186="","",IF($P186&lt;&gt;"",$P186,IF(OR($U186="Tidak Disusutkan",$V186=0),"Tidak Disusutkan","Garis Lurus")))</f>
        <v/>
      </c>
      <c r="X186" t="str">
        <f>IF($B186="","",IF($Y186&gt;TahunBuku*12+12,"Belum Diperoleh",IF($Z186&lt;=TahunBuku*12,"Dilepas (thn lalu)",IF($AC186=1,"Dilepas thn ini",IF($AB186=1,"Perolehan baru","Aktif")))))</f>
        <v/>
      </c>
      <c r="Y186" s="20" t="str">
        <f>IF($B186="","",YEAR($F186)*12+MONTH($F186))</f>
        <v/>
      </c>
      <c r="Z186" s="20" t="str">
        <f>IF($B186="","",IF($Q186="",99999,YEAR($Q186)*12+MONTH($Q186)))</f>
        <v/>
      </c>
      <c r="AA186" s="20" t="str">
        <f>IF($B186="","",--AND($Y186&lt;=TahunBuku*12,$Z186&gt;TahunBuku*12))</f>
        <v/>
      </c>
      <c r="AB186" s="20" t="str">
        <f>IF($B186="","",--AND($Y186&gt;TahunBuku*12,$Y186&lt;=TahunBuku*12+12))</f>
        <v/>
      </c>
      <c r="AC186" s="20" t="str">
        <f>IF($B186="","",--AND($Z186&gt;TahunBuku*12,$Z186&lt;=TahunBuku*12+12,$Y186&lt;=$Z186))</f>
        <v/>
      </c>
      <c r="AD186" s="21" t="str">
        <f>IF($B186="","",IFERROR(IF($S186="Garis Lurus",$G186-($G186-$H186)*MIN($T186*12,MAX(0,TahunBuku*12-$Y186+1))/($T186*12),IF($S186="Saldo Menurun",IF(TahunBuku-1&lt;YEAR($F186),$G186,IF(TahunBuku-1&gt;=INT(($Y186+$T186*12-2)/12),$H186,MAX($H186,$G186*(1-2/$T186*(13-MONTH($F186))/12)*(1-2/$T186)^(TahunBuku-1-YEAR($F186))))),IF($S186="Unit Produksi",$G186-($G186-$H186)*MIN(1,N($L186)/$K186),$G186))),$G186))</f>
        <v/>
      </c>
      <c r="AE186" s="21" t="str">
        <f>IF($B186="","",IFERROR(IF($S186="Garis Lurus",$G186-($G186-$H186)*MIN($T186*12,MAX(0,TahunBuku*12+12-$Y186+1))/($T186*12),IF($S186="Saldo Menurun",IF(TahunBuku&lt;YEAR($F186),$G186,IF(TahunBuku&gt;=INT(($Y186+$T186*12-2)/12),$H186,MAX($H186,$G186*(1-2/$T186*(13-MONTH($F186))/12)*(1-2/$T186)^(TahunBuku-YEAR($F186))))),IF($S186="Unit Produksi",$G186-($G186-$H186)*MIN(1,(N($L186)+N($M186))/$K186),$G186))),$G186))</f>
        <v/>
      </c>
      <c r="AF186" s="20" t="str">
        <f>IF($B186="","",IF(OR($S186="Garis Lurus",$S186="Saldo Menurun",$S186="Unit Produksi"),MAX(0,IF($S186="Unit Produksi",TahunBuku*12+12,MIN(TahunBuku*12+12,$Y186+$T186*12-1))-MAX(TahunBuku*12+1,$Y186)+1),0))</f>
        <v/>
      </c>
      <c r="AG186" s="20" t="str">
        <f>IF($B186="","",IF(OR($S186="Garis Lurus",$S186="Saldo Menurun",$S186="Unit Produksi"),MAX(0,MIN($Z186,IF($S186="Unit Produksi",TahunBuku*12+12,MIN(TahunBuku*12+12,$Y186+$T186*12-1)))-MAX(TahunBuku*12+1,$Y186)+1),0))</f>
        <v/>
      </c>
      <c r="AH186" s="21" t="str">
        <f>IF($B186="","",IFERROR(IF($W186="Garis Lurus",$G186*(1-MIN($V186*12,MAX(0,TahunBuku*12-$Y186+1))/($V186*12)),IF($W186="Saldo Menurun",IF(TahunBuku-1&lt;YEAR($F186),$G186,IF(TahunBuku-1&gt;=INT(($Y186+$V186*12-2)/12),0,$G186*(1-2/$V186*(13-MONTH($F186))/12)*(1-2/$V186)^(TahunBuku-1-YEAR($F186)))),$G186)),$G186))</f>
        <v/>
      </c>
      <c r="AI186" s="21" t="str">
        <f>IF($B186="","",IFERROR(IF($W186="Garis Lurus",$G186*(1-MIN($V186*12,MAX(0,TahunBuku*12+12-$Y186+1))/($V186*12)),IF($W186="Saldo Menurun",IF(TahunBuku&lt;YEAR($F186),$G186,IF(TahunBuku&gt;=INT(($Y186+$V186*12-2)/12),0,$G186*(1-2/$V186*(13-MONTH($F186))/12)*(1-2/$V186)^(TahunBuku-YEAR($F186)))),$G186)),$G186))</f>
        <v/>
      </c>
      <c r="AJ186" s="20" t="str">
        <f>IF($B186="","",IF(OR($W186="Garis Lurus",$W186="Saldo Menurun"),MAX(0,MIN(TahunBuku*12+12,$Y186+$V186*12-1)-MAX(TahunBuku*12+1,$Y186)+1),0))</f>
        <v/>
      </c>
      <c r="AK186" s="20" t="str">
        <f>IF($B186="","",IF(OR($W186="Garis Lurus",$W186="Saldo Menurun"),MAX(0,MIN($Z186,TahunBuku*12+12,$Y186+$V186*12-1)-MAX(TahunBuku*12+1,$Y186)+1),0))</f>
        <v/>
      </c>
      <c r="AL186" s="22" t="str">
        <f>IF($B186="","",$G186*$AA186)</f>
        <v/>
      </c>
      <c r="AM186" s="22" t="str">
        <f>IF($B186="","",$G186*$AB186)</f>
        <v/>
      </c>
      <c r="AN186" s="22" t="str">
        <f>IF($B186="","",$G186*$AC186)</f>
        <v/>
      </c>
      <c r="AO186" s="22" t="str">
        <f>IF($B186="","",AL186+AM186-AN186)</f>
        <v/>
      </c>
      <c r="AP186" s="22" t="str">
        <f>IF($B186="","",($G186-$AD186)*$AA186)</f>
        <v/>
      </c>
      <c r="AQ186" s="22" t="str">
        <f>IF($B186="","",IF($AF186=0,0,($AD186-$AE186)*$AG186/$AF186)*MAX($AA186,$AB186))</f>
        <v/>
      </c>
      <c r="AR186" s="22" t="str">
        <f>IF($B186="","",(AP186+AQ186)*$AC186)</f>
        <v/>
      </c>
      <c r="AS186" s="22" t="str">
        <f>IF($B186="","",AP186+AQ186-AR186)</f>
        <v/>
      </c>
      <c r="AT186" s="22" t="str">
        <f>IF($B186="","",AO186-AS186)</f>
        <v/>
      </c>
      <c r="AU186" s="22" t="str">
        <f>IF($B186="","",IF($AC186=1,N($R186)-($G186-AR186),0))</f>
        <v/>
      </c>
      <c r="AV186" s="22" t="str">
        <f>IF($B186="","",($G186-$AH186)*$AA186)</f>
        <v/>
      </c>
      <c r="AW186" s="22" t="str">
        <f>IF($B186="","",IF($AJ186=0,0,($AH186-$AI186)*$AK186/$AJ186)*MAX($AA186,$AB186))</f>
        <v/>
      </c>
      <c r="AX186" s="22" t="str">
        <f>IF($B186="","",(AV186+AW186)*$AC186)</f>
        <v/>
      </c>
      <c r="AY186" s="22" t="str">
        <f>IF($B186="","",AV186+AW186-AX186)</f>
        <v/>
      </c>
      <c r="AZ186" s="22" t="str">
        <f>IF($B186="","",AO186-AY186)</f>
        <v/>
      </c>
      <c r="BA186" s="22" t="str">
        <f>IF($B186="","",IF($AC186=1,N($R186)-($G186-AX186),0))</f>
        <v/>
      </c>
      <c r="BB186" s="22" t="str">
        <f>IF($B186="","",ROUND(AQ186-AW186,0))</f>
        <v/>
      </c>
      <c r="BC186" s="22" t="str">
        <f>IF($B186="","",ROUND(BA186-AU186,0))</f>
        <v/>
      </c>
      <c r="BD186" s="22" t="str">
        <f>IF($B186="","",BB186+BC186)</f>
        <v/>
      </c>
      <c r="BE186" s="22" t="str">
        <f>IF($B186="","",ROUND(AV186-AP186,0))</f>
        <v/>
      </c>
      <c r="BF186" s="22" t="str">
        <f>IF($B186="","",ROUND(AT186-AZ186,0))</f>
        <v/>
      </c>
      <c r="BG186" s="22" t="str">
        <f>IF($B186="","",ROUND(BF186*TarifPPh,0))</f>
        <v/>
      </c>
      <c r="BH186" t="str">
        <f>IF($B186="","",IF($D186="","Kategori kosong",IF($F186="","Tgl perolehan kosong",IF(N($H186)&gt;$G186,"Residu &gt; harga perolehan",IF(AND(LEFT($U186,8)="Bangunan",$W186="Saldo Menurun"),"Bangunan wajib Garis Lurus (Ps.11 UU PPh)",IF(AND($S186="Unit Produksi",N($K186)=0),"Isi kapasitas unit",IF(AND(OR($S186="Garis Lurus",$S186="Saldo Menurun"),N($T186)&lt;=0),"Umur komersial kosong",IF(AND(OR($W186="Garis Lurus",$W186="Saldo Menurun"),N($V186)&lt;=0),"Masa manfaat fiskal kosong",IF(AND($Q186&lt;&gt;"",$Q186&lt;$F186),"Tgl pelepasan &lt; perolehan","OK")))))))))</f>
        <v/>
      </c>
    </row>
    <row r="187" spans="1:60" x14ac:dyDescent="0.25">
      <c r="A187" t="str">
        <f>IF($B187="","",ROW()-6)</f>
        <v/>
      </c>
      <c r="B187" s="9"/>
      <c r="C187" s="9"/>
      <c r="D187" s="9"/>
      <c r="E187" s="9"/>
      <c r="F187" s="17"/>
      <c r="G187" s="18"/>
      <c r="H187" s="18"/>
      <c r="I187" s="9"/>
      <c r="J187" s="9"/>
      <c r="K187" s="19"/>
      <c r="L187" s="19"/>
      <c r="M187" s="19"/>
      <c r="N187" s="9"/>
      <c r="O187" s="9"/>
      <c r="P187" s="9"/>
      <c r="Q187" s="17"/>
      <c r="R187" s="18"/>
      <c r="S187" t="str">
        <f>IF($B187="","",IF($I187&lt;&gt;"",$I187,IFERROR(INDEX(Kat_Metode,MATCH($D187,Kat_Nama,0)),"")))</f>
        <v/>
      </c>
      <c r="T187" t="str">
        <f>IF($B187="","",IF($J187&lt;&gt;"",$J187,IFERROR(INDEX(Kat_Umur,MATCH($D187,Kat_Nama,0)),0)))</f>
        <v/>
      </c>
      <c r="U187" t="str">
        <f>IF($B187="","",IF($N187&lt;&gt;"",$N187,IFERROR(INDEX(Kat_Kelompok,MATCH($D187,Kat_Nama,0)),"")))</f>
        <v/>
      </c>
      <c r="V187" t="str">
        <f>IF($B187="","",IF($U187="Masa Manfaat Sebenarnya",N($O187),IFERROR(INDEX(Kel_Masa,MATCH($U187,Kel_Nama,0)),0)))</f>
        <v/>
      </c>
      <c r="W187" t="str">
        <f>IF($B187="","",IF($P187&lt;&gt;"",$P187,IF(OR($U187="Tidak Disusutkan",$V187=0),"Tidak Disusutkan","Garis Lurus")))</f>
        <v/>
      </c>
      <c r="X187" t="str">
        <f>IF($B187="","",IF($Y187&gt;TahunBuku*12+12,"Belum Diperoleh",IF($Z187&lt;=TahunBuku*12,"Dilepas (thn lalu)",IF($AC187=1,"Dilepas thn ini",IF($AB187=1,"Perolehan baru","Aktif")))))</f>
        <v/>
      </c>
      <c r="Y187" s="20" t="str">
        <f>IF($B187="","",YEAR($F187)*12+MONTH($F187))</f>
        <v/>
      </c>
      <c r="Z187" s="20" t="str">
        <f>IF($B187="","",IF($Q187="",99999,YEAR($Q187)*12+MONTH($Q187)))</f>
        <v/>
      </c>
      <c r="AA187" s="20" t="str">
        <f>IF($B187="","",--AND($Y187&lt;=TahunBuku*12,$Z187&gt;TahunBuku*12))</f>
        <v/>
      </c>
      <c r="AB187" s="20" t="str">
        <f>IF($B187="","",--AND($Y187&gt;TahunBuku*12,$Y187&lt;=TahunBuku*12+12))</f>
        <v/>
      </c>
      <c r="AC187" s="20" t="str">
        <f>IF($B187="","",--AND($Z187&gt;TahunBuku*12,$Z187&lt;=TahunBuku*12+12,$Y187&lt;=$Z187))</f>
        <v/>
      </c>
      <c r="AD187" s="21" t="str">
        <f>IF($B187="","",IFERROR(IF($S187="Garis Lurus",$G187-($G187-$H187)*MIN($T187*12,MAX(0,TahunBuku*12-$Y187+1))/($T187*12),IF($S187="Saldo Menurun",IF(TahunBuku-1&lt;YEAR($F187),$G187,IF(TahunBuku-1&gt;=INT(($Y187+$T187*12-2)/12),$H187,MAX($H187,$G187*(1-2/$T187*(13-MONTH($F187))/12)*(1-2/$T187)^(TahunBuku-1-YEAR($F187))))),IF($S187="Unit Produksi",$G187-($G187-$H187)*MIN(1,N($L187)/$K187),$G187))),$G187))</f>
        <v/>
      </c>
      <c r="AE187" s="21" t="str">
        <f>IF($B187="","",IFERROR(IF($S187="Garis Lurus",$G187-($G187-$H187)*MIN($T187*12,MAX(0,TahunBuku*12+12-$Y187+1))/($T187*12),IF($S187="Saldo Menurun",IF(TahunBuku&lt;YEAR($F187),$G187,IF(TahunBuku&gt;=INT(($Y187+$T187*12-2)/12),$H187,MAX($H187,$G187*(1-2/$T187*(13-MONTH($F187))/12)*(1-2/$T187)^(TahunBuku-YEAR($F187))))),IF($S187="Unit Produksi",$G187-($G187-$H187)*MIN(1,(N($L187)+N($M187))/$K187),$G187))),$G187))</f>
        <v/>
      </c>
      <c r="AF187" s="20" t="str">
        <f>IF($B187="","",IF(OR($S187="Garis Lurus",$S187="Saldo Menurun",$S187="Unit Produksi"),MAX(0,IF($S187="Unit Produksi",TahunBuku*12+12,MIN(TahunBuku*12+12,$Y187+$T187*12-1))-MAX(TahunBuku*12+1,$Y187)+1),0))</f>
        <v/>
      </c>
      <c r="AG187" s="20" t="str">
        <f>IF($B187="","",IF(OR($S187="Garis Lurus",$S187="Saldo Menurun",$S187="Unit Produksi"),MAX(0,MIN($Z187,IF($S187="Unit Produksi",TahunBuku*12+12,MIN(TahunBuku*12+12,$Y187+$T187*12-1)))-MAX(TahunBuku*12+1,$Y187)+1),0))</f>
        <v/>
      </c>
      <c r="AH187" s="21" t="str">
        <f>IF($B187="","",IFERROR(IF($W187="Garis Lurus",$G187*(1-MIN($V187*12,MAX(0,TahunBuku*12-$Y187+1))/($V187*12)),IF($W187="Saldo Menurun",IF(TahunBuku-1&lt;YEAR($F187),$G187,IF(TahunBuku-1&gt;=INT(($Y187+$V187*12-2)/12),0,$G187*(1-2/$V187*(13-MONTH($F187))/12)*(1-2/$V187)^(TahunBuku-1-YEAR($F187)))),$G187)),$G187))</f>
        <v/>
      </c>
      <c r="AI187" s="21" t="str">
        <f>IF($B187="","",IFERROR(IF($W187="Garis Lurus",$G187*(1-MIN($V187*12,MAX(0,TahunBuku*12+12-$Y187+1))/($V187*12)),IF($W187="Saldo Menurun",IF(TahunBuku&lt;YEAR($F187),$G187,IF(TahunBuku&gt;=INT(($Y187+$V187*12-2)/12),0,$G187*(1-2/$V187*(13-MONTH($F187))/12)*(1-2/$V187)^(TahunBuku-YEAR($F187)))),$G187)),$G187))</f>
        <v/>
      </c>
      <c r="AJ187" s="20" t="str">
        <f>IF($B187="","",IF(OR($W187="Garis Lurus",$W187="Saldo Menurun"),MAX(0,MIN(TahunBuku*12+12,$Y187+$V187*12-1)-MAX(TahunBuku*12+1,$Y187)+1),0))</f>
        <v/>
      </c>
      <c r="AK187" s="20" t="str">
        <f>IF($B187="","",IF(OR($W187="Garis Lurus",$W187="Saldo Menurun"),MAX(0,MIN($Z187,TahunBuku*12+12,$Y187+$V187*12-1)-MAX(TahunBuku*12+1,$Y187)+1),0))</f>
        <v/>
      </c>
      <c r="AL187" s="22" t="str">
        <f>IF($B187="","",$G187*$AA187)</f>
        <v/>
      </c>
      <c r="AM187" s="22" t="str">
        <f>IF($B187="","",$G187*$AB187)</f>
        <v/>
      </c>
      <c r="AN187" s="22" t="str">
        <f>IF($B187="","",$G187*$AC187)</f>
        <v/>
      </c>
      <c r="AO187" s="22" t="str">
        <f>IF($B187="","",AL187+AM187-AN187)</f>
        <v/>
      </c>
      <c r="AP187" s="22" t="str">
        <f>IF($B187="","",($G187-$AD187)*$AA187)</f>
        <v/>
      </c>
      <c r="AQ187" s="22" t="str">
        <f>IF($B187="","",IF($AF187=0,0,($AD187-$AE187)*$AG187/$AF187)*MAX($AA187,$AB187))</f>
        <v/>
      </c>
      <c r="AR187" s="22" t="str">
        <f>IF($B187="","",(AP187+AQ187)*$AC187)</f>
        <v/>
      </c>
      <c r="AS187" s="22" t="str">
        <f>IF($B187="","",AP187+AQ187-AR187)</f>
        <v/>
      </c>
      <c r="AT187" s="22" t="str">
        <f>IF($B187="","",AO187-AS187)</f>
        <v/>
      </c>
      <c r="AU187" s="22" t="str">
        <f>IF($B187="","",IF($AC187=1,N($R187)-($G187-AR187),0))</f>
        <v/>
      </c>
      <c r="AV187" s="22" t="str">
        <f>IF($B187="","",($G187-$AH187)*$AA187)</f>
        <v/>
      </c>
      <c r="AW187" s="22" t="str">
        <f>IF($B187="","",IF($AJ187=0,0,($AH187-$AI187)*$AK187/$AJ187)*MAX($AA187,$AB187))</f>
        <v/>
      </c>
      <c r="AX187" s="22" t="str">
        <f>IF($B187="","",(AV187+AW187)*$AC187)</f>
        <v/>
      </c>
      <c r="AY187" s="22" t="str">
        <f>IF($B187="","",AV187+AW187-AX187)</f>
        <v/>
      </c>
      <c r="AZ187" s="22" t="str">
        <f>IF($B187="","",AO187-AY187)</f>
        <v/>
      </c>
      <c r="BA187" s="22" t="str">
        <f>IF($B187="","",IF($AC187=1,N($R187)-($G187-AX187),0))</f>
        <v/>
      </c>
      <c r="BB187" s="22" t="str">
        <f>IF($B187="","",ROUND(AQ187-AW187,0))</f>
        <v/>
      </c>
      <c r="BC187" s="22" t="str">
        <f>IF($B187="","",ROUND(BA187-AU187,0))</f>
        <v/>
      </c>
      <c r="BD187" s="22" t="str">
        <f>IF($B187="","",BB187+BC187)</f>
        <v/>
      </c>
      <c r="BE187" s="22" t="str">
        <f>IF($B187="","",ROUND(AV187-AP187,0))</f>
        <v/>
      </c>
      <c r="BF187" s="22" t="str">
        <f>IF($B187="","",ROUND(AT187-AZ187,0))</f>
        <v/>
      </c>
      <c r="BG187" s="22" t="str">
        <f>IF($B187="","",ROUND(BF187*TarifPPh,0))</f>
        <v/>
      </c>
      <c r="BH187" t="str">
        <f>IF($B187="","",IF($D187="","Kategori kosong",IF($F187="","Tgl perolehan kosong",IF(N($H187)&gt;$G187,"Residu &gt; harga perolehan",IF(AND(LEFT($U187,8)="Bangunan",$W187="Saldo Menurun"),"Bangunan wajib Garis Lurus (Ps.11 UU PPh)",IF(AND($S187="Unit Produksi",N($K187)=0),"Isi kapasitas unit",IF(AND(OR($S187="Garis Lurus",$S187="Saldo Menurun"),N($T187)&lt;=0),"Umur komersial kosong",IF(AND(OR($W187="Garis Lurus",$W187="Saldo Menurun"),N($V187)&lt;=0),"Masa manfaat fiskal kosong",IF(AND($Q187&lt;&gt;"",$Q187&lt;$F187),"Tgl pelepasan &lt; perolehan","OK")))))))))</f>
        <v/>
      </c>
    </row>
    <row r="188" spans="1:60" x14ac:dyDescent="0.25">
      <c r="A188" t="str">
        <f>IF($B188="","",ROW()-6)</f>
        <v/>
      </c>
      <c r="B188" s="9"/>
      <c r="C188" s="9"/>
      <c r="D188" s="9"/>
      <c r="E188" s="9"/>
      <c r="F188" s="17"/>
      <c r="G188" s="18"/>
      <c r="H188" s="18"/>
      <c r="I188" s="9"/>
      <c r="J188" s="9"/>
      <c r="K188" s="19"/>
      <c r="L188" s="19"/>
      <c r="M188" s="19"/>
      <c r="N188" s="9"/>
      <c r="O188" s="9"/>
      <c r="P188" s="9"/>
      <c r="Q188" s="17"/>
      <c r="R188" s="18"/>
      <c r="S188" t="str">
        <f>IF($B188="","",IF($I188&lt;&gt;"",$I188,IFERROR(INDEX(Kat_Metode,MATCH($D188,Kat_Nama,0)),"")))</f>
        <v/>
      </c>
      <c r="T188" t="str">
        <f>IF($B188="","",IF($J188&lt;&gt;"",$J188,IFERROR(INDEX(Kat_Umur,MATCH($D188,Kat_Nama,0)),0)))</f>
        <v/>
      </c>
      <c r="U188" t="str">
        <f>IF($B188="","",IF($N188&lt;&gt;"",$N188,IFERROR(INDEX(Kat_Kelompok,MATCH($D188,Kat_Nama,0)),"")))</f>
        <v/>
      </c>
      <c r="V188" t="str">
        <f>IF($B188="","",IF($U188="Masa Manfaat Sebenarnya",N($O188),IFERROR(INDEX(Kel_Masa,MATCH($U188,Kel_Nama,0)),0)))</f>
        <v/>
      </c>
      <c r="W188" t="str">
        <f>IF($B188="","",IF($P188&lt;&gt;"",$P188,IF(OR($U188="Tidak Disusutkan",$V188=0),"Tidak Disusutkan","Garis Lurus")))</f>
        <v/>
      </c>
      <c r="X188" t="str">
        <f>IF($B188="","",IF($Y188&gt;TahunBuku*12+12,"Belum Diperoleh",IF($Z188&lt;=TahunBuku*12,"Dilepas (thn lalu)",IF($AC188=1,"Dilepas thn ini",IF($AB188=1,"Perolehan baru","Aktif")))))</f>
        <v/>
      </c>
      <c r="Y188" s="20" t="str">
        <f>IF($B188="","",YEAR($F188)*12+MONTH($F188))</f>
        <v/>
      </c>
      <c r="Z188" s="20" t="str">
        <f>IF($B188="","",IF($Q188="",99999,YEAR($Q188)*12+MONTH($Q188)))</f>
        <v/>
      </c>
      <c r="AA188" s="20" t="str">
        <f>IF($B188="","",--AND($Y188&lt;=TahunBuku*12,$Z188&gt;TahunBuku*12))</f>
        <v/>
      </c>
      <c r="AB188" s="20" t="str">
        <f>IF($B188="","",--AND($Y188&gt;TahunBuku*12,$Y188&lt;=TahunBuku*12+12))</f>
        <v/>
      </c>
      <c r="AC188" s="20" t="str">
        <f>IF($B188="","",--AND($Z188&gt;TahunBuku*12,$Z188&lt;=TahunBuku*12+12,$Y188&lt;=$Z188))</f>
        <v/>
      </c>
      <c r="AD188" s="21" t="str">
        <f>IF($B188="","",IFERROR(IF($S188="Garis Lurus",$G188-($G188-$H188)*MIN($T188*12,MAX(0,TahunBuku*12-$Y188+1))/($T188*12),IF($S188="Saldo Menurun",IF(TahunBuku-1&lt;YEAR($F188),$G188,IF(TahunBuku-1&gt;=INT(($Y188+$T188*12-2)/12),$H188,MAX($H188,$G188*(1-2/$T188*(13-MONTH($F188))/12)*(1-2/$T188)^(TahunBuku-1-YEAR($F188))))),IF($S188="Unit Produksi",$G188-($G188-$H188)*MIN(1,N($L188)/$K188),$G188))),$G188))</f>
        <v/>
      </c>
      <c r="AE188" s="21" t="str">
        <f>IF($B188="","",IFERROR(IF($S188="Garis Lurus",$G188-($G188-$H188)*MIN($T188*12,MAX(0,TahunBuku*12+12-$Y188+1))/($T188*12),IF($S188="Saldo Menurun",IF(TahunBuku&lt;YEAR($F188),$G188,IF(TahunBuku&gt;=INT(($Y188+$T188*12-2)/12),$H188,MAX($H188,$G188*(1-2/$T188*(13-MONTH($F188))/12)*(1-2/$T188)^(TahunBuku-YEAR($F188))))),IF($S188="Unit Produksi",$G188-($G188-$H188)*MIN(1,(N($L188)+N($M188))/$K188),$G188))),$G188))</f>
        <v/>
      </c>
      <c r="AF188" s="20" t="str">
        <f>IF($B188="","",IF(OR($S188="Garis Lurus",$S188="Saldo Menurun",$S188="Unit Produksi"),MAX(0,IF($S188="Unit Produksi",TahunBuku*12+12,MIN(TahunBuku*12+12,$Y188+$T188*12-1))-MAX(TahunBuku*12+1,$Y188)+1),0))</f>
        <v/>
      </c>
      <c r="AG188" s="20" t="str">
        <f>IF($B188="","",IF(OR($S188="Garis Lurus",$S188="Saldo Menurun",$S188="Unit Produksi"),MAX(0,MIN($Z188,IF($S188="Unit Produksi",TahunBuku*12+12,MIN(TahunBuku*12+12,$Y188+$T188*12-1)))-MAX(TahunBuku*12+1,$Y188)+1),0))</f>
        <v/>
      </c>
      <c r="AH188" s="21" t="str">
        <f>IF($B188="","",IFERROR(IF($W188="Garis Lurus",$G188*(1-MIN($V188*12,MAX(0,TahunBuku*12-$Y188+1))/($V188*12)),IF($W188="Saldo Menurun",IF(TahunBuku-1&lt;YEAR($F188),$G188,IF(TahunBuku-1&gt;=INT(($Y188+$V188*12-2)/12),0,$G188*(1-2/$V188*(13-MONTH($F188))/12)*(1-2/$V188)^(TahunBuku-1-YEAR($F188)))),$G188)),$G188))</f>
        <v/>
      </c>
      <c r="AI188" s="21" t="str">
        <f>IF($B188="","",IFERROR(IF($W188="Garis Lurus",$G188*(1-MIN($V188*12,MAX(0,TahunBuku*12+12-$Y188+1))/($V188*12)),IF($W188="Saldo Menurun",IF(TahunBuku&lt;YEAR($F188),$G188,IF(TahunBuku&gt;=INT(($Y188+$V188*12-2)/12),0,$G188*(1-2/$V188*(13-MONTH($F188))/12)*(1-2/$V188)^(TahunBuku-YEAR($F188)))),$G188)),$G188))</f>
        <v/>
      </c>
      <c r="AJ188" s="20" t="str">
        <f>IF($B188="","",IF(OR($W188="Garis Lurus",$W188="Saldo Menurun"),MAX(0,MIN(TahunBuku*12+12,$Y188+$V188*12-1)-MAX(TahunBuku*12+1,$Y188)+1),0))</f>
        <v/>
      </c>
      <c r="AK188" s="20" t="str">
        <f>IF($B188="","",IF(OR($W188="Garis Lurus",$W188="Saldo Menurun"),MAX(0,MIN($Z188,TahunBuku*12+12,$Y188+$V188*12-1)-MAX(TahunBuku*12+1,$Y188)+1),0))</f>
        <v/>
      </c>
      <c r="AL188" s="22" t="str">
        <f>IF($B188="","",$G188*$AA188)</f>
        <v/>
      </c>
      <c r="AM188" s="22" t="str">
        <f>IF($B188="","",$G188*$AB188)</f>
        <v/>
      </c>
      <c r="AN188" s="22" t="str">
        <f>IF($B188="","",$G188*$AC188)</f>
        <v/>
      </c>
      <c r="AO188" s="22" t="str">
        <f>IF($B188="","",AL188+AM188-AN188)</f>
        <v/>
      </c>
      <c r="AP188" s="22" t="str">
        <f>IF($B188="","",($G188-$AD188)*$AA188)</f>
        <v/>
      </c>
      <c r="AQ188" s="22" t="str">
        <f>IF($B188="","",IF($AF188=0,0,($AD188-$AE188)*$AG188/$AF188)*MAX($AA188,$AB188))</f>
        <v/>
      </c>
      <c r="AR188" s="22" t="str">
        <f>IF($B188="","",(AP188+AQ188)*$AC188)</f>
        <v/>
      </c>
      <c r="AS188" s="22" t="str">
        <f>IF($B188="","",AP188+AQ188-AR188)</f>
        <v/>
      </c>
      <c r="AT188" s="22" t="str">
        <f>IF($B188="","",AO188-AS188)</f>
        <v/>
      </c>
      <c r="AU188" s="22" t="str">
        <f>IF($B188="","",IF($AC188=1,N($R188)-($G188-AR188),0))</f>
        <v/>
      </c>
      <c r="AV188" s="22" t="str">
        <f>IF($B188="","",($G188-$AH188)*$AA188)</f>
        <v/>
      </c>
      <c r="AW188" s="22" t="str">
        <f>IF($B188="","",IF($AJ188=0,0,($AH188-$AI188)*$AK188/$AJ188)*MAX($AA188,$AB188))</f>
        <v/>
      </c>
      <c r="AX188" s="22" t="str">
        <f>IF($B188="","",(AV188+AW188)*$AC188)</f>
        <v/>
      </c>
      <c r="AY188" s="22" t="str">
        <f>IF($B188="","",AV188+AW188-AX188)</f>
        <v/>
      </c>
      <c r="AZ188" s="22" t="str">
        <f>IF($B188="","",AO188-AY188)</f>
        <v/>
      </c>
      <c r="BA188" s="22" t="str">
        <f>IF($B188="","",IF($AC188=1,N($R188)-($G188-AX188),0))</f>
        <v/>
      </c>
      <c r="BB188" s="22" t="str">
        <f>IF($B188="","",ROUND(AQ188-AW188,0))</f>
        <v/>
      </c>
      <c r="BC188" s="22" t="str">
        <f>IF($B188="","",ROUND(BA188-AU188,0))</f>
        <v/>
      </c>
      <c r="BD188" s="22" t="str">
        <f>IF($B188="","",BB188+BC188)</f>
        <v/>
      </c>
      <c r="BE188" s="22" t="str">
        <f>IF($B188="","",ROUND(AV188-AP188,0))</f>
        <v/>
      </c>
      <c r="BF188" s="22" t="str">
        <f>IF($B188="","",ROUND(AT188-AZ188,0))</f>
        <v/>
      </c>
      <c r="BG188" s="22" t="str">
        <f>IF($B188="","",ROUND(BF188*TarifPPh,0))</f>
        <v/>
      </c>
      <c r="BH188" t="str">
        <f>IF($B188="","",IF($D188="","Kategori kosong",IF($F188="","Tgl perolehan kosong",IF(N($H188)&gt;$G188,"Residu &gt; harga perolehan",IF(AND(LEFT($U188,8)="Bangunan",$W188="Saldo Menurun"),"Bangunan wajib Garis Lurus (Ps.11 UU PPh)",IF(AND($S188="Unit Produksi",N($K188)=0),"Isi kapasitas unit",IF(AND(OR($S188="Garis Lurus",$S188="Saldo Menurun"),N($T188)&lt;=0),"Umur komersial kosong",IF(AND(OR($W188="Garis Lurus",$W188="Saldo Menurun"),N($V188)&lt;=0),"Masa manfaat fiskal kosong",IF(AND($Q188&lt;&gt;"",$Q188&lt;$F188),"Tgl pelepasan &lt; perolehan","OK")))))))))</f>
        <v/>
      </c>
    </row>
    <row r="189" spans="1:60" x14ac:dyDescent="0.25">
      <c r="A189" t="str">
        <f>IF($B189="","",ROW()-6)</f>
        <v/>
      </c>
      <c r="B189" s="9"/>
      <c r="C189" s="9"/>
      <c r="D189" s="9"/>
      <c r="E189" s="9"/>
      <c r="F189" s="17"/>
      <c r="G189" s="18"/>
      <c r="H189" s="18"/>
      <c r="I189" s="9"/>
      <c r="J189" s="9"/>
      <c r="K189" s="19"/>
      <c r="L189" s="19"/>
      <c r="M189" s="19"/>
      <c r="N189" s="9"/>
      <c r="O189" s="9"/>
      <c r="P189" s="9"/>
      <c r="Q189" s="17"/>
      <c r="R189" s="18"/>
      <c r="S189" t="str">
        <f>IF($B189="","",IF($I189&lt;&gt;"",$I189,IFERROR(INDEX(Kat_Metode,MATCH($D189,Kat_Nama,0)),"")))</f>
        <v/>
      </c>
      <c r="T189" t="str">
        <f>IF($B189="","",IF($J189&lt;&gt;"",$J189,IFERROR(INDEX(Kat_Umur,MATCH($D189,Kat_Nama,0)),0)))</f>
        <v/>
      </c>
      <c r="U189" t="str">
        <f>IF($B189="","",IF($N189&lt;&gt;"",$N189,IFERROR(INDEX(Kat_Kelompok,MATCH($D189,Kat_Nama,0)),"")))</f>
        <v/>
      </c>
      <c r="V189" t="str">
        <f>IF($B189="","",IF($U189="Masa Manfaat Sebenarnya",N($O189),IFERROR(INDEX(Kel_Masa,MATCH($U189,Kel_Nama,0)),0)))</f>
        <v/>
      </c>
      <c r="W189" t="str">
        <f>IF($B189="","",IF($P189&lt;&gt;"",$P189,IF(OR($U189="Tidak Disusutkan",$V189=0),"Tidak Disusutkan","Garis Lurus")))</f>
        <v/>
      </c>
      <c r="X189" t="str">
        <f>IF($B189="","",IF($Y189&gt;TahunBuku*12+12,"Belum Diperoleh",IF($Z189&lt;=TahunBuku*12,"Dilepas (thn lalu)",IF($AC189=1,"Dilepas thn ini",IF($AB189=1,"Perolehan baru","Aktif")))))</f>
        <v/>
      </c>
      <c r="Y189" s="20" t="str">
        <f>IF($B189="","",YEAR($F189)*12+MONTH($F189))</f>
        <v/>
      </c>
      <c r="Z189" s="20" t="str">
        <f>IF($B189="","",IF($Q189="",99999,YEAR($Q189)*12+MONTH($Q189)))</f>
        <v/>
      </c>
      <c r="AA189" s="20" t="str">
        <f>IF($B189="","",--AND($Y189&lt;=TahunBuku*12,$Z189&gt;TahunBuku*12))</f>
        <v/>
      </c>
      <c r="AB189" s="20" t="str">
        <f>IF($B189="","",--AND($Y189&gt;TahunBuku*12,$Y189&lt;=TahunBuku*12+12))</f>
        <v/>
      </c>
      <c r="AC189" s="20" t="str">
        <f>IF($B189="","",--AND($Z189&gt;TahunBuku*12,$Z189&lt;=TahunBuku*12+12,$Y189&lt;=$Z189))</f>
        <v/>
      </c>
      <c r="AD189" s="21" t="str">
        <f>IF($B189="","",IFERROR(IF($S189="Garis Lurus",$G189-($G189-$H189)*MIN($T189*12,MAX(0,TahunBuku*12-$Y189+1))/($T189*12),IF($S189="Saldo Menurun",IF(TahunBuku-1&lt;YEAR($F189),$G189,IF(TahunBuku-1&gt;=INT(($Y189+$T189*12-2)/12),$H189,MAX($H189,$G189*(1-2/$T189*(13-MONTH($F189))/12)*(1-2/$T189)^(TahunBuku-1-YEAR($F189))))),IF($S189="Unit Produksi",$G189-($G189-$H189)*MIN(1,N($L189)/$K189),$G189))),$G189))</f>
        <v/>
      </c>
      <c r="AE189" s="21" t="str">
        <f>IF($B189="","",IFERROR(IF($S189="Garis Lurus",$G189-($G189-$H189)*MIN($T189*12,MAX(0,TahunBuku*12+12-$Y189+1))/($T189*12),IF($S189="Saldo Menurun",IF(TahunBuku&lt;YEAR($F189),$G189,IF(TahunBuku&gt;=INT(($Y189+$T189*12-2)/12),$H189,MAX($H189,$G189*(1-2/$T189*(13-MONTH($F189))/12)*(1-2/$T189)^(TahunBuku-YEAR($F189))))),IF($S189="Unit Produksi",$G189-($G189-$H189)*MIN(1,(N($L189)+N($M189))/$K189),$G189))),$G189))</f>
        <v/>
      </c>
      <c r="AF189" s="20" t="str">
        <f>IF($B189="","",IF(OR($S189="Garis Lurus",$S189="Saldo Menurun",$S189="Unit Produksi"),MAX(0,IF($S189="Unit Produksi",TahunBuku*12+12,MIN(TahunBuku*12+12,$Y189+$T189*12-1))-MAX(TahunBuku*12+1,$Y189)+1),0))</f>
        <v/>
      </c>
      <c r="AG189" s="20" t="str">
        <f>IF($B189="","",IF(OR($S189="Garis Lurus",$S189="Saldo Menurun",$S189="Unit Produksi"),MAX(0,MIN($Z189,IF($S189="Unit Produksi",TahunBuku*12+12,MIN(TahunBuku*12+12,$Y189+$T189*12-1)))-MAX(TahunBuku*12+1,$Y189)+1),0))</f>
        <v/>
      </c>
      <c r="AH189" s="21" t="str">
        <f>IF($B189="","",IFERROR(IF($W189="Garis Lurus",$G189*(1-MIN($V189*12,MAX(0,TahunBuku*12-$Y189+1))/($V189*12)),IF($W189="Saldo Menurun",IF(TahunBuku-1&lt;YEAR($F189),$G189,IF(TahunBuku-1&gt;=INT(($Y189+$V189*12-2)/12),0,$G189*(1-2/$V189*(13-MONTH($F189))/12)*(1-2/$V189)^(TahunBuku-1-YEAR($F189)))),$G189)),$G189))</f>
        <v/>
      </c>
      <c r="AI189" s="21" t="str">
        <f>IF($B189="","",IFERROR(IF($W189="Garis Lurus",$G189*(1-MIN($V189*12,MAX(0,TahunBuku*12+12-$Y189+1))/($V189*12)),IF($W189="Saldo Menurun",IF(TahunBuku&lt;YEAR($F189),$G189,IF(TahunBuku&gt;=INT(($Y189+$V189*12-2)/12),0,$G189*(1-2/$V189*(13-MONTH($F189))/12)*(1-2/$V189)^(TahunBuku-YEAR($F189)))),$G189)),$G189))</f>
        <v/>
      </c>
      <c r="AJ189" s="20" t="str">
        <f>IF($B189="","",IF(OR($W189="Garis Lurus",$W189="Saldo Menurun"),MAX(0,MIN(TahunBuku*12+12,$Y189+$V189*12-1)-MAX(TahunBuku*12+1,$Y189)+1),0))</f>
        <v/>
      </c>
      <c r="AK189" s="20" t="str">
        <f>IF($B189="","",IF(OR($W189="Garis Lurus",$W189="Saldo Menurun"),MAX(0,MIN($Z189,TahunBuku*12+12,$Y189+$V189*12-1)-MAX(TahunBuku*12+1,$Y189)+1),0))</f>
        <v/>
      </c>
      <c r="AL189" s="22" t="str">
        <f>IF($B189="","",$G189*$AA189)</f>
        <v/>
      </c>
      <c r="AM189" s="22" t="str">
        <f>IF($B189="","",$G189*$AB189)</f>
        <v/>
      </c>
      <c r="AN189" s="22" t="str">
        <f>IF($B189="","",$G189*$AC189)</f>
        <v/>
      </c>
      <c r="AO189" s="22" t="str">
        <f>IF($B189="","",AL189+AM189-AN189)</f>
        <v/>
      </c>
      <c r="AP189" s="22" t="str">
        <f>IF($B189="","",($G189-$AD189)*$AA189)</f>
        <v/>
      </c>
      <c r="AQ189" s="22" t="str">
        <f>IF($B189="","",IF($AF189=0,0,($AD189-$AE189)*$AG189/$AF189)*MAX($AA189,$AB189))</f>
        <v/>
      </c>
      <c r="AR189" s="22" t="str">
        <f>IF($B189="","",(AP189+AQ189)*$AC189)</f>
        <v/>
      </c>
      <c r="AS189" s="22" t="str">
        <f>IF($B189="","",AP189+AQ189-AR189)</f>
        <v/>
      </c>
      <c r="AT189" s="22" t="str">
        <f>IF($B189="","",AO189-AS189)</f>
        <v/>
      </c>
      <c r="AU189" s="22" t="str">
        <f>IF($B189="","",IF($AC189=1,N($R189)-($G189-AR189),0))</f>
        <v/>
      </c>
      <c r="AV189" s="22" t="str">
        <f>IF($B189="","",($G189-$AH189)*$AA189)</f>
        <v/>
      </c>
      <c r="AW189" s="22" t="str">
        <f>IF($B189="","",IF($AJ189=0,0,($AH189-$AI189)*$AK189/$AJ189)*MAX($AA189,$AB189))</f>
        <v/>
      </c>
      <c r="AX189" s="22" t="str">
        <f>IF($B189="","",(AV189+AW189)*$AC189)</f>
        <v/>
      </c>
      <c r="AY189" s="22" t="str">
        <f>IF($B189="","",AV189+AW189-AX189)</f>
        <v/>
      </c>
      <c r="AZ189" s="22" t="str">
        <f>IF($B189="","",AO189-AY189)</f>
        <v/>
      </c>
      <c r="BA189" s="22" t="str">
        <f>IF($B189="","",IF($AC189=1,N($R189)-($G189-AX189),0))</f>
        <v/>
      </c>
      <c r="BB189" s="22" t="str">
        <f>IF($B189="","",ROUND(AQ189-AW189,0))</f>
        <v/>
      </c>
      <c r="BC189" s="22" t="str">
        <f>IF($B189="","",ROUND(BA189-AU189,0))</f>
        <v/>
      </c>
      <c r="BD189" s="22" t="str">
        <f>IF($B189="","",BB189+BC189)</f>
        <v/>
      </c>
      <c r="BE189" s="22" t="str">
        <f>IF($B189="","",ROUND(AV189-AP189,0))</f>
        <v/>
      </c>
      <c r="BF189" s="22" t="str">
        <f>IF($B189="","",ROUND(AT189-AZ189,0))</f>
        <v/>
      </c>
      <c r="BG189" s="22" t="str">
        <f>IF($B189="","",ROUND(BF189*TarifPPh,0))</f>
        <v/>
      </c>
      <c r="BH189" t="str">
        <f>IF($B189="","",IF($D189="","Kategori kosong",IF($F189="","Tgl perolehan kosong",IF(N($H189)&gt;$G189,"Residu &gt; harga perolehan",IF(AND(LEFT($U189,8)="Bangunan",$W189="Saldo Menurun"),"Bangunan wajib Garis Lurus (Ps.11 UU PPh)",IF(AND($S189="Unit Produksi",N($K189)=0),"Isi kapasitas unit",IF(AND(OR($S189="Garis Lurus",$S189="Saldo Menurun"),N($T189)&lt;=0),"Umur komersial kosong",IF(AND(OR($W189="Garis Lurus",$W189="Saldo Menurun"),N($V189)&lt;=0),"Masa manfaat fiskal kosong",IF(AND($Q189&lt;&gt;"",$Q189&lt;$F189),"Tgl pelepasan &lt; perolehan","OK")))))))))</f>
        <v/>
      </c>
    </row>
    <row r="190" spans="1:60" x14ac:dyDescent="0.25">
      <c r="A190" t="str">
        <f>IF($B190="","",ROW()-6)</f>
        <v/>
      </c>
      <c r="B190" s="9"/>
      <c r="C190" s="9"/>
      <c r="D190" s="9"/>
      <c r="E190" s="9"/>
      <c r="F190" s="17"/>
      <c r="G190" s="18"/>
      <c r="H190" s="18"/>
      <c r="I190" s="9"/>
      <c r="J190" s="9"/>
      <c r="K190" s="19"/>
      <c r="L190" s="19"/>
      <c r="M190" s="19"/>
      <c r="N190" s="9"/>
      <c r="O190" s="9"/>
      <c r="P190" s="9"/>
      <c r="Q190" s="17"/>
      <c r="R190" s="18"/>
      <c r="S190" t="str">
        <f>IF($B190="","",IF($I190&lt;&gt;"",$I190,IFERROR(INDEX(Kat_Metode,MATCH($D190,Kat_Nama,0)),"")))</f>
        <v/>
      </c>
      <c r="T190" t="str">
        <f>IF($B190="","",IF($J190&lt;&gt;"",$J190,IFERROR(INDEX(Kat_Umur,MATCH($D190,Kat_Nama,0)),0)))</f>
        <v/>
      </c>
      <c r="U190" t="str">
        <f>IF($B190="","",IF($N190&lt;&gt;"",$N190,IFERROR(INDEX(Kat_Kelompok,MATCH($D190,Kat_Nama,0)),"")))</f>
        <v/>
      </c>
      <c r="V190" t="str">
        <f>IF($B190="","",IF($U190="Masa Manfaat Sebenarnya",N($O190),IFERROR(INDEX(Kel_Masa,MATCH($U190,Kel_Nama,0)),0)))</f>
        <v/>
      </c>
      <c r="W190" t="str">
        <f>IF($B190="","",IF($P190&lt;&gt;"",$P190,IF(OR($U190="Tidak Disusutkan",$V190=0),"Tidak Disusutkan","Garis Lurus")))</f>
        <v/>
      </c>
      <c r="X190" t="str">
        <f>IF($B190="","",IF($Y190&gt;TahunBuku*12+12,"Belum Diperoleh",IF($Z190&lt;=TahunBuku*12,"Dilepas (thn lalu)",IF($AC190=1,"Dilepas thn ini",IF($AB190=1,"Perolehan baru","Aktif")))))</f>
        <v/>
      </c>
      <c r="Y190" s="20" t="str">
        <f>IF($B190="","",YEAR($F190)*12+MONTH($F190))</f>
        <v/>
      </c>
      <c r="Z190" s="20" t="str">
        <f>IF($B190="","",IF($Q190="",99999,YEAR($Q190)*12+MONTH($Q190)))</f>
        <v/>
      </c>
      <c r="AA190" s="20" t="str">
        <f>IF($B190="","",--AND($Y190&lt;=TahunBuku*12,$Z190&gt;TahunBuku*12))</f>
        <v/>
      </c>
      <c r="AB190" s="20" t="str">
        <f>IF($B190="","",--AND($Y190&gt;TahunBuku*12,$Y190&lt;=TahunBuku*12+12))</f>
        <v/>
      </c>
      <c r="AC190" s="20" t="str">
        <f>IF($B190="","",--AND($Z190&gt;TahunBuku*12,$Z190&lt;=TahunBuku*12+12,$Y190&lt;=$Z190))</f>
        <v/>
      </c>
      <c r="AD190" s="21" t="str">
        <f>IF($B190="","",IFERROR(IF($S190="Garis Lurus",$G190-($G190-$H190)*MIN($T190*12,MAX(0,TahunBuku*12-$Y190+1))/($T190*12),IF($S190="Saldo Menurun",IF(TahunBuku-1&lt;YEAR($F190),$G190,IF(TahunBuku-1&gt;=INT(($Y190+$T190*12-2)/12),$H190,MAX($H190,$G190*(1-2/$T190*(13-MONTH($F190))/12)*(1-2/$T190)^(TahunBuku-1-YEAR($F190))))),IF($S190="Unit Produksi",$G190-($G190-$H190)*MIN(1,N($L190)/$K190),$G190))),$G190))</f>
        <v/>
      </c>
      <c r="AE190" s="21" t="str">
        <f>IF($B190="","",IFERROR(IF($S190="Garis Lurus",$G190-($G190-$H190)*MIN($T190*12,MAX(0,TahunBuku*12+12-$Y190+1))/($T190*12),IF($S190="Saldo Menurun",IF(TahunBuku&lt;YEAR($F190),$G190,IF(TahunBuku&gt;=INT(($Y190+$T190*12-2)/12),$H190,MAX($H190,$G190*(1-2/$T190*(13-MONTH($F190))/12)*(1-2/$T190)^(TahunBuku-YEAR($F190))))),IF($S190="Unit Produksi",$G190-($G190-$H190)*MIN(1,(N($L190)+N($M190))/$K190),$G190))),$G190))</f>
        <v/>
      </c>
      <c r="AF190" s="20" t="str">
        <f>IF($B190="","",IF(OR($S190="Garis Lurus",$S190="Saldo Menurun",$S190="Unit Produksi"),MAX(0,IF($S190="Unit Produksi",TahunBuku*12+12,MIN(TahunBuku*12+12,$Y190+$T190*12-1))-MAX(TahunBuku*12+1,$Y190)+1),0))</f>
        <v/>
      </c>
      <c r="AG190" s="20" t="str">
        <f>IF($B190="","",IF(OR($S190="Garis Lurus",$S190="Saldo Menurun",$S190="Unit Produksi"),MAX(0,MIN($Z190,IF($S190="Unit Produksi",TahunBuku*12+12,MIN(TahunBuku*12+12,$Y190+$T190*12-1)))-MAX(TahunBuku*12+1,$Y190)+1),0))</f>
        <v/>
      </c>
      <c r="AH190" s="21" t="str">
        <f>IF($B190="","",IFERROR(IF($W190="Garis Lurus",$G190*(1-MIN($V190*12,MAX(0,TahunBuku*12-$Y190+1))/($V190*12)),IF($W190="Saldo Menurun",IF(TahunBuku-1&lt;YEAR($F190),$G190,IF(TahunBuku-1&gt;=INT(($Y190+$V190*12-2)/12),0,$G190*(1-2/$V190*(13-MONTH($F190))/12)*(1-2/$V190)^(TahunBuku-1-YEAR($F190)))),$G190)),$G190))</f>
        <v/>
      </c>
      <c r="AI190" s="21" t="str">
        <f>IF($B190="","",IFERROR(IF($W190="Garis Lurus",$G190*(1-MIN($V190*12,MAX(0,TahunBuku*12+12-$Y190+1))/($V190*12)),IF($W190="Saldo Menurun",IF(TahunBuku&lt;YEAR($F190),$G190,IF(TahunBuku&gt;=INT(($Y190+$V190*12-2)/12),0,$G190*(1-2/$V190*(13-MONTH($F190))/12)*(1-2/$V190)^(TahunBuku-YEAR($F190)))),$G190)),$G190))</f>
        <v/>
      </c>
      <c r="AJ190" s="20" t="str">
        <f>IF($B190="","",IF(OR($W190="Garis Lurus",$W190="Saldo Menurun"),MAX(0,MIN(TahunBuku*12+12,$Y190+$V190*12-1)-MAX(TahunBuku*12+1,$Y190)+1),0))</f>
        <v/>
      </c>
      <c r="AK190" s="20" t="str">
        <f>IF($B190="","",IF(OR($W190="Garis Lurus",$W190="Saldo Menurun"),MAX(0,MIN($Z190,TahunBuku*12+12,$Y190+$V190*12-1)-MAX(TahunBuku*12+1,$Y190)+1),0))</f>
        <v/>
      </c>
      <c r="AL190" s="22" t="str">
        <f>IF($B190="","",$G190*$AA190)</f>
        <v/>
      </c>
      <c r="AM190" s="22" t="str">
        <f>IF($B190="","",$G190*$AB190)</f>
        <v/>
      </c>
      <c r="AN190" s="22" t="str">
        <f>IF($B190="","",$G190*$AC190)</f>
        <v/>
      </c>
      <c r="AO190" s="22" t="str">
        <f>IF($B190="","",AL190+AM190-AN190)</f>
        <v/>
      </c>
      <c r="AP190" s="22" t="str">
        <f>IF($B190="","",($G190-$AD190)*$AA190)</f>
        <v/>
      </c>
      <c r="AQ190" s="22" t="str">
        <f>IF($B190="","",IF($AF190=0,0,($AD190-$AE190)*$AG190/$AF190)*MAX($AA190,$AB190))</f>
        <v/>
      </c>
      <c r="AR190" s="22" t="str">
        <f>IF($B190="","",(AP190+AQ190)*$AC190)</f>
        <v/>
      </c>
      <c r="AS190" s="22" t="str">
        <f>IF($B190="","",AP190+AQ190-AR190)</f>
        <v/>
      </c>
      <c r="AT190" s="22" t="str">
        <f>IF($B190="","",AO190-AS190)</f>
        <v/>
      </c>
      <c r="AU190" s="22" t="str">
        <f>IF($B190="","",IF($AC190=1,N($R190)-($G190-AR190),0))</f>
        <v/>
      </c>
      <c r="AV190" s="22" t="str">
        <f>IF($B190="","",($G190-$AH190)*$AA190)</f>
        <v/>
      </c>
      <c r="AW190" s="22" t="str">
        <f>IF($B190="","",IF($AJ190=0,0,($AH190-$AI190)*$AK190/$AJ190)*MAX($AA190,$AB190))</f>
        <v/>
      </c>
      <c r="AX190" s="22" t="str">
        <f>IF($B190="","",(AV190+AW190)*$AC190)</f>
        <v/>
      </c>
      <c r="AY190" s="22" t="str">
        <f>IF($B190="","",AV190+AW190-AX190)</f>
        <v/>
      </c>
      <c r="AZ190" s="22" t="str">
        <f>IF($B190="","",AO190-AY190)</f>
        <v/>
      </c>
      <c r="BA190" s="22" t="str">
        <f>IF($B190="","",IF($AC190=1,N($R190)-($G190-AX190),0))</f>
        <v/>
      </c>
      <c r="BB190" s="22" t="str">
        <f>IF($B190="","",ROUND(AQ190-AW190,0))</f>
        <v/>
      </c>
      <c r="BC190" s="22" t="str">
        <f>IF($B190="","",ROUND(BA190-AU190,0))</f>
        <v/>
      </c>
      <c r="BD190" s="22" t="str">
        <f>IF($B190="","",BB190+BC190)</f>
        <v/>
      </c>
      <c r="BE190" s="22" t="str">
        <f>IF($B190="","",ROUND(AV190-AP190,0))</f>
        <v/>
      </c>
      <c r="BF190" s="22" t="str">
        <f>IF($B190="","",ROUND(AT190-AZ190,0))</f>
        <v/>
      </c>
      <c r="BG190" s="22" t="str">
        <f>IF($B190="","",ROUND(BF190*TarifPPh,0))</f>
        <v/>
      </c>
      <c r="BH190" t="str">
        <f>IF($B190="","",IF($D190="","Kategori kosong",IF($F190="","Tgl perolehan kosong",IF(N($H190)&gt;$G190,"Residu &gt; harga perolehan",IF(AND(LEFT($U190,8)="Bangunan",$W190="Saldo Menurun"),"Bangunan wajib Garis Lurus (Ps.11 UU PPh)",IF(AND($S190="Unit Produksi",N($K190)=0),"Isi kapasitas unit",IF(AND(OR($S190="Garis Lurus",$S190="Saldo Menurun"),N($T190)&lt;=0),"Umur komersial kosong",IF(AND(OR($W190="Garis Lurus",$W190="Saldo Menurun"),N($V190)&lt;=0),"Masa manfaat fiskal kosong",IF(AND($Q190&lt;&gt;"",$Q190&lt;$F190),"Tgl pelepasan &lt; perolehan","OK")))))))))</f>
        <v/>
      </c>
    </row>
    <row r="191" spans="1:60" x14ac:dyDescent="0.25">
      <c r="A191" t="str">
        <f>IF($B191="","",ROW()-6)</f>
        <v/>
      </c>
      <c r="B191" s="9"/>
      <c r="C191" s="9"/>
      <c r="D191" s="9"/>
      <c r="E191" s="9"/>
      <c r="F191" s="17"/>
      <c r="G191" s="18"/>
      <c r="H191" s="18"/>
      <c r="I191" s="9"/>
      <c r="J191" s="9"/>
      <c r="K191" s="19"/>
      <c r="L191" s="19"/>
      <c r="M191" s="19"/>
      <c r="N191" s="9"/>
      <c r="O191" s="9"/>
      <c r="P191" s="9"/>
      <c r="Q191" s="17"/>
      <c r="R191" s="18"/>
      <c r="S191" t="str">
        <f>IF($B191="","",IF($I191&lt;&gt;"",$I191,IFERROR(INDEX(Kat_Metode,MATCH($D191,Kat_Nama,0)),"")))</f>
        <v/>
      </c>
      <c r="T191" t="str">
        <f>IF($B191="","",IF($J191&lt;&gt;"",$J191,IFERROR(INDEX(Kat_Umur,MATCH($D191,Kat_Nama,0)),0)))</f>
        <v/>
      </c>
      <c r="U191" t="str">
        <f>IF($B191="","",IF($N191&lt;&gt;"",$N191,IFERROR(INDEX(Kat_Kelompok,MATCH($D191,Kat_Nama,0)),"")))</f>
        <v/>
      </c>
      <c r="V191" t="str">
        <f>IF($B191="","",IF($U191="Masa Manfaat Sebenarnya",N($O191),IFERROR(INDEX(Kel_Masa,MATCH($U191,Kel_Nama,0)),0)))</f>
        <v/>
      </c>
      <c r="W191" t="str">
        <f>IF($B191="","",IF($P191&lt;&gt;"",$P191,IF(OR($U191="Tidak Disusutkan",$V191=0),"Tidak Disusutkan","Garis Lurus")))</f>
        <v/>
      </c>
      <c r="X191" t="str">
        <f>IF($B191="","",IF($Y191&gt;TahunBuku*12+12,"Belum Diperoleh",IF($Z191&lt;=TahunBuku*12,"Dilepas (thn lalu)",IF($AC191=1,"Dilepas thn ini",IF($AB191=1,"Perolehan baru","Aktif")))))</f>
        <v/>
      </c>
      <c r="Y191" s="20" t="str">
        <f>IF($B191="","",YEAR($F191)*12+MONTH($F191))</f>
        <v/>
      </c>
      <c r="Z191" s="20" t="str">
        <f>IF($B191="","",IF($Q191="",99999,YEAR($Q191)*12+MONTH($Q191)))</f>
        <v/>
      </c>
      <c r="AA191" s="20" t="str">
        <f>IF($B191="","",--AND($Y191&lt;=TahunBuku*12,$Z191&gt;TahunBuku*12))</f>
        <v/>
      </c>
      <c r="AB191" s="20" t="str">
        <f>IF($B191="","",--AND($Y191&gt;TahunBuku*12,$Y191&lt;=TahunBuku*12+12))</f>
        <v/>
      </c>
      <c r="AC191" s="20" t="str">
        <f>IF($B191="","",--AND($Z191&gt;TahunBuku*12,$Z191&lt;=TahunBuku*12+12,$Y191&lt;=$Z191))</f>
        <v/>
      </c>
      <c r="AD191" s="21" t="str">
        <f>IF($B191="","",IFERROR(IF($S191="Garis Lurus",$G191-($G191-$H191)*MIN($T191*12,MAX(0,TahunBuku*12-$Y191+1))/($T191*12),IF($S191="Saldo Menurun",IF(TahunBuku-1&lt;YEAR($F191),$G191,IF(TahunBuku-1&gt;=INT(($Y191+$T191*12-2)/12),$H191,MAX($H191,$G191*(1-2/$T191*(13-MONTH($F191))/12)*(1-2/$T191)^(TahunBuku-1-YEAR($F191))))),IF($S191="Unit Produksi",$G191-($G191-$H191)*MIN(1,N($L191)/$K191),$G191))),$G191))</f>
        <v/>
      </c>
      <c r="AE191" s="21" t="str">
        <f>IF($B191="","",IFERROR(IF($S191="Garis Lurus",$G191-($G191-$H191)*MIN($T191*12,MAX(0,TahunBuku*12+12-$Y191+1))/($T191*12),IF($S191="Saldo Menurun",IF(TahunBuku&lt;YEAR($F191),$G191,IF(TahunBuku&gt;=INT(($Y191+$T191*12-2)/12),$H191,MAX($H191,$G191*(1-2/$T191*(13-MONTH($F191))/12)*(1-2/$T191)^(TahunBuku-YEAR($F191))))),IF($S191="Unit Produksi",$G191-($G191-$H191)*MIN(1,(N($L191)+N($M191))/$K191),$G191))),$G191))</f>
        <v/>
      </c>
      <c r="AF191" s="20" t="str">
        <f>IF($B191="","",IF(OR($S191="Garis Lurus",$S191="Saldo Menurun",$S191="Unit Produksi"),MAX(0,IF($S191="Unit Produksi",TahunBuku*12+12,MIN(TahunBuku*12+12,$Y191+$T191*12-1))-MAX(TahunBuku*12+1,$Y191)+1),0))</f>
        <v/>
      </c>
      <c r="AG191" s="20" t="str">
        <f>IF($B191="","",IF(OR($S191="Garis Lurus",$S191="Saldo Menurun",$S191="Unit Produksi"),MAX(0,MIN($Z191,IF($S191="Unit Produksi",TahunBuku*12+12,MIN(TahunBuku*12+12,$Y191+$T191*12-1)))-MAX(TahunBuku*12+1,$Y191)+1),0))</f>
        <v/>
      </c>
      <c r="AH191" s="21" t="str">
        <f>IF($B191="","",IFERROR(IF($W191="Garis Lurus",$G191*(1-MIN($V191*12,MAX(0,TahunBuku*12-$Y191+1))/($V191*12)),IF($W191="Saldo Menurun",IF(TahunBuku-1&lt;YEAR($F191),$G191,IF(TahunBuku-1&gt;=INT(($Y191+$V191*12-2)/12),0,$G191*(1-2/$V191*(13-MONTH($F191))/12)*(1-2/$V191)^(TahunBuku-1-YEAR($F191)))),$G191)),$G191))</f>
        <v/>
      </c>
      <c r="AI191" s="21" t="str">
        <f>IF($B191="","",IFERROR(IF($W191="Garis Lurus",$G191*(1-MIN($V191*12,MAX(0,TahunBuku*12+12-$Y191+1))/($V191*12)),IF($W191="Saldo Menurun",IF(TahunBuku&lt;YEAR($F191),$G191,IF(TahunBuku&gt;=INT(($Y191+$V191*12-2)/12),0,$G191*(1-2/$V191*(13-MONTH($F191))/12)*(1-2/$V191)^(TahunBuku-YEAR($F191)))),$G191)),$G191))</f>
        <v/>
      </c>
      <c r="AJ191" s="20" t="str">
        <f>IF($B191="","",IF(OR($W191="Garis Lurus",$W191="Saldo Menurun"),MAX(0,MIN(TahunBuku*12+12,$Y191+$V191*12-1)-MAX(TahunBuku*12+1,$Y191)+1),0))</f>
        <v/>
      </c>
      <c r="AK191" s="20" t="str">
        <f>IF($B191="","",IF(OR($W191="Garis Lurus",$W191="Saldo Menurun"),MAX(0,MIN($Z191,TahunBuku*12+12,$Y191+$V191*12-1)-MAX(TahunBuku*12+1,$Y191)+1),0))</f>
        <v/>
      </c>
      <c r="AL191" s="22" t="str">
        <f>IF($B191="","",$G191*$AA191)</f>
        <v/>
      </c>
      <c r="AM191" s="22" t="str">
        <f>IF($B191="","",$G191*$AB191)</f>
        <v/>
      </c>
      <c r="AN191" s="22" t="str">
        <f>IF($B191="","",$G191*$AC191)</f>
        <v/>
      </c>
      <c r="AO191" s="22" t="str">
        <f>IF($B191="","",AL191+AM191-AN191)</f>
        <v/>
      </c>
      <c r="AP191" s="22" t="str">
        <f>IF($B191="","",($G191-$AD191)*$AA191)</f>
        <v/>
      </c>
      <c r="AQ191" s="22" t="str">
        <f>IF($B191="","",IF($AF191=0,0,($AD191-$AE191)*$AG191/$AF191)*MAX($AA191,$AB191))</f>
        <v/>
      </c>
      <c r="AR191" s="22" t="str">
        <f>IF($B191="","",(AP191+AQ191)*$AC191)</f>
        <v/>
      </c>
      <c r="AS191" s="22" t="str">
        <f>IF($B191="","",AP191+AQ191-AR191)</f>
        <v/>
      </c>
      <c r="AT191" s="22" t="str">
        <f>IF($B191="","",AO191-AS191)</f>
        <v/>
      </c>
      <c r="AU191" s="22" t="str">
        <f>IF($B191="","",IF($AC191=1,N($R191)-($G191-AR191),0))</f>
        <v/>
      </c>
      <c r="AV191" s="22" t="str">
        <f>IF($B191="","",($G191-$AH191)*$AA191)</f>
        <v/>
      </c>
      <c r="AW191" s="22" t="str">
        <f>IF($B191="","",IF($AJ191=0,0,($AH191-$AI191)*$AK191/$AJ191)*MAX($AA191,$AB191))</f>
        <v/>
      </c>
      <c r="AX191" s="22" t="str">
        <f>IF($B191="","",(AV191+AW191)*$AC191)</f>
        <v/>
      </c>
      <c r="AY191" s="22" t="str">
        <f>IF($B191="","",AV191+AW191-AX191)</f>
        <v/>
      </c>
      <c r="AZ191" s="22" t="str">
        <f>IF($B191="","",AO191-AY191)</f>
        <v/>
      </c>
      <c r="BA191" s="22" t="str">
        <f>IF($B191="","",IF($AC191=1,N($R191)-($G191-AX191),0))</f>
        <v/>
      </c>
      <c r="BB191" s="22" t="str">
        <f>IF($B191="","",ROUND(AQ191-AW191,0))</f>
        <v/>
      </c>
      <c r="BC191" s="22" t="str">
        <f>IF($B191="","",ROUND(BA191-AU191,0))</f>
        <v/>
      </c>
      <c r="BD191" s="22" t="str">
        <f>IF($B191="","",BB191+BC191)</f>
        <v/>
      </c>
      <c r="BE191" s="22" t="str">
        <f>IF($B191="","",ROUND(AV191-AP191,0))</f>
        <v/>
      </c>
      <c r="BF191" s="22" t="str">
        <f>IF($B191="","",ROUND(AT191-AZ191,0))</f>
        <v/>
      </c>
      <c r="BG191" s="22" t="str">
        <f>IF($B191="","",ROUND(BF191*TarifPPh,0))</f>
        <v/>
      </c>
      <c r="BH191" t="str">
        <f>IF($B191="","",IF($D191="","Kategori kosong",IF($F191="","Tgl perolehan kosong",IF(N($H191)&gt;$G191,"Residu &gt; harga perolehan",IF(AND(LEFT($U191,8)="Bangunan",$W191="Saldo Menurun"),"Bangunan wajib Garis Lurus (Ps.11 UU PPh)",IF(AND($S191="Unit Produksi",N($K191)=0),"Isi kapasitas unit",IF(AND(OR($S191="Garis Lurus",$S191="Saldo Menurun"),N($T191)&lt;=0),"Umur komersial kosong",IF(AND(OR($W191="Garis Lurus",$W191="Saldo Menurun"),N($V191)&lt;=0),"Masa manfaat fiskal kosong",IF(AND($Q191&lt;&gt;"",$Q191&lt;$F191),"Tgl pelepasan &lt; perolehan","OK")))))))))</f>
        <v/>
      </c>
    </row>
    <row r="192" spans="1:60" x14ac:dyDescent="0.25">
      <c r="A192" t="str">
        <f>IF($B192="","",ROW()-6)</f>
        <v/>
      </c>
      <c r="B192" s="9"/>
      <c r="C192" s="9"/>
      <c r="D192" s="9"/>
      <c r="E192" s="9"/>
      <c r="F192" s="17"/>
      <c r="G192" s="18"/>
      <c r="H192" s="18"/>
      <c r="I192" s="9"/>
      <c r="J192" s="9"/>
      <c r="K192" s="19"/>
      <c r="L192" s="19"/>
      <c r="M192" s="19"/>
      <c r="N192" s="9"/>
      <c r="O192" s="9"/>
      <c r="P192" s="9"/>
      <c r="Q192" s="17"/>
      <c r="R192" s="18"/>
      <c r="S192" t="str">
        <f>IF($B192="","",IF($I192&lt;&gt;"",$I192,IFERROR(INDEX(Kat_Metode,MATCH($D192,Kat_Nama,0)),"")))</f>
        <v/>
      </c>
      <c r="T192" t="str">
        <f>IF($B192="","",IF($J192&lt;&gt;"",$J192,IFERROR(INDEX(Kat_Umur,MATCH($D192,Kat_Nama,0)),0)))</f>
        <v/>
      </c>
      <c r="U192" t="str">
        <f>IF($B192="","",IF($N192&lt;&gt;"",$N192,IFERROR(INDEX(Kat_Kelompok,MATCH($D192,Kat_Nama,0)),"")))</f>
        <v/>
      </c>
      <c r="V192" t="str">
        <f>IF($B192="","",IF($U192="Masa Manfaat Sebenarnya",N($O192),IFERROR(INDEX(Kel_Masa,MATCH($U192,Kel_Nama,0)),0)))</f>
        <v/>
      </c>
      <c r="W192" t="str">
        <f>IF($B192="","",IF($P192&lt;&gt;"",$P192,IF(OR($U192="Tidak Disusutkan",$V192=0),"Tidak Disusutkan","Garis Lurus")))</f>
        <v/>
      </c>
      <c r="X192" t="str">
        <f>IF($B192="","",IF($Y192&gt;TahunBuku*12+12,"Belum Diperoleh",IF($Z192&lt;=TahunBuku*12,"Dilepas (thn lalu)",IF($AC192=1,"Dilepas thn ini",IF($AB192=1,"Perolehan baru","Aktif")))))</f>
        <v/>
      </c>
      <c r="Y192" s="20" t="str">
        <f>IF($B192="","",YEAR($F192)*12+MONTH($F192))</f>
        <v/>
      </c>
      <c r="Z192" s="20" t="str">
        <f>IF($B192="","",IF($Q192="",99999,YEAR($Q192)*12+MONTH($Q192)))</f>
        <v/>
      </c>
      <c r="AA192" s="20" t="str">
        <f>IF($B192="","",--AND($Y192&lt;=TahunBuku*12,$Z192&gt;TahunBuku*12))</f>
        <v/>
      </c>
      <c r="AB192" s="20" t="str">
        <f>IF($B192="","",--AND($Y192&gt;TahunBuku*12,$Y192&lt;=TahunBuku*12+12))</f>
        <v/>
      </c>
      <c r="AC192" s="20" t="str">
        <f>IF($B192="","",--AND($Z192&gt;TahunBuku*12,$Z192&lt;=TahunBuku*12+12,$Y192&lt;=$Z192))</f>
        <v/>
      </c>
      <c r="AD192" s="21" t="str">
        <f>IF($B192="","",IFERROR(IF($S192="Garis Lurus",$G192-($G192-$H192)*MIN($T192*12,MAX(0,TahunBuku*12-$Y192+1))/($T192*12),IF($S192="Saldo Menurun",IF(TahunBuku-1&lt;YEAR($F192),$G192,IF(TahunBuku-1&gt;=INT(($Y192+$T192*12-2)/12),$H192,MAX($H192,$G192*(1-2/$T192*(13-MONTH($F192))/12)*(1-2/$T192)^(TahunBuku-1-YEAR($F192))))),IF($S192="Unit Produksi",$G192-($G192-$H192)*MIN(1,N($L192)/$K192),$G192))),$G192))</f>
        <v/>
      </c>
      <c r="AE192" s="21" t="str">
        <f>IF($B192="","",IFERROR(IF($S192="Garis Lurus",$G192-($G192-$H192)*MIN($T192*12,MAX(0,TahunBuku*12+12-$Y192+1))/($T192*12),IF($S192="Saldo Menurun",IF(TahunBuku&lt;YEAR($F192),$G192,IF(TahunBuku&gt;=INT(($Y192+$T192*12-2)/12),$H192,MAX($H192,$G192*(1-2/$T192*(13-MONTH($F192))/12)*(1-2/$T192)^(TahunBuku-YEAR($F192))))),IF($S192="Unit Produksi",$G192-($G192-$H192)*MIN(1,(N($L192)+N($M192))/$K192),$G192))),$G192))</f>
        <v/>
      </c>
      <c r="AF192" s="20" t="str">
        <f>IF($B192="","",IF(OR($S192="Garis Lurus",$S192="Saldo Menurun",$S192="Unit Produksi"),MAX(0,IF($S192="Unit Produksi",TahunBuku*12+12,MIN(TahunBuku*12+12,$Y192+$T192*12-1))-MAX(TahunBuku*12+1,$Y192)+1),0))</f>
        <v/>
      </c>
      <c r="AG192" s="20" t="str">
        <f>IF($B192="","",IF(OR($S192="Garis Lurus",$S192="Saldo Menurun",$S192="Unit Produksi"),MAX(0,MIN($Z192,IF($S192="Unit Produksi",TahunBuku*12+12,MIN(TahunBuku*12+12,$Y192+$T192*12-1)))-MAX(TahunBuku*12+1,$Y192)+1),0))</f>
        <v/>
      </c>
      <c r="AH192" s="21" t="str">
        <f>IF($B192="","",IFERROR(IF($W192="Garis Lurus",$G192*(1-MIN($V192*12,MAX(0,TahunBuku*12-$Y192+1))/($V192*12)),IF($W192="Saldo Menurun",IF(TahunBuku-1&lt;YEAR($F192),$G192,IF(TahunBuku-1&gt;=INT(($Y192+$V192*12-2)/12),0,$G192*(1-2/$V192*(13-MONTH($F192))/12)*(1-2/$V192)^(TahunBuku-1-YEAR($F192)))),$G192)),$G192))</f>
        <v/>
      </c>
      <c r="AI192" s="21" t="str">
        <f>IF($B192="","",IFERROR(IF($W192="Garis Lurus",$G192*(1-MIN($V192*12,MAX(0,TahunBuku*12+12-$Y192+1))/($V192*12)),IF($W192="Saldo Menurun",IF(TahunBuku&lt;YEAR($F192),$G192,IF(TahunBuku&gt;=INT(($Y192+$V192*12-2)/12),0,$G192*(1-2/$V192*(13-MONTH($F192))/12)*(1-2/$V192)^(TahunBuku-YEAR($F192)))),$G192)),$G192))</f>
        <v/>
      </c>
      <c r="AJ192" s="20" t="str">
        <f>IF($B192="","",IF(OR($W192="Garis Lurus",$W192="Saldo Menurun"),MAX(0,MIN(TahunBuku*12+12,$Y192+$V192*12-1)-MAX(TahunBuku*12+1,$Y192)+1),0))</f>
        <v/>
      </c>
      <c r="AK192" s="20" t="str">
        <f>IF($B192="","",IF(OR($W192="Garis Lurus",$W192="Saldo Menurun"),MAX(0,MIN($Z192,TahunBuku*12+12,$Y192+$V192*12-1)-MAX(TahunBuku*12+1,$Y192)+1),0))</f>
        <v/>
      </c>
      <c r="AL192" s="22" t="str">
        <f>IF($B192="","",$G192*$AA192)</f>
        <v/>
      </c>
      <c r="AM192" s="22" t="str">
        <f>IF($B192="","",$G192*$AB192)</f>
        <v/>
      </c>
      <c r="AN192" s="22" t="str">
        <f>IF($B192="","",$G192*$AC192)</f>
        <v/>
      </c>
      <c r="AO192" s="22" t="str">
        <f>IF($B192="","",AL192+AM192-AN192)</f>
        <v/>
      </c>
      <c r="AP192" s="22" t="str">
        <f>IF($B192="","",($G192-$AD192)*$AA192)</f>
        <v/>
      </c>
      <c r="AQ192" s="22" t="str">
        <f>IF($B192="","",IF($AF192=0,0,($AD192-$AE192)*$AG192/$AF192)*MAX($AA192,$AB192))</f>
        <v/>
      </c>
      <c r="AR192" s="22" t="str">
        <f>IF($B192="","",(AP192+AQ192)*$AC192)</f>
        <v/>
      </c>
      <c r="AS192" s="22" t="str">
        <f>IF($B192="","",AP192+AQ192-AR192)</f>
        <v/>
      </c>
      <c r="AT192" s="22" t="str">
        <f>IF($B192="","",AO192-AS192)</f>
        <v/>
      </c>
      <c r="AU192" s="22" t="str">
        <f>IF($B192="","",IF($AC192=1,N($R192)-($G192-AR192),0))</f>
        <v/>
      </c>
      <c r="AV192" s="22" t="str">
        <f>IF($B192="","",($G192-$AH192)*$AA192)</f>
        <v/>
      </c>
      <c r="AW192" s="22" t="str">
        <f>IF($B192="","",IF($AJ192=0,0,($AH192-$AI192)*$AK192/$AJ192)*MAX($AA192,$AB192))</f>
        <v/>
      </c>
      <c r="AX192" s="22" t="str">
        <f>IF($B192="","",(AV192+AW192)*$AC192)</f>
        <v/>
      </c>
      <c r="AY192" s="22" t="str">
        <f>IF($B192="","",AV192+AW192-AX192)</f>
        <v/>
      </c>
      <c r="AZ192" s="22" t="str">
        <f>IF($B192="","",AO192-AY192)</f>
        <v/>
      </c>
      <c r="BA192" s="22" t="str">
        <f>IF($B192="","",IF($AC192=1,N($R192)-($G192-AX192),0))</f>
        <v/>
      </c>
      <c r="BB192" s="22" t="str">
        <f>IF($B192="","",ROUND(AQ192-AW192,0))</f>
        <v/>
      </c>
      <c r="BC192" s="22" t="str">
        <f>IF($B192="","",ROUND(BA192-AU192,0))</f>
        <v/>
      </c>
      <c r="BD192" s="22" t="str">
        <f>IF($B192="","",BB192+BC192)</f>
        <v/>
      </c>
      <c r="BE192" s="22" t="str">
        <f>IF($B192="","",ROUND(AV192-AP192,0))</f>
        <v/>
      </c>
      <c r="BF192" s="22" t="str">
        <f>IF($B192="","",ROUND(AT192-AZ192,0))</f>
        <v/>
      </c>
      <c r="BG192" s="22" t="str">
        <f>IF($B192="","",ROUND(BF192*TarifPPh,0))</f>
        <v/>
      </c>
      <c r="BH192" t="str">
        <f>IF($B192="","",IF($D192="","Kategori kosong",IF($F192="","Tgl perolehan kosong",IF(N($H192)&gt;$G192,"Residu &gt; harga perolehan",IF(AND(LEFT($U192,8)="Bangunan",$W192="Saldo Menurun"),"Bangunan wajib Garis Lurus (Ps.11 UU PPh)",IF(AND($S192="Unit Produksi",N($K192)=0),"Isi kapasitas unit",IF(AND(OR($S192="Garis Lurus",$S192="Saldo Menurun"),N($T192)&lt;=0),"Umur komersial kosong",IF(AND(OR($W192="Garis Lurus",$W192="Saldo Menurun"),N($V192)&lt;=0),"Masa manfaat fiskal kosong",IF(AND($Q192&lt;&gt;"",$Q192&lt;$F192),"Tgl pelepasan &lt; perolehan","OK")))))))))</f>
        <v/>
      </c>
    </row>
    <row r="193" spans="1:60" x14ac:dyDescent="0.25">
      <c r="A193" t="str">
        <f>IF($B193="","",ROW()-6)</f>
        <v/>
      </c>
      <c r="B193" s="9"/>
      <c r="C193" s="9"/>
      <c r="D193" s="9"/>
      <c r="E193" s="9"/>
      <c r="F193" s="17"/>
      <c r="G193" s="18"/>
      <c r="H193" s="18"/>
      <c r="I193" s="9"/>
      <c r="J193" s="9"/>
      <c r="K193" s="19"/>
      <c r="L193" s="19"/>
      <c r="M193" s="19"/>
      <c r="N193" s="9"/>
      <c r="O193" s="9"/>
      <c r="P193" s="9"/>
      <c r="Q193" s="17"/>
      <c r="R193" s="18"/>
      <c r="S193" t="str">
        <f>IF($B193="","",IF($I193&lt;&gt;"",$I193,IFERROR(INDEX(Kat_Metode,MATCH($D193,Kat_Nama,0)),"")))</f>
        <v/>
      </c>
      <c r="T193" t="str">
        <f>IF($B193="","",IF($J193&lt;&gt;"",$J193,IFERROR(INDEX(Kat_Umur,MATCH($D193,Kat_Nama,0)),0)))</f>
        <v/>
      </c>
      <c r="U193" t="str">
        <f>IF($B193="","",IF($N193&lt;&gt;"",$N193,IFERROR(INDEX(Kat_Kelompok,MATCH($D193,Kat_Nama,0)),"")))</f>
        <v/>
      </c>
      <c r="V193" t="str">
        <f>IF($B193="","",IF($U193="Masa Manfaat Sebenarnya",N($O193),IFERROR(INDEX(Kel_Masa,MATCH($U193,Kel_Nama,0)),0)))</f>
        <v/>
      </c>
      <c r="W193" t="str">
        <f>IF($B193="","",IF($P193&lt;&gt;"",$P193,IF(OR($U193="Tidak Disusutkan",$V193=0),"Tidak Disusutkan","Garis Lurus")))</f>
        <v/>
      </c>
      <c r="X193" t="str">
        <f>IF($B193="","",IF($Y193&gt;TahunBuku*12+12,"Belum Diperoleh",IF($Z193&lt;=TahunBuku*12,"Dilepas (thn lalu)",IF($AC193=1,"Dilepas thn ini",IF($AB193=1,"Perolehan baru","Aktif")))))</f>
        <v/>
      </c>
      <c r="Y193" s="20" t="str">
        <f>IF($B193="","",YEAR($F193)*12+MONTH($F193))</f>
        <v/>
      </c>
      <c r="Z193" s="20" t="str">
        <f>IF($B193="","",IF($Q193="",99999,YEAR($Q193)*12+MONTH($Q193)))</f>
        <v/>
      </c>
      <c r="AA193" s="20" t="str">
        <f>IF($B193="","",--AND($Y193&lt;=TahunBuku*12,$Z193&gt;TahunBuku*12))</f>
        <v/>
      </c>
      <c r="AB193" s="20" t="str">
        <f>IF($B193="","",--AND($Y193&gt;TahunBuku*12,$Y193&lt;=TahunBuku*12+12))</f>
        <v/>
      </c>
      <c r="AC193" s="20" t="str">
        <f>IF($B193="","",--AND($Z193&gt;TahunBuku*12,$Z193&lt;=TahunBuku*12+12,$Y193&lt;=$Z193))</f>
        <v/>
      </c>
      <c r="AD193" s="21" t="str">
        <f>IF($B193="","",IFERROR(IF($S193="Garis Lurus",$G193-($G193-$H193)*MIN($T193*12,MAX(0,TahunBuku*12-$Y193+1))/($T193*12),IF($S193="Saldo Menurun",IF(TahunBuku-1&lt;YEAR($F193),$G193,IF(TahunBuku-1&gt;=INT(($Y193+$T193*12-2)/12),$H193,MAX($H193,$G193*(1-2/$T193*(13-MONTH($F193))/12)*(1-2/$T193)^(TahunBuku-1-YEAR($F193))))),IF($S193="Unit Produksi",$G193-($G193-$H193)*MIN(1,N($L193)/$K193),$G193))),$G193))</f>
        <v/>
      </c>
      <c r="AE193" s="21" t="str">
        <f>IF($B193="","",IFERROR(IF($S193="Garis Lurus",$G193-($G193-$H193)*MIN($T193*12,MAX(0,TahunBuku*12+12-$Y193+1))/($T193*12),IF($S193="Saldo Menurun",IF(TahunBuku&lt;YEAR($F193),$G193,IF(TahunBuku&gt;=INT(($Y193+$T193*12-2)/12),$H193,MAX($H193,$G193*(1-2/$T193*(13-MONTH($F193))/12)*(1-2/$T193)^(TahunBuku-YEAR($F193))))),IF($S193="Unit Produksi",$G193-($G193-$H193)*MIN(1,(N($L193)+N($M193))/$K193),$G193))),$G193))</f>
        <v/>
      </c>
      <c r="AF193" s="20" t="str">
        <f>IF($B193="","",IF(OR($S193="Garis Lurus",$S193="Saldo Menurun",$S193="Unit Produksi"),MAX(0,IF($S193="Unit Produksi",TahunBuku*12+12,MIN(TahunBuku*12+12,$Y193+$T193*12-1))-MAX(TahunBuku*12+1,$Y193)+1),0))</f>
        <v/>
      </c>
      <c r="AG193" s="20" t="str">
        <f>IF($B193="","",IF(OR($S193="Garis Lurus",$S193="Saldo Menurun",$S193="Unit Produksi"),MAX(0,MIN($Z193,IF($S193="Unit Produksi",TahunBuku*12+12,MIN(TahunBuku*12+12,$Y193+$T193*12-1)))-MAX(TahunBuku*12+1,$Y193)+1),0))</f>
        <v/>
      </c>
      <c r="AH193" s="21" t="str">
        <f>IF($B193="","",IFERROR(IF($W193="Garis Lurus",$G193*(1-MIN($V193*12,MAX(0,TahunBuku*12-$Y193+1))/($V193*12)),IF($W193="Saldo Menurun",IF(TahunBuku-1&lt;YEAR($F193),$G193,IF(TahunBuku-1&gt;=INT(($Y193+$V193*12-2)/12),0,$G193*(1-2/$V193*(13-MONTH($F193))/12)*(1-2/$V193)^(TahunBuku-1-YEAR($F193)))),$G193)),$G193))</f>
        <v/>
      </c>
      <c r="AI193" s="21" t="str">
        <f>IF($B193="","",IFERROR(IF($W193="Garis Lurus",$G193*(1-MIN($V193*12,MAX(0,TahunBuku*12+12-$Y193+1))/($V193*12)),IF($W193="Saldo Menurun",IF(TahunBuku&lt;YEAR($F193),$G193,IF(TahunBuku&gt;=INT(($Y193+$V193*12-2)/12),0,$G193*(1-2/$V193*(13-MONTH($F193))/12)*(1-2/$V193)^(TahunBuku-YEAR($F193)))),$G193)),$G193))</f>
        <v/>
      </c>
      <c r="AJ193" s="20" t="str">
        <f>IF($B193="","",IF(OR($W193="Garis Lurus",$W193="Saldo Menurun"),MAX(0,MIN(TahunBuku*12+12,$Y193+$V193*12-1)-MAX(TahunBuku*12+1,$Y193)+1),0))</f>
        <v/>
      </c>
      <c r="AK193" s="20" t="str">
        <f>IF($B193="","",IF(OR($W193="Garis Lurus",$W193="Saldo Menurun"),MAX(0,MIN($Z193,TahunBuku*12+12,$Y193+$V193*12-1)-MAX(TahunBuku*12+1,$Y193)+1),0))</f>
        <v/>
      </c>
      <c r="AL193" s="22" t="str">
        <f>IF($B193="","",$G193*$AA193)</f>
        <v/>
      </c>
      <c r="AM193" s="22" t="str">
        <f>IF($B193="","",$G193*$AB193)</f>
        <v/>
      </c>
      <c r="AN193" s="22" t="str">
        <f>IF($B193="","",$G193*$AC193)</f>
        <v/>
      </c>
      <c r="AO193" s="22" t="str">
        <f>IF($B193="","",AL193+AM193-AN193)</f>
        <v/>
      </c>
      <c r="AP193" s="22" t="str">
        <f>IF($B193="","",($G193-$AD193)*$AA193)</f>
        <v/>
      </c>
      <c r="AQ193" s="22" t="str">
        <f>IF($B193="","",IF($AF193=0,0,($AD193-$AE193)*$AG193/$AF193)*MAX($AA193,$AB193))</f>
        <v/>
      </c>
      <c r="AR193" s="22" t="str">
        <f>IF($B193="","",(AP193+AQ193)*$AC193)</f>
        <v/>
      </c>
      <c r="AS193" s="22" t="str">
        <f>IF($B193="","",AP193+AQ193-AR193)</f>
        <v/>
      </c>
      <c r="AT193" s="22" t="str">
        <f>IF($B193="","",AO193-AS193)</f>
        <v/>
      </c>
      <c r="AU193" s="22" t="str">
        <f>IF($B193="","",IF($AC193=1,N($R193)-($G193-AR193),0))</f>
        <v/>
      </c>
      <c r="AV193" s="22" t="str">
        <f>IF($B193="","",($G193-$AH193)*$AA193)</f>
        <v/>
      </c>
      <c r="AW193" s="22" t="str">
        <f>IF($B193="","",IF($AJ193=0,0,($AH193-$AI193)*$AK193/$AJ193)*MAX($AA193,$AB193))</f>
        <v/>
      </c>
      <c r="AX193" s="22" t="str">
        <f>IF($B193="","",(AV193+AW193)*$AC193)</f>
        <v/>
      </c>
      <c r="AY193" s="22" t="str">
        <f>IF($B193="","",AV193+AW193-AX193)</f>
        <v/>
      </c>
      <c r="AZ193" s="22" t="str">
        <f>IF($B193="","",AO193-AY193)</f>
        <v/>
      </c>
      <c r="BA193" s="22" t="str">
        <f>IF($B193="","",IF($AC193=1,N($R193)-($G193-AX193),0))</f>
        <v/>
      </c>
      <c r="BB193" s="22" t="str">
        <f>IF($B193="","",ROUND(AQ193-AW193,0))</f>
        <v/>
      </c>
      <c r="BC193" s="22" t="str">
        <f>IF($B193="","",ROUND(BA193-AU193,0))</f>
        <v/>
      </c>
      <c r="BD193" s="22" t="str">
        <f>IF($B193="","",BB193+BC193)</f>
        <v/>
      </c>
      <c r="BE193" s="22" t="str">
        <f>IF($B193="","",ROUND(AV193-AP193,0))</f>
        <v/>
      </c>
      <c r="BF193" s="22" t="str">
        <f>IF($B193="","",ROUND(AT193-AZ193,0))</f>
        <v/>
      </c>
      <c r="BG193" s="22" t="str">
        <f>IF($B193="","",ROUND(BF193*TarifPPh,0))</f>
        <v/>
      </c>
      <c r="BH193" t="str">
        <f>IF($B193="","",IF($D193="","Kategori kosong",IF($F193="","Tgl perolehan kosong",IF(N($H193)&gt;$G193,"Residu &gt; harga perolehan",IF(AND(LEFT($U193,8)="Bangunan",$W193="Saldo Menurun"),"Bangunan wajib Garis Lurus (Ps.11 UU PPh)",IF(AND($S193="Unit Produksi",N($K193)=0),"Isi kapasitas unit",IF(AND(OR($S193="Garis Lurus",$S193="Saldo Menurun"),N($T193)&lt;=0),"Umur komersial kosong",IF(AND(OR($W193="Garis Lurus",$W193="Saldo Menurun"),N($V193)&lt;=0),"Masa manfaat fiskal kosong",IF(AND($Q193&lt;&gt;"",$Q193&lt;$F193),"Tgl pelepasan &lt; perolehan","OK")))))))))</f>
        <v/>
      </c>
    </row>
    <row r="194" spans="1:60" x14ac:dyDescent="0.25">
      <c r="A194" t="str">
        <f>IF($B194="","",ROW()-6)</f>
        <v/>
      </c>
      <c r="B194" s="9"/>
      <c r="C194" s="9"/>
      <c r="D194" s="9"/>
      <c r="E194" s="9"/>
      <c r="F194" s="17"/>
      <c r="G194" s="18"/>
      <c r="H194" s="18"/>
      <c r="I194" s="9"/>
      <c r="J194" s="9"/>
      <c r="K194" s="19"/>
      <c r="L194" s="19"/>
      <c r="M194" s="19"/>
      <c r="N194" s="9"/>
      <c r="O194" s="9"/>
      <c r="P194" s="9"/>
      <c r="Q194" s="17"/>
      <c r="R194" s="18"/>
      <c r="S194" t="str">
        <f>IF($B194="","",IF($I194&lt;&gt;"",$I194,IFERROR(INDEX(Kat_Metode,MATCH($D194,Kat_Nama,0)),"")))</f>
        <v/>
      </c>
      <c r="T194" t="str">
        <f>IF($B194="","",IF($J194&lt;&gt;"",$J194,IFERROR(INDEX(Kat_Umur,MATCH($D194,Kat_Nama,0)),0)))</f>
        <v/>
      </c>
      <c r="U194" t="str">
        <f>IF($B194="","",IF($N194&lt;&gt;"",$N194,IFERROR(INDEX(Kat_Kelompok,MATCH($D194,Kat_Nama,0)),"")))</f>
        <v/>
      </c>
      <c r="V194" t="str">
        <f>IF($B194="","",IF($U194="Masa Manfaat Sebenarnya",N($O194),IFERROR(INDEX(Kel_Masa,MATCH($U194,Kel_Nama,0)),0)))</f>
        <v/>
      </c>
      <c r="W194" t="str">
        <f>IF($B194="","",IF($P194&lt;&gt;"",$P194,IF(OR($U194="Tidak Disusutkan",$V194=0),"Tidak Disusutkan","Garis Lurus")))</f>
        <v/>
      </c>
      <c r="X194" t="str">
        <f>IF($B194="","",IF($Y194&gt;TahunBuku*12+12,"Belum Diperoleh",IF($Z194&lt;=TahunBuku*12,"Dilepas (thn lalu)",IF($AC194=1,"Dilepas thn ini",IF($AB194=1,"Perolehan baru","Aktif")))))</f>
        <v/>
      </c>
      <c r="Y194" s="20" t="str">
        <f>IF($B194="","",YEAR($F194)*12+MONTH($F194))</f>
        <v/>
      </c>
      <c r="Z194" s="20" t="str">
        <f>IF($B194="","",IF($Q194="",99999,YEAR($Q194)*12+MONTH($Q194)))</f>
        <v/>
      </c>
      <c r="AA194" s="20" t="str">
        <f>IF($B194="","",--AND($Y194&lt;=TahunBuku*12,$Z194&gt;TahunBuku*12))</f>
        <v/>
      </c>
      <c r="AB194" s="20" t="str">
        <f>IF($B194="","",--AND($Y194&gt;TahunBuku*12,$Y194&lt;=TahunBuku*12+12))</f>
        <v/>
      </c>
      <c r="AC194" s="20" t="str">
        <f>IF($B194="","",--AND($Z194&gt;TahunBuku*12,$Z194&lt;=TahunBuku*12+12,$Y194&lt;=$Z194))</f>
        <v/>
      </c>
      <c r="AD194" s="21" t="str">
        <f>IF($B194="","",IFERROR(IF($S194="Garis Lurus",$G194-($G194-$H194)*MIN($T194*12,MAX(0,TahunBuku*12-$Y194+1))/($T194*12),IF($S194="Saldo Menurun",IF(TahunBuku-1&lt;YEAR($F194),$G194,IF(TahunBuku-1&gt;=INT(($Y194+$T194*12-2)/12),$H194,MAX($H194,$G194*(1-2/$T194*(13-MONTH($F194))/12)*(1-2/$T194)^(TahunBuku-1-YEAR($F194))))),IF($S194="Unit Produksi",$G194-($G194-$H194)*MIN(1,N($L194)/$K194),$G194))),$G194))</f>
        <v/>
      </c>
      <c r="AE194" s="21" t="str">
        <f>IF($B194="","",IFERROR(IF($S194="Garis Lurus",$G194-($G194-$H194)*MIN($T194*12,MAX(0,TahunBuku*12+12-$Y194+1))/($T194*12),IF($S194="Saldo Menurun",IF(TahunBuku&lt;YEAR($F194),$G194,IF(TahunBuku&gt;=INT(($Y194+$T194*12-2)/12),$H194,MAX($H194,$G194*(1-2/$T194*(13-MONTH($F194))/12)*(1-2/$T194)^(TahunBuku-YEAR($F194))))),IF($S194="Unit Produksi",$G194-($G194-$H194)*MIN(1,(N($L194)+N($M194))/$K194),$G194))),$G194))</f>
        <v/>
      </c>
      <c r="AF194" s="20" t="str">
        <f>IF($B194="","",IF(OR($S194="Garis Lurus",$S194="Saldo Menurun",$S194="Unit Produksi"),MAX(0,IF($S194="Unit Produksi",TahunBuku*12+12,MIN(TahunBuku*12+12,$Y194+$T194*12-1))-MAX(TahunBuku*12+1,$Y194)+1),0))</f>
        <v/>
      </c>
      <c r="AG194" s="20" t="str">
        <f>IF($B194="","",IF(OR($S194="Garis Lurus",$S194="Saldo Menurun",$S194="Unit Produksi"),MAX(0,MIN($Z194,IF($S194="Unit Produksi",TahunBuku*12+12,MIN(TahunBuku*12+12,$Y194+$T194*12-1)))-MAX(TahunBuku*12+1,$Y194)+1),0))</f>
        <v/>
      </c>
      <c r="AH194" s="21" t="str">
        <f>IF($B194="","",IFERROR(IF($W194="Garis Lurus",$G194*(1-MIN($V194*12,MAX(0,TahunBuku*12-$Y194+1))/($V194*12)),IF($W194="Saldo Menurun",IF(TahunBuku-1&lt;YEAR($F194),$G194,IF(TahunBuku-1&gt;=INT(($Y194+$V194*12-2)/12),0,$G194*(1-2/$V194*(13-MONTH($F194))/12)*(1-2/$V194)^(TahunBuku-1-YEAR($F194)))),$G194)),$G194))</f>
        <v/>
      </c>
      <c r="AI194" s="21" t="str">
        <f>IF($B194="","",IFERROR(IF($W194="Garis Lurus",$G194*(1-MIN($V194*12,MAX(0,TahunBuku*12+12-$Y194+1))/($V194*12)),IF($W194="Saldo Menurun",IF(TahunBuku&lt;YEAR($F194),$G194,IF(TahunBuku&gt;=INT(($Y194+$V194*12-2)/12),0,$G194*(1-2/$V194*(13-MONTH($F194))/12)*(1-2/$V194)^(TahunBuku-YEAR($F194)))),$G194)),$G194))</f>
        <v/>
      </c>
      <c r="AJ194" s="20" t="str">
        <f>IF($B194="","",IF(OR($W194="Garis Lurus",$W194="Saldo Menurun"),MAX(0,MIN(TahunBuku*12+12,$Y194+$V194*12-1)-MAX(TahunBuku*12+1,$Y194)+1),0))</f>
        <v/>
      </c>
      <c r="AK194" s="20" t="str">
        <f>IF($B194="","",IF(OR($W194="Garis Lurus",$W194="Saldo Menurun"),MAX(0,MIN($Z194,TahunBuku*12+12,$Y194+$V194*12-1)-MAX(TahunBuku*12+1,$Y194)+1),0))</f>
        <v/>
      </c>
      <c r="AL194" s="22" t="str">
        <f>IF($B194="","",$G194*$AA194)</f>
        <v/>
      </c>
      <c r="AM194" s="22" t="str">
        <f>IF($B194="","",$G194*$AB194)</f>
        <v/>
      </c>
      <c r="AN194" s="22" t="str">
        <f>IF($B194="","",$G194*$AC194)</f>
        <v/>
      </c>
      <c r="AO194" s="22" t="str">
        <f>IF($B194="","",AL194+AM194-AN194)</f>
        <v/>
      </c>
      <c r="AP194" s="22" t="str">
        <f>IF($B194="","",($G194-$AD194)*$AA194)</f>
        <v/>
      </c>
      <c r="AQ194" s="22" t="str">
        <f>IF($B194="","",IF($AF194=0,0,($AD194-$AE194)*$AG194/$AF194)*MAX($AA194,$AB194))</f>
        <v/>
      </c>
      <c r="AR194" s="22" t="str">
        <f>IF($B194="","",(AP194+AQ194)*$AC194)</f>
        <v/>
      </c>
      <c r="AS194" s="22" t="str">
        <f>IF($B194="","",AP194+AQ194-AR194)</f>
        <v/>
      </c>
      <c r="AT194" s="22" t="str">
        <f>IF($B194="","",AO194-AS194)</f>
        <v/>
      </c>
      <c r="AU194" s="22" t="str">
        <f>IF($B194="","",IF($AC194=1,N($R194)-($G194-AR194),0))</f>
        <v/>
      </c>
      <c r="AV194" s="22" t="str">
        <f>IF($B194="","",($G194-$AH194)*$AA194)</f>
        <v/>
      </c>
      <c r="AW194" s="22" t="str">
        <f>IF($B194="","",IF($AJ194=0,0,($AH194-$AI194)*$AK194/$AJ194)*MAX($AA194,$AB194))</f>
        <v/>
      </c>
      <c r="AX194" s="22" t="str">
        <f>IF($B194="","",(AV194+AW194)*$AC194)</f>
        <v/>
      </c>
      <c r="AY194" s="22" t="str">
        <f>IF($B194="","",AV194+AW194-AX194)</f>
        <v/>
      </c>
      <c r="AZ194" s="22" t="str">
        <f>IF($B194="","",AO194-AY194)</f>
        <v/>
      </c>
      <c r="BA194" s="22" t="str">
        <f>IF($B194="","",IF($AC194=1,N($R194)-($G194-AX194),0))</f>
        <v/>
      </c>
      <c r="BB194" s="22" t="str">
        <f>IF($B194="","",ROUND(AQ194-AW194,0))</f>
        <v/>
      </c>
      <c r="BC194" s="22" t="str">
        <f>IF($B194="","",ROUND(BA194-AU194,0))</f>
        <v/>
      </c>
      <c r="BD194" s="22" t="str">
        <f>IF($B194="","",BB194+BC194)</f>
        <v/>
      </c>
      <c r="BE194" s="22" t="str">
        <f>IF($B194="","",ROUND(AV194-AP194,0))</f>
        <v/>
      </c>
      <c r="BF194" s="22" t="str">
        <f>IF($B194="","",ROUND(AT194-AZ194,0))</f>
        <v/>
      </c>
      <c r="BG194" s="22" t="str">
        <f>IF($B194="","",ROUND(BF194*TarifPPh,0))</f>
        <v/>
      </c>
      <c r="BH194" t="str">
        <f>IF($B194="","",IF($D194="","Kategori kosong",IF($F194="","Tgl perolehan kosong",IF(N($H194)&gt;$G194,"Residu &gt; harga perolehan",IF(AND(LEFT($U194,8)="Bangunan",$W194="Saldo Menurun"),"Bangunan wajib Garis Lurus (Ps.11 UU PPh)",IF(AND($S194="Unit Produksi",N($K194)=0),"Isi kapasitas unit",IF(AND(OR($S194="Garis Lurus",$S194="Saldo Menurun"),N($T194)&lt;=0),"Umur komersial kosong",IF(AND(OR($W194="Garis Lurus",$W194="Saldo Menurun"),N($V194)&lt;=0),"Masa manfaat fiskal kosong",IF(AND($Q194&lt;&gt;"",$Q194&lt;$F194),"Tgl pelepasan &lt; perolehan","OK")))))))))</f>
        <v/>
      </c>
    </row>
    <row r="195" spans="1:60" x14ac:dyDescent="0.25">
      <c r="A195" t="str">
        <f>IF($B195="","",ROW()-6)</f>
        <v/>
      </c>
      <c r="B195" s="9"/>
      <c r="C195" s="9"/>
      <c r="D195" s="9"/>
      <c r="E195" s="9"/>
      <c r="F195" s="17"/>
      <c r="G195" s="18"/>
      <c r="H195" s="18"/>
      <c r="I195" s="9"/>
      <c r="J195" s="9"/>
      <c r="K195" s="19"/>
      <c r="L195" s="19"/>
      <c r="M195" s="19"/>
      <c r="N195" s="9"/>
      <c r="O195" s="9"/>
      <c r="P195" s="9"/>
      <c r="Q195" s="17"/>
      <c r="R195" s="18"/>
      <c r="S195" t="str">
        <f>IF($B195="","",IF($I195&lt;&gt;"",$I195,IFERROR(INDEX(Kat_Metode,MATCH($D195,Kat_Nama,0)),"")))</f>
        <v/>
      </c>
      <c r="T195" t="str">
        <f>IF($B195="","",IF($J195&lt;&gt;"",$J195,IFERROR(INDEX(Kat_Umur,MATCH($D195,Kat_Nama,0)),0)))</f>
        <v/>
      </c>
      <c r="U195" t="str">
        <f>IF($B195="","",IF($N195&lt;&gt;"",$N195,IFERROR(INDEX(Kat_Kelompok,MATCH($D195,Kat_Nama,0)),"")))</f>
        <v/>
      </c>
      <c r="V195" t="str">
        <f>IF($B195="","",IF($U195="Masa Manfaat Sebenarnya",N($O195),IFERROR(INDEX(Kel_Masa,MATCH($U195,Kel_Nama,0)),0)))</f>
        <v/>
      </c>
      <c r="W195" t="str">
        <f>IF($B195="","",IF($P195&lt;&gt;"",$P195,IF(OR($U195="Tidak Disusutkan",$V195=0),"Tidak Disusutkan","Garis Lurus")))</f>
        <v/>
      </c>
      <c r="X195" t="str">
        <f>IF($B195="","",IF($Y195&gt;TahunBuku*12+12,"Belum Diperoleh",IF($Z195&lt;=TahunBuku*12,"Dilepas (thn lalu)",IF($AC195=1,"Dilepas thn ini",IF($AB195=1,"Perolehan baru","Aktif")))))</f>
        <v/>
      </c>
      <c r="Y195" s="20" t="str">
        <f>IF($B195="","",YEAR($F195)*12+MONTH($F195))</f>
        <v/>
      </c>
      <c r="Z195" s="20" t="str">
        <f>IF($B195="","",IF($Q195="",99999,YEAR($Q195)*12+MONTH($Q195)))</f>
        <v/>
      </c>
      <c r="AA195" s="20" t="str">
        <f>IF($B195="","",--AND($Y195&lt;=TahunBuku*12,$Z195&gt;TahunBuku*12))</f>
        <v/>
      </c>
      <c r="AB195" s="20" t="str">
        <f>IF($B195="","",--AND($Y195&gt;TahunBuku*12,$Y195&lt;=TahunBuku*12+12))</f>
        <v/>
      </c>
      <c r="AC195" s="20" t="str">
        <f>IF($B195="","",--AND($Z195&gt;TahunBuku*12,$Z195&lt;=TahunBuku*12+12,$Y195&lt;=$Z195))</f>
        <v/>
      </c>
      <c r="AD195" s="21" t="str">
        <f>IF($B195="","",IFERROR(IF($S195="Garis Lurus",$G195-($G195-$H195)*MIN($T195*12,MAX(0,TahunBuku*12-$Y195+1))/($T195*12),IF($S195="Saldo Menurun",IF(TahunBuku-1&lt;YEAR($F195),$G195,IF(TahunBuku-1&gt;=INT(($Y195+$T195*12-2)/12),$H195,MAX($H195,$G195*(1-2/$T195*(13-MONTH($F195))/12)*(1-2/$T195)^(TahunBuku-1-YEAR($F195))))),IF($S195="Unit Produksi",$G195-($G195-$H195)*MIN(1,N($L195)/$K195),$G195))),$G195))</f>
        <v/>
      </c>
      <c r="AE195" s="21" t="str">
        <f>IF($B195="","",IFERROR(IF($S195="Garis Lurus",$G195-($G195-$H195)*MIN($T195*12,MAX(0,TahunBuku*12+12-$Y195+1))/($T195*12),IF($S195="Saldo Menurun",IF(TahunBuku&lt;YEAR($F195),$G195,IF(TahunBuku&gt;=INT(($Y195+$T195*12-2)/12),$H195,MAX($H195,$G195*(1-2/$T195*(13-MONTH($F195))/12)*(1-2/$T195)^(TahunBuku-YEAR($F195))))),IF($S195="Unit Produksi",$G195-($G195-$H195)*MIN(1,(N($L195)+N($M195))/$K195),$G195))),$G195))</f>
        <v/>
      </c>
      <c r="AF195" s="20" t="str">
        <f>IF($B195="","",IF(OR($S195="Garis Lurus",$S195="Saldo Menurun",$S195="Unit Produksi"),MAX(0,IF($S195="Unit Produksi",TahunBuku*12+12,MIN(TahunBuku*12+12,$Y195+$T195*12-1))-MAX(TahunBuku*12+1,$Y195)+1),0))</f>
        <v/>
      </c>
      <c r="AG195" s="20" t="str">
        <f>IF($B195="","",IF(OR($S195="Garis Lurus",$S195="Saldo Menurun",$S195="Unit Produksi"),MAX(0,MIN($Z195,IF($S195="Unit Produksi",TahunBuku*12+12,MIN(TahunBuku*12+12,$Y195+$T195*12-1)))-MAX(TahunBuku*12+1,$Y195)+1),0))</f>
        <v/>
      </c>
      <c r="AH195" s="21" t="str">
        <f>IF($B195="","",IFERROR(IF($W195="Garis Lurus",$G195*(1-MIN($V195*12,MAX(0,TahunBuku*12-$Y195+1))/($V195*12)),IF($W195="Saldo Menurun",IF(TahunBuku-1&lt;YEAR($F195),$G195,IF(TahunBuku-1&gt;=INT(($Y195+$V195*12-2)/12),0,$G195*(1-2/$V195*(13-MONTH($F195))/12)*(1-2/$V195)^(TahunBuku-1-YEAR($F195)))),$G195)),$G195))</f>
        <v/>
      </c>
      <c r="AI195" s="21" t="str">
        <f>IF($B195="","",IFERROR(IF($W195="Garis Lurus",$G195*(1-MIN($V195*12,MAX(0,TahunBuku*12+12-$Y195+1))/($V195*12)),IF($W195="Saldo Menurun",IF(TahunBuku&lt;YEAR($F195),$G195,IF(TahunBuku&gt;=INT(($Y195+$V195*12-2)/12),0,$G195*(1-2/$V195*(13-MONTH($F195))/12)*(1-2/$V195)^(TahunBuku-YEAR($F195)))),$G195)),$G195))</f>
        <v/>
      </c>
      <c r="AJ195" s="20" t="str">
        <f>IF($B195="","",IF(OR($W195="Garis Lurus",$W195="Saldo Menurun"),MAX(0,MIN(TahunBuku*12+12,$Y195+$V195*12-1)-MAX(TahunBuku*12+1,$Y195)+1),0))</f>
        <v/>
      </c>
      <c r="AK195" s="20" t="str">
        <f>IF($B195="","",IF(OR($W195="Garis Lurus",$W195="Saldo Menurun"),MAX(0,MIN($Z195,TahunBuku*12+12,$Y195+$V195*12-1)-MAX(TahunBuku*12+1,$Y195)+1),0))</f>
        <v/>
      </c>
      <c r="AL195" s="22" t="str">
        <f>IF($B195="","",$G195*$AA195)</f>
        <v/>
      </c>
      <c r="AM195" s="22" t="str">
        <f>IF($B195="","",$G195*$AB195)</f>
        <v/>
      </c>
      <c r="AN195" s="22" t="str">
        <f>IF($B195="","",$G195*$AC195)</f>
        <v/>
      </c>
      <c r="AO195" s="22" t="str">
        <f>IF($B195="","",AL195+AM195-AN195)</f>
        <v/>
      </c>
      <c r="AP195" s="22" t="str">
        <f>IF($B195="","",($G195-$AD195)*$AA195)</f>
        <v/>
      </c>
      <c r="AQ195" s="22" t="str">
        <f>IF($B195="","",IF($AF195=0,0,($AD195-$AE195)*$AG195/$AF195)*MAX($AA195,$AB195))</f>
        <v/>
      </c>
      <c r="AR195" s="22" t="str">
        <f>IF($B195="","",(AP195+AQ195)*$AC195)</f>
        <v/>
      </c>
      <c r="AS195" s="22" t="str">
        <f>IF($B195="","",AP195+AQ195-AR195)</f>
        <v/>
      </c>
      <c r="AT195" s="22" t="str">
        <f>IF($B195="","",AO195-AS195)</f>
        <v/>
      </c>
      <c r="AU195" s="22" t="str">
        <f>IF($B195="","",IF($AC195=1,N($R195)-($G195-AR195),0))</f>
        <v/>
      </c>
      <c r="AV195" s="22" t="str">
        <f>IF($B195="","",($G195-$AH195)*$AA195)</f>
        <v/>
      </c>
      <c r="AW195" s="22" t="str">
        <f>IF($B195="","",IF($AJ195=0,0,($AH195-$AI195)*$AK195/$AJ195)*MAX($AA195,$AB195))</f>
        <v/>
      </c>
      <c r="AX195" s="22" t="str">
        <f>IF($B195="","",(AV195+AW195)*$AC195)</f>
        <v/>
      </c>
      <c r="AY195" s="22" t="str">
        <f>IF($B195="","",AV195+AW195-AX195)</f>
        <v/>
      </c>
      <c r="AZ195" s="22" t="str">
        <f>IF($B195="","",AO195-AY195)</f>
        <v/>
      </c>
      <c r="BA195" s="22" t="str">
        <f>IF($B195="","",IF($AC195=1,N($R195)-($G195-AX195),0))</f>
        <v/>
      </c>
      <c r="BB195" s="22" t="str">
        <f>IF($B195="","",ROUND(AQ195-AW195,0))</f>
        <v/>
      </c>
      <c r="BC195" s="22" t="str">
        <f>IF($B195="","",ROUND(BA195-AU195,0))</f>
        <v/>
      </c>
      <c r="BD195" s="22" t="str">
        <f>IF($B195="","",BB195+BC195)</f>
        <v/>
      </c>
      <c r="BE195" s="22" t="str">
        <f>IF($B195="","",ROUND(AV195-AP195,0))</f>
        <v/>
      </c>
      <c r="BF195" s="22" t="str">
        <f>IF($B195="","",ROUND(AT195-AZ195,0))</f>
        <v/>
      </c>
      <c r="BG195" s="22" t="str">
        <f>IF($B195="","",ROUND(BF195*TarifPPh,0))</f>
        <v/>
      </c>
      <c r="BH195" t="str">
        <f>IF($B195="","",IF($D195="","Kategori kosong",IF($F195="","Tgl perolehan kosong",IF(N($H195)&gt;$G195,"Residu &gt; harga perolehan",IF(AND(LEFT($U195,8)="Bangunan",$W195="Saldo Menurun"),"Bangunan wajib Garis Lurus (Ps.11 UU PPh)",IF(AND($S195="Unit Produksi",N($K195)=0),"Isi kapasitas unit",IF(AND(OR($S195="Garis Lurus",$S195="Saldo Menurun"),N($T195)&lt;=0),"Umur komersial kosong",IF(AND(OR($W195="Garis Lurus",$W195="Saldo Menurun"),N($V195)&lt;=0),"Masa manfaat fiskal kosong",IF(AND($Q195&lt;&gt;"",$Q195&lt;$F195),"Tgl pelepasan &lt; perolehan","OK")))))))))</f>
        <v/>
      </c>
    </row>
    <row r="196" spans="1:60" x14ac:dyDescent="0.25">
      <c r="A196" t="str">
        <f>IF($B196="","",ROW()-6)</f>
        <v/>
      </c>
      <c r="B196" s="9"/>
      <c r="C196" s="9"/>
      <c r="D196" s="9"/>
      <c r="E196" s="9"/>
      <c r="F196" s="17"/>
      <c r="G196" s="18"/>
      <c r="H196" s="18"/>
      <c r="I196" s="9"/>
      <c r="J196" s="9"/>
      <c r="K196" s="19"/>
      <c r="L196" s="19"/>
      <c r="M196" s="19"/>
      <c r="N196" s="9"/>
      <c r="O196" s="9"/>
      <c r="P196" s="9"/>
      <c r="Q196" s="17"/>
      <c r="R196" s="18"/>
      <c r="S196" t="str">
        <f>IF($B196="","",IF($I196&lt;&gt;"",$I196,IFERROR(INDEX(Kat_Metode,MATCH($D196,Kat_Nama,0)),"")))</f>
        <v/>
      </c>
      <c r="T196" t="str">
        <f>IF($B196="","",IF($J196&lt;&gt;"",$J196,IFERROR(INDEX(Kat_Umur,MATCH($D196,Kat_Nama,0)),0)))</f>
        <v/>
      </c>
      <c r="U196" t="str">
        <f>IF($B196="","",IF($N196&lt;&gt;"",$N196,IFERROR(INDEX(Kat_Kelompok,MATCH($D196,Kat_Nama,0)),"")))</f>
        <v/>
      </c>
      <c r="V196" t="str">
        <f>IF($B196="","",IF($U196="Masa Manfaat Sebenarnya",N($O196),IFERROR(INDEX(Kel_Masa,MATCH($U196,Kel_Nama,0)),0)))</f>
        <v/>
      </c>
      <c r="W196" t="str">
        <f>IF($B196="","",IF($P196&lt;&gt;"",$P196,IF(OR($U196="Tidak Disusutkan",$V196=0),"Tidak Disusutkan","Garis Lurus")))</f>
        <v/>
      </c>
      <c r="X196" t="str">
        <f>IF($B196="","",IF($Y196&gt;TahunBuku*12+12,"Belum Diperoleh",IF($Z196&lt;=TahunBuku*12,"Dilepas (thn lalu)",IF($AC196=1,"Dilepas thn ini",IF($AB196=1,"Perolehan baru","Aktif")))))</f>
        <v/>
      </c>
      <c r="Y196" s="20" t="str">
        <f>IF($B196="","",YEAR($F196)*12+MONTH($F196))</f>
        <v/>
      </c>
      <c r="Z196" s="20" t="str">
        <f>IF($B196="","",IF($Q196="",99999,YEAR($Q196)*12+MONTH($Q196)))</f>
        <v/>
      </c>
      <c r="AA196" s="20" t="str">
        <f>IF($B196="","",--AND($Y196&lt;=TahunBuku*12,$Z196&gt;TahunBuku*12))</f>
        <v/>
      </c>
      <c r="AB196" s="20" t="str">
        <f>IF($B196="","",--AND($Y196&gt;TahunBuku*12,$Y196&lt;=TahunBuku*12+12))</f>
        <v/>
      </c>
      <c r="AC196" s="20" t="str">
        <f>IF($B196="","",--AND($Z196&gt;TahunBuku*12,$Z196&lt;=TahunBuku*12+12,$Y196&lt;=$Z196))</f>
        <v/>
      </c>
      <c r="AD196" s="21" t="str">
        <f>IF($B196="","",IFERROR(IF($S196="Garis Lurus",$G196-($G196-$H196)*MIN($T196*12,MAX(0,TahunBuku*12-$Y196+1))/($T196*12),IF($S196="Saldo Menurun",IF(TahunBuku-1&lt;YEAR($F196),$G196,IF(TahunBuku-1&gt;=INT(($Y196+$T196*12-2)/12),$H196,MAX($H196,$G196*(1-2/$T196*(13-MONTH($F196))/12)*(1-2/$T196)^(TahunBuku-1-YEAR($F196))))),IF($S196="Unit Produksi",$G196-($G196-$H196)*MIN(1,N($L196)/$K196),$G196))),$G196))</f>
        <v/>
      </c>
      <c r="AE196" s="21" t="str">
        <f>IF($B196="","",IFERROR(IF($S196="Garis Lurus",$G196-($G196-$H196)*MIN($T196*12,MAX(0,TahunBuku*12+12-$Y196+1))/($T196*12),IF($S196="Saldo Menurun",IF(TahunBuku&lt;YEAR($F196),$G196,IF(TahunBuku&gt;=INT(($Y196+$T196*12-2)/12),$H196,MAX($H196,$G196*(1-2/$T196*(13-MONTH($F196))/12)*(1-2/$T196)^(TahunBuku-YEAR($F196))))),IF($S196="Unit Produksi",$G196-($G196-$H196)*MIN(1,(N($L196)+N($M196))/$K196),$G196))),$G196))</f>
        <v/>
      </c>
      <c r="AF196" s="20" t="str">
        <f>IF($B196="","",IF(OR($S196="Garis Lurus",$S196="Saldo Menurun",$S196="Unit Produksi"),MAX(0,IF($S196="Unit Produksi",TahunBuku*12+12,MIN(TahunBuku*12+12,$Y196+$T196*12-1))-MAX(TahunBuku*12+1,$Y196)+1),0))</f>
        <v/>
      </c>
      <c r="AG196" s="20" t="str">
        <f>IF($B196="","",IF(OR($S196="Garis Lurus",$S196="Saldo Menurun",$S196="Unit Produksi"),MAX(0,MIN($Z196,IF($S196="Unit Produksi",TahunBuku*12+12,MIN(TahunBuku*12+12,$Y196+$T196*12-1)))-MAX(TahunBuku*12+1,$Y196)+1),0))</f>
        <v/>
      </c>
      <c r="AH196" s="21" t="str">
        <f>IF($B196="","",IFERROR(IF($W196="Garis Lurus",$G196*(1-MIN($V196*12,MAX(0,TahunBuku*12-$Y196+1))/($V196*12)),IF($W196="Saldo Menurun",IF(TahunBuku-1&lt;YEAR($F196),$G196,IF(TahunBuku-1&gt;=INT(($Y196+$V196*12-2)/12),0,$G196*(1-2/$V196*(13-MONTH($F196))/12)*(1-2/$V196)^(TahunBuku-1-YEAR($F196)))),$G196)),$G196))</f>
        <v/>
      </c>
      <c r="AI196" s="21" t="str">
        <f>IF($B196="","",IFERROR(IF($W196="Garis Lurus",$G196*(1-MIN($V196*12,MAX(0,TahunBuku*12+12-$Y196+1))/($V196*12)),IF($W196="Saldo Menurun",IF(TahunBuku&lt;YEAR($F196),$G196,IF(TahunBuku&gt;=INT(($Y196+$V196*12-2)/12),0,$G196*(1-2/$V196*(13-MONTH($F196))/12)*(1-2/$V196)^(TahunBuku-YEAR($F196)))),$G196)),$G196))</f>
        <v/>
      </c>
      <c r="AJ196" s="20" t="str">
        <f>IF($B196="","",IF(OR($W196="Garis Lurus",$W196="Saldo Menurun"),MAX(0,MIN(TahunBuku*12+12,$Y196+$V196*12-1)-MAX(TahunBuku*12+1,$Y196)+1),0))</f>
        <v/>
      </c>
      <c r="AK196" s="20" t="str">
        <f>IF($B196="","",IF(OR($W196="Garis Lurus",$W196="Saldo Menurun"),MAX(0,MIN($Z196,TahunBuku*12+12,$Y196+$V196*12-1)-MAX(TahunBuku*12+1,$Y196)+1),0))</f>
        <v/>
      </c>
      <c r="AL196" s="22" t="str">
        <f>IF($B196="","",$G196*$AA196)</f>
        <v/>
      </c>
      <c r="AM196" s="22" t="str">
        <f>IF($B196="","",$G196*$AB196)</f>
        <v/>
      </c>
      <c r="AN196" s="22" t="str">
        <f>IF($B196="","",$G196*$AC196)</f>
        <v/>
      </c>
      <c r="AO196" s="22" t="str">
        <f>IF($B196="","",AL196+AM196-AN196)</f>
        <v/>
      </c>
      <c r="AP196" s="22" t="str">
        <f>IF($B196="","",($G196-$AD196)*$AA196)</f>
        <v/>
      </c>
      <c r="AQ196" s="22" t="str">
        <f>IF($B196="","",IF($AF196=0,0,($AD196-$AE196)*$AG196/$AF196)*MAX($AA196,$AB196))</f>
        <v/>
      </c>
      <c r="AR196" s="22" t="str">
        <f>IF($B196="","",(AP196+AQ196)*$AC196)</f>
        <v/>
      </c>
      <c r="AS196" s="22" t="str">
        <f>IF($B196="","",AP196+AQ196-AR196)</f>
        <v/>
      </c>
      <c r="AT196" s="22" t="str">
        <f>IF($B196="","",AO196-AS196)</f>
        <v/>
      </c>
      <c r="AU196" s="22" t="str">
        <f>IF($B196="","",IF($AC196=1,N($R196)-($G196-AR196),0))</f>
        <v/>
      </c>
      <c r="AV196" s="22" t="str">
        <f>IF($B196="","",($G196-$AH196)*$AA196)</f>
        <v/>
      </c>
      <c r="AW196" s="22" t="str">
        <f>IF($B196="","",IF($AJ196=0,0,($AH196-$AI196)*$AK196/$AJ196)*MAX($AA196,$AB196))</f>
        <v/>
      </c>
      <c r="AX196" s="22" t="str">
        <f>IF($B196="","",(AV196+AW196)*$AC196)</f>
        <v/>
      </c>
      <c r="AY196" s="22" t="str">
        <f>IF($B196="","",AV196+AW196-AX196)</f>
        <v/>
      </c>
      <c r="AZ196" s="22" t="str">
        <f>IF($B196="","",AO196-AY196)</f>
        <v/>
      </c>
      <c r="BA196" s="22" t="str">
        <f>IF($B196="","",IF($AC196=1,N($R196)-($G196-AX196),0))</f>
        <v/>
      </c>
      <c r="BB196" s="22" t="str">
        <f>IF($B196="","",ROUND(AQ196-AW196,0))</f>
        <v/>
      </c>
      <c r="BC196" s="22" t="str">
        <f>IF($B196="","",ROUND(BA196-AU196,0))</f>
        <v/>
      </c>
      <c r="BD196" s="22" t="str">
        <f>IF($B196="","",BB196+BC196)</f>
        <v/>
      </c>
      <c r="BE196" s="22" t="str">
        <f>IF($B196="","",ROUND(AV196-AP196,0))</f>
        <v/>
      </c>
      <c r="BF196" s="22" t="str">
        <f>IF($B196="","",ROUND(AT196-AZ196,0))</f>
        <v/>
      </c>
      <c r="BG196" s="22" t="str">
        <f>IF($B196="","",ROUND(BF196*TarifPPh,0))</f>
        <v/>
      </c>
      <c r="BH196" t="str">
        <f>IF($B196="","",IF($D196="","Kategori kosong",IF($F196="","Tgl perolehan kosong",IF(N($H196)&gt;$G196,"Residu &gt; harga perolehan",IF(AND(LEFT($U196,8)="Bangunan",$W196="Saldo Menurun"),"Bangunan wajib Garis Lurus (Ps.11 UU PPh)",IF(AND($S196="Unit Produksi",N($K196)=0),"Isi kapasitas unit",IF(AND(OR($S196="Garis Lurus",$S196="Saldo Menurun"),N($T196)&lt;=0),"Umur komersial kosong",IF(AND(OR($W196="Garis Lurus",$W196="Saldo Menurun"),N($V196)&lt;=0),"Masa manfaat fiskal kosong",IF(AND($Q196&lt;&gt;"",$Q196&lt;$F196),"Tgl pelepasan &lt; perolehan","OK")))))))))</f>
        <v/>
      </c>
    </row>
    <row r="197" spans="1:60" x14ac:dyDescent="0.25">
      <c r="A197" t="str">
        <f>IF($B197="","",ROW()-6)</f>
        <v/>
      </c>
      <c r="B197" s="9"/>
      <c r="C197" s="9"/>
      <c r="D197" s="9"/>
      <c r="E197" s="9"/>
      <c r="F197" s="17"/>
      <c r="G197" s="18"/>
      <c r="H197" s="18"/>
      <c r="I197" s="9"/>
      <c r="J197" s="9"/>
      <c r="K197" s="19"/>
      <c r="L197" s="19"/>
      <c r="M197" s="19"/>
      <c r="N197" s="9"/>
      <c r="O197" s="9"/>
      <c r="P197" s="9"/>
      <c r="Q197" s="17"/>
      <c r="R197" s="18"/>
      <c r="S197" t="str">
        <f>IF($B197="","",IF($I197&lt;&gt;"",$I197,IFERROR(INDEX(Kat_Metode,MATCH($D197,Kat_Nama,0)),"")))</f>
        <v/>
      </c>
      <c r="T197" t="str">
        <f>IF($B197="","",IF($J197&lt;&gt;"",$J197,IFERROR(INDEX(Kat_Umur,MATCH($D197,Kat_Nama,0)),0)))</f>
        <v/>
      </c>
      <c r="U197" t="str">
        <f>IF($B197="","",IF($N197&lt;&gt;"",$N197,IFERROR(INDEX(Kat_Kelompok,MATCH($D197,Kat_Nama,0)),"")))</f>
        <v/>
      </c>
      <c r="V197" t="str">
        <f>IF($B197="","",IF($U197="Masa Manfaat Sebenarnya",N($O197),IFERROR(INDEX(Kel_Masa,MATCH($U197,Kel_Nama,0)),0)))</f>
        <v/>
      </c>
      <c r="W197" t="str">
        <f>IF($B197="","",IF($P197&lt;&gt;"",$P197,IF(OR($U197="Tidak Disusutkan",$V197=0),"Tidak Disusutkan","Garis Lurus")))</f>
        <v/>
      </c>
      <c r="X197" t="str">
        <f>IF($B197="","",IF($Y197&gt;TahunBuku*12+12,"Belum Diperoleh",IF($Z197&lt;=TahunBuku*12,"Dilepas (thn lalu)",IF($AC197=1,"Dilepas thn ini",IF($AB197=1,"Perolehan baru","Aktif")))))</f>
        <v/>
      </c>
      <c r="Y197" s="20" t="str">
        <f>IF($B197="","",YEAR($F197)*12+MONTH($F197))</f>
        <v/>
      </c>
      <c r="Z197" s="20" t="str">
        <f>IF($B197="","",IF($Q197="",99999,YEAR($Q197)*12+MONTH($Q197)))</f>
        <v/>
      </c>
      <c r="AA197" s="20" t="str">
        <f>IF($B197="","",--AND($Y197&lt;=TahunBuku*12,$Z197&gt;TahunBuku*12))</f>
        <v/>
      </c>
      <c r="AB197" s="20" t="str">
        <f>IF($B197="","",--AND($Y197&gt;TahunBuku*12,$Y197&lt;=TahunBuku*12+12))</f>
        <v/>
      </c>
      <c r="AC197" s="20" t="str">
        <f>IF($B197="","",--AND($Z197&gt;TahunBuku*12,$Z197&lt;=TahunBuku*12+12,$Y197&lt;=$Z197))</f>
        <v/>
      </c>
      <c r="AD197" s="21" t="str">
        <f>IF($B197="","",IFERROR(IF($S197="Garis Lurus",$G197-($G197-$H197)*MIN($T197*12,MAX(0,TahunBuku*12-$Y197+1))/($T197*12),IF($S197="Saldo Menurun",IF(TahunBuku-1&lt;YEAR($F197),$G197,IF(TahunBuku-1&gt;=INT(($Y197+$T197*12-2)/12),$H197,MAX($H197,$G197*(1-2/$T197*(13-MONTH($F197))/12)*(1-2/$T197)^(TahunBuku-1-YEAR($F197))))),IF($S197="Unit Produksi",$G197-($G197-$H197)*MIN(1,N($L197)/$K197),$G197))),$G197))</f>
        <v/>
      </c>
      <c r="AE197" s="21" t="str">
        <f>IF($B197="","",IFERROR(IF($S197="Garis Lurus",$G197-($G197-$H197)*MIN($T197*12,MAX(0,TahunBuku*12+12-$Y197+1))/($T197*12),IF($S197="Saldo Menurun",IF(TahunBuku&lt;YEAR($F197),$G197,IF(TahunBuku&gt;=INT(($Y197+$T197*12-2)/12),$H197,MAX($H197,$G197*(1-2/$T197*(13-MONTH($F197))/12)*(1-2/$T197)^(TahunBuku-YEAR($F197))))),IF($S197="Unit Produksi",$G197-($G197-$H197)*MIN(1,(N($L197)+N($M197))/$K197),$G197))),$G197))</f>
        <v/>
      </c>
      <c r="AF197" s="20" t="str">
        <f>IF($B197="","",IF(OR($S197="Garis Lurus",$S197="Saldo Menurun",$S197="Unit Produksi"),MAX(0,IF($S197="Unit Produksi",TahunBuku*12+12,MIN(TahunBuku*12+12,$Y197+$T197*12-1))-MAX(TahunBuku*12+1,$Y197)+1),0))</f>
        <v/>
      </c>
      <c r="AG197" s="20" t="str">
        <f>IF($B197="","",IF(OR($S197="Garis Lurus",$S197="Saldo Menurun",$S197="Unit Produksi"),MAX(0,MIN($Z197,IF($S197="Unit Produksi",TahunBuku*12+12,MIN(TahunBuku*12+12,$Y197+$T197*12-1)))-MAX(TahunBuku*12+1,$Y197)+1),0))</f>
        <v/>
      </c>
      <c r="AH197" s="21" t="str">
        <f>IF($B197="","",IFERROR(IF($W197="Garis Lurus",$G197*(1-MIN($V197*12,MAX(0,TahunBuku*12-$Y197+1))/($V197*12)),IF($W197="Saldo Menurun",IF(TahunBuku-1&lt;YEAR($F197),$G197,IF(TahunBuku-1&gt;=INT(($Y197+$V197*12-2)/12),0,$G197*(1-2/$V197*(13-MONTH($F197))/12)*(1-2/$V197)^(TahunBuku-1-YEAR($F197)))),$G197)),$G197))</f>
        <v/>
      </c>
      <c r="AI197" s="21" t="str">
        <f>IF($B197="","",IFERROR(IF($W197="Garis Lurus",$G197*(1-MIN($V197*12,MAX(0,TahunBuku*12+12-$Y197+1))/($V197*12)),IF($W197="Saldo Menurun",IF(TahunBuku&lt;YEAR($F197),$G197,IF(TahunBuku&gt;=INT(($Y197+$V197*12-2)/12),0,$G197*(1-2/$V197*(13-MONTH($F197))/12)*(1-2/$V197)^(TahunBuku-YEAR($F197)))),$G197)),$G197))</f>
        <v/>
      </c>
      <c r="AJ197" s="20" t="str">
        <f>IF($B197="","",IF(OR($W197="Garis Lurus",$W197="Saldo Menurun"),MAX(0,MIN(TahunBuku*12+12,$Y197+$V197*12-1)-MAX(TahunBuku*12+1,$Y197)+1),0))</f>
        <v/>
      </c>
      <c r="AK197" s="20" t="str">
        <f>IF($B197="","",IF(OR($W197="Garis Lurus",$W197="Saldo Menurun"),MAX(0,MIN($Z197,TahunBuku*12+12,$Y197+$V197*12-1)-MAX(TahunBuku*12+1,$Y197)+1),0))</f>
        <v/>
      </c>
      <c r="AL197" s="22" t="str">
        <f>IF($B197="","",$G197*$AA197)</f>
        <v/>
      </c>
      <c r="AM197" s="22" t="str">
        <f>IF($B197="","",$G197*$AB197)</f>
        <v/>
      </c>
      <c r="AN197" s="22" t="str">
        <f>IF($B197="","",$G197*$AC197)</f>
        <v/>
      </c>
      <c r="AO197" s="22" t="str">
        <f>IF($B197="","",AL197+AM197-AN197)</f>
        <v/>
      </c>
      <c r="AP197" s="22" t="str">
        <f>IF($B197="","",($G197-$AD197)*$AA197)</f>
        <v/>
      </c>
      <c r="AQ197" s="22" t="str">
        <f>IF($B197="","",IF($AF197=0,0,($AD197-$AE197)*$AG197/$AF197)*MAX($AA197,$AB197))</f>
        <v/>
      </c>
      <c r="AR197" s="22" t="str">
        <f>IF($B197="","",(AP197+AQ197)*$AC197)</f>
        <v/>
      </c>
      <c r="AS197" s="22" t="str">
        <f>IF($B197="","",AP197+AQ197-AR197)</f>
        <v/>
      </c>
      <c r="AT197" s="22" t="str">
        <f>IF($B197="","",AO197-AS197)</f>
        <v/>
      </c>
      <c r="AU197" s="22" t="str">
        <f>IF($B197="","",IF($AC197=1,N($R197)-($G197-AR197),0))</f>
        <v/>
      </c>
      <c r="AV197" s="22" t="str">
        <f>IF($B197="","",($G197-$AH197)*$AA197)</f>
        <v/>
      </c>
      <c r="AW197" s="22" t="str">
        <f>IF($B197="","",IF($AJ197=0,0,($AH197-$AI197)*$AK197/$AJ197)*MAX($AA197,$AB197))</f>
        <v/>
      </c>
      <c r="AX197" s="22" t="str">
        <f>IF($B197="","",(AV197+AW197)*$AC197)</f>
        <v/>
      </c>
      <c r="AY197" s="22" t="str">
        <f>IF($B197="","",AV197+AW197-AX197)</f>
        <v/>
      </c>
      <c r="AZ197" s="22" t="str">
        <f>IF($B197="","",AO197-AY197)</f>
        <v/>
      </c>
      <c r="BA197" s="22" t="str">
        <f>IF($B197="","",IF($AC197=1,N($R197)-($G197-AX197),0))</f>
        <v/>
      </c>
      <c r="BB197" s="22" t="str">
        <f>IF($B197="","",ROUND(AQ197-AW197,0))</f>
        <v/>
      </c>
      <c r="BC197" s="22" t="str">
        <f>IF($B197="","",ROUND(BA197-AU197,0))</f>
        <v/>
      </c>
      <c r="BD197" s="22" t="str">
        <f>IF($B197="","",BB197+BC197)</f>
        <v/>
      </c>
      <c r="BE197" s="22" t="str">
        <f>IF($B197="","",ROUND(AV197-AP197,0))</f>
        <v/>
      </c>
      <c r="BF197" s="22" t="str">
        <f>IF($B197="","",ROUND(AT197-AZ197,0))</f>
        <v/>
      </c>
      <c r="BG197" s="22" t="str">
        <f>IF($B197="","",ROUND(BF197*TarifPPh,0))</f>
        <v/>
      </c>
      <c r="BH197" t="str">
        <f>IF($B197="","",IF($D197="","Kategori kosong",IF($F197="","Tgl perolehan kosong",IF(N($H197)&gt;$G197,"Residu &gt; harga perolehan",IF(AND(LEFT($U197,8)="Bangunan",$W197="Saldo Menurun"),"Bangunan wajib Garis Lurus (Ps.11 UU PPh)",IF(AND($S197="Unit Produksi",N($K197)=0),"Isi kapasitas unit",IF(AND(OR($S197="Garis Lurus",$S197="Saldo Menurun"),N($T197)&lt;=0),"Umur komersial kosong",IF(AND(OR($W197="Garis Lurus",$W197="Saldo Menurun"),N($V197)&lt;=0),"Masa manfaat fiskal kosong",IF(AND($Q197&lt;&gt;"",$Q197&lt;$F197),"Tgl pelepasan &lt; perolehan","OK")))))))))</f>
        <v/>
      </c>
    </row>
    <row r="198" spans="1:60" x14ac:dyDescent="0.25">
      <c r="A198" t="str">
        <f>IF($B198="","",ROW()-6)</f>
        <v/>
      </c>
      <c r="B198" s="9"/>
      <c r="C198" s="9"/>
      <c r="D198" s="9"/>
      <c r="E198" s="9"/>
      <c r="F198" s="17"/>
      <c r="G198" s="18"/>
      <c r="H198" s="18"/>
      <c r="I198" s="9"/>
      <c r="J198" s="9"/>
      <c r="K198" s="19"/>
      <c r="L198" s="19"/>
      <c r="M198" s="19"/>
      <c r="N198" s="9"/>
      <c r="O198" s="9"/>
      <c r="P198" s="9"/>
      <c r="Q198" s="17"/>
      <c r="R198" s="18"/>
      <c r="S198" t="str">
        <f>IF($B198="","",IF($I198&lt;&gt;"",$I198,IFERROR(INDEX(Kat_Metode,MATCH($D198,Kat_Nama,0)),"")))</f>
        <v/>
      </c>
      <c r="T198" t="str">
        <f>IF($B198="","",IF($J198&lt;&gt;"",$J198,IFERROR(INDEX(Kat_Umur,MATCH($D198,Kat_Nama,0)),0)))</f>
        <v/>
      </c>
      <c r="U198" t="str">
        <f>IF($B198="","",IF($N198&lt;&gt;"",$N198,IFERROR(INDEX(Kat_Kelompok,MATCH($D198,Kat_Nama,0)),"")))</f>
        <v/>
      </c>
      <c r="V198" t="str">
        <f>IF($B198="","",IF($U198="Masa Manfaat Sebenarnya",N($O198),IFERROR(INDEX(Kel_Masa,MATCH($U198,Kel_Nama,0)),0)))</f>
        <v/>
      </c>
      <c r="W198" t="str">
        <f>IF($B198="","",IF($P198&lt;&gt;"",$P198,IF(OR($U198="Tidak Disusutkan",$V198=0),"Tidak Disusutkan","Garis Lurus")))</f>
        <v/>
      </c>
      <c r="X198" t="str">
        <f>IF($B198="","",IF($Y198&gt;TahunBuku*12+12,"Belum Diperoleh",IF($Z198&lt;=TahunBuku*12,"Dilepas (thn lalu)",IF($AC198=1,"Dilepas thn ini",IF($AB198=1,"Perolehan baru","Aktif")))))</f>
        <v/>
      </c>
      <c r="Y198" s="20" t="str">
        <f>IF($B198="","",YEAR($F198)*12+MONTH($F198))</f>
        <v/>
      </c>
      <c r="Z198" s="20" t="str">
        <f>IF($B198="","",IF($Q198="",99999,YEAR($Q198)*12+MONTH($Q198)))</f>
        <v/>
      </c>
      <c r="AA198" s="20" t="str">
        <f>IF($B198="","",--AND($Y198&lt;=TahunBuku*12,$Z198&gt;TahunBuku*12))</f>
        <v/>
      </c>
      <c r="AB198" s="20" t="str">
        <f>IF($B198="","",--AND($Y198&gt;TahunBuku*12,$Y198&lt;=TahunBuku*12+12))</f>
        <v/>
      </c>
      <c r="AC198" s="20" t="str">
        <f>IF($B198="","",--AND($Z198&gt;TahunBuku*12,$Z198&lt;=TahunBuku*12+12,$Y198&lt;=$Z198))</f>
        <v/>
      </c>
      <c r="AD198" s="21" t="str">
        <f>IF($B198="","",IFERROR(IF($S198="Garis Lurus",$G198-($G198-$H198)*MIN($T198*12,MAX(0,TahunBuku*12-$Y198+1))/($T198*12),IF($S198="Saldo Menurun",IF(TahunBuku-1&lt;YEAR($F198),$G198,IF(TahunBuku-1&gt;=INT(($Y198+$T198*12-2)/12),$H198,MAX($H198,$G198*(1-2/$T198*(13-MONTH($F198))/12)*(1-2/$T198)^(TahunBuku-1-YEAR($F198))))),IF($S198="Unit Produksi",$G198-($G198-$H198)*MIN(1,N($L198)/$K198),$G198))),$G198))</f>
        <v/>
      </c>
      <c r="AE198" s="21" t="str">
        <f>IF($B198="","",IFERROR(IF($S198="Garis Lurus",$G198-($G198-$H198)*MIN($T198*12,MAX(0,TahunBuku*12+12-$Y198+1))/($T198*12),IF($S198="Saldo Menurun",IF(TahunBuku&lt;YEAR($F198),$G198,IF(TahunBuku&gt;=INT(($Y198+$T198*12-2)/12),$H198,MAX($H198,$G198*(1-2/$T198*(13-MONTH($F198))/12)*(1-2/$T198)^(TahunBuku-YEAR($F198))))),IF($S198="Unit Produksi",$G198-($G198-$H198)*MIN(1,(N($L198)+N($M198))/$K198),$G198))),$G198))</f>
        <v/>
      </c>
      <c r="AF198" s="20" t="str">
        <f>IF($B198="","",IF(OR($S198="Garis Lurus",$S198="Saldo Menurun",$S198="Unit Produksi"),MAX(0,IF($S198="Unit Produksi",TahunBuku*12+12,MIN(TahunBuku*12+12,$Y198+$T198*12-1))-MAX(TahunBuku*12+1,$Y198)+1),0))</f>
        <v/>
      </c>
      <c r="AG198" s="20" t="str">
        <f>IF($B198="","",IF(OR($S198="Garis Lurus",$S198="Saldo Menurun",$S198="Unit Produksi"),MAX(0,MIN($Z198,IF($S198="Unit Produksi",TahunBuku*12+12,MIN(TahunBuku*12+12,$Y198+$T198*12-1)))-MAX(TahunBuku*12+1,$Y198)+1),0))</f>
        <v/>
      </c>
      <c r="AH198" s="21" t="str">
        <f>IF($B198="","",IFERROR(IF($W198="Garis Lurus",$G198*(1-MIN($V198*12,MAX(0,TahunBuku*12-$Y198+1))/($V198*12)),IF($W198="Saldo Menurun",IF(TahunBuku-1&lt;YEAR($F198),$G198,IF(TahunBuku-1&gt;=INT(($Y198+$V198*12-2)/12),0,$G198*(1-2/$V198*(13-MONTH($F198))/12)*(1-2/$V198)^(TahunBuku-1-YEAR($F198)))),$G198)),$G198))</f>
        <v/>
      </c>
      <c r="AI198" s="21" t="str">
        <f>IF($B198="","",IFERROR(IF($W198="Garis Lurus",$G198*(1-MIN($V198*12,MAX(0,TahunBuku*12+12-$Y198+1))/($V198*12)),IF($W198="Saldo Menurun",IF(TahunBuku&lt;YEAR($F198),$G198,IF(TahunBuku&gt;=INT(($Y198+$V198*12-2)/12),0,$G198*(1-2/$V198*(13-MONTH($F198))/12)*(1-2/$V198)^(TahunBuku-YEAR($F198)))),$G198)),$G198))</f>
        <v/>
      </c>
      <c r="AJ198" s="20" t="str">
        <f>IF($B198="","",IF(OR($W198="Garis Lurus",$W198="Saldo Menurun"),MAX(0,MIN(TahunBuku*12+12,$Y198+$V198*12-1)-MAX(TahunBuku*12+1,$Y198)+1),0))</f>
        <v/>
      </c>
      <c r="AK198" s="20" t="str">
        <f>IF($B198="","",IF(OR($W198="Garis Lurus",$W198="Saldo Menurun"),MAX(0,MIN($Z198,TahunBuku*12+12,$Y198+$V198*12-1)-MAX(TahunBuku*12+1,$Y198)+1),0))</f>
        <v/>
      </c>
      <c r="AL198" s="22" t="str">
        <f>IF($B198="","",$G198*$AA198)</f>
        <v/>
      </c>
      <c r="AM198" s="22" t="str">
        <f>IF($B198="","",$G198*$AB198)</f>
        <v/>
      </c>
      <c r="AN198" s="22" t="str">
        <f>IF($B198="","",$G198*$AC198)</f>
        <v/>
      </c>
      <c r="AO198" s="22" t="str">
        <f>IF($B198="","",AL198+AM198-AN198)</f>
        <v/>
      </c>
      <c r="AP198" s="22" t="str">
        <f>IF($B198="","",($G198-$AD198)*$AA198)</f>
        <v/>
      </c>
      <c r="AQ198" s="22" t="str">
        <f>IF($B198="","",IF($AF198=0,0,($AD198-$AE198)*$AG198/$AF198)*MAX($AA198,$AB198))</f>
        <v/>
      </c>
      <c r="AR198" s="22" t="str">
        <f>IF($B198="","",(AP198+AQ198)*$AC198)</f>
        <v/>
      </c>
      <c r="AS198" s="22" t="str">
        <f>IF($B198="","",AP198+AQ198-AR198)</f>
        <v/>
      </c>
      <c r="AT198" s="22" t="str">
        <f>IF($B198="","",AO198-AS198)</f>
        <v/>
      </c>
      <c r="AU198" s="22" t="str">
        <f>IF($B198="","",IF($AC198=1,N($R198)-($G198-AR198),0))</f>
        <v/>
      </c>
      <c r="AV198" s="22" t="str">
        <f>IF($B198="","",($G198-$AH198)*$AA198)</f>
        <v/>
      </c>
      <c r="AW198" s="22" t="str">
        <f>IF($B198="","",IF($AJ198=0,0,($AH198-$AI198)*$AK198/$AJ198)*MAX($AA198,$AB198))</f>
        <v/>
      </c>
      <c r="AX198" s="22" t="str">
        <f>IF($B198="","",(AV198+AW198)*$AC198)</f>
        <v/>
      </c>
      <c r="AY198" s="22" t="str">
        <f>IF($B198="","",AV198+AW198-AX198)</f>
        <v/>
      </c>
      <c r="AZ198" s="22" t="str">
        <f>IF($B198="","",AO198-AY198)</f>
        <v/>
      </c>
      <c r="BA198" s="22" t="str">
        <f>IF($B198="","",IF($AC198=1,N($R198)-($G198-AX198),0))</f>
        <v/>
      </c>
      <c r="BB198" s="22" t="str">
        <f>IF($B198="","",ROUND(AQ198-AW198,0))</f>
        <v/>
      </c>
      <c r="BC198" s="22" t="str">
        <f>IF($B198="","",ROUND(BA198-AU198,0))</f>
        <v/>
      </c>
      <c r="BD198" s="22" t="str">
        <f>IF($B198="","",BB198+BC198)</f>
        <v/>
      </c>
      <c r="BE198" s="22" t="str">
        <f>IF($B198="","",ROUND(AV198-AP198,0))</f>
        <v/>
      </c>
      <c r="BF198" s="22" t="str">
        <f>IF($B198="","",ROUND(AT198-AZ198,0))</f>
        <v/>
      </c>
      <c r="BG198" s="22" t="str">
        <f>IF($B198="","",ROUND(BF198*TarifPPh,0))</f>
        <v/>
      </c>
      <c r="BH198" t="str">
        <f>IF($B198="","",IF($D198="","Kategori kosong",IF($F198="","Tgl perolehan kosong",IF(N($H198)&gt;$G198,"Residu &gt; harga perolehan",IF(AND(LEFT($U198,8)="Bangunan",$W198="Saldo Menurun"),"Bangunan wajib Garis Lurus (Ps.11 UU PPh)",IF(AND($S198="Unit Produksi",N($K198)=0),"Isi kapasitas unit",IF(AND(OR($S198="Garis Lurus",$S198="Saldo Menurun"),N($T198)&lt;=0),"Umur komersial kosong",IF(AND(OR($W198="Garis Lurus",$W198="Saldo Menurun"),N($V198)&lt;=0),"Masa manfaat fiskal kosong",IF(AND($Q198&lt;&gt;"",$Q198&lt;$F198),"Tgl pelepasan &lt; perolehan","OK")))))))))</f>
        <v/>
      </c>
    </row>
    <row r="199" spans="1:60" x14ac:dyDescent="0.25">
      <c r="A199" t="str">
        <f>IF($B199="","",ROW()-6)</f>
        <v/>
      </c>
      <c r="B199" s="9"/>
      <c r="C199" s="9"/>
      <c r="D199" s="9"/>
      <c r="E199" s="9"/>
      <c r="F199" s="17"/>
      <c r="G199" s="18"/>
      <c r="H199" s="18"/>
      <c r="I199" s="9"/>
      <c r="J199" s="9"/>
      <c r="K199" s="19"/>
      <c r="L199" s="19"/>
      <c r="M199" s="19"/>
      <c r="N199" s="9"/>
      <c r="O199" s="9"/>
      <c r="P199" s="9"/>
      <c r="Q199" s="17"/>
      <c r="R199" s="18"/>
      <c r="S199" t="str">
        <f>IF($B199="","",IF($I199&lt;&gt;"",$I199,IFERROR(INDEX(Kat_Metode,MATCH($D199,Kat_Nama,0)),"")))</f>
        <v/>
      </c>
      <c r="T199" t="str">
        <f>IF($B199="","",IF($J199&lt;&gt;"",$J199,IFERROR(INDEX(Kat_Umur,MATCH($D199,Kat_Nama,0)),0)))</f>
        <v/>
      </c>
      <c r="U199" t="str">
        <f>IF($B199="","",IF($N199&lt;&gt;"",$N199,IFERROR(INDEX(Kat_Kelompok,MATCH($D199,Kat_Nama,0)),"")))</f>
        <v/>
      </c>
      <c r="V199" t="str">
        <f>IF($B199="","",IF($U199="Masa Manfaat Sebenarnya",N($O199),IFERROR(INDEX(Kel_Masa,MATCH($U199,Kel_Nama,0)),0)))</f>
        <v/>
      </c>
      <c r="W199" t="str">
        <f>IF($B199="","",IF($P199&lt;&gt;"",$P199,IF(OR($U199="Tidak Disusutkan",$V199=0),"Tidak Disusutkan","Garis Lurus")))</f>
        <v/>
      </c>
      <c r="X199" t="str">
        <f>IF($B199="","",IF($Y199&gt;TahunBuku*12+12,"Belum Diperoleh",IF($Z199&lt;=TahunBuku*12,"Dilepas (thn lalu)",IF($AC199=1,"Dilepas thn ini",IF($AB199=1,"Perolehan baru","Aktif")))))</f>
        <v/>
      </c>
      <c r="Y199" s="20" t="str">
        <f>IF($B199="","",YEAR($F199)*12+MONTH($F199))</f>
        <v/>
      </c>
      <c r="Z199" s="20" t="str">
        <f>IF($B199="","",IF($Q199="",99999,YEAR($Q199)*12+MONTH($Q199)))</f>
        <v/>
      </c>
      <c r="AA199" s="20" t="str">
        <f>IF($B199="","",--AND($Y199&lt;=TahunBuku*12,$Z199&gt;TahunBuku*12))</f>
        <v/>
      </c>
      <c r="AB199" s="20" t="str">
        <f>IF($B199="","",--AND($Y199&gt;TahunBuku*12,$Y199&lt;=TahunBuku*12+12))</f>
        <v/>
      </c>
      <c r="AC199" s="20" t="str">
        <f>IF($B199="","",--AND($Z199&gt;TahunBuku*12,$Z199&lt;=TahunBuku*12+12,$Y199&lt;=$Z199))</f>
        <v/>
      </c>
      <c r="AD199" s="21" t="str">
        <f>IF($B199="","",IFERROR(IF($S199="Garis Lurus",$G199-($G199-$H199)*MIN($T199*12,MAX(0,TahunBuku*12-$Y199+1))/($T199*12),IF($S199="Saldo Menurun",IF(TahunBuku-1&lt;YEAR($F199),$G199,IF(TahunBuku-1&gt;=INT(($Y199+$T199*12-2)/12),$H199,MAX($H199,$G199*(1-2/$T199*(13-MONTH($F199))/12)*(1-2/$T199)^(TahunBuku-1-YEAR($F199))))),IF($S199="Unit Produksi",$G199-($G199-$H199)*MIN(1,N($L199)/$K199),$G199))),$G199))</f>
        <v/>
      </c>
      <c r="AE199" s="21" t="str">
        <f>IF($B199="","",IFERROR(IF($S199="Garis Lurus",$G199-($G199-$H199)*MIN($T199*12,MAX(0,TahunBuku*12+12-$Y199+1))/($T199*12),IF($S199="Saldo Menurun",IF(TahunBuku&lt;YEAR($F199),$G199,IF(TahunBuku&gt;=INT(($Y199+$T199*12-2)/12),$H199,MAX($H199,$G199*(1-2/$T199*(13-MONTH($F199))/12)*(1-2/$T199)^(TahunBuku-YEAR($F199))))),IF($S199="Unit Produksi",$G199-($G199-$H199)*MIN(1,(N($L199)+N($M199))/$K199),$G199))),$G199))</f>
        <v/>
      </c>
      <c r="AF199" s="20" t="str">
        <f>IF($B199="","",IF(OR($S199="Garis Lurus",$S199="Saldo Menurun",$S199="Unit Produksi"),MAX(0,IF($S199="Unit Produksi",TahunBuku*12+12,MIN(TahunBuku*12+12,$Y199+$T199*12-1))-MAX(TahunBuku*12+1,$Y199)+1),0))</f>
        <v/>
      </c>
      <c r="AG199" s="20" t="str">
        <f>IF($B199="","",IF(OR($S199="Garis Lurus",$S199="Saldo Menurun",$S199="Unit Produksi"),MAX(0,MIN($Z199,IF($S199="Unit Produksi",TahunBuku*12+12,MIN(TahunBuku*12+12,$Y199+$T199*12-1)))-MAX(TahunBuku*12+1,$Y199)+1),0))</f>
        <v/>
      </c>
      <c r="AH199" s="21" t="str">
        <f>IF($B199="","",IFERROR(IF($W199="Garis Lurus",$G199*(1-MIN($V199*12,MAX(0,TahunBuku*12-$Y199+1))/($V199*12)),IF($W199="Saldo Menurun",IF(TahunBuku-1&lt;YEAR($F199),$G199,IF(TahunBuku-1&gt;=INT(($Y199+$V199*12-2)/12),0,$G199*(1-2/$V199*(13-MONTH($F199))/12)*(1-2/$V199)^(TahunBuku-1-YEAR($F199)))),$G199)),$G199))</f>
        <v/>
      </c>
      <c r="AI199" s="21" t="str">
        <f>IF($B199="","",IFERROR(IF($W199="Garis Lurus",$G199*(1-MIN($V199*12,MAX(0,TahunBuku*12+12-$Y199+1))/($V199*12)),IF($W199="Saldo Menurun",IF(TahunBuku&lt;YEAR($F199),$G199,IF(TahunBuku&gt;=INT(($Y199+$V199*12-2)/12),0,$G199*(1-2/$V199*(13-MONTH($F199))/12)*(1-2/$V199)^(TahunBuku-YEAR($F199)))),$G199)),$G199))</f>
        <v/>
      </c>
      <c r="AJ199" s="20" t="str">
        <f>IF($B199="","",IF(OR($W199="Garis Lurus",$W199="Saldo Menurun"),MAX(0,MIN(TahunBuku*12+12,$Y199+$V199*12-1)-MAX(TahunBuku*12+1,$Y199)+1),0))</f>
        <v/>
      </c>
      <c r="AK199" s="20" t="str">
        <f>IF($B199="","",IF(OR($W199="Garis Lurus",$W199="Saldo Menurun"),MAX(0,MIN($Z199,TahunBuku*12+12,$Y199+$V199*12-1)-MAX(TahunBuku*12+1,$Y199)+1),0))</f>
        <v/>
      </c>
      <c r="AL199" s="22" t="str">
        <f>IF($B199="","",$G199*$AA199)</f>
        <v/>
      </c>
      <c r="AM199" s="22" t="str">
        <f>IF($B199="","",$G199*$AB199)</f>
        <v/>
      </c>
      <c r="AN199" s="22" t="str">
        <f>IF($B199="","",$G199*$AC199)</f>
        <v/>
      </c>
      <c r="AO199" s="22" t="str">
        <f>IF($B199="","",AL199+AM199-AN199)</f>
        <v/>
      </c>
      <c r="AP199" s="22" t="str">
        <f>IF($B199="","",($G199-$AD199)*$AA199)</f>
        <v/>
      </c>
      <c r="AQ199" s="22" t="str">
        <f>IF($B199="","",IF($AF199=0,0,($AD199-$AE199)*$AG199/$AF199)*MAX($AA199,$AB199))</f>
        <v/>
      </c>
      <c r="AR199" s="22" t="str">
        <f>IF($B199="","",(AP199+AQ199)*$AC199)</f>
        <v/>
      </c>
      <c r="AS199" s="22" t="str">
        <f>IF($B199="","",AP199+AQ199-AR199)</f>
        <v/>
      </c>
      <c r="AT199" s="22" t="str">
        <f>IF($B199="","",AO199-AS199)</f>
        <v/>
      </c>
      <c r="AU199" s="22" t="str">
        <f>IF($B199="","",IF($AC199=1,N($R199)-($G199-AR199),0))</f>
        <v/>
      </c>
      <c r="AV199" s="22" t="str">
        <f>IF($B199="","",($G199-$AH199)*$AA199)</f>
        <v/>
      </c>
      <c r="AW199" s="22" t="str">
        <f>IF($B199="","",IF($AJ199=0,0,($AH199-$AI199)*$AK199/$AJ199)*MAX($AA199,$AB199))</f>
        <v/>
      </c>
      <c r="AX199" s="22" t="str">
        <f>IF($B199="","",(AV199+AW199)*$AC199)</f>
        <v/>
      </c>
      <c r="AY199" s="22" t="str">
        <f>IF($B199="","",AV199+AW199-AX199)</f>
        <v/>
      </c>
      <c r="AZ199" s="22" t="str">
        <f>IF($B199="","",AO199-AY199)</f>
        <v/>
      </c>
      <c r="BA199" s="22" t="str">
        <f>IF($B199="","",IF($AC199=1,N($R199)-($G199-AX199),0))</f>
        <v/>
      </c>
      <c r="BB199" s="22" t="str">
        <f>IF($B199="","",ROUND(AQ199-AW199,0))</f>
        <v/>
      </c>
      <c r="BC199" s="22" t="str">
        <f>IF($B199="","",ROUND(BA199-AU199,0))</f>
        <v/>
      </c>
      <c r="BD199" s="22" t="str">
        <f>IF($B199="","",BB199+BC199)</f>
        <v/>
      </c>
      <c r="BE199" s="22" t="str">
        <f>IF($B199="","",ROUND(AV199-AP199,0))</f>
        <v/>
      </c>
      <c r="BF199" s="22" t="str">
        <f>IF($B199="","",ROUND(AT199-AZ199,0))</f>
        <v/>
      </c>
      <c r="BG199" s="22" t="str">
        <f>IF($B199="","",ROUND(BF199*TarifPPh,0))</f>
        <v/>
      </c>
      <c r="BH199" t="str">
        <f>IF($B199="","",IF($D199="","Kategori kosong",IF($F199="","Tgl perolehan kosong",IF(N($H199)&gt;$G199,"Residu &gt; harga perolehan",IF(AND(LEFT($U199,8)="Bangunan",$W199="Saldo Menurun"),"Bangunan wajib Garis Lurus (Ps.11 UU PPh)",IF(AND($S199="Unit Produksi",N($K199)=0),"Isi kapasitas unit",IF(AND(OR($S199="Garis Lurus",$S199="Saldo Menurun"),N($T199)&lt;=0),"Umur komersial kosong",IF(AND(OR($W199="Garis Lurus",$W199="Saldo Menurun"),N($V199)&lt;=0),"Masa manfaat fiskal kosong",IF(AND($Q199&lt;&gt;"",$Q199&lt;$F199),"Tgl pelepasan &lt; perolehan","OK")))))))))</f>
        <v/>
      </c>
    </row>
    <row r="200" spans="1:60" x14ac:dyDescent="0.25">
      <c r="A200" t="str">
        <f>IF($B200="","",ROW()-6)</f>
        <v/>
      </c>
      <c r="B200" s="9"/>
      <c r="C200" s="9"/>
      <c r="D200" s="9"/>
      <c r="E200" s="9"/>
      <c r="F200" s="17"/>
      <c r="G200" s="18"/>
      <c r="H200" s="18"/>
      <c r="I200" s="9"/>
      <c r="J200" s="9"/>
      <c r="K200" s="19"/>
      <c r="L200" s="19"/>
      <c r="M200" s="19"/>
      <c r="N200" s="9"/>
      <c r="O200" s="9"/>
      <c r="P200" s="9"/>
      <c r="Q200" s="17"/>
      <c r="R200" s="18"/>
      <c r="S200" t="str">
        <f>IF($B200="","",IF($I200&lt;&gt;"",$I200,IFERROR(INDEX(Kat_Metode,MATCH($D200,Kat_Nama,0)),"")))</f>
        <v/>
      </c>
      <c r="T200" t="str">
        <f>IF($B200="","",IF($J200&lt;&gt;"",$J200,IFERROR(INDEX(Kat_Umur,MATCH($D200,Kat_Nama,0)),0)))</f>
        <v/>
      </c>
      <c r="U200" t="str">
        <f>IF($B200="","",IF($N200&lt;&gt;"",$N200,IFERROR(INDEX(Kat_Kelompok,MATCH($D200,Kat_Nama,0)),"")))</f>
        <v/>
      </c>
      <c r="V200" t="str">
        <f>IF($B200="","",IF($U200="Masa Manfaat Sebenarnya",N($O200),IFERROR(INDEX(Kel_Masa,MATCH($U200,Kel_Nama,0)),0)))</f>
        <v/>
      </c>
      <c r="W200" t="str">
        <f>IF($B200="","",IF($P200&lt;&gt;"",$P200,IF(OR($U200="Tidak Disusutkan",$V200=0),"Tidak Disusutkan","Garis Lurus")))</f>
        <v/>
      </c>
      <c r="X200" t="str">
        <f>IF($B200="","",IF($Y200&gt;TahunBuku*12+12,"Belum Diperoleh",IF($Z200&lt;=TahunBuku*12,"Dilepas (thn lalu)",IF($AC200=1,"Dilepas thn ini",IF($AB200=1,"Perolehan baru","Aktif")))))</f>
        <v/>
      </c>
      <c r="Y200" s="20" t="str">
        <f>IF($B200="","",YEAR($F200)*12+MONTH($F200))</f>
        <v/>
      </c>
      <c r="Z200" s="20" t="str">
        <f>IF($B200="","",IF($Q200="",99999,YEAR($Q200)*12+MONTH($Q200)))</f>
        <v/>
      </c>
      <c r="AA200" s="20" t="str">
        <f>IF($B200="","",--AND($Y200&lt;=TahunBuku*12,$Z200&gt;TahunBuku*12))</f>
        <v/>
      </c>
      <c r="AB200" s="20" t="str">
        <f>IF($B200="","",--AND($Y200&gt;TahunBuku*12,$Y200&lt;=TahunBuku*12+12))</f>
        <v/>
      </c>
      <c r="AC200" s="20" t="str">
        <f>IF($B200="","",--AND($Z200&gt;TahunBuku*12,$Z200&lt;=TahunBuku*12+12,$Y200&lt;=$Z200))</f>
        <v/>
      </c>
      <c r="AD200" s="21" t="str">
        <f>IF($B200="","",IFERROR(IF($S200="Garis Lurus",$G200-($G200-$H200)*MIN($T200*12,MAX(0,TahunBuku*12-$Y200+1))/($T200*12),IF($S200="Saldo Menurun",IF(TahunBuku-1&lt;YEAR($F200),$G200,IF(TahunBuku-1&gt;=INT(($Y200+$T200*12-2)/12),$H200,MAX($H200,$G200*(1-2/$T200*(13-MONTH($F200))/12)*(1-2/$T200)^(TahunBuku-1-YEAR($F200))))),IF($S200="Unit Produksi",$G200-($G200-$H200)*MIN(1,N($L200)/$K200),$G200))),$G200))</f>
        <v/>
      </c>
      <c r="AE200" s="21" t="str">
        <f>IF($B200="","",IFERROR(IF($S200="Garis Lurus",$G200-($G200-$H200)*MIN($T200*12,MAX(0,TahunBuku*12+12-$Y200+1))/($T200*12),IF($S200="Saldo Menurun",IF(TahunBuku&lt;YEAR($F200),$G200,IF(TahunBuku&gt;=INT(($Y200+$T200*12-2)/12),$H200,MAX($H200,$G200*(1-2/$T200*(13-MONTH($F200))/12)*(1-2/$T200)^(TahunBuku-YEAR($F200))))),IF($S200="Unit Produksi",$G200-($G200-$H200)*MIN(1,(N($L200)+N($M200))/$K200),$G200))),$G200))</f>
        <v/>
      </c>
      <c r="AF200" s="20" t="str">
        <f>IF($B200="","",IF(OR($S200="Garis Lurus",$S200="Saldo Menurun",$S200="Unit Produksi"),MAX(0,IF($S200="Unit Produksi",TahunBuku*12+12,MIN(TahunBuku*12+12,$Y200+$T200*12-1))-MAX(TahunBuku*12+1,$Y200)+1),0))</f>
        <v/>
      </c>
      <c r="AG200" s="20" t="str">
        <f>IF($B200="","",IF(OR($S200="Garis Lurus",$S200="Saldo Menurun",$S200="Unit Produksi"),MAX(0,MIN($Z200,IF($S200="Unit Produksi",TahunBuku*12+12,MIN(TahunBuku*12+12,$Y200+$T200*12-1)))-MAX(TahunBuku*12+1,$Y200)+1),0))</f>
        <v/>
      </c>
      <c r="AH200" s="21" t="str">
        <f>IF($B200="","",IFERROR(IF($W200="Garis Lurus",$G200*(1-MIN($V200*12,MAX(0,TahunBuku*12-$Y200+1))/($V200*12)),IF($W200="Saldo Menurun",IF(TahunBuku-1&lt;YEAR($F200),$G200,IF(TahunBuku-1&gt;=INT(($Y200+$V200*12-2)/12),0,$G200*(1-2/$V200*(13-MONTH($F200))/12)*(1-2/$V200)^(TahunBuku-1-YEAR($F200)))),$G200)),$G200))</f>
        <v/>
      </c>
      <c r="AI200" s="21" t="str">
        <f>IF($B200="","",IFERROR(IF($W200="Garis Lurus",$G200*(1-MIN($V200*12,MAX(0,TahunBuku*12+12-$Y200+1))/($V200*12)),IF($W200="Saldo Menurun",IF(TahunBuku&lt;YEAR($F200),$G200,IF(TahunBuku&gt;=INT(($Y200+$V200*12-2)/12),0,$G200*(1-2/$V200*(13-MONTH($F200))/12)*(1-2/$V200)^(TahunBuku-YEAR($F200)))),$G200)),$G200))</f>
        <v/>
      </c>
      <c r="AJ200" s="20" t="str">
        <f>IF($B200="","",IF(OR($W200="Garis Lurus",$W200="Saldo Menurun"),MAX(0,MIN(TahunBuku*12+12,$Y200+$V200*12-1)-MAX(TahunBuku*12+1,$Y200)+1),0))</f>
        <v/>
      </c>
      <c r="AK200" s="20" t="str">
        <f>IF($B200="","",IF(OR($W200="Garis Lurus",$W200="Saldo Menurun"),MAX(0,MIN($Z200,TahunBuku*12+12,$Y200+$V200*12-1)-MAX(TahunBuku*12+1,$Y200)+1),0))</f>
        <v/>
      </c>
      <c r="AL200" s="22" t="str">
        <f>IF($B200="","",$G200*$AA200)</f>
        <v/>
      </c>
      <c r="AM200" s="22" t="str">
        <f>IF($B200="","",$G200*$AB200)</f>
        <v/>
      </c>
      <c r="AN200" s="22" t="str">
        <f>IF($B200="","",$G200*$AC200)</f>
        <v/>
      </c>
      <c r="AO200" s="22" t="str">
        <f>IF($B200="","",AL200+AM200-AN200)</f>
        <v/>
      </c>
      <c r="AP200" s="22" t="str">
        <f>IF($B200="","",($G200-$AD200)*$AA200)</f>
        <v/>
      </c>
      <c r="AQ200" s="22" t="str">
        <f>IF($B200="","",IF($AF200=0,0,($AD200-$AE200)*$AG200/$AF200)*MAX($AA200,$AB200))</f>
        <v/>
      </c>
      <c r="AR200" s="22" t="str">
        <f>IF($B200="","",(AP200+AQ200)*$AC200)</f>
        <v/>
      </c>
      <c r="AS200" s="22" t="str">
        <f>IF($B200="","",AP200+AQ200-AR200)</f>
        <v/>
      </c>
      <c r="AT200" s="22" t="str">
        <f>IF($B200="","",AO200-AS200)</f>
        <v/>
      </c>
      <c r="AU200" s="22" t="str">
        <f>IF($B200="","",IF($AC200=1,N($R200)-($G200-AR200),0))</f>
        <v/>
      </c>
      <c r="AV200" s="22" t="str">
        <f>IF($B200="","",($G200-$AH200)*$AA200)</f>
        <v/>
      </c>
      <c r="AW200" s="22" t="str">
        <f>IF($B200="","",IF($AJ200=0,0,($AH200-$AI200)*$AK200/$AJ200)*MAX($AA200,$AB200))</f>
        <v/>
      </c>
      <c r="AX200" s="22" t="str">
        <f>IF($B200="","",(AV200+AW200)*$AC200)</f>
        <v/>
      </c>
      <c r="AY200" s="22" t="str">
        <f>IF($B200="","",AV200+AW200-AX200)</f>
        <v/>
      </c>
      <c r="AZ200" s="22" t="str">
        <f>IF($B200="","",AO200-AY200)</f>
        <v/>
      </c>
      <c r="BA200" s="22" t="str">
        <f>IF($B200="","",IF($AC200=1,N($R200)-($G200-AX200),0))</f>
        <v/>
      </c>
      <c r="BB200" s="22" t="str">
        <f>IF($B200="","",ROUND(AQ200-AW200,0))</f>
        <v/>
      </c>
      <c r="BC200" s="22" t="str">
        <f>IF($B200="","",ROUND(BA200-AU200,0))</f>
        <v/>
      </c>
      <c r="BD200" s="22" t="str">
        <f>IF($B200="","",BB200+BC200)</f>
        <v/>
      </c>
      <c r="BE200" s="22" t="str">
        <f>IF($B200="","",ROUND(AV200-AP200,0))</f>
        <v/>
      </c>
      <c r="BF200" s="22" t="str">
        <f>IF($B200="","",ROUND(AT200-AZ200,0))</f>
        <v/>
      </c>
      <c r="BG200" s="22" t="str">
        <f>IF($B200="","",ROUND(BF200*TarifPPh,0))</f>
        <v/>
      </c>
      <c r="BH200" t="str">
        <f>IF($B200="","",IF($D200="","Kategori kosong",IF($F200="","Tgl perolehan kosong",IF(N($H200)&gt;$G200,"Residu &gt; harga perolehan",IF(AND(LEFT($U200,8)="Bangunan",$W200="Saldo Menurun"),"Bangunan wajib Garis Lurus (Ps.11 UU PPh)",IF(AND($S200="Unit Produksi",N($K200)=0),"Isi kapasitas unit",IF(AND(OR($S200="Garis Lurus",$S200="Saldo Menurun"),N($T200)&lt;=0),"Umur komersial kosong",IF(AND(OR($W200="Garis Lurus",$W200="Saldo Menurun"),N($V200)&lt;=0),"Masa manfaat fiskal kosong",IF(AND($Q200&lt;&gt;"",$Q200&lt;$F200),"Tgl pelepasan &lt; perolehan","OK")))))))))</f>
        <v/>
      </c>
    </row>
    <row r="201" spans="1:60" x14ac:dyDescent="0.25">
      <c r="A201" t="str">
        <f>IF($B201="","",ROW()-6)</f>
        <v/>
      </c>
      <c r="B201" s="9"/>
      <c r="C201" s="9"/>
      <c r="D201" s="9"/>
      <c r="E201" s="9"/>
      <c r="F201" s="17"/>
      <c r="G201" s="18"/>
      <c r="H201" s="18"/>
      <c r="I201" s="9"/>
      <c r="J201" s="9"/>
      <c r="K201" s="19"/>
      <c r="L201" s="19"/>
      <c r="M201" s="19"/>
      <c r="N201" s="9"/>
      <c r="O201" s="9"/>
      <c r="P201" s="9"/>
      <c r="Q201" s="17"/>
      <c r="R201" s="18"/>
      <c r="S201" t="str">
        <f>IF($B201="","",IF($I201&lt;&gt;"",$I201,IFERROR(INDEX(Kat_Metode,MATCH($D201,Kat_Nama,0)),"")))</f>
        <v/>
      </c>
      <c r="T201" t="str">
        <f>IF($B201="","",IF($J201&lt;&gt;"",$J201,IFERROR(INDEX(Kat_Umur,MATCH($D201,Kat_Nama,0)),0)))</f>
        <v/>
      </c>
      <c r="U201" t="str">
        <f>IF($B201="","",IF($N201&lt;&gt;"",$N201,IFERROR(INDEX(Kat_Kelompok,MATCH($D201,Kat_Nama,0)),"")))</f>
        <v/>
      </c>
      <c r="V201" t="str">
        <f>IF($B201="","",IF($U201="Masa Manfaat Sebenarnya",N($O201),IFERROR(INDEX(Kel_Masa,MATCH($U201,Kel_Nama,0)),0)))</f>
        <v/>
      </c>
      <c r="W201" t="str">
        <f>IF($B201="","",IF($P201&lt;&gt;"",$P201,IF(OR($U201="Tidak Disusutkan",$V201=0),"Tidak Disusutkan","Garis Lurus")))</f>
        <v/>
      </c>
      <c r="X201" t="str">
        <f>IF($B201="","",IF($Y201&gt;TahunBuku*12+12,"Belum Diperoleh",IF($Z201&lt;=TahunBuku*12,"Dilepas (thn lalu)",IF($AC201=1,"Dilepas thn ini",IF($AB201=1,"Perolehan baru","Aktif")))))</f>
        <v/>
      </c>
      <c r="Y201" s="20" t="str">
        <f>IF($B201="","",YEAR($F201)*12+MONTH($F201))</f>
        <v/>
      </c>
      <c r="Z201" s="20" t="str">
        <f>IF($B201="","",IF($Q201="",99999,YEAR($Q201)*12+MONTH($Q201)))</f>
        <v/>
      </c>
      <c r="AA201" s="20" t="str">
        <f>IF($B201="","",--AND($Y201&lt;=TahunBuku*12,$Z201&gt;TahunBuku*12))</f>
        <v/>
      </c>
      <c r="AB201" s="20" t="str">
        <f>IF($B201="","",--AND($Y201&gt;TahunBuku*12,$Y201&lt;=TahunBuku*12+12))</f>
        <v/>
      </c>
      <c r="AC201" s="20" t="str">
        <f>IF($B201="","",--AND($Z201&gt;TahunBuku*12,$Z201&lt;=TahunBuku*12+12,$Y201&lt;=$Z201))</f>
        <v/>
      </c>
      <c r="AD201" s="21" t="str">
        <f>IF($B201="","",IFERROR(IF($S201="Garis Lurus",$G201-($G201-$H201)*MIN($T201*12,MAX(0,TahunBuku*12-$Y201+1))/($T201*12),IF($S201="Saldo Menurun",IF(TahunBuku-1&lt;YEAR($F201),$G201,IF(TahunBuku-1&gt;=INT(($Y201+$T201*12-2)/12),$H201,MAX($H201,$G201*(1-2/$T201*(13-MONTH($F201))/12)*(1-2/$T201)^(TahunBuku-1-YEAR($F201))))),IF($S201="Unit Produksi",$G201-($G201-$H201)*MIN(1,N($L201)/$K201),$G201))),$G201))</f>
        <v/>
      </c>
      <c r="AE201" s="21" t="str">
        <f>IF($B201="","",IFERROR(IF($S201="Garis Lurus",$G201-($G201-$H201)*MIN($T201*12,MAX(0,TahunBuku*12+12-$Y201+1))/($T201*12),IF($S201="Saldo Menurun",IF(TahunBuku&lt;YEAR($F201),$G201,IF(TahunBuku&gt;=INT(($Y201+$T201*12-2)/12),$H201,MAX($H201,$G201*(1-2/$T201*(13-MONTH($F201))/12)*(1-2/$T201)^(TahunBuku-YEAR($F201))))),IF($S201="Unit Produksi",$G201-($G201-$H201)*MIN(1,(N($L201)+N($M201))/$K201),$G201))),$G201))</f>
        <v/>
      </c>
      <c r="AF201" s="20" t="str">
        <f>IF($B201="","",IF(OR($S201="Garis Lurus",$S201="Saldo Menurun",$S201="Unit Produksi"),MAX(0,IF($S201="Unit Produksi",TahunBuku*12+12,MIN(TahunBuku*12+12,$Y201+$T201*12-1))-MAX(TahunBuku*12+1,$Y201)+1),0))</f>
        <v/>
      </c>
      <c r="AG201" s="20" t="str">
        <f>IF($B201="","",IF(OR($S201="Garis Lurus",$S201="Saldo Menurun",$S201="Unit Produksi"),MAX(0,MIN($Z201,IF($S201="Unit Produksi",TahunBuku*12+12,MIN(TahunBuku*12+12,$Y201+$T201*12-1)))-MAX(TahunBuku*12+1,$Y201)+1),0))</f>
        <v/>
      </c>
      <c r="AH201" s="21" t="str">
        <f>IF($B201="","",IFERROR(IF($W201="Garis Lurus",$G201*(1-MIN($V201*12,MAX(0,TahunBuku*12-$Y201+1))/($V201*12)),IF($W201="Saldo Menurun",IF(TahunBuku-1&lt;YEAR($F201),$G201,IF(TahunBuku-1&gt;=INT(($Y201+$V201*12-2)/12),0,$G201*(1-2/$V201*(13-MONTH($F201))/12)*(1-2/$V201)^(TahunBuku-1-YEAR($F201)))),$G201)),$G201))</f>
        <v/>
      </c>
      <c r="AI201" s="21" t="str">
        <f>IF($B201="","",IFERROR(IF($W201="Garis Lurus",$G201*(1-MIN($V201*12,MAX(0,TahunBuku*12+12-$Y201+1))/($V201*12)),IF($W201="Saldo Menurun",IF(TahunBuku&lt;YEAR($F201),$G201,IF(TahunBuku&gt;=INT(($Y201+$V201*12-2)/12),0,$G201*(1-2/$V201*(13-MONTH($F201))/12)*(1-2/$V201)^(TahunBuku-YEAR($F201)))),$G201)),$G201))</f>
        <v/>
      </c>
      <c r="AJ201" s="20" t="str">
        <f>IF($B201="","",IF(OR($W201="Garis Lurus",$W201="Saldo Menurun"),MAX(0,MIN(TahunBuku*12+12,$Y201+$V201*12-1)-MAX(TahunBuku*12+1,$Y201)+1),0))</f>
        <v/>
      </c>
      <c r="AK201" s="20" t="str">
        <f>IF($B201="","",IF(OR($W201="Garis Lurus",$W201="Saldo Menurun"),MAX(0,MIN($Z201,TahunBuku*12+12,$Y201+$V201*12-1)-MAX(TahunBuku*12+1,$Y201)+1),0))</f>
        <v/>
      </c>
      <c r="AL201" s="22" t="str">
        <f>IF($B201="","",$G201*$AA201)</f>
        <v/>
      </c>
      <c r="AM201" s="22" t="str">
        <f>IF($B201="","",$G201*$AB201)</f>
        <v/>
      </c>
      <c r="AN201" s="22" t="str">
        <f>IF($B201="","",$G201*$AC201)</f>
        <v/>
      </c>
      <c r="AO201" s="22" t="str">
        <f>IF($B201="","",AL201+AM201-AN201)</f>
        <v/>
      </c>
      <c r="AP201" s="22" t="str">
        <f>IF($B201="","",($G201-$AD201)*$AA201)</f>
        <v/>
      </c>
      <c r="AQ201" s="22" t="str">
        <f>IF($B201="","",IF($AF201=0,0,($AD201-$AE201)*$AG201/$AF201)*MAX($AA201,$AB201))</f>
        <v/>
      </c>
      <c r="AR201" s="22" t="str">
        <f>IF($B201="","",(AP201+AQ201)*$AC201)</f>
        <v/>
      </c>
      <c r="AS201" s="22" t="str">
        <f>IF($B201="","",AP201+AQ201-AR201)</f>
        <v/>
      </c>
      <c r="AT201" s="22" t="str">
        <f>IF($B201="","",AO201-AS201)</f>
        <v/>
      </c>
      <c r="AU201" s="22" t="str">
        <f>IF($B201="","",IF($AC201=1,N($R201)-($G201-AR201),0))</f>
        <v/>
      </c>
      <c r="AV201" s="22" t="str">
        <f>IF($B201="","",($G201-$AH201)*$AA201)</f>
        <v/>
      </c>
      <c r="AW201" s="22" t="str">
        <f>IF($B201="","",IF($AJ201=0,0,($AH201-$AI201)*$AK201/$AJ201)*MAX($AA201,$AB201))</f>
        <v/>
      </c>
      <c r="AX201" s="22" t="str">
        <f>IF($B201="","",(AV201+AW201)*$AC201)</f>
        <v/>
      </c>
      <c r="AY201" s="22" t="str">
        <f>IF($B201="","",AV201+AW201-AX201)</f>
        <v/>
      </c>
      <c r="AZ201" s="22" t="str">
        <f>IF($B201="","",AO201-AY201)</f>
        <v/>
      </c>
      <c r="BA201" s="22" t="str">
        <f>IF($B201="","",IF($AC201=1,N($R201)-($G201-AX201),0))</f>
        <v/>
      </c>
      <c r="BB201" s="22" t="str">
        <f>IF($B201="","",ROUND(AQ201-AW201,0))</f>
        <v/>
      </c>
      <c r="BC201" s="22" t="str">
        <f>IF($B201="","",ROUND(BA201-AU201,0))</f>
        <v/>
      </c>
      <c r="BD201" s="22" t="str">
        <f>IF($B201="","",BB201+BC201)</f>
        <v/>
      </c>
      <c r="BE201" s="22" t="str">
        <f>IF($B201="","",ROUND(AV201-AP201,0))</f>
        <v/>
      </c>
      <c r="BF201" s="22" t="str">
        <f>IF($B201="","",ROUND(AT201-AZ201,0))</f>
        <v/>
      </c>
      <c r="BG201" s="22" t="str">
        <f>IF($B201="","",ROUND(BF201*TarifPPh,0))</f>
        <v/>
      </c>
      <c r="BH201" t="str">
        <f>IF($B201="","",IF($D201="","Kategori kosong",IF($F201="","Tgl perolehan kosong",IF(N($H201)&gt;$G201,"Residu &gt; harga perolehan",IF(AND(LEFT($U201,8)="Bangunan",$W201="Saldo Menurun"),"Bangunan wajib Garis Lurus (Ps.11 UU PPh)",IF(AND($S201="Unit Produksi",N($K201)=0),"Isi kapasitas unit",IF(AND(OR($S201="Garis Lurus",$S201="Saldo Menurun"),N($T201)&lt;=0),"Umur komersial kosong",IF(AND(OR($W201="Garis Lurus",$W201="Saldo Menurun"),N($V201)&lt;=0),"Masa manfaat fiskal kosong",IF(AND($Q201&lt;&gt;"",$Q201&lt;$F201),"Tgl pelepasan &lt; perolehan","OK")))))))))</f>
        <v/>
      </c>
    </row>
    <row r="202" spans="1:60" x14ac:dyDescent="0.25">
      <c r="A202" t="str">
        <f>IF($B202="","",ROW()-6)</f>
        <v/>
      </c>
      <c r="B202" s="9"/>
      <c r="C202" s="9"/>
      <c r="D202" s="9"/>
      <c r="E202" s="9"/>
      <c r="F202" s="17"/>
      <c r="G202" s="18"/>
      <c r="H202" s="18"/>
      <c r="I202" s="9"/>
      <c r="J202" s="9"/>
      <c r="K202" s="19"/>
      <c r="L202" s="19"/>
      <c r="M202" s="19"/>
      <c r="N202" s="9"/>
      <c r="O202" s="9"/>
      <c r="P202" s="9"/>
      <c r="Q202" s="17"/>
      <c r="R202" s="18"/>
      <c r="S202" t="str">
        <f>IF($B202="","",IF($I202&lt;&gt;"",$I202,IFERROR(INDEX(Kat_Metode,MATCH($D202,Kat_Nama,0)),"")))</f>
        <v/>
      </c>
      <c r="T202" t="str">
        <f>IF($B202="","",IF($J202&lt;&gt;"",$J202,IFERROR(INDEX(Kat_Umur,MATCH($D202,Kat_Nama,0)),0)))</f>
        <v/>
      </c>
      <c r="U202" t="str">
        <f>IF($B202="","",IF($N202&lt;&gt;"",$N202,IFERROR(INDEX(Kat_Kelompok,MATCH($D202,Kat_Nama,0)),"")))</f>
        <v/>
      </c>
      <c r="V202" t="str">
        <f>IF($B202="","",IF($U202="Masa Manfaat Sebenarnya",N($O202),IFERROR(INDEX(Kel_Masa,MATCH($U202,Kel_Nama,0)),0)))</f>
        <v/>
      </c>
      <c r="W202" t="str">
        <f>IF($B202="","",IF($P202&lt;&gt;"",$P202,IF(OR($U202="Tidak Disusutkan",$V202=0),"Tidak Disusutkan","Garis Lurus")))</f>
        <v/>
      </c>
      <c r="X202" t="str">
        <f>IF($B202="","",IF($Y202&gt;TahunBuku*12+12,"Belum Diperoleh",IF($Z202&lt;=TahunBuku*12,"Dilepas (thn lalu)",IF($AC202=1,"Dilepas thn ini",IF($AB202=1,"Perolehan baru","Aktif")))))</f>
        <v/>
      </c>
      <c r="Y202" s="20" t="str">
        <f>IF($B202="","",YEAR($F202)*12+MONTH($F202))</f>
        <v/>
      </c>
      <c r="Z202" s="20" t="str">
        <f>IF($B202="","",IF($Q202="",99999,YEAR($Q202)*12+MONTH($Q202)))</f>
        <v/>
      </c>
      <c r="AA202" s="20" t="str">
        <f>IF($B202="","",--AND($Y202&lt;=TahunBuku*12,$Z202&gt;TahunBuku*12))</f>
        <v/>
      </c>
      <c r="AB202" s="20" t="str">
        <f>IF($B202="","",--AND($Y202&gt;TahunBuku*12,$Y202&lt;=TahunBuku*12+12))</f>
        <v/>
      </c>
      <c r="AC202" s="20" t="str">
        <f>IF($B202="","",--AND($Z202&gt;TahunBuku*12,$Z202&lt;=TahunBuku*12+12,$Y202&lt;=$Z202))</f>
        <v/>
      </c>
      <c r="AD202" s="21" t="str">
        <f>IF($B202="","",IFERROR(IF($S202="Garis Lurus",$G202-($G202-$H202)*MIN($T202*12,MAX(0,TahunBuku*12-$Y202+1))/($T202*12),IF($S202="Saldo Menurun",IF(TahunBuku-1&lt;YEAR($F202),$G202,IF(TahunBuku-1&gt;=INT(($Y202+$T202*12-2)/12),$H202,MAX($H202,$G202*(1-2/$T202*(13-MONTH($F202))/12)*(1-2/$T202)^(TahunBuku-1-YEAR($F202))))),IF($S202="Unit Produksi",$G202-($G202-$H202)*MIN(1,N($L202)/$K202),$G202))),$G202))</f>
        <v/>
      </c>
      <c r="AE202" s="21" t="str">
        <f>IF($B202="","",IFERROR(IF($S202="Garis Lurus",$G202-($G202-$H202)*MIN($T202*12,MAX(0,TahunBuku*12+12-$Y202+1))/($T202*12),IF($S202="Saldo Menurun",IF(TahunBuku&lt;YEAR($F202),$G202,IF(TahunBuku&gt;=INT(($Y202+$T202*12-2)/12),$H202,MAX($H202,$G202*(1-2/$T202*(13-MONTH($F202))/12)*(1-2/$T202)^(TahunBuku-YEAR($F202))))),IF($S202="Unit Produksi",$G202-($G202-$H202)*MIN(1,(N($L202)+N($M202))/$K202),$G202))),$G202))</f>
        <v/>
      </c>
      <c r="AF202" s="20" t="str">
        <f>IF($B202="","",IF(OR($S202="Garis Lurus",$S202="Saldo Menurun",$S202="Unit Produksi"),MAX(0,IF($S202="Unit Produksi",TahunBuku*12+12,MIN(TahunBuku*12+12,$Y202+$T202*12-1))-MAX(TahunBuku*12+1,$Y202)+1),0))</f>
        <v/>
      </c>
      <c r="AG202" s="20" t="str">
        <f>IF($B202="","",IF(OR($S202="Garis Lurus",$S202="Saldo Menurun",$S202="Unit Produksi"),MAX(0,MIN($Z202,IF($S202="Unit Produksi",TahunBuku*12+12,MIN(TahunBuku*12+12,$Y202+$T202*12-1)))-MAX(TahunBuku*12+1,$Y202)+1),0))</f>
        <v/>
      </c>
      <c r="AH202" s="21" t="str">
        <f>IF($B202="","",IFERROR(IF($W202="Garis Lurus",$G202*(1-MIN($V202*12,MAX(0,TahunBuku*12-$Y202+1))/($V202*12)),IF($W202="Saldo Menurun",IF(TahunBuku-1&lt;YEAR($F202),$G202,IF(TahunBuku-1&gt;=INT(($Y202+$V202*12-2)/12),0,$G202*(1-2/$V202*(13-MONTH($F202))/12)*(1-2/$V202)^(TahunBuku-1-YEAR($F202)))),$G202)),$G202))</f>
        <v/>
      </c>
      <c r="AI202" s="21" t="str">
        <f>IF($B202="","",IFERROR(IF($W202="Garis Lurus",$G202*(1-MIN($V202*12,MAX(0,TahunBuku*12+12-$Y202+1))/($V202*12)),IF($W202="Saldo Menurun",IF(TahunBuku&lt;YEAR($F202),$G202,IF(TahunBuku&gt;=INT(($Y202+$V202*12-2)/12),0,$G202*(1-2/$V202*(13-MONTH($F202))/12)*(1-2/$V202)^(TahunBuku-YEAR($F202)))),$G202)),$G202))</f>
        <v/>
      </c>
      <c r="AJ202" s="20" t="str">
        <f>IF($B202="","",IF(OR($W202="Garis Lurus",$W202="Saldo Menurun"),MAX(0,MIN(TahunBuku*12+12,$Y202+$V202*12-1)-MAX(TahunBuku*12+1,$Y202)+1),0))</f>
        <v/>
      </c>
      <c r="AK202" s="20" t="str">
        <f>IF($B202="","",IF(OR($W202="Garis Lurus",$W202="Saldo Menurun"),MAX(0,MIN($Z202,TahunBuku*12+12,$Y202+$V202*12-1)-MAX(TahunBuku*12+1,$Y202)+1),0))</f>
        <v/>
      </c>
      <c r="AL202" s="22" t="str">
        <f>IF($B202="","",$G202*$AA202)</f>
        <v/>
      </c>
      <c r="AM202" s="22" t="str">
        <f>IF($B202="","",$G202*$AB202)</f>
        <v/>
      </c>
      <c r="AN202" s="22" t="str">
        <f>IF($B202="","",$G202*$AC202)</f>
        <v/>
      </c>
      <c r="AO202" s="22" t="str">
        <f>IF($B202="","",AL202+AM202-AN202)</f>
        <v/>
      </c>
      <c r="AP202" s="22" t="str">
        <f>IF($B202="","",($G202-$AD202)*$AA202)</f>
        <v/>
      </c>
      <c r="AQ202" s="22" t="str">
        <f>IF($B202="","",IF($AF202=0,0,($AD202-$AE202)*$AG202/$AF202)*MAX($AA202,$AB202))</f>
        <v/>
      </c>
      <c r="AR202" s="22" t="str">
        <f>IF($B202="","",(AP202+AQ202)*$AC202)</f>
        <v/>
      </c>
      <c r="AS202" s="22" t="str">
        <f>IF($B202="","",AP202+AQ202-AR202)</f>
        <v/>
      </c>
      <c r="AT202" s="22" t="str">
        <f>IF($B202="","",AO202-AS202)</f>
        <v/>
      </c>
      <c r="AU202" s="22" t="str">
        <f>IF($B202="","",IF($AC202=1,N($R202)-($G202-AR202),0))</f>
        <v/>
      </c>
      <c r="AV202" s="22" t="str">
        <f>IF($B202="","",($G202-$AH202)*$AA202)</f>
        <v/>
      </c>
      <c r="AW202" s="22" t="str">
        <f>IF($B202="","",IF($AJ202=0,0,($AH202-$AI202)*$AK202/$AJ202)*MAX($AA202,$AB202))</f>
        <v/>
      </c>
      <c r="AX202" s="22" t="str">
        <f>IF($B202="","",(AV202+AW202)*$AC202)</f>
        <v/>
      </c>
      <c r="AY202" s="22" t="str">
        <f>IF($B202="","",AV202+AW202-AX202)</f>
        <v/>
      </c>
      <c r="AZ202" s="22" t="str">
        <f>IF($B202="","",AO202-AY202)</f>
        <v/>
      </c>
      <c r="BA202" s="22" t="str">
        <f>IF($B202="","",IF($AC202=1,N($R202)-($G202-AX202),0))</f>
        <v/>
      </c>
      <c r="BB202" s="22" t="str">
        <f>IF($B202="","",ROUND(AQ202-AW202,0))</f>
        <v/>
      </c>
      <c r="BC202" s="22" t="str">
        <f>IF($B202="","",ROUND(BA202-AU202,0))</f>
        <v/>
      </c>
      <c r="BD202" s="22" t="str">
        <f>IF($B202="","",BB202+BC202)</f>
        <v/>
      </c>
      <c r="BE202" s="22" t="str">
        <f>IF($B202="","",ROUND(AV202-AP202,0))</f>
        <v/>
      </c>
      <c r="BF202" s="22" t="str">
        <f>IF($B202="","",ROUND(AT202-AZ202,0))</f>
        <v/>
      </c>
      <c r="BG202" s="22" t="str">
        <f>IF($B202="","",ROUND(BF202*TarifPPh,0))</f>
        <v/>
      </c>
      <c r="BH202" t="str">
        <f>IF($B202="","",IF($D202="","Kategori kosong",IF($F202="","Tgl perolehan kosong",IF(N($H202)&gt;$G202,"Residu &gt; harga perolehan",IF(AND(LEFT($U202,8)="Bangunan",$W202="Saldo Menurun"),"Bangunan wajib Garis Lurus (Ps.11 UU PPh)",IF(AND($S202="Unit Produksi",N($K202)=0),"Isi kapasitas unit",IF(AND(OR($S202="Garis Lurus",$S202="Saldo Menurun"),N($T202)&lt;=0),"Umur komersial kosong",IF(AND(OR($W202="Garis Lurus",$W202="Saldo Menurun"),N($V202)&lt;=0),"Masa manfaat fiskal kosong",IF(AND($Q202&lt;&gt;"",$Q202&lt;$F202),"Tgl pelepasan &lt; perolehan","OK")))))))))</f>
        <v/>
      </c>
    </row>
    <row r="203" spans="1:60" x14ac:dyDescent="0.25">
      <c r="A203" t="str">
        <f>IF($B203="","",ROW()-6)</f>
        <v/>
      </c>
      <c r="B203" s="9"/>
      <c r="C203" s="9"/>
      <c r="D203" s="9"/>
      <c r="E203" s="9"/>
      <c r="F203" s="17"/>
      <c r="G203" s="18"/>
      <c r="H203" s="18"/>
      <c r="I203" s="9"/>
      <c r="J203" s="9"/>
      <c r="K203" s="19"/>
      <c r="L203" s="19"/>
      <c r="M203" s="19"/>
      <c r="N203" s="9"/>
      <c r="O203" s="9"/>
      <c r="P203" s="9"/>
      <c r="Q203" s="17"/>
      <c r="R203" s="18"/>
      <c r="S203" t="str">
        <f>IF($B203="","",IF($I203&lt;&gt;"",$I203,IFERROR(INDEX(Kat_Metode,MATCH($D203,Kat_Nama,0)),"")))</f>
        <v/>
      </c>
      <c r="T203" t="str">
        <f>IF($B203="","",IF($J203&lt;&gt;"",$J203,IFERROR(INDEX(Kat_Umur,MATCH($D203,Kat_Nama,0)),0)))</f>
        <v/>
      </c>
      <c r="U203" t="str">
        <f>IF($B203="","",IF($N203&lt;&gt;"",$N203,IFERROR(INDEX(Kat_Kelompok,MATCH($D203,Kat_Nama,0)),"")))</f>
        <v/>
      </c>
      <c r="V203" t="str">
        <f>IF($B203="","",IF($U203="Masa Manfaat Sebenarnya",N($O203),IFERROR(INDEX(Kel_Masa,MATCH($U203,Kel_Nama,0)),0)))</f>
        <v/>
      </c>
      <c r="W203" t="str">
        <f>IF($B203="","",IF($P203&lt;&gt;"",$P203,IF(OR($U203="Tidak Disusutkan",$V203=0),"Tidak Disusutkan","Garis Lurus")))</f>
        <v/>
      </c>
      <c r="X203" t="str">
        <f>IF($B203="","",IF($Y203&gt;TahunBuku*12+12,"Belum Diperoleh",IF($Z203&lt;=TahunBuku*12,"Dilepas (thn lalu)",IF($AC203=1,"Dilepas thn ini",IF($AB203=1,"Perolehan baru","Aktif")))))</f>
        <v/>
      </c>
      <c r="Y203" s="20" t="str">
        <f>IF($B203="","",YEAR($F203)*12+MONTH($F203))</f>
        <v/>
      </c>
      <c r="Z203" s="20" t="str">
        <f>IF($B203="","",IF($Q203="",99999,YEAR($Q203)*12+MONTH($Q203)))</f>
        <v/>
      </c>
      <c r="AA203" s="20" t="str">
        <f>IF($B203="","",--AND($Y203&lt;=TahunBuku*12,$Z203&gt;TahunBuku*12))</f>
        <v/>
      </c>
      <c r="AB203" s="20" t="str">
        <f>IF($B203="","",--AND($Y203&gt;TahunBuku*12,$Y203&lt;=TahunBuku*12+12))</f>
        <v/>
      </c>
      <c r="AC203" s="20" t="str">
        <f>IF($B203="","",--AND($Z203&gt;TahunBuku*12,$Z203&lt;=TahunBuku*12+12,$Y203&lt;=$Z203))</f>
        <v/>
      </c>
      <c r="AD203" s="21" t="str">
        <f>IF($B203="","",IFERROR(IF($S203="Garis Lurus",$G203-($G203-$H203)*MIN($T203*12,MAX(0,TahunBuku*12-$Y203+1))/($T203*12),IF($S203="Saldo Menurun",IF(TahunBuku-1&lt;YEAR($F203),$G203,IF(TahunBuku-1&gt;=INT(($Y203+$T203*12-2)/12),$H203,MAX($H203,$G203*(1-2/$T203*(13-MONTH($F203))/12)*(1-2/$T203)^(TahunBuku-1-YEAR($F203))))),IF($S203="Unit Produksi",$G203-($G203-$H203)*MIN(1,N($L203)/$K203),$G203))),$G203))</f>
        <v/>
      </c>
      <c r="AE203" s="21" t="str">
        <f>IF($B203="","",IFERROR(IF($S203="Garis Lurus",$G203-($G203-$H203)*MIN($T203*12,MAX(0,TahunBuku*12+12-$Y203+1))/($T203*12),IF($S203="Saldo Menurun",IF(TahunBuku&lt;YEAR($F203),$G203,IF(TahunBuku&gt;=INT(($Y203+$T203*12-2)/12),$H203,MAX($H203,$G203*(1-2/$T203*(13-MONTH($F203))/12)*(1-2/$T203)^(TahunBuku-YEAR($F203))))),IF($S203="Unit Produksi",$G203-($G203-$H203)*MIN(1,(N($L203)+N($M203))/$K203),$G203))),$G203))</f>
        <v/>
      </c>
      <c r="AF203" s="20" t="str">
        <f>IF($B203="","",IF(OR($S203="Garis Lurus",$S203="Saldo Menurun",$S203="Unit Produksi"),MAX(0,IF($S203="Unit Produksi",TahunBuku*12+12,MIN(TahunBuku*12+12,$Y203+$T203*12-1))-MAX(TahunBuku*12+1,$Y203)+1),0))</f>
        <v/>
      </c>
      <c r="AG203" s="20" t="str">
        <f>IF($B203="","",IF(OR($S203="Garis Lurus",$S203="Saldo Menurun",$S203="Unit Produksi"),MAX(0,MIN($Z203,IF($S203="Unit Produksi",TahunBuku*12+12,MIN(TahunBuku*12+12,$Y203+$T203*12-1)))-MAX(TahunBuku*12+1,$Y203)+1),0))</f>
        <v/>
      </c>
      <c r="AH203" s="21" t="str">
        <f>IF($B203="","",IFERROR(IF($W203="Garis Lurus",$G203*(1-MIN($V203*12,MAX(0,TahunBuku*12-$Y203+1))/($V203*12)),IF($W203="Saldo Menurun",IF(TahunBuku-1&lt;YEAR($F203),$G203,IF(TahunBuku-1&gt;=INT(($Y203+$V203*12-2)/12),0,$G203*(1-2/$V203*(13-MONTH($F203))/12)*(1-2/$V203)^(TahunBuku-1-YEAR($F203)))),$G203)),$G203))</f>
        <v/>
      </c>
      <c r="AI203" s="21" t="str">
        <f>IF($B203="","",IFERROR(IF($W203="Garis Lurus",$G203*(1-MIN($V203*12,MAX(0,TahunBuku*12+12-$Y203+1))/($V203*12)),IF($W203="Saldo Menurun",IF(TahunBuku&lt;YEAR($F203),$G203,IF(TahunBuku&gt;=INT(($Y203+$V203*12-2)/12),0,$G203*(1-2/$V203*(13-MONTH($F203))/12)*(1-2/$V203)^(TahunBuku-YEAR($F203)))),$G203)),$G203))</f>
        <v/>
      </c>
      <c r="AJ203" s="20" t="str">
        <f>IF($B203="","",IF(OR($W203="Garis Lurus",$W203="Saldo Menurun"),MAX(0,MIN(TahunBuku*12+12,$Y203+$V203*12-1)-MAX(TahunBuku*12+1,$Y203)+1),0))</f>
        <v/>
      </c>
      <c r="AK203" s="20" t="str">
        <f>IF($B203="","",IF(OR($W203="Garis Lurus",$W203="Saldo Menurun"),MAX(0,MIN($Z203,TahunBuku*12+12,$Y203+$V203*12-1)-MAX(TahunBuku*12+1,$Y203)+1),0))</f>
        <v/>
      </c>
      <c r="AL203" s="22" t="str">
        <f>IF($B203="","",$G203*$AA203)</f>
        <v/>
      </c>
      <c r="AM203" s="22" t="str">
        <f>IF($B203="","",$G203*$AB203)</f>
        <v/>
      </c>
      <c r="AN203" s="22" t="str">
        <f>IF($B203="","",$G203*$AC203)</f>
        <v/>
      </c>
      <c r="AO203" s="22" t="str">
        <f>IF($B203="","",AL203+AM203-AN203)</f>
        <v/>
      </c>
      <c r="AP203" s="22" t="str">
        <f>IF($B203="","",($G203-$AD203)*$AA203)</f>
        <v/>
      </c>
      <c r="AQ203" s="22" t="str">
        <f>IF($B203="","",IF($AF203=0,0,($AD203-$AE203)*$AG203/$AF203)*MAX($AA203,$AB203))</f>
        <v/>
      </c>
      <c r="AR203" s="22" t="str">
        <f>IF($B203="","",(AP203+AQ203)*$AC203)</f>
        <v/>
      </c>
      <c r="AS203" s="22" t="str">
        <f>IF($B203="","",AP203+AQ203-AR203)</f>
        <v/>
      </c>
      <c r="AT203" s="22" t="str">
        <f>IF($B203="","",AO203-AS203)</f>
        <v/>
      </c>
      <c r="AU203" s="22" t="str">
        <f>IF($B203="","",IF($AC203=1,N($R203)-($G203-AR203),0))</f>
        <v/>
      </c>
      <c r="AV203" s="22" t="str">
        <f>IF($B203="","",($G203-$AH203)*$AA203)</f>
        <v/>
      </c>
      <c r="AW203" s="22" t="str">
        <f>IF($B203="","",IF($AJ203=0,0,($AH203-$AI203)*$AK203/$AJ203)*MAX($AA203,$AB203))</f>
        <v/>
      </c>
      <c r="AX203" s="22" t="str">
        <f>IF($B203="","",(AV203+AW203)*$AC203)</f>
        <v/>
      </c>
      <c r="AY203" s="22" t="str">
        <f>IF($B203="","",AV203+AW203-AX203)</f>
        <v/>
      </c>
      <c r="AZ203" s="22" t="str">
        <f>IF($B203="","",AO203-AY203)</f>
        <v/>
      </c>
      <c r="BA203" s="22" t="str">
        <f>IF($B203="","",IF($AC203=1,N($R203)-($G203-AX203),0))</f>
        <v/>
      </c>
      <c r="BB203" s="22" t="str">
        <f>IF($B203="","",ROUND(AQ203-AW203,0))</f>
        <v/>
      </c>
      <c r="BC203" s="22" t="str">
        <f>IF($B203="","",ROUND(BA203-AU203,0))</f>
        <v/>
      </c>
      <c r="BD203" s="22" t="str">
        <f>IF($B203="","",BB203+BC203)</f>
        <v/>
      </c>
      <c r="BE203" s="22" t="str">
        <f>IF($B203="","",ROUND(AV203-AP203,0))</f>
        <v/>
      </c>
      <c r="BF203" s="22" t="str">
        <f>IF($B203="","",ROUND(AT203-AZ203,0))</f>
        <v/>
      </c>
      <c r="BG203" s="22" t="str">
        <f>IF($B203="","",ROUND(BF203*TarifPPh,0))</f>
        <v/>
      </c>
      <c r="BH203" t="str">
        <f>IF($B203="","",IF($D203="","Kategori kosong",IF($F203="","Tgl perolehan kosong",IF(N($H203)&gt;$G203,"Residu &gt; harga perolehan",IF(AND(LEFT($U203,8)="Bangunan",$W203="Saldo Menurun"),"Bangunan wajib Garis Lurus (Ps.11 UU PPh)",IF(AND($S203="Unit Produksi",N($K203)=0),"Isi kapasitas unit",IF(AND(OR($S203="Garis Lurus",$S203="Saldo Menurun"),N($T203)&lt;=0),"Umur komersial kosong",IF(AND(OR($W203="Garis Lurus",$W203="Saldo Menurun"),N($V203)&lt;=0),"Masa manfaat fiskal kosong",IF(AND($Q203&lt;&gt;"",$Q203&lt;$F203),"Tgl pelepasan &lt; perolehan","OK")))))))))</f>
        <v/>
      </c>
    </row>
    <row r="204" spans="1:60" x14ac:dyDescent="0.25">
      <c r="A204" t="str">
        <f>IF($B204="","",ROW()-6)</f>
        <v/>
      </c>
      <c r="B204" s="9"/>
      <c r="C204" s="9"/>
      <c r="D204" s="9"/>
      <c r="E204" s="9"/>
      <c r="F204" s="17"/>
      <c r="G204" s="18"/>
      <c r="H204" s="18"/>
      <c r="I204" s="9"/>
      <c r="J204" s="9"/>
      <c r="K204" s="19"/>
      <c r="L204" s="19"/>
      <c r="M204" s="19"/>
      <c r="N204" s="9"/>
      <c r="O204" s="9"/>
      <c r="P204" s="9"/>
      <c r="Q204" s="17"/>
      <c r="R204" s="18"/>
      <c r="S204" t="str">
        <f>IF($B204="","",IF($I204&lt;&gt;"",$I204,IFERROR(INDEX(Kat_Metode,MATCH($D204,Kat_Nama,0)),"")))</f>
        <v/>
      </c>
      <c r="T204" t="str">
        <f>IF($B204="","",IF($J204&lt;&gt;"",$J204,IFERROR(INDEX(Kat_Umur,MATCH($D204,Kat_Nama,0)),0)))</f>
        <v/>
      </c>
      <c r="U204" t="str">
        <f>IF($B204="","",IF($N204&lt;&gt;"",$N204,IFERROR(INDEX(Kat_Kelompok,MATCH($D204,Kat_Nama,0)),"")))</f>
        <v/>
      </c>
      <c r="V204" t="str">
        <f>IF($B204="","",IF($U204="Masa Manfaat Sebenarnya",N($O204),IFERROR(INDEX(Kel_Masa,MATCH($U204,Kel_Nama,0)),0)))</f>
        <v/>
      </c>
      <c r="W204" t="str">
        <f>IF($B204="","",IF($P204&lt;&gt;"",$P204,IF(OR($U204="Tidak Disusutkan",$V204=0),"Tidak Disusutkan","Garis Lurus")))</f>
        <v/>
      </c>
      <c r="X204" t="str">
        <f>IF($B204="","",IF($Y204&gt;TahunBuku*12+12,"Belum Diperoleh",IF($Z204&lt;=TahunBuku*12,"Dilepas (thn lalu)",IF($AC204=1,"Dilepas thn ini",IF($AB204=1,"Perolehan baru","Aktif")))))</f>
        <v/>
      </c>
      <c r="Y204" s="20" t="str">
        <f>IF($B204="","",YEAR($F204)*12+MONTH($F204))</f>
        <v/>
      </c>
      <c r="Z204" s="20" t="str">
        <f>IF($B204="","",IF($Q204="",99999,YEAR($Q204)*12+MONTH($Q204)))</f>
        <v/>
      </c>
      <c r="AA204" s="20" t="str">
        <f>IF($B204="","",--AND($Y204&lt;=TahunBuku*12,$Z204&gt;TahunBuku*12))</f>
        <v/>
      </c>
      <c r="AB204" s="20" t="str">
        <f>IF($B204="","",--AND($Y204&gt;TahunBuku*12,$Y204&lt;=TahunBuku*12+12))</f>
        <v/>
      </c>
      <c r="AC204" s="20" t="str">
        <f>IF($B204="","",--AND($Z204&gt;TahunBuku*12,$Z204&lt;=TahunBuku*12+12,$Y204&lt;=$Z204))</f>
        <v/>
      </c>
      <c r="AD204" s="21" t="str">
        <f>IF($B204="","",IFERROR(IF($S204="Garis Lurus",$G204-($G204-$H204)*MIN($T204*12,MAX(0,TahunBuku*12-$Y204+1))/($T204*12),IF($S204="Saldo Menurun",IF(TahunBuku-1&lt;YEAR($F204),$G204,IF(TahunBuku-1&gt;=INT(($Y204+$T204*12-2)/12),$H204,MAX($H204,$G204*(1-2/$T204*(13-MONTH($F204))/12)*(1-2/$T204)^(TahunBuku-1-YEAR($F204))))),IF($S204="Unit Produksi",$G204-($G204-$H204)*MIN(1,N($L204)/$K204),$G204))),$G204))</f>
        <v/>
      </c>
      <c r="AE204" s="21" t="str">
        <f>IF($B204="","",IFERROR(IF($S204="Garis Lurus",$G204-($G204-$H204)*MIN($T204*12,MAX(0,TahunBuku*12+12-$Y204+1))/($T204*12),IF($S204="Saldo Menurun",IF(TahunBuku&lt;YEAR($F204),$G204,IF(TahunBuku&gt;=INT(($Y204+$T204*12-2)/12),$H204,MAX($H204,$G204*(1-2/$T204*(13-MONTH($F204))/12)*(1-2/$T204)^(TahunBuku-YEAR($F204))))),IF($S204="Unit Produksi",$G204-($G204-$H204)*MIN(1,(N($L204)+N($M204))/$K204),$G204))),$G204))</f>
        <v/>
      </c>
      <c r="AF204" s="20" t="str">
        <f>IF($B204="","",IF(OR($S204="Garis Lurus",$S204="Saldo Menurun",$S204="Unit Produksi"),MAX(0,IF($S204="Unit Produksi",TahunBuku*12+12,MIN(TahunBuku*12+12,$Y204+$T204*12-1))-MAX(TahunBuku*12+1,$Y204)+1),0))</f>
        <v/>
      </c>
      <c r="AG204" s="20" t="str">
        <f>IF($B204="","",IF(OR($S204="Garis Lurus",$S204="Saldo Menurun",$S204="Unit Produksi"),MAX(0,MIN($Z204,IF($S204="Unit Produksi",TahunBuku*12+12,MIN(TahunBuku*12+12,$Y204+$T204*12-1)))-MAX(TahunBuku*12+1,$Y204)+1),0))</f>
        <v/>
      </c>
      <c r="AH204" s="21" t="str">
        <f>IF($B204="","",IFERROR(IF($W204="Garis Lurus",$G204*(1-MIN($V204*12,MAX(0,TahunBuku*12-$Y204+1))/($V204*12)),IF($W204="Saldo Menurun",IF(TahunBuku-1&lt;YEAR($F204),$G204,IF(TahunBuku-1&gt;=INT(($Y204+$V204*12-2)/12),0,$G204*(1-2/$V204*(13-MONTH($F204))/12)*(1-2/$V204)^(TahunBuku-1-YEAR($F204)))),$G204)),$G204))</f>
        <v/>
      </c>
      <c r="AI204" s="21" t="str">
        <f>IF($B204="","",IFERROR(IF($W204="Garis Lurus",$G204*(1-MIN($V204*12,MAX(0,TahunBuku*12+12-$Y204+1))/($V204*12)),IF($W204="Saldo Menurun",IF(TahunBuku&lt;YEAR($F204),$G204,IF(TahunBuku&gt;=INT(($Y204+$V204*12-2)/12),0,$G204*(1-2/$V204*(13-MONTH($F204))/12)*(1-2/$V204)^(TahunBuku-YEAR($F204)))),$G204)),$G204))</f>
        <v/>
      </c>
      <c r="AJ204" s="20" t="str">
        <f>IF($B204="","",IF(OR($W204="Garis Lurus",$W204="Saldo Menurun"),MAX(0,MIN(TahunBuku*12+12,$Y204+$V204*12-1)-MAX(TahunBuku*12+1,$Y204)+1),0))</f>
        <v/>
      </c>
      <c r="AK204" s="20" t="str">
        <f>IF($B204="","",IF(OR($W204="Garis Lurus",$W204="Saldo Menurun"),MAX(0,MIN($Z204,TahunBuku*12+12,$Y204+$V204*12-1)-MAX(TahunBuku*12+1,$Y204)+1),0))</f>
        <v/>
      </c>
      <c r="AL204" s="22" t="str">
        <f>IF($B204="","",$G204*$AA204)</f>
        <v/>
      </c>
      <c r="AM204" s="22" t="str">
        <f>IF($B204="","",$G204*$AB204)</f>
        <v/>
      </c>
      <c r="AN204" s="22" t="str">
        <f>IF($B204="","",$G204*$AC204)</f>
        <v/>
      </c>
      <c r="AO204" s="22" t="str">
        <f>IF($B204="","",AL204+AM204-AN204)</f>
        <v/>
      </c>
      <c r="AP204" s="22" t="str">
        <f>IF($B204="","",($G204-$AD204)*$AA204)</f>
        <v/>
      </c>
      <c r="AQ204" s="22" t="str">
        <f>IF($B204="","",IF($AF204=0,0,($AD204-$AE204)*$AG204/$AF204)*MAX($AA204,$AB204))</f>
        <v/>
      </c>
      <c r="AR204" s="22" t="str">
        <f>IF($B204="","",(AP204+AQ204)*$AC204)</f>
        <v/>
      </c>
      <c r="AS204" s="22" t="str">
        <f>IF($B204="","",AP204+AQ204-AR204)</f>
        <v/>
      </c>
      <c r="AT204" s="22" t="str">
        <f>IF($B204="","",AO204-AS204)</f>
        <v/>
      </c>
      <c r="AU204" s="22" t="str">
        <f>IF($B204="","",IF($AC204=1,N($R204)-($G204-AR204),0))</f>
        <v/>
      </c>
      <c r="AV204" s="22" t="str">
        <f>IF($B204="","",($G204-$AH204)*$AA204)</f>
        <v/>
      </c>
      <c r="AW204" s="22" t="str">
        <f>IF($B204="","",IF($AJ204=0,0,($AH204-$AI204)*$AK204/$AJ204)*MAX($AA204,$AB204))</f>
        <v/>
      </c>
      <c r="AX204" s="22" t="str">
        <f>IF($B204="","",(AV204+AW204)*$AC204)</f>
        <v/>
      </c>
      <c r="AY204" s="22" t="str">
        <f>IF($B204="","",AV204+AW204-AX204)</f>
        <v/>
      </c>
      <c r="AZ204" s="22" t="str">
        <f>IF($B204="","",AO204-AY204)</f>
        <v/>
      </c>
      <c r="BA204" s="22" t="str">
        <f>IF($B204="","",IF($AC204=1,N($R204)-($G204-AX204),0))</f>
        <v/>
      </c>
      <c r="BB204" s="22" t="str">
        <f>IF($B204="","",ROUND(AQ204-AW204,0))</f>
        <v/>
      </c>
      <c r="BC204" s="22" t="str">
        <f>IF($B204="","",ROUND(BA204-AU204,0))</f>
        <v/>
      </c>
      <c r="BD204" s="22" t="str">
        <f>IF($B204="","",BB204+BC204)</f>
        <v/>
      </c>
      <c r="BE204" s="22" t="str">
        <f>IF($B204="","",ROUND(AV204-AP204,0))</f>
        <v/>
      </c>
      <c r="BF204" s="22" t="str">
        <f>IF($B204="","",ROUND(AT204-AZ204,0))</f>
        <v/>
      </c>
      <c r="BG204" s="22" t="str">
        <f>IF($B204="","",ROUND(BF204*TarifPPh,0))</f>
        <v/>
      </c>
      <c r="BH204" t="str">
        <f>IF($B204="","",IF($D204="","Kategori kosong",IF($F204="","Tgl perolehan kosong",IF(N($H204)&gt;$G204,"Residu &gt; harga perolehan",IF(AND(LEFT($U204,8)="Bangunan",$W204="Saldo Menurun"),"Bangunan wajib Garis Lurus (Ps.11 UU PPh)",IF(AND($S204="Unit Produksi",N($K204)=0),"Isi kapasitas unit",IF(AND(OR($S204="Garis Lurus",$S204="Saldo Menurun"),N($T204)&lt;=0),"Umur komersial kosong",IF(AND(OR($W204="Garis Lurus",$W204="Saldo Menurun"),N($V204)&lt;=0),"Masa manfaat fiskal kosong",IF(AND($Q204&lt;&gt;"",$Q204&lt;$F204),"Tgl pelepasan &lt; perolehan","OK")))))))))</f>
        <v/>
      </c>
    </row>
    <row r="205" spans="1:60" x14ac:dyDescent="0.25">
      <c r="A205" t="str">
        <f>IF($B205="","",ROW()-6)</f>
        <v/>
      </c>
      <c r="B205" s="9"/>
      <c r="C205" s="9"/>
      <c r="D205" s="9"/>
      <c r="E205" s="9"/>
      <c r="F205" s="17"/>
      <c r="G205" s="18"/>
      <c r="H205" s="18"/>
      <c r="I205" s="9"/>
      <c r="J205" s="9"/>
      <c r="K205" s="19"/>
      <c r="L205" s="19"/>
      <c r="M205" s="19"/>
      <c r="N205" s="9"/>
      <c r="O205" s="9"/>
      <c r="P205" s="9"/>
      <c r="Q205" s="17"/>
      <c r="R205" s="18"/>
      <c r="S205" t="str">
        <f>IF($B205="","",IF($I205&lt;&gt;"",$I205,IFERROR(INDEX(Kat_Metode,MATCH($D205,Kat_Nama,0)),"")))</f>
        <v/>
      </c>
      <c r="T205" t="str">
        <f>IF($B205="","",IF($J205&lt;&gt;"",$J205,IFERROR(INDEX(Kat_Umur,MATCH($D205,Kat_Nama,0)),0)))</f>
        <v/>
      </c>
      <c r="U205" t="str">
        <f>IF($B205="","",IF($N205&lt;&gt;"",$N205,IFERROR(INDEX(Kat_Kelompok,MATCH($D205,Kat_Nama,0)),"")))</f>
        <v/>
      </c>
      <c r="V205" t="str">
        <f>IF($B205="","",IF($U205="Masa Manfaat Sebenarnya",N($O205),IFERROR(INDEX(Kel_Masa,MATCH($U205,Kel_Nama,0)),0)))</f>
        <v/>
      </c>
      <c r="W205" t="str">
        <f>IF($B205="","",IF($P205&lt;&gt;"",$P205,IF(OR($U205="Tidak Disusutkan",$V205=0),"Tidak Disusutkan","Garis Lurus")))</f>
        <v/>
      </c>
      <c r="X205" t="str">
        <f>IF($B205="","",IF($Y205&gt;TahunBuku*12+12,"Belum Diperoleh",IF($Z205&lt;=TahunBuku*12,"Dilepas (thn lalu)",IF($AC205=1,"Dilepas thn ini",IF($AB205=1,"Perolehan baru","Aktif")))))</f>
        <v/>
      </c>
      <c r="Y205" s="20" t="str">
        <f>IF($B205="","",YEAR($F205)*12+MONTH($F205))</f>
        <v/>
      </c>
      <c r="Z205" s="20" t="str">
        <f>IF($B205="","",IF($Q205="",99999,YEAR($Q205)*12+MONTH($Q205)))</f>
        <v/>
      </c>
      <c r="AA205" s="20" t="str">
        <f>IF($B205="","",--AND($Y205&lt;=TahunBuku*12,$Z205&gt;TahunBuku*12))</f>
        <v/>
      </c>
      <c r="AB205" s="20" t="str">
        <f>IF($B205="","",--AND($Y205&gt;TahunBuku*12,$Y205&lt;=TahunBuku*12+12))</f>
        <v/>
      </c>
      <c r="AC205" s="20" t="str">
        <f>IF($B205="","",--AND($Z205&gt;TahunBuku*12,$Z205&lt;=TahunBuku*12+12,$Y205&lt;=$Z205))</f>
        <v/>
      </c>
      <c r="AD205" s="21" t="str">
        <f>IF($B205="","",IFERROR(IF($S205="Garis Lurus",$G205-($G205-$H205)*MIN($T205*12,MAX(0,TahunBuku*12-$Y205+1))/($T205*12),IF($S205="Saldo Menurun",IF(TahunBuku-1&lt;YEAR($F205),$G205,IF(TahunBuku-1&gt;=INT(($Y205+$T205*12-2)/12),$H205,MAX($H205,$G205*(1-2/$T205*(13-MONTH($F205))/12)*(1-2/$T205)^(TahunBuku-1-YEAR($F205))))),IF($S205="Unit Produksi",$G205-($G205-$H205)*MIN(1,N($L205)/$K205),$G205))),$G205))</f>
        <v/>
      </c>
      <c r="AE205" s="21" t="str">
        <f>IF($B205="","",IFERROR(IF($S205="Garis Lurus",$G205-($G205-$H205)*MIN($T205*12,MAX(0,TahunBuku*12+12-$Y205+1))/($T205*12),IF($S205="Saldo Menurun",IF(TahunBuku&lt;YEAR($F205),$G205,IF(TahunBuku&gt;=INT(($Y205+$T205*12-2)/12),$H205,MAX($H205,$G205*(1-2/$T205*(13-MONTH($F205))/12)*(1-2/$T205)^(TahunBuku-YEAR($F205))))),IF($S205="Unit Produksi",$G205-($G205-$H205)*MIN(1,(N($L205)+N($M205))/$K205),$G205))),$G205))</f>
        <v/>
      </c>
      <c r="AF205" s="20" t="str">
        <f>IF($B205="","",IF(OR($S205="Garis Lurus",$S205="Saldo Menurun",$S205="Unit Produksi"),MAX(0,IF($S205="Unit Produksi",TahunBuku*12+12,MIN(TahunBuku*12+12,$Y205+$T205*12-1))-MAX(TahunBuku*12+1,$Y205)+1),0))</f>
        <v/>
      </c>
      <c r="AG205" s="20" t="str">
        <f>IF($B205="","",IF(OR($S205="Garis Lurus",$S205="Saldo Menurun",$S205="Unit Produksi"),MAX(0,MIN($Z205,IF($S205="Unit Produksi",TahunBuku*12+12,MIN(TahunBuku*12+12,$Y205+$T205*12-1)))-MAX(TahunBuku*12+1,$Y205)+1),0))</f>
        <v/>
      </c>
      <c r="AH205" s="21" t="str">
        <f>IF($B205="","",IFERROR(IF($W205="Garis Lurus",$G205*(1-MIN($V205*12,MAX(0,TahunBuku*12-$Y205+1))/($V205*12)),IF($W205="Saldo Menurun",IF(TahunBuku-1&lt;YEAR($F205),$G205,IF(TahunBuku-1&gt;=INT(($Y205+$V205*12-2)/12),0,$G205*(1-2/$V205*(13-MONTH($F205))/12)*(1-2/$V205)^(TahunBuku-1-YEAR($F205)))),$G205)),$G205))</f>
        <v/>
      </c>
      <c r="AI205" s="21" t="str">
        <f>IF($B205="","",IFERROR(IF($W205="Garis Lurus",$G205*(1-MIN($V205*12,MAX(0,TahunBuku*12+12-$Y205+1))/($V205*12)),IF($W205="Saldo Menurun",IF(TahunBuku&lt;YEAR($F205),$G205,IF(TahunBuku&gt;=INT(($Y205+$V205*12-2)/12),0,$G205*(1-2/$V205*(13-MONTH($F205))/12)*(1-2/$V205)^(TahunBuku-YEAR($F205)))),$G205)),$G205))</f>
        <v/>
      </c>
      <c r="AJ205" s="20" t="str">
        <f>IF($B205="","",IF(OR($W205="Garis Lurus",$W205="Saldo Menurun"),MAX(0,MIN(TahunBuku*12+12,$Y205+$V205*12-1)-MAX(TahunBuku*12+1,$Y205)+1),0))</f>
        <v/>
      </c>
      <c r="AK205" s="20" t="str">
        <f>IF($B205="","",IF(OR($W205="Garis Lurus",$W205="Saldo Menurun"),MAX(0,MIN($Z205,TahunBuku*12+12,$Y205+$V205*12-1)-MAX(TahunBuku*12+1,$Y205)+1),0))</f>
        <v/>
      </c>
      <c r="AL205" s="22" t="str">
        <f>IF($B205="","",$G205*$AA205)</f>
        <v/>
      </c>
      <c r="AM205" s="22" t="str">
        <f>IF($B205="","",$G205*$AB205)</f>
        <v/>
      </c>
      <c r="AN205" s="22" t="str">
        <f>IF($B205="","",$G205*$AC205)</f>
        <v/>
      </c>
      <c r="AO205" s="22" t="str">
        <f>IF($B205="","",AL205+AM205-AN205)</f>
        <v/>
      </c>
      <c r="AP205" s="22" t="str">
        <f>IF($B205="","",($G205-$AD205)*$AA205)</f>
        <v/>
      </c>
      <c r="AQ205" s="22" t="str">
        <f>IF($B205="","",IF($AF205=0,0,($AD205-$AE205)*$AG205/$AF205)*MAX($AA205,$AB205))</f>
        <v/>
      </c>
      <c r="AR205" s="22" t="str">
        <f>IF($B205="","",(AP205+AQ205)*$AC205)</f>
        <v/>
      </c>
      <c r="AS205" s="22" t="str">
        <f>IF($B205="","",AP205+AQ205-AR205)</f>
        <v/>
      </c>
      <c r="AT205" s="22" t="str">
        <f>IF($B205="","",AO205-AS205)</f>
        <v/>
      </c>
      <c r="AU205" s="22" t="str">
        <f>IF($B205="","",IF($AC205=1,N($R205)-($G205-AR205),0))</f>
        <v/>
      </c>
      <c r="AV205" s="22" t="str">
        <f>IF($B205="","",($G205-$AH205)*$AA205)</f>
        <v/>
      </c>
      <c r="AW205" s="22" t="str">
        <f>IF($B205="","",IF($AJ205=0,0,($AH205-$AI205)*$AK205/$AJ205)*MAX($AA205,$AB205))</f>
        <v/>
      </c>
      <c r="AX205" s="22" t="str">
        <f>IF($B205="","",(AV205+AW205)*$AC205)</f>
        <v/>
      </c>
      <c r="AY205" s="22" t="str">
        <f>IF($B205="","",AV205+AW205-AX205)</f>
        <v/>
      </c>
      <c r="AZ205" s="22" t="str">
        <f>IF($B205="","",AO205-AY205)</f>
        <v/>
      </c>
      <c r="BA205" s="22" t="str">
        <f>IF($B205="","",IF($AC205=1,N($R205)-($G205-AX205),0))</f>
        <v/>
      </c>
      <c r="BB205" s="22" t="str">
        <f>IF($B205="","",ROUND(AQ205-AW205,0))</f>
        <v/>
      </c>
      <c r="BC205" s="22" t="str">
        <f>IF($B205="","",ROUND(BA205-AU205,0))</f>
        <v/>
      </c>
      <c r="BD205" s="22" t="str">
        <f>IF($B205="","",BB205+BC205)</f>
        <v/>
      </c>
      <c r="BE205" s="22" t="str">
        <f>IF($B205="","",ROUND(AV205-AP205,0))</f>
        <v/>
      </c>
      <c r="BF205" s="22" t="str">
        <f>IF($B205="","",ROUND(AT205-AZ205,0))</f>
        <v/>
      </c>
      <c r="BG205" s="22" t="str">
        <f>IF($B205="","",ROUND(BF205*TarifPPh,0))</f>
        <v/>
      </c>
      <c r="BH205" t="str">
        <f>IF($B205="","",IF($D205="","Kategori kosong",IF($F205="","Tgl perolehan kosong",IF(N($H205)&gt;$G205,"Residu &gt; harga perolehan",IF(AND(LEFT($U205,8)="Bangunan",$W205="Saldo Menurun"),"Bangunan wajib Garis Lurus (Ps.11 UU PPh)",IF(AND($S205="Unit Produksi",N($K205)=0),"Isi kapasitas unit",IF(AND(OR($S205="Garis Lurus",$S205="Saldo Menurun"),N($T205)&lt;=0),"Umur komersial kosong",IF(AND(OR($W205="Garis Lurus",$W205="Saldo Menurun"),N($V205)&lt;=0),"Masa manfaat fiskal kosong",IF(AND($Q205&lt;&gt;"",$Q205&lt;$F205),"Tgl pelepasan &lt; perolehan","OK")))))))))</f>
        <v/>
      </c>
    </row>
    <row r="206" spans="1:60" x14ac:dyDescent="0.25">
      <c r="A206" t="str">
        <f>IF($B206="","",ROW()-6)</f>
        <v/>
      </c>
      <c r="B206" s="9"/>
      <c r="C206" s="9"/>
      <c r="D206" s="9"/>
      <c r="E206" s="9"/>
      <c r="F206" s="17"/>
      <c r="G206" s="18"/>
      <c r="H206" s="18"/>
      <c r="I206" s="9"/>
      <c r="J206" s="9"/>
      <c r="K206" s="19"/>
      <c r="L206" s="19"/>
      <c r="M206" s="19"/>
      <c r="N206" s="9"/>
      <c r="O206" s="9"/>
      <c r="P206" s="9"/>
      <c r="Q206" s="17"/>
      <c r="R206" s="18"/>
      <c r="S206" t="str">
        <f>IF($B206="","",IF($I206&lt;&gt;"",$I206,IFERROR(INDEX(Kat_Metode,MATCH($D206,Kat_Nama,0)),"")))</f>
        <v/>
      </c>
      <c r="T206" t="str">
        <f>IF($B206="","",IF($J206&lt;&gt;"",$J206,IFERROR(INDEX(Kat_Umur,MATCH($D206,Kat_Nama,0)),0)))</f>
        <v/>
      </c>
      <c r="U206" t="str">
        <f>IF($B206="","",IF($N206&lt;&gt;"",$N206,IFERROR(INDEX(Kat_Kelompok,MATCH($D206,Kat_Nama,0)),"")))</f>
        <v/>
      </c>
      <c r="V206" t="str">
        <f>IF($B206="","",IF($U206="Masa Manfaat Sebenarnya",N($O206),IFERROR(INDEX(Kel_Masa,MATCH($U206,Kel_Nama,0)),0)))</f>
        <v/>
      </c>
      <c r="W206" t="str">
        <f>IF($B206="","",IF($P206&lt;&gt;"",$P206,IF(OR($U206="Tidak Disusutkan",$V206=0),"Tidak Disusutkan","Garis Lurus")))</f>
        <v/>
      </c>
      <c r="X206" t="str">
        <f>IF($B206="","",IF($Y206&gt;TahunBuku*12+12,"Belum Diperoleh",IF($Z206&lt;=TahunBuku*12,"Dilepas (thn lalu)",IF($AC206=1,"Dilepas thn ini",IF($AB206=1,"Perolehan baru","Aktif")))))</f>
        <v/>
      </c>
      <c r="Y206" s="20" t="str">
        <f>IF($B206="","",YEAR($F206)*12+MONTH($F206))</f>
        <v/>
      </c>
      <c r="Z206" s="20" t="str">
        <f>IF($B206="","",IF($Q206="",99999,YEAR($Q206)*12+MONTH($Q206)))</f>
        <v/>
      </c>
      <c r="AA206" s="20" t="str">
        <f>IF($B206="","",--AND($Y206&lt;=TahunBuku*12,$Z206&gt;TahunBuku*12))</f>
        <v/>
      </c>
      <c r="AB206" s="20" t="str">
        <f>IF($B206="","",--AND($Y206&gt;TahunBuku*12,$Y206&lt;=TahunBuku*12+12))</f>
        <v/>
      </c>
      <c r="AC206" s="20" t="str">
        <f>IF($B206="","",--AND($Z206&gt;TahunBuku*12,$Z206&lt;=TahunBuku*12+12,$Y206&lt;=$Z206))</f>
        <v/>
      </c>
      <c r="AD206" s="21" t="str">
        <f>IF($B206="","",IFERROR(IF($S206="Garis Lurus",$G206-($G206-$H206)*MIN($T206*12,MAX(0,TahunBuku*12-$Y206+1))/($T206*12),IF($S206="Saldo Menurun",IF(TahunBuku-1&lt;YEAR($F206),$G206,IF(TahunBuku-1&gt;=INT(($Y206+$T206*12-2)/12),$H206,MAX($H206,$G206*(1-2/$T206*(13-MONTH($F206))/12)*(1-2/$T206)^(TahunBuku-1-YEAR($F206))))),IF($S206="Unit Produksi",$G206-($G206-$H206)*MIN(1,N($L206)/$K206),$G206))),$G206))</f>
        <v/>
      </c>
      <c r="AE206" s="21" t="str">
        <f>IF($B206="","",IFERROR(IF($S206="Garis Lurus",$G206-($G206-$H206)*MIN($T206*12,MAX(0,TahunBuku*12+12-$Y206+1))/($T206*12),IF($S206="Saldo Menurun",IF(TahunBuku&lt;YEAR($F206),$G206,IF(TahunBuku&gt;=INT(($Y206+$T206*12-2)/12),$H206,MAX($H206,$G206*(1-2/$T206*(13-MONTH($F206))/12)*(1-2/$T206)^(TahunBuku-YEAR($F206))))),IF($S206="Unit Produksi",$G206-($G206-$H206)*MIN(1,(N($L206)+N($M206))/$K206),$G206))),$G206))</f>
        <v/>
      </c>
      <c r="AF206" s="20" t="str">
        <f>IF($B206="","",IF(OR($S206="Garis Lurus",$S206="Saldo Menurun",$S206="Unit Produksi"),MAX(0,IF($S206="Unit Produksi",TahunBuku*12+12,MIN(TahunBuku*12+12,$Y206+$T206*12-1))-MAX(TahunBuku*12+1,$Y206)+1),0))</f>
        <v/>
      </c>
      <c r="AG206" s="20" t="str">
        <f>IF($B206="","",IF(OR($S206="Garis Lurus",$S206="Saldo Menurun",$S206="Unit Produksi"),MAX(0,MIN($Z206,IF($S206="Unit Produksi",TahunBuku*12+12,MIN(TahunBuku*12+12,$Y206+$T206*12-1)))-MAX(TahunBuku*12+1,$Y206)+1),0))</f>
        <v/>
      </c>
      <c r="AH206" s="21" t="str">
        <f>IF($B206="","",IFERROR(IF($W206="Garis Lurus",$G206*(1-MIN($V206*12,MAX(0,TahunBuku*12-$Y206+1))/($V206*12)),IF($W206="Saldo Menurun",IF(TahunBuku-1&lt;YEAR($F206),$G206,IF(TahunBuku-1&gt;=INT(($Y206+$V206*12-2)/12),0,$G206*(1-2/$V206*(13-MONTH($F206))/12)*(1-2/$V206)^(TahunBuku-1-YEAR($F206)))),$G206)),$G206))</f>
        <v/>
      </c>
      <c r="AI206" s="21" t="str">
        <f>IF($B206="","",IFERROR(IF($W206="Garis Lurus",$G206*(1-MIN($V206*12,MAX(0,TahunBuku*12+12-$Y206+1))/($V206*12)),IF($W206="Saldo Menurun",IF(TahunBuku&lt;YEAR($F206),$G206,IF(TahunBuku&gt;=INT(($Y206+$V206*12-2)/12),0,$G206*(1-2/$V206*(13-MONTH($F206))/12)*(1-2/$V206)^(TahunBuku-YEAR($F206)))),$G206)),$G206))</f>
        <v/>
      </c>
      <c r="AJ206" s="20" t="str">
        <f>IF($B206="","",IF(OR($W206="Garis Lurus",$W206="Saldo Menurun"),MAX(0,MIN(TahunBuku*12+12,$Y206+$V206*12-1)-MAX(TahunBuku*12+1,$Y206)+1),0))</f>
        <v/>
      </c>
      <c r="AK206" s="20" t="str">
        <f>IF($B206="","",IF(OR($W206="Garis Lurus",$W206="Saldo Menurun"),MAX(0,MIN($Z206,TahunBuku*12+12,$Y206+$V206*12-1)-MAX(TahunBuku*12+1,$Y206)+1),0))</f>
        <v/>
      </c>
      <c r="AL206" s="22" t="str">
        <f>IF($B206="","",$G206*$AA206)</f>
        <v/>
      </c>
      <c r="AM206" s="22" t="str">
        <f>IF($B206="","",$G206*$AB206)</f>
        <v/>
      </c>
      <c r="AN206" s="22" t="str">
        <f>IF($B206="","",$G206*$AC206)</f>
        <v/>
      </c>
      <c r="AO206" s="22" t="str">
        <f>IF($B206="","",AL206+AM206-AN206)</f>
        <v/>
      </c>
      <c r="AP206" s="22" t="str">
        <f>IF($B206="","",($G206-$AD206)*$AA206)</f>
        <v/>
      </c>
      <c r="AQ206" s="22" t="str">
        <f>IF($B206="","",IF($AF206=0,0,($AD206-$AE206)*$AG206/$AF206)*MAX($AA206,$AB206))</f>
        <v/>
      </c>
      <c r="AR206" s="22" t="str">
        <f>IF($B206="","",(AP206+AQ206)*$AC206)</f>
        <v/>
      </c>
      <c r="AS206" s="22" t="str">
        <f>IF($B206="","",AP206+AQ206-AR206)</f>
        <v/>
      </c>
      <c r="AT206" s="22" t="str">
        <f>IF($B206="","",AO206-AS206)</f>
        <v/>
      </c>
      <c r="AU206" s="22" t="str">
        <f>IF($B206="","",IF($AC206=1,N($R206)-($G206-AR206),0))</f>
        <v/>
      </c>
      <c r="AV206" s="22" t="str">
        <f>IF($B206="","",($G206-$AH206)*$AA206)</f>
        <v/>
      </c>
      <c r="AW206" s="22" t="str">
        <f>IF($B206="","",IF($AJ206=0,0,($AH206-$AI206)*$AK206/$AJ206)*MAX($AA206,$AB206))</f>
        <v/>
      </c>
      <c r="AX206" s="22" t="str">
        <f>IF($B206="","",(AV206+AW206)*$AC206)</f>
        <v/>
      </c>
      <c r="AY206" s="22" t="str">
        <f>IF($B206="","",AV206+AW206-AX206)</f>
        <v/>
      </c>
      <c r="AZ206" s="22" t="str">
        <f>IF($B206="","",AO206-AY206)</f>
        <v/>
      </c>
      <c r="BA206" s="22" t="str">
        <f>IF($B206="","",IF($AC206=1,N($R206)-($G206-AX206),0))</f>
        <v/>
      </c>
      <c r="BB206" s="22" t="str">
        <f>IF($B206="","",ROUND(AQ206-AW206,0))</f>
        <v/>
      </c>
      <c r="BC206" s="22" t="str">
        <f>IF($B206="","",ROUND(BA206-AU206,0))</f>
        <v/>
      </c>
      <c r="BD206" s="22" t="str">
        <f>IF($B206="","",BB206+BC206)</f>
        <v/>
      </c>
      <c r="BE206" s="22" t="str">
        <f>IF($B206="","",ROUND(AV206-AP206,0))</f>
        <v/>
      </c>
      <c r="BF206" s="22" t="str">
        <f>IF($B206="","",ROUND(AT206-AZ206,0))</f>
        <v/>
      </c>
      <c r="BG206" s="22" t="str">
        <f>IF($B206="","",ROUND(BF206*TarifPPh,0))</f>
        <v/>
      </c>
      <c r="BH206" t="str">
        <f>IF($B206="","",IF($D206="","Kategori kosong",IF($F206="","Tgl perolehan kosong",IF(N($H206)&gt;$G206,"Residu &gt; harga perolehan",IF(AND(LEFT($U206,8)="Bangunan",$W206="Saldo Menurun"),"Bangunan wajib Garis Lurus (Ps.11 UU PPh)",IF(AND($S206="Unit Produksi",N($K206)=0),"Isi kapasitas unit",IF(AND(OR($S206="Garis Lurus",$S206="Saldo Menurun"),N($T206)&lt;=0),"Umur komersial kosong",IF(AND(OR($W206="Garis Lurus",$W206="Saldo Menurun"),N($V206)&lt;=0),"Masa manfaat fiskal kosong",IF(AND($Q206&lt;&gt;"",$Q206&lt;$F206),"Tgl pelepasan &lt; perolehan","OK")))))))))</f>
        <v/>
      </c>
    </row>
    <row r="207" spans="1:60" x14ac:dyDescent="0.25">
      <c r="A207" s="23"/>
      <c r="B207" s="23" t="s">
        <v>196</v>
      </c>
      <c r="C207" s="23"/>
      <c r="D207" s="23"/>
      <c r="E207" s="23"/>
      <c r="F207" s="23"/>
      <c r="G207" s="24">
        <f>SUBTOTAL(9,G7:G206)</f>
        <v>0</v>
      </c>
      <c r="H207" s="24">
        <f>SUBTOTAL(9,H7:H206)</f>
        <v>0</v>
      </c>
      <c r="I207" s="23"/>
      <c r="J207" s="23"/>
      <c r="K207" s="23"/>
      <c r="L207" s="23"/>
      <c r="M207" s="23"/>
      <c r="N207" s="23"/>
      <c r="O207" s="23"/>
      <c r="P207" s="23"/>
      <c r="Q207" s="23"/>
      <c r="R207" s="24">
        <f>SUBTOTAL(9,R7:R206)</f>
        <v>0</v>
      </c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4">
        <f>SUBTOTAL(9,AL7:AL206)</f>
        <v>0</v>
      </c>
      <c r="AM207" s="24">
        <f>SUBTOTAL(9,AM7:AM206)</f>
        <v>0</v>
      </c>
      <c r="AN207" s="24">
        <f>SUBTOTAL(9,AN7:AN206)</f>
        <v>0</v>
      </c>
      <c r="AO207" s="24">
        <f>SUBTOTAL(9,AO7:AO206)</f>
        <v>0</v>
      </c>
      <c r="AP207" s="24">
        <f>SUBTOTAL(9,AP7:AP206)</f>
        <v>0</v>
      </c>
      <c r="AQ207" s="24">
        <f>SUBTOTAL(9,AQ7:AQ206)</f>
        <v>0</v>
      </c>
      <c r="AR207" s="24">
        <f>SUBTOTAL(9,AR7:AR206)</f>
        <v>0</v>
      </c>
      <c r="AS207" s="24">
        <f>SUBTOTAL(9,AS7:AS206)</f>
        <v>0</v>
      </c>
      <c r="AT207" s="24">
        <f>SUBTOTAL(9,AT7:AT206)</f>
        <v>0</v>
      </c>
      <c r="AU207" s="24">
        <f>SUBTOTAL(9,AU7:AU206)</f>
        <v>0</v>
      </c>
      <c r="AV207" s="24">
        <f>SUBTOTAL(9,AV7:AV206)</f>
        <v>0</v>
      </c>
      <c r="AW207" s="24">
        <f>SUBTOTAL(9,AW7:AW206)</f>
        <v>0</v>
      </c>
      <c r="AX207" s="24">
        <f>SUBTOTAL(9,AX7:AX206)</f>
        <v>0</v>
      </c>
      <c r="AY207" s="24">
        <f>SUBTOTAL(9,AY7:AY206)</f>
        <v>0</v>
      </c>
      <c r="AZ207" s="24">
        <f>SUBTOTAL(9,AZ7:AZ206)</f>
        <v>0</v>
      </c>
      <c r="BA207" s="24">
        <f>SUBTOTAL(9,BA7:BA206)</f>
        <v>0</v>
      </c>
      <c r="BB207" s="24">
        <f>SUBTOTAL(9,BB7:BB206)</f>
        <v>0</v>
      </c>
      <c r="BC207" s="24">
        <f>SUBTOTAL(9,BC7:BC206)</f>
        <v>0</v>
      </c>
      <c r="BD207" s="24">
        <f>SUBTOTAL(9,BD7:BD206)</f>
        <v>0</v>
      </c>
      <c r="BE207" s="24">
        <f>SUBTOTAL(9,BE7:BE206)</f>
        <v>0</v>
      </c>
      <c r="BF207" s="24">
        <f>SUBTOTAL(9,BF7:BF206)</f>
        <v>0</v>
      </c>
      <c r="BG207" s="24">
        <f>SUBTOTAL(9,BG7:BG206)</f>
        <v>0</v>
      </c>
      <c r="BH207" s="23"/>
    </row>
  </sheetData>
  <mergeCells count="6">
    <mergeCell ref="A5:R5"/>
    <mergeCell ref="S5:X5"/>
    <mergeCell ref="Y5:AK5"/>
    <mergeCell ref="AL5:AU5"/>
    <mergeCell ref="AV5:BA5"/>
    <mergeCell ref="BB5:BH5"/>
  </mergeCells>
  <dataValidations count="4">
    <dataValidation type="list" allowBlank="1" sqref="D7:D206">
      <formula1>L_KatATB</formula1>
    </dataValidation>
    <dataValidation type="list" allowBlank="1" sqref="I7:I206">
      <formula1>L_MetodeATB</formula1>
    </dataValidation>
    <dataValidation type="list" allowBlank="1" sqref="N7:N206">
      <formula1>Kel_Nama</formula1>
    </dataValidation>
    <dataValidation type="list" allowBlank="1" sqref="P7:P206">
      <formula1>L_MetodeFis</formula1>
    </dataValidation>
  </dataValidations>
  <pageSetup paperSize="9" orientation="landscape" fitToWidth="1" fitToHeight="0"/>
  <headerFooter>
    <oddFooter>&amp;LKAP Sutrisno Hendrawanto Sukardi dan Rekan&amp;R&amp;P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412"/>
  <sheetViews>
    <sheetView workbookViewId="0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11" customWidth="1"/>
    <col min="3" max="3" width="30" customWidth="1"/>
    <col min="4" max="4" width="18" customWidth="1"/>
    <col min="5" max="19" width="14" customWidth="1"/>
  </cols>
  <sheetData>
    <row r="1" spans="1:1" x14ac:dyDescent="0.25">
      <c r="A1" s="1" t="s">
        <v>199</v>
      </c>
    </row>
    <row r="2" spans="1:1" x14ac:dyDescent="0.25">
      <c r="A2" s="8" t="str">
        <f>NamaPerusahaan</f>
        <v>Nama Perusahaan</v>
      </c>
    </row>
    <row r="3" spans="1:1" x14ac:dyDescent="0.25">
      <c r="A3" t="str">
        <f>"Tahun Buku "&amp;TahunBuku&amp;"  |  Dasar jurnal bulanan beban penyusutan/amortisasi"</f>
        <v>Tahun Buku 2026  |  Dasar jurnal bulanan beban penyusutan/amortisasi</v>
      </c>
    </row>
    <row r="5" spans="1:1" x14ac:dyDescent="0.25">
      <c r="A5" s="12" t="s">
        <v>200</v>
      </c>
    </row>
    <row r="6" spans="1:19" x14ac:dyDescent="0.25">
      <c r="A6" s="13" t="s">
        <v>138</v>
      </c>
      <c r="B6" s="13" t="s">
        <v>139</v>
      </c>
      <c r="C6" s="13" t="s">
        <v>140</v>
      </c>
      <c r="D6" s="13" t="s">
        <v>89</v>
      </c>
      <c r="E6" s="25">
        <f>DATE(TahunBuku,1,1)</f>
        <v>46023</v>
      </c>
      <c r="F6" s="25">
        <f>DATE(TahunBuku,2,1)</f>
        <v>46054</v>
      </c>
      <c r="G6" s="25">
        <f>DATE(TahunBuku,3,1)</f>
        <v>46082</v>
      </c>
      <c r="H6" s="25">
        <f>DATE(TahunBuku,4,1)</f>
        <v>46113</v>
      </c>
      <c r="I6" s="25">
        <f>DATE(TahunBuku,5,1)</f>
        <v>46143</v>
      </c>
      <c r="J6" s="25">
        <f>DATE(TahunBuku,6,1)</f>
        <v>46174</v>
      </c>
      <c r="K6" s="25">
        <f>DATE(TahunBuku,7,1)</f>
        <v>46204</v>
      </c>
      <c r="L6" s="25">
        <f>DATE(TahunBuku,8,1)</f>
        <v>46235</v>
      </c>
      <c r="M6" s="25">
        <f>DATE(TahunBuku,9,1)</f>
        <v>46266</v>
      </c>
      <c r="N6" s="25">
        <f>DATE(TahunBuku,10,1)</f>
        <v>46296</v>
      </c>
      <c r="O6" s="25">
        <f>DATE(TahunBuku,11,1)</f>
        <v>46327</v>
      </c>
      <c r="P6" s="25">
        <f>DATE(TahunBuku,12,1)</f>
        <v>46357</v>
      </c>
      <c r="Q6" s="13" t="s">
        <v>201</v>
      </c>
      <c r="R6" s="13" t="s">
        <v>202</v>
      </c>
      <c r="S6" s="13" t="s">
        <v>203</v>
      </c>
    </row>
    <row r="7" spans="1:19" x14ac:dyDescent="0.25">
      <c r="A7" t="str">
        <f>IF('Aset Tetap'!$B7="","",'Aset Tetap'!A7)</f>
        <v/>
      </c>
      <c r="B7" t="str">
        <f>IF('Aset Tetap'!$B7="","",'Aset Tetap'!B7)</f>
        <v/>
      </c>
      <c r="C7" t="str">
        <f>IF('Aset Tetap'!$B7="","",'Aset Tetap'!C7)</f>
        <v/>
      </c>
      <c r="D7" t="str">
        <f>IF('Aset Tetap'!$B7="","",'Aset Tetap'!D7)</f>
        <v/>
      </c>
      <c r="E7" s="22" t="str">
        <f>IF($B7="","",IF(N('Aset Tetap'!$AG7)=0,0,IF(AND((YEAR(E$6)*12+MONTH(E$6))&gt;='Aset Tetap'!$Y7,(YEAR(E$6)*12+MONTH(E$6))&lt;=MIN('Aset Tetap'!$Z7,IF('Aset Tetap'!$S7="Unit Produksi",99999,'Aset Tetap'!$Y7+'Aset Tetap'!$T7*12-1))),'Aset Tetap'!$AQ7/'Aset Tetap'!$AG7,0)))</f>
        <v/>
      </c>
      <c r="F7" s="22" t="str">
        <f>IF($B7="","",IF(N('Aset Tetap'!$AG7)=0,0,IF(AND((YEAR(F$6)*12+MONTH(F$6))&gt;='Aset Tetap'!$Y7,(YEAR(F$6)*12+MONTH(F$6))&lt;=MIN('Aset Tetap'!$Z7,IF('Aset Tetap'!$S7="Unit Produksi",99999,'Aset Tetap'!$Y7+'Aset Tetap'!$T7*12-1))),'Aset Tetap'!$AQ7/'Aset Tetap'!$AG7,0)))</f>
        <v/>
      </c>
      <c r="G7" s="22" t="str">
        <f>IF($B7="","",IF(N('Aset Tetap'!$AG7)=0,0,IF(AND((YEAR(G$6)*12+MONTH(G$6))&gt;='Aset Tetap'!$Y7,(YEAR(G$6)*12+MONTH(G$6))&lt;=MIN('Aset Tetap'!$Z7,IF('Aset Tetap'!$S7="Unit Produksi",99999,'Aset Tetap'!$Y7+'Aset Tetap'!$T7*12-1))),'Aset Tetap'!$AQ7/'Aset Tetap'!$AG7,0)))</f>
        <v/>
      </c>
      <c r="H7" s="22" t="str">
        <f>IF($B7="","",IF(N('Aset Tetap'!$AG7)=0,0,IF(AND((YEAR(H$6)*12+MONTH(H$6))&gt;='Aset Tetap'!$Y7,(YEAR(H$6)*12+MONTH(H$6))&lt;=MIN('Aset Tetap'!$Z7,IF('Aset Tetap'!$S7="Unit Produksi",99999,'Aset Tetap'!$Y7+'Aset Tetap'!$T7*12-1))),'Aset Tetap'!$AQ7/'Aset Tetap'!$AG7,0)))</f>
        <v/>
      </c>
      <c r="I7" s="22" t="str">
        <f>IF($B7="","",IF(N('Aset Tetap'!$AG7)=0,0,IF(AND((YEAR(I$6)*12+MONTH(I$6))&gt;='Aset Tetap'!$Y7,(YEAR(I$6)*12+MONTH(I$6))&lt;=MIN('Aset Tetap'!$Z7,IF('Aset Tetap'!$S7="Unit Produksi",99999,'Aset Tetap'!$Y7+'Aset Tetap'!$T7*12-1))),'Aset Tetap'!$AQ7/'Aset Tetap'!$AG7,0)))</f>
        <v/>
      </c>
      <c r="J7" s="22" t="str">
        <f>IF($B7="","",IF(N('Aset Tetap'!$AG7)=0,0,IF(AND((YEAR(J$6)*12+MONTH(J$6))&gt;='Aset Tetap'!$Y7,(YEAR(J$6)*12+MONTH(J$6))&lt;=MIN('Aset Tetap'!$Z7,IF('Aset Tetap'!$S7="Unit Produksi",99999,'Aset Tetap'!$Y7+'Aset Tetap'!$T7*12-1))),'Aset Tetap'!$AQ7/'Aset Tetap'!$AG7,0)))</f>
        <v/>
      </c>
      <c r="K7" s="22" t="str">
        <f>IF($B7="","",IF(N('Aset Tetap'!$AG7)=0,0,IF(AND((YEAR(K$6)*12+MONTH(K$6))&gt;='Aset Tetap'!$Y7,(YEAR(K$6)*12+MONTH(K$6))&lt;=MIN('Aset Tetap'!$Z7,IF('Aset Tetap'!$S7="Unit Produksi",99999,'Aset Tetap'!$Y7+'Aset Tetap'!$T7*12-1))),'Aset Tetap'!$AQ7/'Aset Tetap'!$AG7,0)))</f>
        <v/>
      </c>
      <c r="L7" s="22" t="str">
        <f>IF($B7="","",IF(N('Aset Tetap'!$AG7)=0,0,IF(AND((YEAR(L$6)*12+MONTH(L$6))&gt;='Aset Tetap'!$Y7,(YEAR(L$6)*12+MONTH(L$6))&lt;=MIN('Aset Tetap'!$Z7,IF('Aset Tetap'!$S7="Unit Produksi",99999,'Aset Tetap'!$Y7+'Aset Tetap'!$T7*12-1))),'Aset Tetap'!$AQ7/'Aset Tetap'!$AG7,0)))</f>
        <v/>
      </c>
      <c r="M7" s="22" t="str">
        <f>IF($B7="","",IF(N('Aset Tetap'!$AG7)=0,0,IF(AND((YEAR(M$6)*12+MONTH(M$6))&gt;='Aset Tetap'!$Y7,(YEAR(M$6)*12+MONTH(M$6))&lt;=MIN('Aset Tetap'!$Z7,IF('Aset Tetap'!$S7="Unit Produksi",99999,'Aset Tetap'!$Y7+'Aset Tetap'!$T7*12-1))),'Aset Tetap'!$AQ7/'Aset Tetap'!$AG7,0)))</f>
        <v/>
      </c>
      <c r="N7" s="22" t="str">
        <f>IF($B7="","",IF(N('Aset Tetap'!$AG7)=0,0,IF(AND((YEAR(N$6)*12+MONTH(N$6))&gt;='Aset Tetap'!$Y7,(YEAR(N$6)*12+MONTH(N$6))&lt;=MIN('Aset Tetap'!$Z7,IF('Aset Tetap'!$S7="Unit Produksi",99999,'Aset Tetap'!$Y7+'Aset Tetap'!$T7*12-1))),'Aset Tetap'!$AQ7/'Aset Tetap'!$AG7,0)))</f>
        <v/>
      </c>
      <c r="O7" s="22" t="str">
        <f>IF($B7="","",IF(N('Aset Tetap'!$AG7)=0,0,IF(AND((YEAR(O$6)*12+MONTH(O$6))&gt;='Aset Tetap'!$Y7,(YEAR(O$6)*12+MONTH(O$6))&lt;=MIN('Aset Tetap'!$Z7,IF('Aset Tetap'!$S7="Unit Produksi",99999,'Aset Tetap'!$Y7+'Aset Tetap'!$T7*12-1))),'Aset Tetap'!$AQ7/'Aset Tetap'!$AG7,0)))</f>
        <v/>
      </c>
      <c r="P7" s="22" t="str">
        <f>IF($B7="","",IF(N('Aset Tetap'!$AG7)=0,0,IF(AND((YEAR(P$6)*12+MONTH(P$6))&gt;='Aset Tetap'!$Y7,(YEAR(P$6)*12+MONTH(P$6))&lt;=MIN('Aset Tetap'!$Z7,IF('Aset Tetap'!$S7="Unit Produksi",99999,'Aset Tetap'!$Y7+'Aset Tetap'!$T7*12-1))),'Aset Tetap'!$AQ7/'Aset Tetap'!$AG7,0)))</f>
        <v/>
      </c>
      <c r="Q7" s="22" t="str">
        <f>IF($B7="","",SUM(E7:P7))</f>
        <v/>
      </c>
      <c r="R7" s="22" t="str">
        <f>IF($B7="","",'Aset Tetap'!AQ7)</f>
        <v/>
      </c>
      <c r="S7" s="22" t="str">
        <f>IF($B7="","",ROUND(Q7-R7,0))</f>
        <v/>
      </c>
    </row>
    <row r="8" spans="1:19" x14ac:dyDescent="0.25">
      <c r="A8" t="str">
        <f>IF('Aset Tetap'!$B8="","",'Aset Tetap'!A8)</f>
        <v/>
      </c>
      <c r="B8" t="str">
        <f>IF('Aset Tetap'!$B8="","",'Aset Tetap'!B8)</f>
        <v/>
      </c>
      <c r="C8" t="str">
        <f>IF('Aset Tetap'!$B8="","",'Aset Tetap'!C8)</f>
        <v/>
      </c>
      <c r="D8" t="str">
        <f>IF('Aset Tetap'!$B8="","",'Aset Tetap'!D8)</f>
        <v/>
      </c>
      <c r="E8" s="22" t="str">
        <f>IF($B8="","",IF(N('Aset Tetap'!$AG8)=0,0,IF(AND((YEAR(E$6)*12+MONTH(E$6))&gt;='Aset Tetap'!$Y8,(YEAR(E$6)*12+MONTH(E$6))&lt;=MIN('Aset Tetap'!$Z8,IF('Aset Tetap'!$S8="Unit Produksi",99999,'Aset Tetap'!$Y8+'Aset Tetap'!$T8*12-1))),'Aset Tetap'!$AQ8/'Aset Tetap'!$AG8,0)))</f>
        <v/>
      </c>
      <c r="F8" s="22" t="str">
        <f>IF($B8="","",IF(N('Aset Tetap'!$AG8)=0,0,IF(AND((YEAR(F$6)*12+MONTH(F$6))&gt;='Aset Tetap'!$Y8,(YEAR(F$6)*12+MONTH(F$6))&lt;=MIN('Aset Tetap'!$Z8,IF('Aset Tetap'!$S8="Unit Produksi",99999,'Aset Tetap'!$Y8+'Aset Tetap'!$T8*12-1))),'Aset Tetap'!$AQ8/'Aset Tetap'!$AG8,0)))</f>
        <v/>
      </c>
      <c r="G8" s="22" t="str">
        <f>IF($B8="","",IF(N('Aset Tetap'!$AG8)=0,0,IF(AND((YEAR(G$6)*12+MONTH(G$6))&gt;='Aset Tetap'!$Y8,(YEAR(G$6)*12+MONTH(G$6))&lt;=MIN('Aset Tetap'!$Z8,IF('Aset Tetap'!$S8="Unit Produksi",99999,'Aset Tetap'!$Y8+'Aset Tetap'!$T8*12-1))),'Aset Tetap'!$AQ8/'Aset Tetap'!$AG8,0)))</f>
        <v/>
      </c>
      <c r="H8" s="22" t="str">
        <f>IF($B8="","",IF(N('Aset Tetap'!$AG8)=0,0,IF(AND((YEAR(H$6)*12+MONTH(H$6))&gt;='Aset Tetap'!$Y8,(YEAR(H$6)*12+MONTH(H$6))&lt;=MIN('Aset Tetap'!$Z8,IF('Aset Tetap'!$S8="Unit Produksi",99999,'Aset Tetap'!$Y8+'Aset Tetap'!$T8*12-1))),'Aset Tetap'!$AQ8/'Aset Tetap'!$AG8,0)))</f>
        <v/>
      </c>
      <c r="I8" s="22" t="str">
        <f>IF($B8="","",IF(N('Aset Tetap'!$AG8)=0,0,IF(AND((YEAR(I$6)*12+MONTH(I$6))&gt;='Aset Tetap'!$Y8,(YEAR(I$6)*12+MONTH(I$6))&lt;=MIN('Aset Tetap'!$Z8,IF('Aset Tetap'!$S8="Unit Produksi",99999,'Aset Tetap'!$Y8+'Aset Tetap'!$T8*12-1))),'Aset Tetap'!$AQ8/'Aset Tetap'!$AG8,0)))</f>
        <v/>
      </c>
      <c r="J8" s="22" t="str">
        <f>IF($B8="","",IF(N('Aset Tetap'!$AG8)=0,0,IF(AND((YEAR(J$6)*12+MONTH(J$6))&gt;='Aset Tetap'!$Y8,(YEAR(J$6)*12+MONTH(J$6))&lt;=MIN('Aset Tetap'!$Z8,IF('Aset Tetap'!$S8="Unit Produksi",99999,'Aset Tetap'!$Y8+'Aset Tetap'!$T8*12-1))),'Aset Tetap'!$AQ8/'Aset Tetap'!$AG8,0)))</f>
        <v/>
      </c>
      <c r="K8" s="22" t="str">
        <f>IF($B8="","",IF(N('Aset Tetap'!$AG8)=0,0,IF(AND((YEAR(K$6)*12+MONTH(K$6))&gt;='Aset Tetap'!$Y8,(YEAR(K$6)*12+MONTH(K$6))&lt;=MIN('Aset Tetap'!$Z8,IF('Aset Tetap'!$S8="Unit Produksi",99999,'Aset Tetap'!$Y8+'Aset Tetap'!$T8*12-1))),'Aset Tetap'!$AQ8/'Aset Tetap'!$AG8,0)))</f>
        <v/>
      </c>
      <c r="L8" s="22" t="str">
        <f>IF($B8="","",IF(N('Aset Tetap'!$AG8)=0,0,IF(AND((YEAR(L$6)*12+MONTH(L$6))&gt;='Aset Tetap'!$Y8,(YEAR(L$6)*12+MONTH(L$6))&lt;=MIN('Aset Tetap'!$Z8,IF('Aset Tetap'!$S8="Unit Produksi",99999,'Aset Tetap'!$Y8+'Aset Tetap'!$T8*12-1))),'Aset Tetap'!$AQ8/'Aset Tetap'!$AG8,0)))</f>
        <v/>
      </c>
      <c r="M8" s="22" t="str">
        <f>IF($B8="","",IF(N('Aset Tetap'!$AG8)=0,0,IF(AND((YEAR(M$6)*12+MONTH(M$6))&gt;='Aset Tetap'!$Y8,(YEAR(M$6)*12+MONTH(M$6))&lt;=MIN('Aset Tetap'!$Z8,IF('Aset Tetap'!$S8="Unit Produksi",99999,'Aset Tetap'!$Y8+'Aset Tetap'!$T8*12-1))),'Aset Tetap'!$AQ8/'Aset Tetap'!$AG8,0)))</f>
        <v/>
      </c>
      <c r="N8" s="22" t="str">
        <f>IF($B8="","",IF(N('Aset Tetap'!$AG8)=0,0,IF(AND((YEAR(N$6)*12+MONTH(N$6))&gt;='Aset Tetap'!$Y8,(YEAR(N$6)*12+MONTH(N$6))&lt;=MIN('Aset Tetap'!$Z8,IF('Aset Tetap'!$S8="Unit Produksi",99999,'Aset Tetap'!$Y8+'Aset Tetap'!$T8*12-1))),'Aset Tetap'!$AQ8/'Aset Tetap'!$AG8,0)))</f>
        <v/>
      </c>
      <c r="O8" s="22" t="str">
        <f>IF($B8="","",IF(N('Aset Tetap'!$AG8)=0,0,IF(AND((YEAR(O$6)*12+MONTH(O$6))&gt;='Aset Tetap'!$Y8,(YEAR(O$6)*12+MONTH(O$6))&lt;=MIN('Aset Tetap'!$Z8,IF('Aset Tetap'!$S8="Unit Produksi",99999,'Aset Tetap'!$Y8+'Aset Tetap'!$T8*12-1))),'Aset Tetap'!$AQ8/'Aset Tetap'!$AG8,0)))</f>
        <v/>
      </c>
      <c r="P8" s="22" t="str">
        <f>IF($B8="","",IF(N('Aset Tetap'!$AG8)=0,0,IF(AND((YEAR(P$6)*12+MONTH(P$6))&gt;='Aset Tetap'!$Y8,(YEAR(P$6)*12+MONTH(P$6))&lt;=MIN('Aset Tetap'!$Z8,IF('Aset Tetap'!$S8="Unit Produksi",99999,'Aset Tetap'!$Y8+'Aset Tetap'!$T8*12-1))),'Aset Tetap'!$AQ8/'Aset Tetap'!$AG8,0)))</f>
        <v/>
      </c>
      <c r="Q8" s="22" t="str">
        <f>IF($B8="","",SUM(E8:P8))</f>
        <v/>
      </c>
      <c r="R8" s="22" t="str">
        <f>IF($B8="","",'Aset Tetap'!AQ8)</f>
        <v/>
      </c>
      <c r="S8" s="22" t="str">
        <f>IF($B8="","",ROUND(Q8-R8,0))</f>
        <v/>
      </c>
    </row>
    <row r="9" spans="1:19" x14ac:dyDescent="0.25">
      <c r="A9" t="str">
        <f>IF('Aset Tetap'!$B9="","",'Aset Tetap'!A9)</f>
        <v/>
      </c>
      <c r="B9" t="str">
        <f>IF('Aset Tetap'!$B9="","",'Aset Tetap'!B9)</f>
        <v/>
      </c>
      <c r="C9" t="str">
        <f>IF('Aset Tetap'!$B9="","",'Aset Tetap'!C9)</f>
        <v/>
      </c>
      <c r="D9" t="str">
        <f>IF('Aset Tetap'!$B9="","",'Aset Tetap'!D9)</f>
        <v/>
      </c>
      <c r="E9" s="22" t="str">
        <f>IF($B9="","",IF(N('Aset Tetap'!$AG9)=0,0,IF(AND((YEAR(E$6)*12+MONTH(E$6))&gt;='Aset Tetap'!$Y9,(YEAR(E$6)*12+MONTH(E$6))&lt;=MIN('Aset Tetap'!$Z9,IF('Aset Tetap'!$S9="Unit Produksi",99999,'Aset Tetap'!$Y9+'Aset Tetap'!$T9*12-1))),'Aset Tetap'!$AQ9/'Aset Tetap'!$AG9,0)))</f>
        <v/>
      </c>
      <c r="F9" s="22" t="str">
        <f>IF($B9="","",IF(N('Aset Tetap'!$AG9)=0,0,IF(AND((YEAR(F$6)*12+MONTH(F$6))&gt;='Aset Tetap'!$Y9,(YEAR(F$6)*12+MONTH(F$6))&lt;=MIN('Aset Tetap'!$Z9,IF('Aset Tetap'!$S9="Unit Produksi",99999,'Aset Tetap'!$Y9+'Aset Tetap'!$T9*12-1))),'Aset Tetap'!$AQ9/'Aset Tetap'!$AG9,0)))</f>
        <v/>
      </c>
      <c r="G9" s="22" t="str">
        <f>IF($B9="","",IF(N('Aset Tetap'!$AG9)=0,0,IF(AND((YEAR(G$6)*12+MONTH(G$6))&gt;='Aset Tetap'!$Y9,(YEAR(G$6)*12+MONTH(G$6))&lt;=MIN('Aset Tetap'!$Z9,IF('Aset Tetap'!$S9="Unit Produksi",99999,'Aset Tetap'!$Y9+'Aset Tetap'!$T9*12-1))),'Aset Tetap'!$AQ9/'Aset Tetap'!$AG9,0)))</f>
        <v/>
      </c>
      <c r="H9" s="22" t="str">
        <f>IF($B9="","",IF(N('Aset Tetap'!$AG9)=0,0,IF(AND((YEAR(H$6)*12+MONTH(H$6))&gt;='Aset Tetap'!$Y9,(YEAR(H$6)*12+MONTH(H$6))&lt;=MIN('Aset Tetap'!$Z9,IF('Aset Tetap'!$S9="Unit Produksi",99999,'Aset Tetap'!$Y9+'Aset Tetap'!$T9*12-1))),'Aset Tetap'!$AQ9/'Aset Tetap'!$AG9,0)))</f>
        <v/>
      </c>
      <c r="I9" s="22" t="str">
        <f>IF($B9="","",IF(N('Aset Tetap'!$AG9)=0,0,IF(AND((YEAR(I$6)*12+MONTH(I$6))&gt;='Aset Tetap'!$Y9,(YEAR(I$6)*12+MONTH(I$6))&lt;=MIN('Aset Tetap'!$Z9,IF('Aset Tetap'!$S9="Unit Produksi",99999,'Aset Tetap'!$Y9+'Aset Tetap'!$T9*12-1))),'Aset Tetap'!$AQ9/'Aset Tetap'!$AG9,0)))</f>
        <v/>
      </c>
      <c r="J9" s="22" t="str">
        <f>IF($B9="","",IF(N('Aset Tetap'!$AG9)=0,0,IF(AND((YEAR(J$6)*12+MONTH(J$6))&gt;='Aset Tetap'!$Y9,(YEAR(J$6)*12+MONTH(J$6))&lt;=MIN('Aset Tetap'!$Z9,IF('Aset Tetap'!$S9="Unit Produksi",99999,'Aset Tetap'!$Y9+'Aset Tetap'!$T9*12-1))),'Aset Tetap'!$AQ9/'Aset Tetap'!$AG9,0)))</f>
        <v/>
      </c>
      <c r="K9" s="22" t="str">
        <f>IF($B9="","",IF(N('Aset Tetap'!$AG9)=0,0,IF(AND((YEAR(K$6)*12+MONTH(K$6))&gt;='Aset Tetap'!$Y9,(YEAR(K$6)*12+MONTH(K$6))&lt;=MIN('Aset Tetap'!$Z9,IF('Aset Tetap'!$S9="Unit Produksi",99999,'Aset Tetap'!$Y9+'Aset Tetap'!$T9*12-1))),'Aset Tetap'!$AQ9/'Aset Tetap'!$AG9,0)))</f>
        <v/>
      </c>
      <c r="L9" s="22" t="str">
        <f>IF($B9="","",IF(N('Aset Tetap'!$AG9)=0,0,IF(AND((YEAR(L$6)*12+MONTH(L$6))&gt;='Aset Tetap'!$Y9,(YEAR(L$6)*12+MONTH(L$6))&lt;=MIN('Aset Tetap'!$Z9,IF('Aset Tetap'!$S9="Unit Produksi",99999,'Aset Tetap'!$Y9+'Aset Tetap'!$T9*12-1))),'Aset Tetap'!$AQ9/'Aset Tetap'!$AG9,0)))</f>
        <v/>
      </c>
      <c r="M9" s="22" t="str">
        <f>IF($B9="","",IF(N('Aset Tetap'!$AG9)=0,0,IF(AND((YEAR(M$6)*12+MONTH(M$6))&gt;='Aset Tetap'!$Y9,(YEAR(M$6)*12+MONTH(M$6))&lt;=MIN('Aset Tetap'!$Z9,IF('Aset Tetap'!$S9="Unit Produksi",99999,'Aset Tetap'!$Y9+'Aset Tetap'!$T9*12-1))),'Aset Tetap'!$AQ9/'Aset Tetap'!$AG9,0)))</f>
        <v/>
      </c>
      <c r="N9" s="22" t="str">
        <f>IF($B9="","",IF(N('Aset Tetap'!$AG9)=0,0,IF(AND((YEAR(N$6)*12+MONTH(N$6))&gt;='Aset Tetap'!$Y9,(YEAR(N$6)*12+MONTH(N$6))&lt;=MIN('Aset Tetap'!$Z9,IF('Aset Tetap'!$S9="Unit Produksi",99999,'Aset Tetap'!$Y9+'Aset Tetap'!$T9*12-1))),'Aset Tetap'!$AQ9/'Aset Tetap'!$AG9,0)))</f>
        <v/>
      </c>
      <c r="O9" s="22" t="str">
        <f>IF($B9="","",IF(N('Aset Tetap'!$AG9)=0,0,IF(AND((YEAR(O$6)*12+MONTH(O$6))&gt;='Aset Tetap'!$Y9,(YEAR(O$6)*12+MONTH(O$6))&lt;=MIN('Aset Tetap'!$Z9,IF('Aset Tetap'!$S9="Unit Produksi",99999,'Aset Tetap'!$Y9+'Aset Tetap'!$T9*12-1))),'Aset Tetap'!$AQ9/'Aset Tetap'!$AG9,0)))</f>
        <v/>
      </c>
      <c r="P9" s="22" t="str">
        <f>IF($B9="","",IF(N('Aset Tetap'!$AG9)=0,0,IF(AND((YEAR(P$6)*12+MONTH(P$6))&gt;='Aset Tetap'!$Y9,(YEAR(P$6)*12+MONTH(P$6))&lt;=MIN('Aset Tetap'!$Z9,IF('Aset Tetap'!$S9="Unit Produksi",99999,'Aset Tetap'!$Y9+'Aset Tetap'!$T9*12-1))),'Aset Tetap'!$AQ9/'Aset Tetap'!$AG9,0)))</f>
        <v/>
      </c>
      <c r="Q9" s="22" t="str">
        <f>IF($B9="","",SUM(E9:P9))</f>
        <v/>
      </c>
      <c r="R9" s="22" t="str">
        <f>IF($B9="","",'Aset Tetap'!AQ9)</f>
        <v/>
      </c>
      <c r="S9" s="22" t="str">
        <f>IF($B9="","",ROUND(Q9-R9,0))</f>
        <v/>
      </c>
    </row>
    <row r="10" spans="1:19" x14ac:dyDescent="0.25">
      <c r="A10" t="str">
        <f>IF('Aset Tetap'!$B10="","",'Aset Tetap'!A10)</f>
        <v/>
      </c>
      <c r="B10" t="str">
        <f>IF('Aset Tetap'!$B10="","",'Aset Tetap'!B10)</f>
        <v/>
      </c>
      <c r="C10" t="str">
        <f>IF('Aset Tetap'!$B10="","",'Aset Tetap'!C10)</f>
        <v/>
      </c>
      <c r="D10" t="str">
        <f>IF('Aset Tetap'!$B10="","",'Aset Tetap'!D10)</f>
        <v/>
      </c>
      <c r="E10" s="22" t="str">
        <f>IF($B10="","",IF(N('Aset Tetap'!$AG10)=0,0,IF(AND((YEAR(E$6)*12+MONTH(E$6))&gt;='Aset Tetap'!$Y10,(YEAR(E$6)*12+MONTH(E$6))&lt;=MIN('Aset Tetap'!$Z10,IF('Aset Tetap'!$S10="Unit Produksi",99999,'Aset Tetap'!$Y10+'Aset Tetap'!$T10*12-1))),'Aset Tetap'!$AQ10/'Aset Tetap'!$AG10,0)))</f>
        <v/>
      </c>
      <c r="F10" s="22" t="str">
        <f>IF($B10="","",IF(N('Aset Tetap'!$AG10)=0,0,IF(AND((YEAR(F$6)*12+MONTH(F$6))&gt;='Aset Tetap'!$Y10,(YEAR(F$6)*12+MONTH(F$6))&lt;=MIN('Aset Tetap'!$Z10,IF('Aset Tetap'!$S10="Unit Produksi",99999,'Aset Tetap'!$Y10+'Aset Tetap'!$T10*12-1))),'Aset Tetap'!$AQ10/'Aset Tetap'!$AG10,0)))</f>
        <v/>
      </c>
      <c r="G10" s="22" t="str">
        <f>IF($B10="","",IF(N('Aset Tetap'!$AG10)=0,0,IF(AND((YEAR(G$6)*12+MONTH(G$6))&gt;='Aset Tetap'!$Y10,(YEAR(G$6)*12+MONTH(G$6))&lt;=MIN('Aset Tetap'!$Z10,IF('Aset Tetap'!$S10="Unit Produksi",99999,'Aset Tetap'!$Y10+'Aset Tetap'!$T10*12-1))),'Aset Tetap'!$AQ10/'Aset Tetap'!$AG10,0)))</f>
        <v/>
      </c>
      <c r="H10" s="22" t="str">
        <f>IF($B10="","",IF(N('Aset Tetap'!$AG10)=0,0,IF(AND((YEAR(H$6)*12+MONTH(H$6))&gt;='Aset Tetap'!$Y10,(YEAR(H$6)*12+MONTH(H$6))&lt;=MIN('Aset Tetap'!$Z10,IF('Aset Tetap'!$S10="Unit Produksi",99999,'Aset Tetap'!$Y10+'Aset Tetap'!$T10*12-1))),'Aset Tetap'!$AQ10/'Aset Tetap'!$AG10,0)))</f>
        <v/>
      </c>
      <c r="I10" s="22" t="str">
        <f>IF($B10="","",IF(N('Aset Tetap'!$AG10)=0,0,IF(AND((YEAR(I$6)*12+MONTH(I$6))&gt;='Aset Tetap'!$Y10,(YEAR(I$6)*12+MONTH(I$6))&lt;=MIN('Aset Tetap'!$Z10,IF('Aset Tetap'!$S10="Unit Produksi",99999,'Aset Tetap'!$Y10+'Aset Tetap'!$T10*12-1))),'Aset Tetap'!$AQ10/'Aset Tetap'!$AG10,0)))</f>
        <v/>
      </c>
      <c r="J10" s="22" t="str">
        <f>IF($B10="","",IF(N('Aset Tetap'!$AG10)=0,0,IF(AND((YEAR(J$6)*12+MONTH(J$6))&gt;='Aset Tetap'!$Y10,(YEAR(J$6)*12+MONTH(J$6))&lt;=MIN('Aset Tetap'!$Z10,IF('Aset Tetap'!$S10="Unit Produksi",99999,'Aset Tetap'!$Y10+'Aset Tetap'!$T10*12-1))),'Aset Tetap'!$AQ10/'Aset Tetap'!$AG10,0)))</f>
        <v/>
      </c>
      <c r="K10" s="22" t="str">
        <f>IF($B10="","",IF(N('Aset Tetap'!$AG10)=0,0,IF(AND((YEAR(K$6)*12+MONTH(K$6))&gt;='Aset Tetap'!$Y10,(YEAR(K$6)*12+MONTH(K$6))&lt;=MIN('Aset Tetap'!$Z10,IF('Aset Tetap'!$S10="Unit Produksi",99999,'Aset Tetap'!$Y10+'Aset Tetap'!$T10*12-1))),'Aset Tetap'!$AQ10/'Aset Tetap'!$AG10,0)))</f>
        <v/>
      </c>
      <c r="L10" s="22" t="str">
        <f>IF($B10="","",IF(N('Aset Tetap'!$AG10)=0,0,IF(AND((YEAR(L$6)*12+MONTH(L$6))&gt;='Aset Tetap'!$Y10,(YEAR(L$6)*12+MONTH(L$6))&lt;=MIN('Aset Tetap'!$Z10,IF('Aset Tetap'!$S10="Unit Produksi",99999,'Aset Tetap'!$Y10+'Aset Tetap'!$T10*12-1))),'Aset Tetap'!$AQ10/'Aset Tetap'!$AG10,0)))</f>
        <v/>
      </c>
      <c r="M10" s="22" t="str">
        <f>IF($B10="","",IF(N('Aset Tetap'!$AG10)=0,0,IF(AND((YEAR(M$6)*12+MONTH(M$6))&gt;='Aset Tetap'!$Y10,(YEAR(M$6)*12+MONTH(M$6))&lt;=MIN('Aset Tetap'!$Z10,IF('Aset Tetap'!$S10="Unit Produksi",99999,'Aset Tetap'!$Y10+'Aset Tetap'!$T10*12-1))),'Aset Tetap'!$AQ10/'Aset Tetap'!$AG10,0)))</f>
        <v/>
      </c>
      <c r="N10" s="22" t="str">
        <f>IF($B10="","",IF(N('Aset Tetap'!$AG10)=0,0,IF(AND((YEAR(N$6)*12+MONTH(N$6))&gt;='Aset Tetap'!$Y10,(YEAR(N$6)*12+MONTH(N$6))&lt;=MIN('Aset Tetap'!$Z10,IF('Aset Tetap'!$S10="Unit Produksi",99999,'Aset Tetap'!$Y10+'Aset Tetap'!$T10*12-1))),'Aset Tetap'!$AQ10/'Aset Tetap'!$AG10,0)))</f>
        <v/>
      </c>
      <c r="O10" s="22" t="str">
        <f>IF($B10="","",IF(N('Aset Tetap'!$AG10)=0,0,IF(AND((YEAR(O$6)*12+MONTH(O$6))&gt;='Aset Tetap'!$Y10,(YEAR(O$6)*12+MONTH(O$6))&lt;=MIN('Aset Tetap'!$Z10,IF('Aset Tetap'!$S10="Unit Produksi",99999,'Aset Tetap'!$Y10+'Aset Tetap'!$T10*12-1))),'Aset Tetap'!$AQ10/'Aset Tetap'!$AG10,0)))</f>
        <v/>
      </c>
      <c r="P10" s="22" t="str">
        <f>IF($B10="","",IF(N('Aset Tetap'!$AG10)=0,0,IF(AND((YEAR(P$6)*12+MONTH(P$6))&gt;='Aset Tetap'!$Y10,(YEAR(P$6)*12+MONTH(P$6))&lt;=MIN('Aset Tetap'!$Z10,IF('Aset Tetap'!$S10="Unit Produksi",99999,'Aset Tetap'!$Y10+'Aset Tetap'!$T10*12-1))),'Aset Tetap'!$AQ10/'Aset Tetap'!$AG10,0)))</f>
        <v/>
      </c>
      <c r="Q10" s="22" t="str">
        <f>IF($B10="","",SUM(E10:P10))</f>
        <v/>
      </c>
      <c r="R10" s="22" t="str">
        <f>IF($B10="","",'Aset Tetap'!AQ10)</f>
        <v/>
      </c>
      <c r="S10" s="22" t="str">
        <f>IF($B10="","",ROUND(Q10-R10,0))</f>
        <v/>
      </c>
    </row>
    <row r="11" spans="1:19" x14ac:dyDescent="0.25">
      <c r="A11" t="str">
        <f>IF('Aset Tetap'!$B11="","",'Aset Tetap'!A11)</f>
        <v/>
      </c>
      <c r="B11" t="str">
        <f>IF('Aset Tetap'!$B11="","",'Aset Tetap'!B11)</f>
        <v/>
      </c>
      <c r="C11" t="str">
        <f>IF('Aset Tetap'!$B11="","",'Aset Tetap'!C11)</f>
        <v/>
      </c>
      <c r="D11" t="str">
        <f>IF('Aset Tetap'!$B11="","",'Aset Tetap'!D11)</f>
        <v/>
      </c>
      <c r="E11" s="22" t="str">
        <f>IF($B11="","",IF(N('Aset Tetap'!$AG11)=0,0,IF(AND((YEAR(E$6)*12+MONTH(E$6))&gt;='Aset Tetap'!$Y11,(YEAR(E$6)*12+MONTH(E$6))&lt;=MIN('Aset Tetap'!$Z11,IF('Aset Tetap'!$S11="Unit Produksi",99999,'Aset Tetap'!$Y11+'Aset Tetap'!$T11*12-1))),'Aset Tetap'!$AQ11/'Aset Tetap'!$AG11,0)))</f>
        <v/>
      </c>
      <c r="F11" s="22" t="str">
        <f>IF($B11="","",IF(N('Aset Tetap'!$AG11)=0,0,IF(AND((YEAR(F$6)*12+MONTH(F$6))&gt;='Aset Tetap'!$Y11,(YEAR(F$6)*12+MONTH(F$6))&lt;=MIN('Aset Tetap'!$Z11,IF('Aset Tetap'!$S11="Unit Produksi",99999,'Aset Tetap'!$Y11+'Aset Tetap'!$T11*12-1))),'Aset Tetap'!$AQ11/'Aset Tetap'!$AG11,0)))</f>
        <v/>
      </c>
      <c r="G11" s="22" t="str">
        <f>IF($B11="","",IF(N('Aset Tetap'!$AG11)=0,0,IF(AND((YEAR(G$6)*12+MONTH(G$6))&gt;='Aset Tetap'!$Y11,(YEAR(G$6)*12+MONTH(G$6))&lt;=MIN('Aset Tetap'!$Z11,IF('Aset Tetap'!$S11="Unit Produksi",99999,'Aset Tetap'!$Y11+'Aset Tetap'!$T11*12-1))),'Aset Tetap'!$AQ11/'Aset Tetap'!$AG11,0)))</f>
        <v/>
      </c>
      <c r="H11" s="22" t="str">
        <f>IF($B11="","",IF(N('Aset Tetap'!$AG11)=0,0,IF(AND((YEAR(H$6)*12+MONTH(H$6))&gt;='Aset Tetap'!$Y11,(YEAR(H$6)*12+MONTH(H$6))&lt;=MIN('Aset Tetap'!$Z11,IF('Aset Tetap'!$S11="Unit Produksi",99999,'Aset Tetap'!$Y11+'Aset Tetap'!$T11*12-1))),'Aset Tetap'!$AQ11/'Aset Tetap'!$AG11,0)))</f>
        <v/>
      </c>
      <c r="I11" s="22" t="str">
        <f>IF($B11="","",IF(N('Aset Tetap'!$AG11)=0,0,IF(AND((YEAR(I$6)*12+MONTH(I$6))&gt;='Aset Tetap'!$Y11,(YEAR(I$6)*12+MONTH(I$6))&lt;=MIN('Aset Tetap'!$Z11,IF('Aset Tetap'!$S11="Unit Produksi",99999,'Aset Tetap'!$Y11+'Aset Tetap'!$T11*12-1))),'Aset Tetap'!$AQ11/'Aset Tetap'!$AG11,0)))</f>
        <v/>
      </c>
      <c r="J11" s="22" t="str">
        <f>IF($B11="","",IF(N('Aset Tetap'!$AG11)=0,0,IF(AND((YEAR(J$6)*12+MONTH(J$6))&gt;='Aset Tetap'!$Y11,(YEAR(J$6)*12+MONTH(J$6))&lt;=MIN('Aset Tetap'!$Z11,IF('Aset Tetap'!$S11="Unit Produksi",99999,'Aset Tetap'!$Y11+'Aset Tetap'!$T11*12-1))),'Aset Tetap'!$AQ11/'Aset Tetap'!$AG11,0)))</f>
        <v/>
      </c>
      <c r="K11" s="22" t="str">
        <f>IF($B11="","",IF(N('Aset Tetap'!$AG11)=0,0,IF(AND((YEAR(K$6)*12+MONTH(K$6))&gt;='Aset Tetap'!$Y11,(YEAR(K$6)*12+MONTH(K$6))&lt;=MIN('Aset Tetap'!$Z11,IF('Aset Tetap'!$S11="Unit Produksi",99999,'Aset Tetap'!$Y11+'Aset Tetap'!$T11*12-1))),'Aset Tetap'!$AQ11/'Aset Tetap'!$AG11,0)))</f>
        <v/>
      </c>
      <c r="L11" s="22" t="str">
        <f>IF($B11="","",IF(N('Aset Tetap'!$AG11)=0,0,IF(AND((YEAR(L$6)*12+MONTH(L$6))&gt;='Aset Tetap'!$Y11,(YEAR(L$6)*12+MONTH(L$6))&lt;=MIN('Aset Tetap'!$Z11,IF('Aset Tetap'!$S11="Unit Produksi",99999,'Aset Tetap'!$Y11+'Aset Tetap'!$T11*12-1))),'Aset Tetap'!$AQ11/'Aset Tetap'!$AG11,0)))</f>
        <v/>
      </c>
      <c r="M11" s="22" t="str">
        <f>IF($B11="","",IF(N('Aset Tetap'!$AG11)=0,0,IF(AND((YEAR(M$6)*12+MONTH(M$6))&gt;='Aset Tetap'!$Y11,(YEAR(M$6)*12+MONTH(M$6))&lt;=MIN('Aset Tetap'!$Z11,IF('Aset Tetap'!$S11="Unit Produksi",99999,'Aset Tetap'!$Y11+'Aset Tetap'!$T11*12-1))),'Aset Tetap'!$AQ11/'Aset Tetap'!$AG11,0)))</f>
        <v/>
      </c>
      <c r="N11" s="22" t="str">
        <f>IF($B11="","",IF(N('Aset Tetap'!$AG11)=0,0,IF(AND((YEAR(N$6)*12+MONTH(N$6))&gt;='Aset Tetap'!$Y11,(YEAR(N$6)*12+MONTH(N$6))&lt;=MIN('Aset Tetap'!$Z11,IF('Aset Tetap'!$S11="Unit Produksi",99999,'Aset Tetap'!$Y11+'Aset Tetap'!$T11*12-1))),'Aset Tetap'!$AQ11/'Aset Tetap'!$AG11,0)))</f>
        <v/>
      </c>
      <c r="O11" s="22" t="str">
        <f>IF($B11="","",IF(N('Aset Tetap'!$AG11)=0,0,IF(AND((YEAR(O$6)*12+MONTH(O$6))&gt;='Aset Tetap'!$Y11,(YEAR(O$6)*12+MONTH(O$6))&lt;=MIN('Aset Tetap'!$Z11,IF('Aset Tetap'!$S11="Unit Produksi",99999,'Aset Tetap'!$Y11+'Aset Tetap'!$T11*12-1))),'Aset Tetap'!$AQ11/'Aset Tetap'!$AG11,0)))</f>
        <v/>
      </c>
      <c r="P11" s="22" t="str">
        <f>IF($B11="","",IF(N('Aset Tetap'!$AG11)=0,0,IF(AND((YEAR(P$6)*12+MONTH(P$6))&gt;='Aset Tetap'!$Y11,(YEAR(P$6)*12+MONTH(P$6))&lt;=MIN('Aset Tetap'!$Z11,IF('Aset Tetap'!$S11="Unit Produksi",99999,'Aset Tetap'!$Y11+'Aset Tetap'!$T11*12-1))),'Aset Tetap'!$AQ11/'Aset Tetap'!$AG11,0)))</f>
        <v/>
      </c>
      <c r="Q11" s="22" t="str">
        <f>IF($B11="","",SUM(E11:P11))</f>
        <v/>
      </c>
      <c r="R11" s="22" t="str">
        <f>IF($B11="","",'Aset Tetap'!AQ11)</f>
        <v/>
      </c>
      <c r="S11" s="22" t="str">
        <f>IF($B11="","",ROUND(Q11-R11,0))</f>
        <v/>
      </c>
    </row>
    <row r="12" spans="1:19" x14ac:dyDescent="0.25">
      <c r="A12" t="str">
        <f>IF('Aset Tetap'!$B12="","",'Aset Tetap'!A12)</f>
        <v/>
      </c>
      <c r="B12" t="str">
        <f>IF('Aset Tetap'!$B12="","",'Aset Tetap'!B12)</f>
        <v/>
      </c>
      <c r="C12" t="str">
        <f>IF('Aset Tetap'!$B12="","",'Aset Tetap'!C12)</f>
        <v/>
      </c>
      <c r="D12" t="str">
        <f>IF('Aset Tetap'!$B12="","",'Aset Tetap'!D12)</f>
        <v/>
      </c>
      <c r="E12" s="22" t="str">
        <f>IF($B12="","",IF(N('Aset Tetap'!$AG12)=0,0,IF(AND((YEAR(E$6)*12+MONTH(E$6))&gt;='Aset Tetap'!$Y12,(YEAR(E$6)*12+MONTH(E$6))&lt;=MIN('Aset Tetap'!$Z12,IF('Aset Tetap'!$S12="Unit Produksi",99999,'Aset Tetap'!$Y12+'Aset Tetap'!$T12*12-1))),'Aset Tetap'!$AQ12/'Aset Tetap'!$AG12,0)))</f>
        <v/>
      </c>
      <c r="F12" s="22" t="str">
        <f>IF($B12="","",IF(N('Aset Tetap'!$AG12)=0,0,IF(AND((YEAR(F$6)*12+MONTH(F$6))&gt;='Aset Tetap'!$Y12,(YEAR(F$6)*12+MONTH(F$6))&lt;=MIN('Aset Tetap'!$Z12,IF('Aset Tetap'!$S12="Unit Produksi",99999,'Aset Tetap'!$Y12+'Aset Tetap'!$T12*12-1))),'Aset Tetap'!$AQ12/'Aset Tetap'!$AG12,0)))</f>
        <v/>
      </c>
      <c r="G12" s="22" t="str">
        <f>IF($B12="","",IF(N('Aset Tetap'!$AG12)=0,0,IF(AND((YEAR(G$6)*12+MONTH(G$6))&gt;='Aset Tetap'!$Y12,(YEAR(G$6)*12+MONTH(G$6))&lt;=MIN('Aset Tetap'!$Z12,IF('Aset Tetap'!$S12="Unit Produksi",99999,'Aset Tetap'!$Y12+'Aset Tetap'!$T12*12-1))),'Aset Tetap'!$AQ12/'Aset Tetap'!$AG12,0)))</f>
        <v/>
      </c>
      <c r="H12" s="22" t="str">
        <f>IF($B12="","",IF(N('Aset Tetap'!$AG12)=0,0,IF(AND((YEAR(H$6)*12+MONTH(H$6))&gt;='Aset Tetap'!$Y12,(YEAR(H$6)*12+MONTH(H$6))&lt;=MIN('Aset Tetap'!$Z12,IF('Aset Tetap'!$S12="Unit Produksi",99999,'Aset Tetap'!$Y12+'Aset Tetap'!$T12*12-1))),'Aset Tetap'!$AQ12/'Aset Tetap'!$AG12,0)))</f>
        <v/>
      </c>
      <c r="I12" s="22" t="str">
        <f>IF($B12="","",IF(N('Aset Tetap'!$AG12)=0,0,IF(AND((YEAR(I$6)*12+MONTH(I$6))&gt;='Aset Tetap'!$Y12,(YEAR(I$6)*12+MONTH(I$6))&lt;=MIN('Aset Tetap'!$Z12,IF('Aset Tetap'!$S12="Unit Produksi",99999,'Aset Tetap'!$Y12+'Aset Tetap'!$T12*12-1))),'Aset Tetap'!$AQ12/'Aset Tetap'!$AG12,0)))</f>
        <v/>
      </c>
      <c r="J12" s="22" t="str">
        <f>IF($B12="","",IF(N('Aset Tetap'!$AG12)=0,0,IF(AND((YEAR(J$6)*12+MONTH(J$6))&gt;='Aset Tetap'!$Y12,(YEAR(J$6)*12+MONTH(J$6))&lt;=MIN('Aset Tetap'!$Z12,IF('Aset Tetap'!$S12="Unit Produksi",99999,'Aset Tetap'!$Y12+'Aset Tetap'!$T12*12-1))),'Aset Tetap'!$AQ12/'Aset Tetap'!$AG12,0)))</f>
        <v/>
      </c>
      <c r="K12" s="22" t="str">
        <f>IF($B12="","",IF(N('Aset Tetap'!$AG12)=0,0,IF(AND((YEAR(K$6)*12+MONTH(K$6))&gt;='Aset Tetap'!$Y12,(YEAR(K$6)*12+MONTH(K$6))&lt;=MIN('Aset Tetap'!$Z12,IF('Aset Tetap'!$S12="Unit Produksi",99999,'Aset Tetap'!$Y12+'Aset Tetap'!$T12*12-1))),'Aset Tetap'!$AQ12/'Aset Tetap'!$AG12,0)))</f>
        <v/>
      </c>
      <c r="L12" s="22" t="str">
        <f>IF($B12="","",IF(N('Aset Tetap'!$AG12)=0,0,IF(AND((YEAR(L$6)*12+MONTH(L$6))&gt;='Aset Tetap'!$Y12,(YEAR(L$6)*12+MONTH(L$6))&lt;=MIN('Aset Tetap'!$Z12,IF('Aset Tetap'!$S12="Unit Produksi",99999,'Aset Tetap'!$Y12+'Aset Tetap'!$T12*12-1))),'Aset Tetap'!$AQ12/'Aset Tetap'!$AG12,0)))</f>
        <v/>
      </c>
      <c r="M12" s="22" t="str">
        <f>IF($B12="","",IF(N('Aset Tetap'!$AG12)=0,0,IF(AND((YEAR(M$6)*12+MONTH(M$6))&gt;='Aset Tetap'!$Y12,(YEAR(M$6)*12+MONTH(M$6))&lt;=MIN('Aset Tetap'!$Z12,IF('Aset Tetap'!$S12="Unit Produksi",99999,'Aset Tetap'!$Y12+'Aset Tetap'!$T12*12-1))),'Aset Tetap'!$AQ12/'Aset Tetap'!$AG12,0)))</f>
        <v/>
      </c>
      <c r="N12" s="22" t="str">
        <f>IF($B12="","",IF(N('Aset Tetap'!$AG12)=0,0,IF(AND((YEAR(N$6)*12+MONTH(N$6))&gt;='Aset Tetap'!$Y12,(YEAR(N$6)*12+MONTH(N$6))&lt;=MIN('Aset Tetap'!$Z12,IF('Aset Tetap'!$S12="Unit Produksi",99999,'Aset Tetap'!$Y12+'Aset Tetap'!$T12*12-1))),'Aset Tetap'!$AQ12/'Aset Tetap'!$AG12,0)))</f>
        <v/>
      </c>
      <c r="O12" s="22" t="str">
        <f>IF($B12="","",IF(N('Aset Tetap'!$AG12)=0,0,IF(AND((YEAR(O$6)*12+MONTH(O$6))&gt;='Aset Tetap'!$Y12,(YEAR(O$6)*12+MONTH(O$6))&lt;=MIN('Aset Tetap'!$Z12,IF('Aset Tetap'!$S12="Unit Produksi",99999,'Aset Tetap'!$Y12+'Aset Tetap'!$T12*12-1))),'Aset Tetap'!$AQ12/'Aset Tetap'!$AG12,0)))</f>
        <v/>
      </c>
      <c r="P12" s="22" t="str">
        <f>IF($B12="","",IF(N('Aset Tetap'!$AG12)=0,0,IF(AND((YEAR(P$6)*12+MONTH(P$6))&gt;='Aset Tetap'!$Y12,(YEAR(P$6)*12+MONTH(P$6))&lt;=MIN('Aset Tetap'!$Z12,IF('Aset Tetap'!$S12="Unit Produksi",99999,'Aset Tetap'!$Y12+'Aset Tetap'!$T12*12-1))),'Aset Tetap'!$AQ12/'Aset Tetap'!$AG12,0)))</f>
        <v/>
      </c>
      <c r="Q12" s="22" t="str">
        <f>IF($B12="","",SUM(E12:P12))</f>
        <v/>
      </c>
      <c r="R12" s="22" t="str">
        <f>IF($B12="","",'Aset Tetap'!AQ12)</f>
        <v/>
      </c>
      <c r="S12" s="22" t="str">
        <f>IF($B12="","",ROUND(Q12-R12,0))</f>
        <v/>
      </c>
    </row>
    <row r="13" spans="1:19" x14ac:dyDescent="0.25">
      <c r="A13" t="str">
        <f>IF('Aset Tetap'!$B13="","",'Aset Tetap'!A13)</f>
        <v/>
      </c>
      <c r="B13" t="str">
        <f>IF('Aset Tetap'!$B13="","",'Aset Tetap'!B13)</f>
        <v/>
      </c>
      <c r="C13" t="str">
        <f>IF('Aset Tetap'!$B13="","",'Aset Tetap'!C13)</f>
        <v/>
      </c>
      <c r="D13" t="str">
        <f>IF('Aset Tetap'!$B13="","",'Aset Tetap'!D13)</f>
        <v/>
      </c>
      <c r="E13" s="22" t="str">
        <f>IF($B13="","",IF(N('Aset Tetap'!$AG13)=0,0,IF(AND((YEAR(E$6)*12+MONTH(E$6))&gt;='Aset Tetap'!$Y13,(YEAR(E$6)*12+MONTH(E$6))&lt;=MIN('Aset Tetap'!$Z13,IF('Aset Tetap'!$S13="Unit Produksi",99999,'Aset Tetap'!$Y13+'Aset Tetap'!$T13*12-1))),'Aset Tetap'!$AQ13/'Aset Tetap'!$AG13,0)))</f>
        <v/>
      </c>
      <c r="F13" s="22" t="str">
        <f>IF($B13="","",IF(N('Aset Tetap'!$AG13)=0,0,IF(AND((YEAR(F$6)*12+MONTH(F$6))&gt;='Aset Tetap'!$Y13,(YEAR(F$6)*12+MONTH(F$6))&lt;=MIN('Aset Tetap'!$Z13,IF('Aset Tetap'!$S13="Unit Produksi",99999,'Aset Tetap'!$Y13+'Aset Tetap'!$T13*12-1))),'Aset Tetap'!$AQ13/'Aset Tetap'!$AG13,0)))</f>
        <v/>
      </c>
      <c r="G13" s="22" t="str">
        <f>IF($B13="","",IF(N('Aset Tetap'!$AG13)=0,0,IF(AND((YEAR(G$6)*12+MONTH(G$6))&gt;='Aset Tetap'!$Y13,(YEAR(G$6)*12+MONTH(G$6))&lt;=MIN('Aset Tetap'!$Z13,IF('Aset Tetap'!$S13="Unit Produksi",99999,'Aset Tetap'!$Y13+'Aset Tetap'!$T13*12-1))),'Aset Tetap'!$AQ13/'Aset Tetap'!$AG13,0)))</f>
        <v/>
      </c>
      <c r="H13" s="22" t="str">
        <f>IF($B13="","",IF(N('Aset Tetap'!$AG13)=0,0,IF(AND((YEAR(H$6)*12+MONTH(H$6))&gt;='Aset Tetap'!$Y13,(YEAR(H$6)*12+MONTH(H$6))&lt;=MIN('Aset Tetap'!$Z13,IF('Aset Tetap'!$S13="Unit Produksi",99999,'Aset Tetap'!$Y13+'Aset Tetap'!$T13*12-1))),'Aset Tetap'!$AQ13/'Aset Tetap'!$AG13,0)))</f>
        <v/>
      </c>
      <c r="I13" s="22" t="str">
        <f>IF($B13="","",IF(N('Aset Tetap'!$AG13)=0,0,IF(AND((YEAR(I$6)*12+MONTH(I$6))&gt;='Aset Tetap'!$Y13,(YEAR(I$6)*12+MONTH(I$6))&lt;=MIN('Aset Tetap'!$Z13,IF('Aset Tetap'!$S13="Unit Produksi",99999,'Aset Tetap'!$Y13+'Aset Tetap'!$T13*12-1))),'Aset Tetap'!$AQ13/'Aset Tetap'!$AG13,0)))</f>
        <v/>
      </c>
      <c r="J13" s="22" t="str">
        <f>IF($B13="","",IF(N('Aset Tetap'!$AG13)=0,0,IF(AND((YEAR(J$6)*12+MONTH(J$6))&gt;='Aset Tetap'!$Y13,(YEAR(J$6)*12+MONTH(J$6))&lt;=MIN('Aset Tetap'!$Z13,IF('Aset Tetap'!$S13="Unit Produksi",99999,'Aset Tetap'!$Y13+'Aset Tetap'!$T13*12-1))),'Aset Tetap'!$AQ13/'Aset Tetap'!$AG13,0)))</f>
        <v/>
      </c>
      <c r="K13" s="22" t="str">
        <f>IF($B13="","",IF(N('Aset Tetap'!$AG13)=0,0,IF(AND((YEAR(K$6)*12+MONTH(K$6))&gt;='Aset Tetap'!$Y13,(YEAR(K$6)*12+MONTH(K$6))&lt;=MIN('Aset Tetap'!$Z13,IF('Aset Tetap'!$S13="Unit Produksi",99999,'Aset Tetap'!$Y13+'Aset Tetap'!$T13*12-1))),'Aset Tetap'!$AQ13/'Aset Tetap'!$AG13,0)))</f>
        <v/>
      </c>
      <c r="L13" s="22" t="str">
        <f>IF($B13="","",IF(N('Aset Tetap'!$AG13)=0,0,IF(AND((YEAR(L$6)*12+MONTH(L$6))&gt;='Aset Tetap'!$Y13,(YEAR(L$6)*12+MONTH(L$6))&lt;=MIN('Aset Tetap'!$Z13,IF('Aset Tetap'!$S13="Unit Produksi",99999,'Aset Tetap'!$Y13+'Aset Tetap'!$T13*12-1))),'Aset Tetap'!$AQ13/'Aset Tetap'!$AG13,0)))</f>
        <v/>
      </c>
      <c r="M13" s="22" t="str">
        <f>IF($B13="","",IF(N('Aset Tetap'!$AG13)=0,0,IF(AND((YEAR(M$6)*12+MONTH(M$6))&gt;='Aset Tetap'!$Y13,(YEAR(M$6)*12+MONTH(M$6))&lt;=MIN('Aset Tetap'!$Z13,IF('Aset Tetap'!$S13="Unit Produksi",99999,'Aset Tetap'!$Y13+'Aset Tetap'!$T13*12-1))),'Aset Tetap'!$AQ13/'Aset Tetap'!$AG13,0)))</f>
        <v/>
      </c>
      <c r="N13" s="22" t="str">
        <f>IF($B13="","",IF(N('Aset Tetap'!$AG13)=0,0,IF(AND((YEAR(N$6)*12+MONTH(N$6))&gt;='Aset Tetap'!$Y13,(YEAR(N$6)*12+MONTH(N$6))&lt;=MIN('Aset Tetap'!$Z13,IF('Aset Tetap'!$S13="Unit Produksi",99999,'Aset Tetap'!$Y13+'Aset Tetap'!$T13*12-1))),'Aset Tetap'!$AQ13/'Aset Tetap'!$AG13,0)))</f>
        <v/>
      </c>
      <c r="O13" s="22" t="str">
        <f>IF($B13="","",IF(N('Aset Tetap'!$AG13)=0,0,IF(AND((YEAR(O$6)*12+MONTH(O$6))&gt;='Aset Tetap'!$Y13,(YEAR(O$6)*12+MONTH(O$6))&lt;=MIN('Aset Tetap'!$Z13,IF('Aset Tetap'!$S13="Unit Produksi",99999,'Aset Tetap'!$Y13+'Aset Tetap'!$T13*12-1))),'Aset Tetap'!$AQ13/'Aset Tetap'!$AG13,0)))</f>
        <v/>
      </c>
      <c r="P13" s="22" t="str">
        <f>IF($B13="","",IF(N('Aset Tetap'!$AG13)=0,0,IF(AND((YEAR(P$6)*12+MONTH(P$6))&gt;='Aset Tetap'!$Y13,(YEAR(P$6)*12+MONTH(P$6))&lt;=MIN('Aset Tetap'!$Z13,IF('Aset Tetap'!$S13="Unit Produksi",99999,'Aset Tetap'!$Y13+'Aset Tetap'!$T13*12-1))),'Aset Tetap'!$AQ13/'Aset Tetap'!$AG13,0)))</f>
        <v/>
      </c>
      <c r="Q13" s="22" t="str">
        <f>IF($B13="","",SUM(E13:P13))</f>
        <v/>
      </c>
      <c r="R13" s="22" t="str">
        <f>IF($B13="","",'Aset Tetap'!AQ13)</f>
        <v/>
      </c>
      <c r="S13" s="22" t="str">
        <f>IF($B13="","",ROUND(Q13-R13,0))</f>
        <v/>
      </c>
    </row>
    <row r="14" spans="1:19" x14ac:dyDescent="0.25">
      <c r="A14" t="str">
        <f>IF('Aset Tetap'!$B14="","",'Aset Tetap'!A14)</f>
        <v/>
      </c>
      <c r="B14" t="str">
        <f>IF('Aset Tetap'!$B14="","",'Aset Tetap'!B14)</f>
        <v/>
      </c>
      <c r="C14" t="str">
        <f>IF('Aset Tetap'!$B14="","",'Aset Tetap'!C14)</f>
        <v/>
      </c>
      <c r="D14" t="str">
        <f>IF('Aset Tetap'!$B14="","",'Aset Tetap'!D14)</f>
        <v/>
      </c>
      <c r="E14" s="22" t="str">
        <f>IF($B14="","",IF(N('Aset Tetap'!$AG14)=0,0,IF(AND((YEAR(E$6)*12+MONTH(E$6))&gt;='Aset Tetap'!$Y14,(YEAR(E$6)*12+MONTH(E$6))&lt;=MIN('Aset Tetap'!$Z14,IF('Aset Tetap'!$S14="Unit Produksi",99999,'Aset Tetap'!$Y14+'Aset Tetap'!$T14*12-1))),'Aset Tetap'!$AQ14/'Aset Tetap'!$AG14,0)))</f>
        <v/>
      </c>
      <c r="F14" s="22" t="str">
        <f>IF($B14="","",IF(N('Aset Tetap'!$AG14)=0,0,IF(AND((YEAR(F$6)*12+MONTH(F$6))&gt;='Aset Tetap'!$Y14,(YEAR(F$6)*12+MONTH(F$6))&lt;=MIN('Aset Tetap'!$Z14,IF('Aset Tetap'!$S14="Unit Produksi",99999,'Aset Tetap'!$Y14+'Aset Tetap'!$T14*12-1))),'Aset Tetap'!$AQ14/'Aset Tetap'!$AG14,0)))</f>
        <v/>
      </c>
      <c r="G14" s="22" t="str">
        <f>IF($B14="","",IF(N('Aset Tetap'!$AG14)=0,0,IF(AND((YEAR(G$6)*12+MONTH(G$6))&gt;='Aset Tetap'!$Y14,(YEAR(G$6)*12+MONTH(G$6))&lt;=MIN('Aset Tetap'!$Z14,IF('Aset Tetap'!$S14="Unit Produksi",99999,'Aset Tetap'!$Y14+'Aset Tetap'!$T14*12-1))),'Aset Tetap'!$AQ14/'Aset Tetap'!$AG14,0)))</f>
        <v/>
      </c>
      <c r="H14" s="22" t="str">
        <f>IF($B14="","",IF(N('Aset Tetap'!$AG14)=0,0,IF(AND((YEAR(H$6)*12+MONTH(H$6))&gt;='Aset Tetap'!$Y14,(YEAR(H$6)*12+MONTH(H$6))&lt;=MIN('Aset Tetap'!$Z14,IF('Aset Tetap'!$S14="Unit Produksi",99999,'Aset Tetap'!$Y14+'Aset Tetap'!$T14*12-1))),'Aset Tetap'!$AQ14/'Aset Tetap'!$AG14,0)))</f>
        <v/>
      </c>
      <c r="I14" s="22" t="str">
        <f>IF($B14="","",IF(N('Aset Tetap'!$AG14)=0,0,IF(AND((YEAR(I$6)*12+MONTH(I$6))&gt;='Aset Tetap'!$Y14,(YEAR(I$6)*12+MONTH(I$6))&lt;=MIN('Aset Tetap'!$Z14,IF('Aset Tetap'!$S14="Unit Produksi",99999,'Aset Tetap'!$Y14+'Aset Tetap'!$T14*12-1))),'Aset Tetap'!$AQ14/'Aset Tetap'!$AG14,0)))</f>
        <v/>
      </c>
      <c r="J14" s="22" t="str">
        <f>IF($B14="","",IF(N('Aset Tetap'!$AG14)=0,0,IF(AND((YEAR(J$6)*12+MONTH(J$6))&gt;='Aset Tetap'!$Y14,(YEAR(J$6)*12+MONTH(J$6))&lt;=MIN('Aset Tetap'!$Z14,IF('Aset Tetap'!$S14="Unit Produksi",99999,'Aset Tetap'!$Y14+'Aset Tetap'!$T14*12-1))),'Aset Tetap'!$AQ14/'Aset Tetap'!$AG14,0)))</f>
        <v/>
      </c>
      <c r="K14" s="22" t="str">
        <f>IF($B14="","",IF(N('Aset Tetap'!$AG14)=0,0,IF(AND((YEAR(K$6)*12+MONTH(K$6))&gt;='Aset Tetap'!$Y14,(YEAR(K$6)*12+MONTH(K$6))&lt;=MIN('Aset Tetap'!$Z14,IF('Aset Tetap'!$S14="Unit Produksi",99999,'Aset Tetap'!$Y14+'Aset Tetap'!$T14*12-1))),'Aset Tetap'!$AQ14/'Aset Tetap'!$AG14,0)))</f>
        <v/>
      </c>
      <c r="L14" s="22" t="str">
        <f>IF($B14="","",IF(N('Aset Tetap'!$AG14)=0,0,IF(AND((YEAR(L$6)*12+MONTH(L$6))&gt;='Aset Tetap'!$Y14,(YEAR(L$6)*12+MONTH(L$6))&lt;=MIN('Aset Tetap'!$Z14,IF('Aset Tetap'!$S14="Unit Produksi",99999,'Aset Tetap'!$Y14+'Aset Tetap'!$T14*12-1))),'Aset Tetap'!$AQ14/'Aset Tetap'!$AG14,0)))</f>
        <v/>
      </c>
      <c r="M14" s="22" t="str">
        <f>IF($B14="","",IF(N('Aset Tetap'!$AG14)=0,0,IF(AND((YEAR(M$6)*12+MONTH(M$6))&gt;='Aset Tetap'!$Y14,(YEAR(M$6)*12+MONTH(M$6))&lt;=MIN('Aset Tetap'!$Z14,IF('Aset Tetap'!$S14="Unit Produksi",99999,'Aset Tetap'!$Y14+'Aset Tetap'!$T14*12-1))),'Aset Tetap'!$AQ14/'Aset Tetap'!$AG14,0)))</f>
        <v/>
      </c>
      <c r="N14" s="22" t="str">
        <f>IF($B14="","",IF(N('Aset Tetap'!$AG14)=0,0,IF(AND((YEAR(N$6)*12+MONTH(N$6))&gt;='Aset Tetap'!$Y14,(YEAR(N$6)*12+MONTH(N$6))&lt;=MIN('Aset Tetap'!$Z14,IF('Aset Tetap'!$S14="Unit Produksi",99999,'Aset Tetap'!$Y14+'Aset Tetap'!$T14*12-1))),'Aset Tetap'!$AQ14/'Aset Tetap'!$AG14,0)))</f>
        <v/>
      </c>
      <c r="O14" s="22" t="str">
        <f>IF($B14="","",IF(N('Aset Tetap'!$AG14)=0,0,IF(AND((YEAR(O$6)*12+MONTH(O$6))&gt;='Aset Tetap'!$Y14,(YEAR(O$6)*12+MONTH(O$6))&lt;=MIN('Aset Tetap'!$Z14,IF('Aset Tetap'!$S14="Unit Produksi",99999,'Aset Tetap'!$Y14+'Aset Tetap'!$T14*12-1))),'Aset Tetap'!$AQ14/'Aset Tetap'!$AG14,0)))</f>
        <v/>
      </c>
      <c r="P14" s="22" t="str">
        <f>IF($B14="","",IF(N('Aset Tetap'!$AG14)=0,0,IF(AND((YEAR(P$6)*12+MONTH(P$6))&gt;='Aset Tetap'!$Y14,(YEAR(P$6)*12+MONTH(P$6))&lt;=MIN('Aset Tetap'!$Z14,IF('Aset Tetap'!$S14="Unit Produksi",99999,'Aset Tetap'!$Y14+'Aset Tetap'!$T14*12-1))),'Aset Tetap'!$AQ14/'Aset Tetap'!$AG14,0)))</f>
        <v/>
      </c>
      <c r="Q14" s="22" t="str">
        <f>IF($B14="","",SUM(E14:P14))</f>
        <v/>
      </c>
      <c r="R14" s="22" t="str">
        <f>IF($B14="","",'Aset Tetap'!AQ14)</f>
        <v/>
      </c>
      <c r="S14" s="22" t="str">
        <f>IF($B14="","",ROUND(Q14-R14,0))</f>
        <v/>
      </c>
    </row>
    <row r="15" spans="1:19" x14ac:dyDescent="0.25">
      <c r="A15" t="str">
        <f>IF('Aset Tetap'!$B15="","",'Aset Tetap'!A15)</f>
        <v/>
      </c>
      <c r="B15" t="str">
        <f>IF('Aset Tetap'!$B15="","",'Aset Tetap'!B15)</f>
        <v/>
      </c>
      <c r="C15" t="str">
        <f>IF('Aset Tetap'!$B15="","",'Aset Tetap'!C15)</f>
        <v/>
      </c>
      <c r="D15" t="str">
        <f>IF('Aset Tetap'!$B15="","",'Aset Tetap'!D15)</f>
        <v/>
      </c>
      <c r="E15" s="22" t="str">
        <f>IF($B15="","",IF(N('Aset Tetap'!$AG15)=0,0,IF(AND((YEAR(E$6)*12+MONTH(E$6))&gt;='Aset Tetap'!$Y15,(YEAR(E$6)*12+MONTH(E$6))&lt;=MIN('Aset Tetap'!$Z15,IF('Aset Tetap'!$S15="Unit Produksi",99999,'Aset Tetap'!$Y15+'Aset Tetap'!$T15*12-1))),'Aset Tetap'!$AQ15/'Aset Tetap'!$AG15,0)))</f>
        <v/>
      </c>
      <c r="F15" s="22" t="str">
        <f>IF($B15="","",IF(N('Aset Tetap'!$AG15)=0,0,IF(AND((YEAR(F$6)*12+MONTH(F$6))&gt;='Aset Tetap'!$Y15,(YEAR(F$6)*12+MONTH(F$6))&lt;=MIN('Aset Tetap'!$Z15,IF('Aset Tetap'!$S15="Unit Produksi",99999,'Aset Tetap'!$Y15+'Aset Tetap'!$T15*12-1))),'Aset Tetap'!$AQ15/'Aset Tetap'!$AG15,0)))</f>
        <v/>
      </c>
      <c r="G15" s="22" t="str">
        <f>IF($B15="","",IF(N('Aset Tetap'!$AG15)=0,0,IF(AND((YEAR(G$6)*12+MONTH(G$6))&gt;='Aset Tetap'!$Y15,(YEAR(G$6)*12+MONTH(G$6))&lt;=MIN('Aset Tetap'!$Z15,IF('Aset Tetap'!$S15="Unit Produksi",99999,'Aset Tetap'!$Y15+'Aset Tetap'!$T15*12-1))),'Aset Tetap'!$AQ15/'Aset Tetap'!$AG15,0)))</f>
        <v/>
      </c>
      <c r="H15" s="22" t="str">
        <f>IF($B15="","",IF(N('Aset Tetap'!$AG15)=0,0,IF(AND((YEAR(H$6)*12+MONTH(H$6))&gt;='Aset Tetap'!$Y15,(YEAR(H$6)*12+MONTH(H$6))&lt;=MIN('Aset Tetap'!$Z15,IF('Aset Tetap'!$S15="Unit Produksi",99999,'Aset Tetap'!$Y15+'Aset Tetap'!$T15*12-1))),'Aset Tetap'!$AQ15/'Aset Tetap'!$AG15,0)))</f>
        <v/>
      </c>
      <c r="I15" s="22" t="str">
        <f>IF($B15="","",IF(N('Aset Tetap'!$AG15)=0,0,IF(AND((YEAR(I$6)*12+MONTH(I$6))&gt;='Aset Tetap'!$Y15,(YEAR(I$6)*12+MONTH(I$6))&lt;=MIN('Aset Tetap'!$Z15,IF('Aset Tetap'!$S15="Unit Produksi",99999,'Aset Tetap'!$Y15+'Aset Tetap'!$T15*12-1))),'Aset Tetap'!$AQ15/'Aset Tetap'!$AG15,0)))</f>
        <v/>
      </c>
      <c r="J15" s="22" t="str">
        <f>IF($B15="","",IF(N('Aset Tetap'!$AG15)=0,0,IF(AND((YEAR(J$6)*12+MONTH(J$6))&gt;='Aset Tetap'!$Y15,(YEAR(J$6)*12+MONTH(J$6))&lt;=MIN('Aset Tetap'!$Z15,IF('Aset Tetap'!$S15="Unit Produksi",99999,'Aset Tetap'!$Y15+'Aset Tetap'!$T15*12-1))),'Aset Tetap'!$AQ15/'Aset Tetap'!$AG15,0)))</f>
        <v/>
      </c>
      <c r="K15" s="22" t="str">
        <f>IF($B15="","",IF(N('Aset Tetap'!$AG15)=0,0,IF(AND((YEAR(K$6)*12+MONTH(K$6))&gt;='Aset Tetap'!$Y15,(YEAR(K$6)*12+MONTH(K$6))&lt;=MIN('Aset Tetap'!$Z15,IF('Aset Tetap'!$S15="Unit Produksi",99999,'Aset Tetap'!$Y15+'Aset Tetap'!$T15*12-1))),'Aset Tetap'!$AQ15/'Aset Tetap'!$AG15,0)))</f>
        <v/>
      </c>
      <c r="L15" s="22" t="str">
        <f>IF($B15="","",IF(N('Aset Tetap'!$AG15)=0,0,IF(AND((YEAR(L$6)*12+MONTH(L$6))&gt;='Aset Tetap'!$Y15,(YEAR(L$6)*12+MONTH(L$6))&lt;=MIN('Aset Tetap'!$Z15,IF('Aset Tetap'!$S15="Unit Produksi",99999,'Aset Tetap'!$Y15+'Aset Tetap'!$T15*12-1))),'Aset Tetap'!$AQ15/'Aset Tetap'!$AG15,0)))</f>
        <v/>
      </c>
      <c r="M15" s="22" t="str">
        <f>IF($B15="","",IF(N('Aset Tetap'!$AG15)=0,0,IF(AND((YEAR(M$6)*12+MONTH(M$6))&gt;='Aset Tetap'!$Y15,(YEAR(M$6)*12+MONTH(M$6))&lt;=MIN('Aset Tetap'!$Z15,IF('Aset Tetap'!$S15="Unit Produksi",99999,'Aset Tetap'!$Y15+'Aset Tetap'!$T15*12-1))),'Aset Tetap'!$AQ15/'Aset Tetap'!$AG15,0)))</f>
        <v/>
      </c>
      <c r="N15" s="22" t="str">
        <f>IF($B15="","",IF(N('Aset Tetap'!$AG15)=0,0,IF(AND((YEAR(N$6)*12+MONTH(N$6))&gt;='Aset Tetap'!$Y15,(YEAR(N$6)*12+MONTH(N$6))&lt;=MIN('Aset Tetap'!$Z15,IF('Aset Tetap'!$S15="Unit Produksi",99999,'Aset Tetap'!$Y15+'Aset Tetap'!$T15*12-1))),'Aset Tetap'!$AQ15/'Aset Tetap'!$AG15,0)))</f>
        <v/>
      </c>
      <c r="O15" s="22" t="str">
        <f>IF($B15="","",IF(N('Aset Tetap'!$AG15)=0,0,IF(AND((YEAR(O$6)*12+MONTH(O$6))&gt;='Aset Tetap'!$Y15,(YEAR(O$6)*12+MONTH(O$6))&lt;=MIN('Aset Tetap'!$Z15,IF('Aset Tetap'!$S15="Unit Produksi",99999,'Aset Tetap'!$Y15+'Aset Tetap'!$T15*12-1))),'Aset Tetap'!$AQ15/'Aset Tetap'!$AG15,0)))</f>
        <v/>
      </c>
      <c r="P15" s="22" t="str">
        <f>IF($B15="","",IF(N('Aset Tetap'!$AG15)=0,0,IF(AND((YEAR(P$6)*12+MONTH(P$6))&gt;='Aset Tetap'!$Y15,(YEAR(P$6)*12+MONTH(P$6))&lt;=MIN('Aset Tetap'!$Z15,IF('Aset Tetap'!$S15="Unit Produksi",99999,'Aset Tetap'!$Y15+'Aset Tetap'!$T15*12-1))),'Aset Tetap'!$AQ15/'Aset Tetap'!$AG15,0)))</f>
        <v/>
      </c>
      <c r="Q15" s="22" t="str">
        <f>IF($B15="","",SUM(E15:P15))</f>
        <v/>
      </c>
      <c r="R15" s="22" t="str">
        <f>IF($B15="","",'Aset Tetap'!AQ15)</f>
        <v/>
      </c>
      <c r="S15" s="22" t="str">
        <f>IF($B15="","",ROUND(Q15-R15,0))</f>
        <v/>
      </c>
    </row>
    <row r="16" spans="1:19" x14ac:dyDescent="0.25">
      <c r="A16" t="str">
        <f>IF('Aset Tetap'!$B16="","",'Aset Tetap'!A16)</f>
        <v/>
      </c>
      <c r="B16" t="str">
        <f>IF('Aset Tetap'!$B16="","",'Aset Tetap'!B16)</f>
        <v/>
      </c>
      <c r="C16" t="str">
        <f>IF('Aset Tetap'!$B16="","",'Aset Tetap'!C16)</f>
        <v/>
      </c>
      <c r="D16" t="str">
        <f>IF('Aset Tetap'!$B16="","",'Aset Tetap'!D16)</f>
        <v/>
      </c>
      <c r="E16" s="22" t="str">
        <f>IF($B16="","",IF(N('Aset Tetap'!$AG16)=0,0,IF(AND((YEAR(E$6)*12+MONTH(E$6))&gt;='Aset Tetap'!$Y16,(YEAR(E$6)*12+MONTH(E$6))&lt;=MIN('Aset Tetap'!$Z16,IF('Aset Tetap'!$S16="Unit Produksi",99999,'Aset Tetap'!$Y16+'Aset Tetap'!$T16*12-1))),'Aset Tetap'!$AQ16/'Aset Tetap'!$AG16,0)))</f>
        <v/>
      </c>
      <c r="F16" s="22" t="str">
        <f>IF($B16="","",IF(N('Aset Tetap'!$AG16)=0,0,IF(AND((YEAR(F$6)*12+MONTH(F$6))&gt;='Aset Tetap'!$Y16,(YEAR(F$6)*12+MONTH(F$6))&lt;=MIN('Aset Tetap'!$Z16,IF('Aset Tetap'!$S16="Unit Produksi",99999,'Aset Tetap'!$Y16+'Aset Tetap'!$T16*12-1))),'Aset Tetap'!$AQ16/'Aset Tetap'!$AG16,0)))</f>
        <v/>
      </c>
      <c r="G16" s="22" t="str">
        <f>IF($B16="","",IF(N('Aset Tetap'!$AG16)=0,0,IF(AND((YEAR(G$6)*12+MONTH(G$6))&gt;='Aset Tetap'!$Y16,(YEAR(G$6)*12+MONTH(G$6))&lt;=MIN('Aset Tetap'!$Z16,IF('Aset Tetap'!$S16="Unit Produksi",99999,'Aset Tetap'!$Y16+'Aset Tetap'!$T16*12-1))),'Aset Tetap'!$AQ16/'Aset Tetap'!$AG16,0)))</f>
        <v/>
      </c>
      <c r="H16" s="22" t="str">
        <f>IF($B16="","",IF(N('Aset Tetap'!$AG16)=0,0,IF(AND((YEAR(H$6)*12+MONTH(H$6))&gt;='Aset Tetap'!$Y16,(YEAR(H$6)*12+MONTH(H$6))&lt;=MIN('Aset Tetap'!$Z16,IF('Aset Tetap'!$S16="Unit Produksi",99999,'Aset Tetap'!$Y16+'Aset Tetap'!$T16*12-1))),'Aset Tetap'!$AQ16/'Aset Tetap'!$AG16,0)))</f>
        <v/>
      </c>
      <c r="I16" s="22" t="str">
        <f>IF($B16="","",IF(N('Aset Tetap'!$AG16)=0,0,IF(AND((YEAR(I$6)*12+MONTH(I$6))&gt;='Aset Tetap'!$Y16,(YEAR(I$6)*12+MONTH(I$6))&lt;=MIN('Aset Tetap'!$Z16,IF('Aset Tetap'!$S16="Unit Produksi",99999,'Aset Tetap'!$Y16+'Aset Tetap'!$T16*12-1))),'Aset Tetap'!$AQ16/'Aset Tetap'!$AG16,0)))</f>
        <v/>
      </c>
      <c r="J16" s="22" t="str">
        <f>IF($B16="","",IF(N('Aset Tetap'!$AG16)=0,0,IF(AND((YEAR(J$6)*12+MONTH(J$6))&gt;='Aset Tetap'!$Y16,(YEAR(J$6)*12+MONTH(J$6))&lt;=MIN('Aset Tetap'!$Z16,IF('Aset Tetap'!$S16="Unit Produksi",99999,'Aset Tetap'!$Y16+'Aset Tetap'!$T16*12-1))),'Aset Tetap'!$AQ16/'Aset Tetap'!$AG16,0)))</f>
        <v/>
      </c>
      <c r="K16" s="22" t="str">
        <f>IF($B16="","",IF(N('Aset Tetap'!$AG16)=0,0,IF(AND((YEAR(K$6)*12+MONTH(K$6))&gt;='Aset Tetap'!$Y16,(YEAR(K$6)*12+MONTH(K$6))&lt;=MIN('Aset Tetap'!$Z16,IF('Aset Tetap'!$S16="Unit Produksi",99999,'Aset Tetap'!$Y16+'Aset Tetap'!$T16*12-1))),'Aset Tetap'!$AQ16/'Aset Tetap'!$AG16,0)))</f>
        <v/>
      </c>
      <c r="L16" s="22" t="str">
        <f>IF($B16="","",IF(N('Aset Tetap'!$AG16)=0,0,IF(AND((YEAR(L$6)*12+MONTH(L$6))&gt;='Aset Tetap'!$Y16,(YEAR(L$6)*12+MONTH(L$6))&lt;=MIN('Aset Tetap'!$Z16,IF('Aset Tetap'!$S16="Unit Produksi",99999,'Aset Tetap'!$Y16+'Aset Tetap'!$T16*12-1))),'Aset Tetap'!$AQ16/'Aset Tetap'!$AG16,0)))</f>
        <v/>
      </c>
      <c r="M16" s="22" t="str">
        <f>IF($B16="","",IF(N('Aset Tetap'!$AG16)=0,0,IF(AND((YEAR(M$6)*12+MONTH(M$6))&gt;='Aset Tetap'!$Y16,(YEAR(M$6)*12+MONTH(M$6))&lt;=MIN('Aset Tetap'!$Z16,IF('Aset Tetap'!$S16="Unit Produksi",99999,'Aset Tetap'!$Y16+'Aset Tetap'!$T16*12-1))),'Aset Tetap'!$AQ16/'Aset Tetap'!$AG16,0)))</f>
        <v/>
      </c>
      <c r="N16" s="22" t="str">
        <f>IF($B16="","",IF(N('Aset Tetap'!$AG16)=0,0,IF(AND((YEAR(N$6)*12+MONTH(N$6))&gt;='Aset Tetap'!$Y16,(YEAR(N$6)*12+MONTH(N$6))&lt;=MIN('Aset Tetap'!$Z16,IF('Aset Tetap'!$S16="Unit Produksi",99999,'Aset Tetap'!$Y16+'Aset Tetap'!$T16*12-1))),'Aset Tetap'!$AQ16/'Aset Tetap'!$AG16,0)))</f>
        <v/>
      </c>
      <c r="O16" s="22" t="str">
        <f>IF($B16="","",IF(N('Aset Tetap'!$AG16)=0,0,IF(AND((YEAR(O$6)*12+MONTH(O$6))&gt;='Aset Tetap'!$Y16,(YEAR(O$6)*12+MONTH(O$6))&lt;=MIN('Aset Tetap'!$Z16,IF('Aset Tetap'!$S16="Unit Produksi",99999,'Aset Tetap'!$Y16+'Aset Tetap'!$T16*12-1))),'Aset Tetap'!$AQ16/'Aset Tetap'!$AG16,0)))</f>
        <v/>
      </c>
      <c r="P16" s="22" t="str">
        <f>IF($B16="","",IF(N('Aset Tetap'!$AG16)=0,0,IF(AND((YEAR(P$6)*12+MONTH(P$6))&gt;='Aset Tetap'!$Y16,(YEAR(P$6)*12+MONTH(P$6))&lt;=MIN('Aset Tetap'!$Z16,IF('Aset Tetap'!$S16="Unit Produksi",99999,'Aset Tetap'!$Y16+'Aset Tetap'!$T16*12-1))),'Aset Tetap'!$AQ16/'Aset Tetap'!$AG16,0)))</f>
        <v/>
      </c>
      <c r="Q16" s="22" t="str">
        <f>IF($B16="","",SUM(E16:P16))</f>
        <v/>
      </c>
      <c r="R16" s="22" t="str">
        <f>IF($B16="","",'Aset Tetap'!AQ16)</f>
        <v/>
      </c>
      <c r="S16" s="22" t="str">
        <f>IF($B16="","",ROUND(Q16-R16,0))</f>
        <v/>
      </c>
    </row>
    <row r="17" spans="1:19" x14ac:dyDescent="0.25">
      <c r="A17" t="str">
        <f>IF('Aset Tetap'!$B17="","",'Aset Tetap'!A17)</f>
        <v/>
      </c>
      <c r="B17" t="str">
        <f>IF('Aset Tetap'!$B17="","",'Aset Tetap'!B17)</f>
        <v/>
      </c>
      <c r="C17" t="str">
        <f>IF('Aset Tetap'!$B17="","",'Aset Tetap'!C17)</f>
        <v/>
      </c>
      <c r="D17" t="str">
        <f>IF('Aset Tetap'!$B17="","",'Aset Tetap'!D17)</f>
        <v/>
      </c>
      <c r="E17" s="22" t="str">
        <f>IF($B17="","",IF(N('Aset Tetap'!$AG17)=0,0,IF(AND((YEAR(E$6)*12+MONTH(E$6))&gt;='Aset Tetap'!$Y17,(YEAR(E$6)*12+MONTH(E$6))&lt;=MIN('Aset Tetap'!$Z17,IF('Aset Tetap'!$S17="Unit Produksi",99999,'Aset Tetap'!$Y17+'Aset Tetap'!$T17*12-1))),'Aset Tetap'!$AQ17/'Aset Tetap'!$AG17,0)))</f>
        <v/>
      </c>
      <c r="F17" s="22" t="str">
        <f>IF($B17="","",IF(N('Aset Tetap'!$AG17)=0,0,IF(AND((YEAR(F$6)*12+MONTH(F$6))&gt;='Aset Tetap'!$Y17,(YEAR(F$6)*12+MONTH(F$6))&lt;=MIN('Aset Tetap'!$Z17,IF('Aset Tetap'!$S17="Unit Produksi",99999,'Aset Tetap'!$Y17+'Aset Tetap'!$T17*12-1))),'Aset Tetap'!$AQ17/'Aset Tetap'!$AG17,0)))</f>
        <v/>
      </c>
      <c r="G17" s="22" t="str">
        <f>IF($B17="","",IF(N('Aset Tetap'!$AG17)=0,0,IF(AND((YEAR(G$6)*12+MONTH(G$6))&gt;='Aset Tetap'!$Y17,(YEAR(G$6)*12+MONTH(G$6))&lt;=MIN('Aset Tetap'!$Z17,IF('Aset Tetap'!$S17="Unit Produksi",99999,'Aset Tetap'!$Y17+'Aset Tetap'!$T17*12-1))),'Aset Tetap'!$AQ17/'Aset Tetap'!$AG17,0)))</f>
        <v/>
      </c>
      <c r="H17" s="22" t="str">
        <f>IF($B17="","",IF(N('Aset Tetap'!$AG17)=0,0,IF(AND((YEAR(H$6)*12+MONTH(H$6))&gt;='Aset Tetap'!$Y17,(YEAR(H$6)*12+MONTH(H$6))&lt;=MIN('Aset Tetap'!$Z17,IF('Aset Tetap'!$S17="Unit Produksi",99999,'Aset Tetap'!$Y17+'Aset Tetap'!$T17*12-1))),'Aset Tetap'!$AQ17/'Aset Tetap'!$AG17,0)))</f>
        <v/>
      </c>
      <c r="I17" s="22" t="str">
        <f>IF($B17="","",IF(N('Aset Tetap'!$AG17)=0,0,IF(AND((YEAR(I$6)*12+MONTH(I$6))&gt;='Aset Tetap'!$Y17,(YEAR(I$6)*12+MONTH(I$6))&lt;=MIN('Aset Tetap'!$Z17,IF('Aset Tetap'!$S17="Unit Produksi",99999,'Aset Tetap'!$Y17+'Aset Tetap'!$T17*12-1))),'Aset Tetap'!$AQ17/'Aset Tetap'!$AG17,0)))</f>
        <v/>
      </c>
      <c r="J17" s="22" t="str">
        <f>IF($B17="","",IF(N('Aset Tetap'!$AG17)=0,0,IF(AND((YEAR(J$6)*12+MONTH(J$6))&gt;='Aset Tetap'!$Y17,(YEAR(J$6)*12+MONTH(J$6))&lt;=MIN('Aset Tetap'!$Z17,IF('Aset Tetap'!$S17="Unit Produksi",99999,'Aset Tetap'!$Y17+'Aset Tetap'!$T17*12-1))),'Aset Tetap'!$AQ17/'Aset Tetap'!$AG17,0)))</f>
        <v/>
      </c>
      <c r="K17" s="22" t="str">
        <f>IF($B17="","",IF(N('Aset Tetap'!$AG17)=0,0,IF(AND((YEAR(K$6)*12+MONTH(K$6))&gt;='Aset Tetap'!$Y17,(YEAR(K$6)*12+MONTH(K$6))&lt;=MIN('Aset Tetap'!$Z17,IF('Aset Tetap'!$S17="Unit Produksi",99999,'Aset Tetap'!$Y17+'Aset Tetap'!$T17*12-1))),'Aset Tetap'!$AQ17/'Aset Tetap'!$AG17,0)))</f>
        <v/>
      </c>
      <c r="L17" s="22" t="str">
        <f>IF($B17="","",IF(N('Aset Tetap'!$AG17)=0,0,IF(AND((YEAR(L$6)*12+MONTH(L$6))&gt;='Aset Tetap'!$Y17,(YEAR(L$6)*12+MONTH(L$6))&lt;=MIN('Aset Tetap'!$Z17,IF('Aset Tetap'!$S17="Unit Produksi",99999,'Aset Tetap'!$Y17+'Aset Tetap'!$T17*12-1))),'Aset Tetap'!$AQ17/'Aset Tetap'!$AG17,0)))</f>
        <v/>
      </c>
      <c r="M17" s="22" t="str">
        <f>IF($B17="","",IF(N('Aset Tetap'!$AG17)=0,0,IF(AND((YEAR(M$6)*12+MONTH(M$6))&gt;='Aset Tetap'!$Y17,(YEAR(M$6)*12+MONTH(M$6))&lt;=MIN('Aset Tetap'!$Z17,IF('Aset Tetap'!$S17="Unit Produksi",99999,'Aset Tetap'!$Y17+'Aset Tetap'!$T17*12-1))),'Aset Tetap'!$AQ17/'Aset Tetap'!$AG17,0)))</f>
        <v/>
      </c>
      <c r="N17" s="22" t="str">
        <f>IF($B17="","",IF(N('Aset Tetap'!$AG17)=0,0,IF(AND((YEAR(N$6)*12+MONTH(N$6))&gt;='Aset Tetap'!$Y17,(YEAR(N$6)*12+MONTH(N$6))&lt;=MIN('Aset Tetap'!$Z17,IF('Aset Tetap'!$S17="Unit Produksi",99999,'Aset Tetap'!$Y17+'Aset Tetap'!$T17*12-1))),'Aset Tetap'!$AQ17/'Aset Tetap'!$AG17,0)))</f>
        <v/>
      </c>
      <c r="O17" s="22" t="str">
        <f>IF($B17="","",IF(N('Aset Tetap'!$AG17)=0,0,IF(AND((YEAR(O$6)*12+MONTH(O$6))&gt;='Aset Tetap'!$Y17,(YEAR(O$6)*12+MONTH(O$6))&lt;=MIN('Aset Tetap'!$Z17,IF('Aset Tetap'!$S17="Unit Produksi",99999,'Aset Tetap'!$Y17+'Aset Tetap'!$T17*12-1))),'Aset Tetap'!$AQ17/'Aset Tetap'!$AG17,0)))</f>
        <v/>
      </c>
      <c r="P17" s="22" t="str">
        <f>IF($B17="","",IF(N('Aset Tetap'!$AG17)=0,0,IF(AND((YEAR(P$6)*12+MONTH(P$6))&gt;='Aset Tetap'!$Y17,(YEAR(P$6)*12+MONTH(P$6))&lt;=MIN('Aset Tetap'!$Z17,IF('Aset Tetap'!$S17="Unit Produksi",99999,'Aset Tetap'!$Y17+'Aset Tetap'!$T17*12-1))),'Aset Tetap'!$AQ17/'Aset Tetap'!$AG17,0)))</f>
        <v/>
      </c>
      <c r="Q17" s="22" t="str">
        <f>IF($B17="","",SUM(E17:P17))</f>
        <v/>
      </c>
      <c r="R17" s="22" t="str">
        <f>IF($B17="","",'Aset Tetap'!AQ17)</f>
        <v/>
      </c>
      <c r="S17" s="22" t="str">
        <f>IF($B17="","",ROUND(Q17-R17,0))</f>
        <v/>
      </c>
    </row>
    <row r="18" spans="1:19" x14ac:dyDescent="0.25">
      <c r="A18" t="str">
        <f>IF('Aset Tetap'!$B18="","",'Aset Tetap'!A18)</f>
        <v/>
      </c>
      <c r="B18" t="str">
        <f>IF('Aset Tetap'!$B18="","",'Aset Tetap'!B18)</f>
        <v/>
      </c>
      <c r="C18" t="str">
        <f>IF('Aset Tetap'!$B18="","",'Aset Tetap'!C18)</f>
        <v/>
      </c>
      <c r="D18" t="str">
        <f>IF('Aset Tetap'!$B18="","",'Aset Tetap'!D18)</f>
        <v/>
      </c>
      <c r="E18" s="22" t="str">
        <f>IF($B18="","",IF(N('Aset Tetap'!$AG18)=0,0,IF(AND((YEAR(E$6)*12+MONTH(E$6))&gt;='Aset Tetap'!$Y18,(YEAR(E$6)*12+MONTH(E$6))&lt;=MIN('Aset Tetap'!$Z18,IF('Aset Tetap'!$S18="Unit Produksi",99999,'Aset Tetap'!$Y18+'Aset Tetap'!$T18*12-1))),'Aset Tetap'!$AQ18/'Aset Tetap'!$AG18,0)))</f>
        <v/>
      </c>
      <c r="F18" s="22" t="str">
        <f>IF($B18="","",IF(N('Aset Tetap'!$AG18)=0,0,IF(AND((YEAR(F$6)*12+MONTH(F$6))&gt;='Aset Tetap'!$Y18,(YEAR(F$6)*12+MONTH(F$6))&lt;=MIN('Aset Tetap'!$Z18,IF('Aset Tetap'!$S18="Unit Produksi",99999,'Aset Tetap'!$Y18+'Aset Tetap'!$T18*12-1))),'Aset Tetap'!$AQ18/'Aset Tetap'!$AG18,0)))</f>
        <v/>
      </c>
      <c r="G18" s="22" t="str">
        <f>IF($B18="","",IF(N('Aset Tetap'!$AG18)=0,0,IF(AND((YEAR(G$6)*12+MONTH(G$6))&gt;='Aset Tetap'!$Y18,(YEAR(G$6)*12+MONTH(G$6))&lt;=MIN('Aset Tetap'!$Z18,IF('Aset Tetap'!$S18="Unit Produksi",99999,'Aset Tetap'!$Y18+'Aset Tetap'!$T18*12-1))),'Aset Tetap'!$AQ18/'Aset Tetap'!$AG18,0)))</f>
        <v/>
      </c>
      <c r="H18" s="22" t="str">
        <f>IF($B18="","",IF(N('Aset Tetap'!$AG18)=0,0,IF(AND((YEAR(H$6)*12+MONTH(H$6))&gt;='Aset Tetap'!$Y18,(YEAR(H$6)*12+MONTH(H$6))&lt;=MIN('Aset Tetap'!$Z18,IF('Aset Tetap'!$S18="Unit Produksi",99999,'Aset Tetap'!$Y18+'Aset Tetap'!$T18*12-1))),'Aset Tetap'!$AQ18/'Aset Tetap'!$AG18,0)))</f>
        <v/>
      </c>
      <c r="I18" s="22" t="str">
        <f>IF($B18="","",IF(N('Aset Tetap'!$AG18)=0,0,IF(AND((YEAR(I$6)*12+MONTH(I$6))&gt;='Aset Tetap'!$Y18,(YEAR(I$6)*12+MONTH(I$6))&lt;=MIN('Aset Tetap'!$Z18,IF('Aset Tetap'!$S18="Unit Produksi",99999,'Aset Tetap'!$Y18+'Aset Tetap'!$T18*12-1))),'Aset Tetap'!$AQ18/'Aset Tetap'!$AG18,0)))</f>
        <v/>
      </c>
      <c r="J18" s="22" t="str">
        <f>IF($B18="","",IF(N('Aset Tetap'!$AG18)=0,0,IF(AND((YEAR(J$6)*12+MONTH(J$6))&gt;='Aset Tetap'!$Y18,(YEAR(J$6)*12+MONTH(J$6))&lt;=MIN('Aset Tetap'!$Z18,IF('Aset Tetap'!$S18="Unit Produksi",99999,'Aset Tetap'!$Y18+'Aset Tetap'!$T18*12-1))),'Aset Tetap'!$AQ18/'Aset Tetap'!$AG18,0)))</f>
        <v/>
      </c>
      <c r="K18" s="22" t="str">
        <f>IF($B18="","",IF(N('Aset Tetap'!$AG18)=0,0,IF(AND((YEAR(K$6)*12+MONTH(K$6))&gt;='Aset Tetap'!$Y18,(YEAR(K$6)*12+MONTH(K$6))&lt;=MIN('Aset Tetap'!$Z18,IF('Aset Tetap'!$S18="Unit Produksi",99999,'Aset Tetap'!$Y18+'Aset Tetap'!$T18*12-1))),'Aset Tetap'!$AQ18/'Aset Tetap'!$AG18,0)))</f>
        <v/>
      </c>
      <c r="L18" s="22" t="str">
        <f>IF($B18="","",IF(N('Aset Tetap'!$AG18)=0,0,IF(AND((YEAR(L$6)*12+MONTH(L$6))&gt;='Aset Tetap'!$Y18,(YEAR(L$6)*12+MONTH(L$6))&lt;=MIN('Aset Tetap'!$Z18,IF('Aset Tetap'!$S18="Unit Produksi",99999,'Aset Tetap'!$Y18+'Aset Tetap'!$T18*12-1))),'Aset Tetap'!$AQ18/'Aset Tetap'!$AG18,0)))</f>
        <v/>
      </c>
      <c r="M18" s="22" t="str">
        <f>IF($B18="","",IF(N('Aset Tetap'!$AG18)=0,0,IF(AND((YEAR(M$6)*12+MONTH(M$6))&gt;='Aset Tetap'!$Y18,(YEAR(M$6)*12+MONTH(M$6))&lt;=MIN('Aset Tetap'!$Z18,IF('Aset Tetap'!$S18="Unit Produksi",99999,'Aset Tetap'!$Y18+'Aset Tetap'!$T18*12-1))),'Aset Tetap'!$AQ18/'Aset Tetap'!$AG18,0)))</f>
        <v/>
      </c>
      <c r="N18" s="22" t="str">
        <f>IF($B18="","",IF(N('Aset Tetap'!$AG18)=0,0,IF(AND((YEAR(N$6)*12+MONTH(N$6))&gt;='Aset Tetap'!$Y18,(YEAR(N$6)*12+MONTH(N$6))&lt;=MIN('Aset Tetap'!$Z18,IF('Aset Tetap'!$S18="Unit Produksi",99999,'Aset Tetap'!$Y18+'Aset Tetap'!$T18*12-1))),'Aset Tetap'!$AQ18/'Aset Tetap'!$AG18,0)))</f>
        <v/>
      </c>
      <c r="O18" s="22" t="str">
        <f>IF($B18="","",IF(N('Aset Tetap'!$AG18)=0,0,IF(AND((YEAR(O$6)*12+MONTH(O$6))&gt;='Aset Tetap'!$Y18,(YEAR(O$6)*12+MONTH(O$6))&lt;=MIN('Aset Tetap'!$Z18,IF('Aset Tetap'!$S18="Unit Produksi",99999,'Aset Tetap'!$Y18+'Aset Tetap'!$T18*12-1))),'Aset Tetap'!$AQ18/'Aset Tetap'!$AG18,0)))</f>
        <v/>
      </c>
      <c r="P18" s="22" t="str">
        <f>IF($B18="","",IF(N('Aset Tetap'!$AG18)=0,0,IF(AND((YEAR(P$6)*12+MONTH(P$6))&gt;='Aset Tetap'!$Y18,(YEAR(P$6)*12+MONTH(P$6))&lt;=MIN('Aset Tetap'!$Z18,IF('Aset Tetap'!$S18="Unit Produksi",99999,'Aset Tetap'!$Y18+'Aset Tetap'!$T18*12-1))),'Aset Tetap'!$AQ18/'Aset Tetap'!$AG18,0)))</f>
        <v/>
      </c>
      <c r="Q18" s="22" t="str">
        <f>IF($B18="","",SUM(E18:P18))</f>
        <v/>
      </c>
      <c r="R18" s="22" t="str">
        <f>IF($B18="","",'Aset Tetap'!AQ18)</f>
        <v/>
      </c>
      <c r="S18" s="22" t="str">
        <f>IF($B18="","",ROUND(Q18-R18,0))</f>
        <v/>
      </c>
    </row>
    <row r="19" spans="1:19" x14ac:dyDescent="0.25">
      <c r="A19" t="str">
        <f>IF('Aset Tetap'!$B19="","",'Aset Tetap'!A19)</f>
        <v/>
      </c>
      <c r="B19" t="str">
        <f>IF('Aset Tetap'!$B19="","",'Aset Tetap'!B19)</f>
        <v/>
      </c>
      <c r="C19" t="str">
        <f>IF('Aset Tetap'!$B19="","",'Aset Tetap'!C19)</f>
        <v/>
      </c>
      <c r="D19" t="str">
        <f>IF('Aset Tetap'!$B19="","",'Aset Tetap'!D19)</f>
        <v/>
      </c>
      <c r="E19" s="22" t="str">
        <f>IF($B19="","",IF(N('Aset Tetap'!$AG19)=0,0,IF(AND((YEAR(E$6)*12+MONTH(E$6))&gt;='Aset Tetap'!$Y19,(YEAR(E$6)*12+MONTH(E$6))&lt;=MIN('Aset Tetap'!$Z19,IF('Aset Tetap'!$S19="Unit Produksi",99999,'Aset Tetap'!$Y19+'Aset Tetap'!$T19*12-1))),'Aset Tetap'!$AQ19/'Aset Tetap'!$AG19,0)))</f>
        <v/>
      </c>
      <c r="F19" s="22" t="str">
        <f>IF($B19="","",IF(N('Aset Tetap'!$AG19)=0,0,IF(AND((YEAR(F$6)*12+MONTH(F$6))&gt;='Aset Tetap'!$Y19,(YEAR(F$6)*12+MONTH(F$6))&lt;=MIN('Aset Tetap'!$Z19,IF('Aset Tetap'!$S19="Unit Produksi",99999,'Aset Tetap'!$Y19+'Aset Tetap'!$T19*12-1))),'Aset Tetap'!$AQ19/'Aset Tetap'!$AG19,0)))</f>
        <v/>
      </c>
      <c r="G19" s="22" t="str">
        <f>IF($B19="","",IF(N('Aset Tetap'!$AG19)=0,0,IF(AND((YEAR(G$6)*12+MONTH(G$6))&gt;='Aset Tetap'!$Y19,(YEAR(G$6)*12+MONTH(G$6))&lt;=MIN('Aset Tetap'!$Z19,IF('Aset Tetap'!$S19="Unit Produksi",99999,'Aset Tetap'!$Y19+'Aset Tetap'!$T19*12-1))),'Aset Tetap'!$AQ19/'Aset Tetap'!$AG19,0)))</f>
        <v/>
      </c>
      <c r="H19" s="22" t="str">
        <f>IF($B19="","",IF(N('Aset Tetap'!$AG19)=0,0,IF(AND((YEAR(H$6)*12+MONTH(H$6))&gt;='Aset Tetap'!$Y19,(YEAR(H$6)*12+MONTH(H$6))&lt;=MIN('Aset Tetap'!$Z19,IF('Aset Tetap'!$S19="Unit Produksi",99999,'Aset Tetap'!$Y19+'Aset Tetap'!$T19*12-1))),'Aset Tetap'!$AQ19/'Aset Tetap'!$AG19,0)))</f>
        <v/>
      </c>
      <c r="I19" s="22" t="str">
        <f>IF($B19="","",IF(N('Aset Tetap'!$AG19)=0,0,IF(AND((YEAR(I$6)*12+MONTH(I$6))&gt;='Aset Tetap'!$Y19,(YEAR(I$6)*12+MONTH(I$6))&lt;=MIN('Aset Tetap'!$Z19,IF('Aset Tetap'!$S19="Unit Produksi",99999,'Aset Tetap'!$Y19+'Aset Tetap'!$T19*12-1))),'Aset Tetap'!$AQ19/'Aset Tetap'!$AG19,0)))</f>
        <v/>
      </c>
      <c r="J19" s="22" t="str">
        <f>IF($B19="","",IF(N('Aset Tetap'!$AG19)=0,0,IF(AND((YEAR(J$6)*12+MONTH(J$6))&gt;='Aset Tetap'!$Y19,(YEAR(J$6)*12+MONTH(J$6))&lt;=MIN('Aset Tetap'!$Z19,IF('Aset Tetap'!$S19="Unit Produksi",99999,'Aset Tetap'!$Y19+'Aset Tetap'!$T19*12-1))),'Aset Tetap'!$AQ19/'Aset Tetap'!$AG19,0)))</f>
        <v/>
      </c>
      <c r="K19" s="22" t="str">
        <f>IF($B19="","",IF(N('Aset Tetap'!$AG19)=0,0,IF(AND((YEAR(K$6)*12+MONTH(K$6))&gt;='Aset Tetap'!$Y19,(YEAR(K$6)*12+MONTH(K$6))&lt;=MIN('Aset Tetap'!$Z19,IF('Aset Tetap'!$S19="Unit Produksi",99999,'Aset Tetap'!$Y19+'Aset Tetap'!$T19*12-1))),'Aset Tetap'!$AQ19/'Aset Tetap'!$AG19,0)))</f>
        <v/>
      </c>
      <c r="L19" s="22" t="str">
        <f>IF($B19="","",IF(N('Aset Tetap'!$AG19)=0,0,IF(AND((YEAR(L$6)*12+MONTH(L$6))&gt;='Aset Tetap'!$Y19,(YEAR(L$6)*12+MONTH(L$6))&lt;=MIN('Aset Tetap'!$Z19,IF('Aset Tetap'!$S19="Unit Produksi",99999,'Aset Tetap'!$Y19+'Aset Tetap'!$T19*12-1))),'Aset Tetap'!$AQ19/'Aset Tetap'!$AG19,0)))</f>
        <v/>
      </c>
      <c r="M19" s="22" t="str">
        <f>IF($B19="","",IF(N('Aset Tetap'!$AG19)=0,0,IF(AND((YEAR(M$6)*12+MONTH(M$6))&gt;='Aset Tetap'!$Y19,(YEAR(M$6)*12+MONTH(M$6))&lt;=MIN('Aset Tetap'!$Z19,IF('Aset Tetap'!$S19="Unit Produksi",99999,'Aset Tetap'!$Y19+'Aset Tetap'!$T19*12-1))),'Aset Tetap'!$AQ19/'Aset Tetap'!$AG19,0)))</f>
        <v/>
      </c>
      <c r="N19" s="22" t="str">
        <f>IF($B19="","",IF(N('Aset Tetap'!$AG19)=0,0,IF(AND((YEAR(N$6)*12+MONTH(N$6))&gt;='Aset Tetap'!$Y19,(YEAR(N$6)*12+MONTH(N$6))&lt;=MIN('Aset Tetap'!$Z19,IF('Aset Tetap'!$S19="Unit Produksi",99999,'Aset Tetap'!$Y19+'Aset Tetap'!$T19*12-1))),'Aset Tetap'!$AQ19/'Aset Tetap'!$AG19,0)))</f>
        <v/>
      </c>
      <c r="O19" s="22" t="str">
        <f>IF($B19="","",IF(N('Aset Tetap'!$AG19)=0,0,IF(AND((YEAR(O$6)*12+MONTH(O$6))&gt;='Aset Tetap'!$Y19,(YEAR(O$6)*12+MONTH(O$6))&lt;=MIN('Aset Tetap'!$Z19,IF('Aset Tetap'!$S19="Unit Produksi",99999,'Aset Tetap'!$Y19+'Aset Tetap'!$T19*12-1))),'Aset Tetap'!$AQ19/'Aset Tetap'!$AG19,0)))</f>
        <v/>
      </c>
      <c r="P19" s="22" t="str">
        <f>IF($B19="","",IF(N('Aset Tetap'!$AG19)=0,0,IF(AND((YEAR(P$6)*12+MONTH(P$6))&gt;='Aset Tetap'!$Y19,(YEAR(P$6)*12+MONTH(P$6))&lt;=MIN('Aset Tetap'!$Z19,IF('Aset Tetap'!$S19="Unit Produksi",99999,'Aset Tetap'!$Y19+'Aset Tetap'!$T19*12-1))),'Aset Tetap'!$AQ19/'Aset Tetap'!$AG19,0)))</f>
        <v/>
      </c>
      <c r="Q19" s="22" t="str">
        <f>IF($B19="","",SUM(E19:P19))</f>
        <v/>
      </c>
      <c r="R19" s="22" t="str">
        <f>IF($B19="","",'Aset Tetap'!AQ19)</f>
        <v/>
      </c>
      <c r="S19" s="22" t="str">
        <f>IF($B19="","",ROUND(Q19-R19,0))</f>
        <v/>
      </c>
    </row>
    <row r="20" spans="1:19" x14ac:dyDescent="0.25">
      <c r="A20" t="str">
        <f>IF('Aset Tetap'!$B20="","",'Aset Tetap'!A20)</f>
        <v/>
      </c>
      <c r="B20" t="str">
        <f>IF('Aset Tetap'!$B20="","",'Aset Tetap'!B20)</f>
        <v/>
      </c>
      <c r="C20" t="str">
        <f>IF('Aset Tetap'!$B20="","",'Aset Tetap'!C20)</f>
        <v/>
      </c>
      <c r="D20" t="str">
        <f>IF('Aset Tetap'!$B20="","",'Aset Tetap'!D20)</f>
        <v/>
      </c>
      <c r="E20" s="22" t="str">
        <f>IF($B20="","",IF(N('Aset Tetap'!$AG20)=0,0,IF(AND((YEAR(E$6)*12+MONTH(E$6))&gt;='Aset Tetap'!$Y20,(YEAR(E$6)*12+MONTH(E$6))&lt;=MIN('Aset Tetap'!$Z20,IF('Aset Tetap'!$S20="Unit Produksi",99999,'Aset Tetap'!$Y20+'Aset Tetap'!$T20*12-1))),'Aset Tetap'!$AQ20/'Aset Tetap'!$AG20,0)))</f>
        <v/>
      </c>
      <c r="F20" s="22" t="str">
        <f>IF($B20="","",IF(N('Aset Tetap'!$AG20)=0,0,IF(AND((YEAR(F$6)*12+MONTH(F$6))&gt;='Aset Tetap'!$Y20,(YEAR(F$6)*12+MONTH(F$6))&lt;=MIN('Aset Tetap'!$Z20,IF('Aset Tetap'!$S20="Unit Produksi",99999,'Aset Tetap'!$Y20+'Aset Tetap'!$T20*12-1))),'Aset Tetap'!$AQ20/'Aset Tetap'!$AG20,0)))</f>
        <v/>
      </c>
      <c r="G20" s="22" t="str">
        <f>IF($B20="","",IF(N('Aset Tetap'!$AG20)=0,0,IF(AND((YEAR(G$6)*12+MONTH(G$6))&gt;='Aset Tetap'!$Y20,(YEAR(G$6)*12+MONTH(G$6))&lt;=MIN('Aset Tetap'!$Z20,IF('Aset Tetap'!$S20="Unit Produksi",99999,'Aset Tetap'!$Y20+'Aset Tetap'!$T20*12-1))),'Aset Tetap'!$AQ20/'Aset Tetap'!$AG20,0)))</f>
        <v/>
      </c>
      <c r="H20" s="22" t="str">
        <f>IF($B20="","",IF(N('Aset Tetap'!$AG20)=0,0,IF(AND((YEAR(H$6)*12+MONTH(H$6))&gt;='Aset Tetap'!$Y20,(YEAR(H$6)*12+MONTH(H$6))&lt;=MIN('Aset Tetap'!$Z20,IF('Aset Tetap'!$S20="Unit Produksi",99999,'Aset Tetap'!$Y20+'Aset Tetap'!$T20*12-1))),'Aset Tetap'!$AQ20/'Aset Tetap'!$AG20,0)))</f>
        <v/>
      </c>
      <c r="I20" s="22" t="str">
        <f>IF($B20="","",IF(N('Aset Tetap'!$AG20)=0,0,IF(AND((YEAR(I$6)*12+MONTH(I$6))&gt;='Aset Tetap'!$Y20,(YEAR(I$6)*12+MONTH(I$6))&lt;=MIN('Aset Tetap'!$Z20,IF('Aset Tetap'!$S20="Unit Produksi",99999,'Aset Tetap'!$Y20+'Aset Tetap'!$T20*12-1))),'Aset Tetap'!$AQ20/'Aset Tetap'!$AG20,0)))</f>
        <v/>
      </c>
      <c r="J20" s="22" t="str">
        <f>IF($B20="","",IF(N('Aset Tetap'!$AG20)=0,0,IF(AND((YEAR(J$6)*12+MONTH(J$6))&gt;='Aset Tetap'!$Y20,(YEAR(J$6)*12+MONTH(J$6))&lt;=MIN('Aset Tetap'!$Z20,IF('Aset Tetap'!$S20="Unit Produksi",99999,'Aset Tetap'!$Y20+'Aset Tetap'!$T20*12-1))),'Aset Tetap'!$AQ20/'Aset Tetap'!$AG20,0)))</f>
        <v/>
      </c>
      <c r="K20" s="22" t="str">
        <f>IF($B20="","",IF(N('Aset Tetap'!$AG20)=0,0,IF(AND((YEAR(K$6)*12+MONTH(K$6))&gt;='Aset Tetap'!$Y20,(YEAR(K$6)*12+MONTH(K$6))&lt;=MIN('Aset Tetap'!$Z20,IF('Aset Tetap'!$S20="Unit Produksi",99999,'Aset Tetap'!$Y20+'Aset Tetap'!$T20*12-1))),'Aset Tetap'!$AQ20/'Aset Tetap'!$AG20,0)))</f>
        <v/>
      </c>
      <c r="L20" s="22" t="str">
        <f>IF($B20="","",IF(N('Aset Tetap'!$AG20)=0,0,IF(AND((YEAR(L$6)*12+MONTH(L$6))&gt;='Aset Tetap'!$Y20,(YEAR(L$6)*12+MONTH(L$6))&lt;=MIN('Aset Tetap'!$Z20,IF('Aset Tetap'!$S20="Unit Produksi",99999,'Aset Tetap'!$Y20+'Aset Tetap'!$T20*12-1))),'Aset Tetap'!$AQ20/'Aset Tetap'!$AG20,0)))</f>
        <v/>
      </c>
      <c r="M20" s="22" t="str">
        <f>IF($B20="","",IF(N('Aset Tetap'!$AG20)=0,0,IF(AND((YEAR(M$6)*12+MONTH(M$6))&gt;='Aset Tetap'!$Y20,(YEAR(M$6)*12+MONTH(M$6))&lt;=MIN('Aset Tetap'!$Z20,IF('Aset Tetap'!$S20="Unit Produksi",99999,'Aset Tetap'!$Y20+'Aset Tetap'!$T20*12-1))),'Aset Tetap'!$AQ20/'Aset Tetap'!$AG20,0)))</f>
        <v/>
      </c>
      <c r="N20" s="22" t="str">
        <f>IF($B20="","",IF(N('Aset Tetap'!$AG20)=0,0,IF(AND((YEAR(N$6)*12+MONTH(N$6))&gt;='Aset Tetap'!$Y20,(YEAR(N$6)*12+MONTH(N$6))&lt;=MIN('Aset Tetap'!$Z20,IF('Aset Tetap'!$S20="Unit Produksi",99999,'Aset Tetap'!$Y20+'Aset Tetap'!$T20*12-1))),'Aset Tetap'!$AQ20/'Aset Tetap'!$AG20,0)))</f>
        <v/>
      </c>
      <c r="O20" s="22" t="str">
        <f>IF($B20="","",IF(N('Aset Tetap'!$AG20)=0,0,IF(AND((YEAR(O$6)*12+MONTH(O$6))&gt;='Aset Tetap'!$Y20,(YEAR(O$6)*12+MONTH(O$6))&lt;=MIN('Aset Tetap'!$Z20,IF('Aset Tetap'!$S20="Unit Produksi",99999,'Aset Tetap'!$Y20+'Aset Tetap'!$T20*12-1))),'Aset Tetap'!$AQ20/'Aset Tetap'!$AG20,0)))</f>
        <v/>
      </c>
      <c r="P20" s="22" t="str">
        <f>IF($B20="","",IF(N('Aset Tetap'!$AG20)=0,0,IF(AND((YEAR(P$6)*12+MONTH(P$6))&gt;='Aset Tetap'!$Y20,(YEAR(P$6)*12+MONTH(P$6))&lt;=MIN('Aset Tetap'!$Z20,IF('Aset Tetap'!$S20="Unit Produksi",99999,'Aset Tetap'!$Y20+'Aset Tetap'!$T20*12-1))),'Aset Tetap'!$AQ20/'Aset Tetap'!$AG20,0)))</f>
        <v/>
      </c>
      <c r="Q20" s="22" t="str">
        <f>IF($B20="","",SUM(E20:P20))</f>
        <v/>
      </c>
      <c r="R20" s="22" t="str">
        <f>IF($B20="","",'Aset Tetap'!AQ20)</f>
        <v/>
      </c>
      <c r="S20" s="22" t="str">
        <f>IF($B20="","",ROUND(Q20-R20,0))</f>
        <v/>
      </c>
    </row>
    <row r="21" spans="1:19" x14ac:dyDescent="0.25">
      <c r="A21" t="str">
        <f>IF('Aset Tetap'!$B21="","",'Aset Tetap'!A21)</f>
        <v/>
      </c>
      <c r="B21" t="str">
        <f>IF('Aset Tetap'!$B21="","",'Aset Tetap'!B21)</f>
        <v/>
      </c>
      <c r="C21" t="str">
        <f>IF('Aset Tetap'!$B21="","",'Aset Tetap'!C21)</f>
        <v/>
      </c>
      <c r="D21" t="str">
        <f>IF('Aset Tetap'!$B21="","",'Aset Tetap'!D21)</f>
        <v/>
      </c>
      <c r="E21" s="22" t="str">
        <f>IF($B21="","",IF(N('Aset Tetap'!$AG21)=0,0,IF(AND((YEAR(E$6)*12+MONTH(E$6))&gt;='Aset Tetap'!$Y21,(YEAR(E$6)*12+MONTH(E$6))&lt;=MIN('Aset Tetap'!$Z21,IF('Aset Tetap'!$S21="Unit Produksi",99999,'Aset Tetap'!$Y21+'Aset Tetap'!$T21*12-1))),'Aset Tetap'!$AQ21/'Aset Tetap'!$AG21,0)))</f>
        <v/>
      </c>
      <c r="F21" s="22" t="str">
        <f>IF($B21="","",IF(N('Aset Tetap'!$AG21)=0,0,IF(AND((YEAR(F$6)*12+MONTH(F$6))&gt;='Aset Tetap'!$Y21,(YEAR(F$6)*12+MONTH(F$6))&lt;=MIN('Aset Tetap'!$Z21,IF('Aset Tetap'!$S21="Unit Produksi",99999,'Aset Tetap'!$Y21+'Aset Tetap'!$T21*12-1))),'Aset Tetap'!$AQ21/'Aset Tetap'!$AG21,0)))</f>
        <v/>
      </c>
      <c r="G21" s="22" t="str">
        <f>IF($B21="","",IF(N('Aset Tetap'!$AG21)=0,0,IF(AND((YEAR(G$6)*12+MONTH(G$6))&gt;='Aset Tetap'!$Y21,(YEAR(G$6)*12+MONTH(G$6))&lt;=MIN('Aset Tetap'!$Z21,IF('Aset Tetap'!$S21="Unit Produksi",99999,'Aset Tetap'!$Y21+'Aset Tetap'!$T21*12-1))),'Aset Tetap'!$AQ21/'Aset Tetap'!$AG21,0)))</f>
        <v/>
      </c>
      <c r="H21" s="22" t="str">
        <f>IF($B21="","",IF(N('Aset Tetap'!$AG21)=0,0,IF(AND((YEAR(H$6)*12+MONTH(H$6))&gt;='Aset Tetap'!$Y21,(YEAR(H$6)*12+MONTH(H$6))&lt;=MIN('Aset Tetap'!$Z21,IF('Aset Tetap'!$S21="Unit Produksi",99999,'Aset Tetap'!$Y21+'Aset Tetap'!$T21*12-1))),'Aset Tetap'!$AQ21/'Aset Tetap'!$AG21,0)))</f>
        <v/>
      </c>
      <c r="I21" s="22" t="str">
        <f>IF($B21="","",IF(N('Aset Tetap'!$AG21)=0,0,IF(AND((YEAR(I$6)*12+MONTH(I$6))&gt;='Aset Tetap'!$Y21,(YEAR(I$6)*12+MONTH(I$6))&lt;=MIN('Aset Tetap'!$Z21,IF('Aset Tetap'!$S21="Unit Produksi",99999,'Aset Tetap'!$Y21+'Aset Tetap'!$T21*12-1))),'Aset Tetap'!$AQ21/'Aset Tetap'!$AG21,0)))</f>
        <v/>
      </c>
      <c r="J21" s="22" t="str">
        <f>IF($B21="","",IF(N('Aset Tetap'!$AG21)=0,0,IF(AND((YEAR(J$6)*12+MONTH(J$6))&gt;='Aset Tetap'!$Y21,(YEAR(J$6)*12+MONTH(J$6))&lt;=MIN('Aset Tetap'!$Z21,IF('Aset Tetap'!$S21="Unit Produksi",99999,'Aset Tetap'!$Y21+'Aset Tetap'!$T21*12-1))),'Aset Tetap'!$AQ21/'Aset Tetap'!$AG21,0)))</f>
        <v/>
      </c>
      <c r="K21" s="22" t="str">
        <f>IF($B21="","",IF(N('Aset Tetap'!$AG21)=0,0,IF(AND((YEAR(K$6)*12+MONTH(K$6))&gt;='Aset Tetap'!$Y21,(YEAR(K$6)*12+MONTH(K$6))&lt;=MIN('Aset Tetap'!$Z21,IF('Aset Tetap'!$S21="Unit Produksi",99999,'Aset Tetap'!$Y21+'Aset Tetap'!$T21*12-1))),'Aset Tetap'!$AQ21/'Aset Tetap'!$AG21,0)))</f>
        <v/>
      </c>
      <c r="L21" s="22" t="str">
        <f>IF($B21="","",IF(N('Aset Tetap'!$AG21)=0,0,IF(AND((YEAR(L$6)*12+MONTH(L$6))&gt;='Aset Tetap'!$Y21,(YEAR(L$6)*12+MONTH(L$6))&lt;=MIN('Aset Tetap'!$Z21,IF('Aset Tetap'!$S21="Unit Produksi",99999,'Aset Tetap'!$Y21+'Aset Tetap'!$T21*12-1))),'Aset Tetap'!$AQ21/'Aset Tetap'!$AG21,0)))</f>
        <v/>
      </c>
      <c r="M21" s="22" t="str">
        <f>IF($B21="","",IF(N('Aset Tetap'!$AG21)=0,0,IF(AND((YEAR(M$6)*12+MONTH(M$6))&gt;='Aset Tetap'!$Y21,(YEAR(M$6)*12+MONTH(M$6))&lt;=MIN('Aset Tetap'!$Z21,IF('Aset Tetap'!$S21="Unit Produksi",99999,'Aset Tetap'!$Y21+'Aset Tetap'!$T21*12-1))),'Aset Tetap'!$AQ21/'Aset Tetap'!$AG21,0)))</f>
        <v/>
      </c>
      <c r="N21" s="22" t="str">
        <f>IF($B21="","",IF(N('Aset Tetap'!$AG21)=0,0,IF(AND((YEAR(N$6)*12+MONTH(N$6))&gt;='Aset Tetap'!$Y21,(YEAR(N$6)*12+MONTH(N$6))&lt;=MIN('Aset Tetap'!$Z21,IF('Aset Tetap'!$S21="Unit Produksi",99999,'Aset Tetap'!$Y21+'Aset Tetap'!$T21*12-1))),'Aset Tetap'!$AQ21/'Aset Tetap'!$AG21,0)))</f>
        <v/>
      </c>
      <c r="O21" s="22" t="str">
        <f>IF($B21="","",IF(N('Aset Tetap'!$AG21)=0,0,IF(AND((YEAR(O$6)*12+MONTH(O$6))&gt;='Aset Tetap'!$Y21,(YEAR(O$6)*12+MONTH(O$6))&lt;=MIN('Aset Tetap'!$Z21,IF('Aset Tetap'!$S21="Unit Produksi",99999,'Aset Tetap'!$Y21+'Aset Tetap'!$T21*12-1))),'Aset Tetap'!$AQ21/'Aset Tetap'!$AG21,0)))</f>
        <v/>
      </c>
      <c r="P21" s="22" t="str">
        <f>IF($B21="","",IF(N('Aset Tetap'!$AG21)=0,0,IF(AND((YEAR(P$6)*12+MONTH(P$6))&gt;='Aset Tetap'!$Y21,(YEAR(P$6)*12+MONTH(P$6))&lt;=MIN('Aset Tetap'!$Z21,IF('Aset Tetap'!$S21="Unit Produksi",99999,'Aset Tetap'!$Y21+'Aset Tetap'!$T21*12-1))),'Aset Tetap'!$AQ21/'Aset Tetap'!$AG21,0)))</f>
        <v/>
      </c>
      <c r="Q21" s="22" t="str">
        <f>IF($B21="","",SUM(E21:P21))</f>
        <v/>
      </c>
      <c r="R21" s="22" t="str">
        <f>IF($B21="","",'Aset Tetap'!AQ21)</f>
        <v/>
      </c>
      <c r="S21" s="22" t="str">
        <f>IF($B21="","",ROUND(Q21-R21,0))</f>
        <v/>
      </c>
    </row>
    <row r="22" spans="1:19" x14ac:dyDescent="0.25">
      <c r="A22" t="str">
        <f>IF('Aset Tetap'!$B22="","",'Aset Tetap'!A22)</f>
        <v/>
      </c>
      <c r="B22" t="str">
        <f>IF('Aset Tetap'!$B22="","",'Aset Tetap'!B22)</f>
        <v/>
      </c>
      <c r="C22" t="str">
        <f>IF('Aset Tetap'!$B22="","",'Aset Tetap'!C22)</f>
        <v/>
      </c>
      <c r="D22" t="str">
        <f>IF('Aset Tetap'!$B22="","",'Aset Tetap'!D22)</f>
        <v/>
      </c>
      <c r="E22" s="22" t="str">
        <f>IF($B22="","",IF(N('Aset Tetap'!$AG22)=0,0,IF(AND((YEAR(E$6)*12+MONTH(E$6))&gt;='Aset Tetap'!$Y22,(YEAR(E$6)*12+MONTH(E$6))&lt;=MIN('Aset Tetap'!$Z22,IF('Aset Tetap'!$S22="Unit Produksi",99999,'Aset Tetap'!$Y22+'Aset Tetap'!$T22*12-1))),'Aset Tetap'!$AQ22/'Aset Tetap'!$AG22,0)))</f>
        <v/>
      </c>
      <c r="F22" s="22" t="str">
        <f>IF($B22="","",IF(N('Aset Tetap'!$AG22)=0,0,IF(AND((YEAR(F$6)*12+MONTH(F$6))&gt;='Aset Tetap'!$Y22,(YEAR(F$6)*12+MONTH(F$6))&lt;=MIN('Aset Tetap'!$Z22,IF('Aset Tetap'!$S22="Unit Produksi",99999,'Aset Tetap'!$Y22+'Aset Tetap'!$T22*12-1))),'Aset Tetap'!$AQ22/'Aset Tetap'!$AG22,0)))</f>
        <v/>
      </c>
      <c r="G22" s="22" t="str">
        <f>IF($B22="","",IF(N('Aset Tetap'!$AG22)=0,0,IF(AND((YEAR(G$6)*12+MONTH(G$6))&gt;='Aset Tetap'!$Y22,(YEAR(G$6)*12+MONTH(G$6))&lt;=MIN('Aset Tetap'!$Z22,IF('Aset Tetap'!$S22="Unit Produksi",99999,'Aset Tetap'!$Y22+'Aset Tetap'!$T22*12-1))),'Aset Tetap'!$AQ22/'Aset Tetap'!$AG22,0)))</f>
        <v/>
      </c>
      <c r="H22" s="22" t="str">
        <f>IF($B22="","",IF(N('Aset Tetap'!$AG22)=0,0,IF(AND((YEAR(H$6)*12+MONTH(H$6))&gt;='Aset Tetap'!$Y22,(YEAR(H$6)*12+MONTH(H$6))&lt;=MIN('Aset Tetap'!$Z22,IF('Aset Tetap'!$S22="Unit Produksi",99999,'Aset Tetap'!$Y22+'Aset Tetap'!$T22*12-1))),'Aset Tetap'!$AQ22/'Aset Tetap'!$AG22,0)))</f>
        <v/>
      </c>
      <c r="I22" s="22" t="str">
        <f>IF($B22="","",IF(N('Aset Tetap'!$AG22)=0,0,IF(AND((YEAR(I$6)*12+MONTH(I$6))&gt;='Aset Tetap'!$Y22,(YEAR(I$6)*12+MONTH(I$6))&lt;=MIN('Aset Tetap'!$Z22,IF('Aset Tetap'!$S22="Unit Produksi",99999,'Aset Tetap'!$Y22+'Aset Tetap'!$T22*12-1))),'Aset Tetap'!$AQ22/'Aset Tetap'!$AG22,0)))</f>
        <v/>
      </c>
      <c r="J22" s="22" t="str">
        <f>IF($B22="","",IF(N('Aset Tetap'!$AG22)=0,0,IF(AND((YEAR(J$6)*12+MONTH(J$6))&gt;='Aset Tetap'!$Y22,(YEAR(J$6)*12+MONTH(J$6))&lt;=MIN('Aset Tetap'!$Z22,IF('Aset Tetap'!$S22="Unit Produksi",99999,'Aset Tetap'!$Y22+'Aset Tetap'!$T22*12-1))),'Aset Tetap'!$AQ22/'Aset Tetap'!$AG22,0)))</f>
        <v/>
      </c>
      <c r="K22" s="22" t="str">
        <f>IF($B22="","",IF(N('Aset Tetap'!$AG22)=0,0,IF(AND((YEAR(K$6)*12+MONTH(K$6))&gt;='Aset Tetap'!$Y22,(YEAR(K$6)*12+MONTH(K$6))&lt;=MIN('Aset Tetap'!$Z22,IF('Aset Tetap'!$S22="Unit Produksi",99999,'Aset Tetap'!$Y22+'Aset Tetap'!$T22*12-1))),'Aset Tetap'!$AQ22/'Aset Tetap'!$AG22,0)))</f>
        <v/>
      </c>
      <c r="L22" s="22" t="str">
        <f>IF($B22="","",IF(N('Aset Tetap'!$AG22)=0,0,IF(AND((YEAR(L$6)*12+MONTH(L$6))&gt;='Aset Tetap'!$Y22,(YEAR(L$6)*12+MONTH(L$6))&lt;=MIN('Aset Tetap'!$Z22,IF('Aset Tetap'!$S22="Unit Produksi",99999,'Aset Tetap'!$Y22+'Aset Tetap'!$T22*12-1))),'Aset Tetap'!$AQ22/'Aset Tetap'!$AG22,0)))</f>
        <v/>
      </c>
      <c r="M22" s="22" t="str">
        <f>IF($B22="","",IF(N('Aset Tetap'!$AG22)=0,0,IF(AND((YEAR(M$6)*12+MONTH(M$6))&gt;='Aset Tetap'!$Y22,(YEAR(M$6)*12+MONTH(M$6))&lt;=MIN('Aset Tetap'!$Z22,IF('Aset Tetap'!$S22="Unit Produksi",99999,'Aset Tetap'!$Y22+'Aset Tetap'!$T22*12-1))),'Aset Tetap'!$AQ22/'Aset Tetap'!$AG22,0)))</f>
        <v/>
      </c>
      <c r="N22" s="22" t="str">
        <f>IF($B22="","",IF(N('Aset Tetap'!$AG22)=0,0,IF(AND((YEAR(N$6)*12+MONTH(N$6))&gt;='Aset Tetap'!$Y22,(YEAR(N$6)*12+MONTH(N$6))&lt;=MIN('Aset Tetap'!$Z22,IF('Aset Tetap'!$S22="Unit Produksi",99999,'Aset Tetap'!$Y22+'Aset Tetap'!$T22*12-1))),'Aset Tetap'!$AQ22/'Aset Tetap'!$AG22,0)))</f>
        <v/>
      </c>
      <c r="O22" s="22" t="str">
        <f>IF($B22="","",IF(N('Aset Tetap'!$AG22)=0,0,IF(AND((YEAR(O$6)*12+MONTH(O$6))&gt;='Aset Tetap'!$Y22,(YEAR(O$6)*12+MONTH(O$6))&lt;=MIN('Aset Tetap'!$Z22,IF('Aset Tetap'!$S22="Unit Produksi",99999,'Aset Tetap'!$Y22+'Aset Tetap'!$T22*12-1))),'Aset Tetap'!$AQ22/'Aset Tetap'!$AG22,0)))</f>
        <v/>
      </c>
      <c r="P22" s="22" t="str">
        <f>IF($B22="","",IF(N('Aset Tetap'!$AG22)=0,0,IF(AND((YEAR(P$6)*12+MONTH(P$6))&gt;='Aset Tetap'!$Y22,(YEAR(P$6)*12+MONTH(P$6))&lt;=MIN('Aset Tetap'!$Z22,IF('Aset Tetap'!$S22="Unit Produksi",99999,'Aset Tetap'!$Y22+'Aset Tetap'!$T22*12-1))),'Aset Tetap'!$AQ22/'Aset Tetap'!$AG22,0)))</f>
        <v/>
      </c>
      <c r="Q22" s="22" t="str">
        <f>IF($B22="","",SUM(E22:P22))</f>
        <v/>
      </c>
      <c r="R22" s="22" t="str">
        <f>IF($B22="","",'Aset Tetap'!AQ22)</f>
        <v/>
      </c>
      <c r="S22" s="22" t="str">
        <f>IF($B22="","",ROUND(Q22-R22,0))</f>
        <v/>
      </c>
    </row>
    <row r="23" spans="1:19" x14ac:dyDescent="0.25">
      <c r="A23" t="str">
        <f>IF('Aset Tetap'!$B23="","",'Aset Tetap'!A23)</f>
        <v/>
      </c>
      <c r="B23" t="str">
        <f>IF('Aset Tetap'!$B23="","",'Aset Tetap'!B23)</f>
        <v/>
      </c>
      <c r="C23" t="str">
        <f>IF('Aset Tetap'!$B23="","",'Aset Tetap'!C23)</f>
        <v/>
      </c>
      <c r="D23" t="str">
        <f>IF('Aset Tetap'!$B23="","",'Aset Tetap'!D23)</f>
        <v/>
      </c>
      <c r="E23" s="22" t="str">
        <f>IF($B23="","",IF(N('Aset Tetap'!$AG23)=0,0,IF(AND((YEAR(E$6)*12+MONTH(E$6))&gt;='Aset Tetap'!$Y23,(YEAR(E$6)*12+MONTH(E$6))&lt;=MIN('Aset Tetap'!$Z23,IF('Aset Tetap'!$S23="Unit Produksi",99999,'Aset Tetap'!$Y23+'Aset Tetap'!$T23*12-1))),'Aset Tetap'!$AQ23/'Aset Tetap'!$AG23,0)))</f>
        <v/>
      </c>
      <c r="F23" s="22" t="str">
        <f>IF($B23="","",IF(N('Aset Tetap'!$AG23)=0,0,IF(AND((YEAR(F$6)*12+MONTH(F$6))&gt;='Aset Tetap'!$Y23,(YEAR(F$6)*12+MONTH(F$6))&lt;=MIN('Aset Tetap'!$Z23,IF('Aset Tetap'!$S23="Unit Produksi",99999,'Aset Tetap'!$Y23+'Aset Tetap'!$T23*12-1))),'Aset Tetap'!$AQ23/'Aset Tetap'!$AG23,0)))</f>
        <v/>
      </c>
      <c r="G23" s="22" t="str">
        <f>IF($B23="","",IF(N('Aset Tetap'!$AG23)=0,0,IF(AND((YEAR(G$6)*12+MONTH(G$6))&gt;='Aset Tetap'!$Y23,(YEAR(G$6)*12+MONTH(G$6))&lt;=MIN('Aset Tetap'!$Z23,IF('Aset Tetap'!$S23="Unit Produksi",99999,'Aset Tetap'!$Y23+'Aset Tetap'!$T23*12-1))),'Aset Tetap'!$AQ23/'Aset Tetap'!$AG23,0)))</f>
        <v/>
      </c>
      <c r="H23" s="22" t="str">
        <f>IF($B23="","",IF(N('Aset Tetap'!$AG23)=0,0,IF(AND((YEAR(H$6)*12+MONTH(H$6))&gt;='Aset Tetap'!$Y23,(YEAR(H$6)*12+MONTH(H$6))&lt;=MIN('Aset Tetap'!$Z23,IF('Aset Tetap'!$S23="Unit Produksi",99999,'Aset Tetap'!$Y23+'Aset Tetap'!$T23*12-1))),'Aset Tetap'!$AQ23/'Aset Tetap'!$AG23,0)))</f>
        <v/>
      </c>
      <c r="I23" s="22" t="str">
        <f>IF($B23="","",IF(N('Aset Tetap'!$AG23)=0,0,IF(AND((YEAR(I$6)*12+MONTH(I$6))&gt;='Aset Tetap'!$Y23,(YEAR(I$6)*12+MONTH(I$6))&lt;=MIN('Aset Tetap'!$Z23,IF('Aset Tetap'!$S23="Unit Produksi",99999,'Aset Tetap'!$Y23+'Aset Tetap'!$T23*12-1))),'Aset Tetap'!$AQ23/'Aset Tetap'!$AG23,0)))</f>
        <v/>
      </c>
      <c r="J23" s="22" t="str">
        <f>IF($B23="","",IF(N('Aset Tetap'!$AG23)=0,0,IF(AND((YEAR(J$6)*12+MONTH(J$6))&gt;='Aset Tetap'!$Y23,(YEAR(J$6)*12+MONTH(J$6))&lt;=MIN('Aset Tetap'!$Z23,IF('Aset Tetap'!$S23="Unit Produksi",99999,'Aset Tetap'!$Y23+'Aset Tetap'!$T23*12-1))),'Aset Tetap'!$AQ23/'Aset Tetap'!$AG23,0)))</f>
        <v/>
      </c>
      <c r="K23" s="22" t="str">
        <f>IF($B23="","",IF(N('Aset Tetap'!$AG23)=0,0,IF(AND((YEAR(K$6)*12+MONTH(K$6))&gt;='Aset Tetap'!$Y23,(YEAR(K$6)*12+MONTH(K$6))&lt;=MIN('Aset Tetap'!$Z23,IF('Aset Tetap'!$S23="Unit Produksi",99999,'Aset Tetap'!$Y23+'Aset Tetap'!$T23*12-1))),'Aset Tetap'!$AQ23/'Aset Tetap'!$AG23,0)))</f>
        <v/>
      </c>
      <c r="L23" s="22" t="str">
        <f>IF($B23="","",IF(N('Aset Tetap'!$AG23)=0,0,IF(AND((YEAR(L$6)*12+MONTH(L$6))&gt;='Aset Tetap'!$Y23,(YEAR(L$6)*12+MONTH(L$6))&lt;=MIN('Aset Tetap'!$Z23,IF('Aset Tetap'!$S23="Unit Produksi",99999,'Aset Tetap'!$Y23+'Aset Tetap'!$T23*12-1))),'Aset Tetap'!$AQ23/'Aset Tetap'!$AG23,0)))</f>
        <v/>
      </c>
      <c r="M23" s="22" t="str">
        <f>IF($B23="","",IF(N('Aset Tetap'!$AG23)=0,0,IF(AND((YEAR(M$6)*12+MONTH(M$6))&gt;='Aset Tetap'!$Y23,(YEAR(M$6)*12+MONTH(M$6))&lt;=MIN('Aset Tetap'!$Z23,IF('Aset Tetap'!$S23="Unit Produksi",99999,'Aset Tetap'!$Y23+'Aset Tetap'!$T23*12-1))),'Aset Tetap'!$AQ23/'Aset Tetap'!$AG23,0)))</f>
        <v/>
      </c>
      <c r="N23" s="22" t="str">
        <f>IF($B23="","",IF(N('Aset Tetap'!$AG23)=0,0,IF(AND((YEAR(N$6)*12+MONTH(N$6))&gt;='Aset Tetap'!$Y23,(YEAR(N$6)*12+MONTH(N$6))&lt;=MIN('Aset Tetap'!$Z23,IF('Aset Tetap'!$S23="Unit Produksi",99999,'Aset Tetap'!$Y23+'Aset Tetap'!$T23*12-1))),'Aset Tetap'!$AQ23/'Aset Tetap'!$AG23,0)))</f>
        <v/>
      </c>
      <c r="O23" s="22" t="str">
        <f>IF($B23="","",IF(N('Aset Tetap'!$AG23)=0,0,IF(AND((YEAR(O$6)*12+MONTH(O$6))&gt;='Aset Tetap'!$Y23,(YEAR(O$6)*12+MONTH(O$6))&lt;=MIN('Aset Tetap'!$Z23,IF('Aset Tetap'!$S23="Unit Produksi",99999,'Aset Tetap'!$Y23+'Aset Tetap'!$T23*12-1))),'Aset Tetap'!$AQ23/'Aset Tetap'!$AG23,0)))</f>
        <v/>
      </c>
      <c r="P23" s="22" t="str">
        <f>IF($B23="","",IF(N('Aset Tetap'!$AG23)=0,0,IF(AND((YEAR(P$6)*12+MONTH(P$6))&gt;='Aset Tetap'!$Y23,(YEAR(P$6)*12+MONTH(P$6))&lt;=MIN('Aset Tetap'!$Z23,IF('Aset Tetap'!$S23="Unit Produksi",99999,'Aset Tetap'!$Y23+'Aset Tetap'!$T23*12-1))),'Aset Tetap'!$AQ23/'Aset Tetap'!$AG23,0)))</f>
        <v/>
      </c>
      <c r="Q23" s="22" t="str">
        <f>IF($B23="","",SUM(E23:P23))</f>
        <v/>
      </c>
      <c r="R23" s="22" t="str">
        <f>IF($B23="","",'Aset Tetap'!AQ23)</f>
        <v/>
      </c>
      <c r="S23" s="22" t="str">
        <f>IF($B23="","",ROUND(Q23-R23,0))</f>
        <v/>
      </c>
    </row>
    <row r="24" spans="1:19" x14ac:dyDescent="0.25">
      <c r="A24" t="str">
        <f>IF('Aset Tetap'!$B24="","",'Aset Tetap'!A24)</f>
        <v/>
      </c>
      <c r="B24" t="str">
        <f>IF('Aset Tetap'!$B24="","",'Aset Tetap'!B24)</f>
        <v/>
      </c>
      <c r="C24" t="str">
        <f>IF('Aset Tetap'!$B24="","",'Aset Tetap'!C24)</f>
        <v/>
      </c>
      <c r="D24" t="str">
        <f>IF('Aset Tetap'!$B24="","",'Aset Tetap'!D24)</f>
        <v/>
      </c>
      <c r="E24" s="22" t="str">
        <f>IF($B24="","",IF(N('Aset Tetap'!$AG24)=0,0,IF(AND((YEAR(E$6)*12+MONTH(E$6))&gt;='Aset Tetap'!$Y24,(YEAR(E$6)*12+MONTH(E$6))&lt;=MIN('Aset Tetap'!$Z24,IF('Aset Tetap'!$S24="Unit Produksi",99999,'Aset Tetap'!$Y24+'Aset Tetap'!$T24*12-1))),'Aset Tetap'!$AQ24/'Aset Tetap'!$AG24,0)))</f>
        <v/>
      </c>
      <c r="F24" s="22" t="str">
        <f>IF($B24="","",IF(N('Aset Tetap'!$AG24)=0,0,IF(AND((YEAR(F$6)*12+MONTH(F$6))&gt;='Aset Tetap'!$Y24,(YEAR(F$6)*12+MONTH(F$6))&lt;=MIN('Aset Tetap'!$Z24,IF('Aset Tetap'!$S24="Unit Produksi",99999,'Aset Tetap'!$Y24+'Aset Tetap'!$T24*12-1))),'Aset Tetap'!$AQ24/'Aset Tetap'!$AG24,0)))</f>
        <v/>
      </c>
      <c r="G24" s="22" t="str">
        <f>IF($B24="","",IF(N('Aset Tetap'!$AG24)=0,0,IF(AND((YEAR(G$6)*12+MONTH(G$6))&gt;='Aset Tetap'!$Y24,(YEAR(G$6)*12+MONTH(G$6))&lt;=MIN('Aset Tetap'!$Z24,IF('Aset Tetap'!$S24="Unit Produksi",99999,'Aset Tetap'!$Y24+'Aset Tetap'!$T24*12-1))),'Aset Tetap'!$AQ24/'Aset Tetap'!$AG24,0)))</f>
        <v/>
      </c>
      <c r="H24" s="22" t="str">
        <f>IF($B24="","",IF(N('Aset Tetap'!$AG24)=0,0,IF(AND((YEAR(H$6)*12+MONTH(H$6))&gt;='Aset Tetap'!$Y24,(YEAR(H$6)*12+MONTH(H$6))&lt;=MIN('Aset Tetap'!$Z24,IF('Aset Tetap'!$S24="Unit Produksi",99999,'Aset Tetap'!$Y24+'Aset Tetap'!$T24*12-1))),'Aset Tetap'!$AQ24/'Aset Tetap'!$AG24,0)))</f>
        <v/>
      </c>
      <c r="I24" s="22" t="str">
        <f>IF($B24="","",IF(N('Aset Tetap'!$AG24)=0,0,IF(AND((YEAR(I$6)*12+MONTH(I$6))&gt;='Aset Tetap'!$Y24,(YEAR(I$6)*12+MONTH(I$6))&lt;=MIN('Aset Tetap'!$Z24,IF('Aset Tetap'!$S24="Unit Produksi",99999,'Aset Tetap'!$Y24+'Aset Tetap'!$T24*12-1))),'Aset Tetap'!$AQ24/'Aset Tetap'!$AG24,0)))</f>
        <v/>
      </c>
      <c r="J24" s="22" t="str">
        <f>IF($B24="","",IF(N('Aset Tetap'!$AG24)=0,0,IF(AND((YEAR(J$6)*12+MONTH(J$6))&gt;='Aset Tetap'!$Y24,(YEAR(J$6)*12+MONTH(J$6))&lt;=MIN('Aset Tetap'!$Z24,IF('Aset Tetap'!$S24="Unit Produksi",99999,'Aset Tetap'!$Y24+'Aset Tetap'!$T24*12-1))),'Aset Tetap'!$AQ24/'Aset Tetap'!$AG24,0)))</f>
        <v/>
      </c>
      <c r="K24" s="22" t="str">
        <f>IF($B24="","",IF(N('Aset Tetap'!$AG24)=0,0,IF(AND((YEAR(K$6)*12+MONTH(K$6))&gt;='Aset Tetap'!$Y24,(YEAR(K$6)*12+MONTH(K$6))&lt;=MIN('Aset Tetap'!$Z24,IF('Aset Tetap'!$S24="Unit Produksi",99999,'Aset Tetap'!$Y24+'Aset Tetap'!$T24*12-1))),'Aset Tetap'!$AQ24/'Aset Tetap'!$AG24,0)))</f>
        <v/>
      </c>
      <c r="L24" s="22" t="str">
        <f>IF($B24="","",IF(N('Aset Tetap'!$AG24)=0,0,IF(AND((YEAR(L$6)*12+MONTH(L$6))&gt;='Aset Tetap'!$Y24,(YEAR(L$6)*12+MONTH(L$6))&lt;=MIN('Aset Tetap'!$Z24,IF('Aset Tetap'!$S24="Unit Produksi",99999,'Aset Tetap'!$Y24+'Aset Tetap'!$T24*12-1))),'Aset Tetap'!$AQ24/'Aset Tetap'!$AG24,0)))</f>
        <v/>
      </c>
      <c r="M24" s="22" t="str">
        <f>IF($B24="","",IF(N('Aset Tetap'!$AG24)=0,0,IF(AND((YEAR(M$6)*12+MONTH(M$6))&gt;='Aset Tetap'!$Y24,(YEAR(M$6)*12+MONTH(M$6))&lt;=MIN('Aset Tetap'!$Z24,IF('Aset Tetap'!$S24="Unit Produksi",99999,'Aset Tetap'!$Y24+'Aset Tetap'!$T24*12-1))),'Aset Tetap'!$AQ24/'Aset Tetap'!$AG24,0)))</f>
        <v/>
      </c>
      <c r="N24" s="22" t="str">
        <f>IF($B24="","",IF(N('Aset Tetap'!$AG24)=0,0,IF(AND((YEAR(N$6)*12+MONTH(N$6))&gt;='Aset Tetap'!$Y24,(YEAR(N$6)*12+MONTH(N$6))&lt;=MIN('Aset Tetap'!$Z24,IF('Aset Tetap'!$S24="Unit Produksi",99999,'Aset Tetap'!$Y24+'Aset Tetap'!$T24*12-1))),'Aset Tetap'!$AQ24/'Aset Tetap'!$AG24,0)))</f>
        <v/>
      </c>
      <c r="O24" s="22" t="str">
        <f>IF($B24="","",IF(N('Aset Tetap'!$AG24)=0,0,IF(AND((YEAR(O$6)*12+MONTH(O$6))&gt;='Aset Tetap'!$Y24,(YEAR(O$6)*12+MONTH(O$6))&lt;=MIN('Aset Tetap'!$Z24,IF('Aset Tetap'!$S24="Unit Produksi",99999,'Aset Tetap'!$Y24+'Aset Tetap'!$T24*12-1))),'Aset Tetap'!$AQ24/'Aset Tetap'!$AG24,0)))</f>
        <v/>
      </c>
      <c r="P24" s="22" t="str">
        <f>IF($B24="","",IF(N('Aset Tetap'!$AG24)=0,0,IF(AND((YEAR(P$6)*12+MONTH(P$6))&gt;='Aset Tetap'!$Y24,(YEAR(P$6)*12+MONTH(P$6))&lt;=MIN('Aset Tetap'!$Z24,IF('Aset Tetap'!$S24="Unit Produksi",99999,'Aset Tetap'!$Y24+'Aset Tetap'!$T24*12-1))),'Aset Tetap'!$AQ24/'Aset Tetap'!$AG24,0)))</f>
        <v/>
      </c>
      <c r="Q24" s="22" t="str">
        <f>IF($B24="","",SUM(E24:P24))</f>
        <v/>
      </c>
      <c r="R24" s="22" t="str">
        <f>IF($B24="","",'Aset Tetap'!AQ24)</f>
        <v/>
      </c>
      <c r="S24" s="22" t="str">
        <f>IF($B24="","",ROUND(Q24-R24,0))</f>
        <v/>
      </c>
    </row>
    <row r="25" spans="1:19" x14ac:dyDescent="0.25">
      <c r="A25" t="str">
        <f>IF('Aset Tetap'!$B25="","",'Aset Tetap'!A25)</f>
        <v/>
      </c>
      <c r="B25" t="str">
        <f>IF('Aset Tetap'!$B25="","",'Aset Tetap'!B25)</f>
        <v/>
      </c>
      <c r="C25" t="str">
        <f>IF('Aset Tetap'!$B25="","",'Aset Tetap'!C25)</f>
        <v/>
      </c>
      <c r="D25" t="str">
        <f>IF('Aset Tetap'!$B25="","",'Aset Tetap'!D25)</f>
        <v/>
      </c>
      <c r="E25" s="22" t="str">
        <f>IF($B25="","",IF(N('Aset Tetap'!$AG25)=0,0,IF(AND((YEAR(E$6)*12+MONTH(E$6))&gt;='Aset Tetap'!$Y25,(YEAR(E$6)*12+MONTH(E$6))&lt;=MIN('Aset Tetap'!$Z25,IF('Aset Tetap'!$S25="Unit Produksi",99999,'Aset Tetap'!$Y25+'Aset Tetap'!$T25*12-1))),'Aset Tetap'!$AQ25/'Aset Tetap'!$AG25,0)))</f>
        <v/>
      </c>
      <c r="F25" s="22" t="str">
        <f>IF($B25="","",IF(N('Aset Tetap'!$AG25)=0,0,IF(AND((YEAR(F$6)*12+MONTH(F$6))&gt;='Aset Tetap'!$Y25,(YEAR(F$6)*12+MONTH(F$6))&lt;=MIN('Aset Tetap'!$Z25,IF('Aset Tetap'!$S25="Unit Produksi",99999,'Aset Tetap'!$Y25+'Aset Tetap'!$T25*12-1))),'Aset Tetap'!$AQ25/'Aset Tetap'!$AG25,0)))</f>
        <v/>
      </c>
      <c r="G25" s="22" t="str">
        <f>IF($B25="","",IF(N('Aset Tetap'!$AG25)=0,0,IF(AND((YEAR(G$6)*12+MONTH(G$6))&gt;='Aset Tetap'!$Y25,(YEAR(G$6)*12+MONTH(G$6))&lt;=MIN('Aset Tetap'!$Z25,IF('Aset Tetap'!$S25="Unit Produksi",99999,'Aset Tetap'!$Y25+'Aset Tetap'!$T25*12-1))),'Aset Tetap'!$AQ25/'Aset Tetap'!$AG25,0)))</f>
        <v/>
      </c>
      <c r="H25" s="22" t="str">
        <f>IF($B25="","",IF(N('Aset Tetap'!$AG25)=0,0,IF(AND((YEAR(H$6)*12+MONTH(H$6))&gt;='Aset Tetap'!$Y25,(YEAR(H$6)*12+MONTH(H$6))&lt;=MIN('Aset Tetap'!$Z25,IF('Aset Tetap'!$S25="Unit Produksi",99999,'Aset Tetap'!$Y25+'Aset Tetap'!$T25*12-1))),'Aset Tetap'!$AQ25/'Aset Tetap'!$AG25,0)))</f>
        <v/>
      </c>
      <c r="I25" s="22" t="str">
        <f>IF($B25="","",IF(N('Aset Tetap'!$AG25)=0,0,IF(AND((YEAR(I$6)*12+MONTH(I$6))&gt;='Aset Tetap'!$Y25,(YEAR(I$6)*12+MONTH(I$6))&lt;=MIN('Aset Tetap'!$Z25,IF('Aset Tetap'!$S25="Unit Produksi",99999,'Aset Tetap'!$Y25+'Aset Tetap'!$T25*12-1))),'Aset Tetap'!$AQ25/'Aset Tetap'!$AG25,0)))</f>
        <v/>
      </c>
      <c r="J25" s="22" t="str">
        <f>IF($B25="","",IF(N('Aset Tetap'!$AG25)=0,0,IF(AND((YEAR(J$6)*12+MONTH(J$6))&gt;='Aset Tetap'!$Y25,(YEAR(J$6)*12+MONTH(J$6))&lt;=MIN('Aset Tetap'!$Z25,IF('Aset Tetap'!$S25="Unit Produksi",99999,'Aset Tetap'!$Y25+'Aset Tetap'!$T25*12-1))),'Aset Tetap'!$AQ25/'Aset Tetap'!$AG25,0)))</f>
        <v/>
      </c>
      <c r="K25" s="22" t="str">
        <f>IF($B25="","",IF(N('Aset Tetap'!$AG25)=0,0,IF(AND((YEAR(K$6)*12+MONTH(K$6))&gt;='Aset Tetap'!$Y25,(YEAR(K$6)*12+MONTH(K$6))&lt;=MIN('Aset Tetap'!$Z25,IF('Aset Tetap'!$S25="Unit Produksi",99999,'Aset Tetap'!$Y25+'Aset Tetap'!$T25*12-1))),'Aset Tetap'!$AQ25/'Aset Tetap'!$AG25,0)))</f>
        <v/>
      </c>
      <c r="L25" s="22" t="str">
        <f>IF($B25="","",IF(N('Aset Tetap'!$AG25)=0,0,IF(AND((YEAR(L$6)*12+MONTH(L$6))&gt;='Aset Tetap'!$Y25,(YEAR(L$6)*12+MONTH(L$6))&lt;=MIN('Aset Tetap'!$Z25,IF('Aset Tetap'!$S25="Unit Produksi",99999,'Aset Tetap'!$Y25+'Aset Tetap'!$T25*12-1))),'Aset Tetap'!$AQ25/'Aset Tetap'!$AG25,0)))</f>
        <v/>
      </c>
      <c r="M25" s="22" t="str">
        <f>IF($B25="","",IF(N('Aset Tetap'!$AG25)=0,0,IF(AND((YEAR(M$6)*12+MONTH(M$6))&gt;='Aset Tetap'!$Y25,(YEAR(M$6)*12+MONTH(M$6))&lt;=MIN('Aset Tetap'!$Z25,IF('Aset Tetap'!$S25="Unit Produksi",99999,'Aset Tetap'!$Y25+'Aset Tetap'!$T25*12-1))),'Aset Tetap'!$AQ25/'Aset Tetap'!$AG25,0)))</f>
        <v/>
      </c>
      <c r="N25" s="22" t="str">
        <f>IF($B25="","",IF(N('Aset Tetap'!$AG25)=0,0,IF(AND((YEAR(N$6)*12+MONTH(N$6))&gt;='Aset Tetap'!$Y25,(YEAR(N$6)*12+MONTH(N$6))&lt;=MIN('Aset Tetap'!$Z25,IF('Aset Tetap'!$S25="Unit Produksi",99999,'Aset Tetap'!$Y25+'Aset Tetap'!$T25*12-1))),'Aset Tetap'!$AQ25/'Aset Tetap'!$AG25,0)))</f>
        <v/>
      </c>
      <c r="O25" s="22" t="str">
        <f>IF($B25="","",IF(N('Aset Tetap'!$AG25)=0,0,IF(AND((YEAR(O$6)*12+MONTH(O$6))&gt;='Aset Tetap'!$Y25,(YEAR(O$6)*12+MONTH(O$6))&lt;=MIN('Aset Tetap'!$Z25,IF('Aset Tetap'!$S25="Unit Produksi",99999,'Aset Tetap'!$Y25+'Aset Tetap'!$T25*12-1))),'Aset Tetap'!$AQ25/'Aset Tetap'!$AG25,0)))</f>
        <v/>
      </c>
      <c r="P25" s="22" t="str">
        <f>IF($B25="","",IF(N('Aset Tetap'!$AG25)=0,0,IF(AND((YEAR(P$6)*12+MONTH(P$6))&gt;='Aset Tetap'!$Y25,(YEAR(P$6)*12+MONTH(P$6))&lt;=MIN('Aset Tetap'!$Z25,IF('Aset Tetap'!$S25="Unit Produksi",99999,'Aset Tetap'!$Y25+'Aset Tetap'!$T25*12-1))),'Aset Tetap'!$AQ25/'Aset Tetap'!$AG25,0)))</f>
        <v/>
      </c>
      <c r="Q25" s="22" t="str">
        <f>IF($B25="","",SUM(E25:P25))</f>
        <v/>
      </c>
      <c r="R25" s="22" t="str">
        <f>IF($B25="","",'Aset Tetap'!AQ25)</f>
        <v/>
      </c>
      <c r="S25" s="22" t="str">
        <f>IF($B25="","",ROUND(Q25-R25,0))</f>
        <v/>
      </c>
    </row>
    <row r="26" spans="1:19" x14ac:dyDescent="0.25">
      <c r="A26" t="str">
        <f>IF('Aset Tetap'!$B26="","",'Aset Tetap'!A26)</f>
        <v/>
      </c>
      <c r="B26" t="str">
        <f>IF('Aset Tetap'!$B26="","",'Aset Tetap'!B26)</f>
        <v/>
      </c>
      <c r="C26" t="str">
        <f>IF('Aset Tetap'!$B26="","",'Aset Tetap'!C26)</f>
        <v/>
      </c>
      <c r="D26" t="str">
        <f>IF('Aset Tetap'!$B26="","",'Aset Tetap'!D26)</f>
        <v/>
      </c>
      <c r="E26" s="22" t="str">
        <f>IF($B26="","",IF(N('Aset Tetap'!$AG26)=0,0,IF(AND((YEAR(E$6)*12+MONTH(E$6))&gt;='Aset Tetap'!$Y26,(YEAR(E$6)*12+MONTH(E$6))&lt;=MIN('Aset Tetap'!$Z26,IF('Aset Tetap'!$S26="Unit Produksi",99999,'Aset Tetap'!$Y26+'Aset Tetap'!$T26*12-1))),'Aset Tetap'!$AQ26/'Aset Tetap'!$AG26,0)))</f>
        <v/>
      </c>
      <c r="F26" s="22" t="str">
        <f>IF($B26="","",IF(N('Aset Tetap'!$AG26)=0,0,IF(AND((YEAR(F$6)*12+MONTH(F$6))&gt;='Aset Tetap'!$Y26,(YEAR(F$6)*12+MONTH(F$6))&lt;=MIN('Aset Tetap'!$Z26,IF('Aset Tetap'!$S26="Unit Produksi",99999,'Aset Tetap'!$Y26+'Aset Tetap'!$T26*12-1))),'Aset Tetap'!$AQ26/'Aset Tetap'!$AG26,0)))</f>
        <v/>
      </c>
      <c r="G26" s="22" t="str">
        <f>IF($B26="","",IF(N('Aset Tetap'!$AG26)=0,0,IF(AND((YEAR(G$6)*12+MONTH(G$6))&gt;='Aset Tetap'!$Y26,(YEAR(G$6)*12+MONTH(G$6))&lt;=MIN('Aset Tetap'!$Z26,IF('Aset Tetap'!$S26="Unit Produksi",99999,'Aset Tetap'!$Y26+'Aset Tetap'!$T26*12-1))),'Aset Tetap'!$AQ26/'Aset Tetap'!$AG26,0)))</f>
        <v/>
      </c>
      <c r="H26" s="22" t="str">
        <f>IF($B26="","",IF(N('Aset Tetap'!$AG26)=0,0,IF(AND((YEAR(H$6)*12+MONTH(H$6))&gt;='Aset Tetap'!$Y26,(YEAR(H$6)*12+MONTH(H$6))&lt;=MIN('Aset Tetap'!$Z26,IF('Aset Tetap'!$S26="Unit Produksi",99999,'Aset Tetap'!$Y26+'Aset Tetap'!$T26*12-1))),'Aset Tetap'!$AQ26/'Aset Tetap'!$AG26,0)))</f>
        <v/>
      </c>
      <c r="I26" s="22" t="str">
        <f>IF($B26="","",IF(N('Aset Tetap'!$AG26)=0,0,IF(AND((YEAR(I$6)*12+MONTH(I$6))&gt;='Aset Tetap'!$Y26,(YEAR(I$6)*12+MONTH(I$6))&lt;=MIN('Aset Tetap'!$Z26,IF('Aset Tetap'!$S26="Unit Produksi",99999,'Aset Tetap'!$Y26+'Aset Tetap'!$T26*12-1))),'Aset Tetap'!$AQ26/'Aset Tetap'!$AG26,0)))</f>
        <v/>
      </c>
      <c r="J26" s="22" t="str">
        <f>IF($B26="","",IF(N('Aset Tetap'!$AG26)=0,0,IF(AND((YEAR(J$6)*12+MONTH(J$6))&gt;='Aset Tetap'!$Y26,(YEAR(J$6)*12+MONTH(J$6))&lt;=MIN('Aset Tetap'!$Z26,IF('Aset Tetap'!$S26="Unit Produksi",99999,'Aset Tetap'!$Y26+'Aset Tetap'!$T26*12-1))),'Aset Tetap'!$AQ26/'Aset Tetap'!$AG26,0)))</f>
        <v/>
      </c>
      <c r="K26" s="22" t="str">
        <f>IF($B26="","",IF(N('Aset Tetap'!$AG26)=0,0,IF(AND((YEAR(K$6)*12+MONTH(K$6))&gt;='Aset Tetap'!$Y26,(YEAR(K$6)*12+MONTH(K$6))&lt;=MIN('Aset Tetap'!$Z26,IF('Aset Tetap'!$S26="Unit Produksi",99999,'Aset Tetap'!$Y26+'Aset Tetap'!$T26*12-1))),'Aset Tetap'!$AQ26/'Aset Tetap'!$AG26,0)))</f>
        <v/>
      </c>
      <c r="L26" s="22" t="str">
        <f>IF($B26="","",IF(N('Aset Tetap'!$AG26)=0,0,IF(AND((YEAR(L$6)*12+MONTH(L$6))&gt;='Aset Tetap'!$Y26,(YEAR(L$6)*12+MONTH(L$6))&lt;=MIN('Aset Tetap'!$Z26,IF('Aset Tetap'!$S26="Unit Produksi",99999,'Aset Tetap'!$Y26+'Aset Tetap'!$T26*12-1))),'Aset Tetap'!$AQ26/'Aset Tetap'!$AG26,0)))</f>
        <v/>
      </c>
      <c r="M26" s="22" t="str">
        <f>IF($B26="","",IF(N('Aset Tetap'!$AG26)=0,0,IF(AND((YEAR(M$6)*12+MONTH(M$6))&gt;='Aset Tetap'!$Y26,(YEAR(M$6)*12+MONTH(M$6))&lt;=MIN('Aset Tetap'!$Z26,IF('Aset Tetap'!$S26="Unit Produksi",99999,'Aset Tetap'!$Y26+'Aset Tetap'!$T26*12-1))),'Aset Tetap'!$AQ26/'Aset Tetap'!$AG26,0)))</f>
        <v/>
      </c>
      <c r="N26" s="22" t="str">
        <f>IF($B26="","",IF(N('Aset Tetap'!$AG26)=0,0,IF(AND((YEAR(N$6)*12+MONTH(N$6))&gt;='Aset Tetap'!$Y26,(YEAR(N$6)*12+MONTH(N$6))&lt;=MIN('Aset Tetap'!$Z26,IF('Aset Tetap'!$S26="Unit Produksi",99999,'Aset Tetap'!$Y26+'Aset Tetap'!$T26*12-1))),'Aset Tetap'!$AQ26/'Aset Tetap'!$AG26,0)))</f>
        <v/>
      </c>
      <c r="O26" s="22" t="str">
        <f>IF($B26="","",IF(N('Aset Tetap'!$AG26)=0,0,IF(AND((YEAR(O$6)*12+MONTH(O$6))&gt;='Aset Tetap'!$Y26,(YEAR(O$6)*12+MONTH(O$6))&lt;=MIN('Aset Tetap'!$Z26,IF('Aset Tetap'!$S26="Unit Produksi",99999,'Aset Tetap'!$Y26+'Aset Tetap'!$T26*12-1))),'Aset Tetap'!$AQ26/'Aset Tetap'!$AG26,0)))</f>
        <v/>
      </c>
      <c r="P26" s="22" t="str">
        <f>IF($B26="","",IF(N('Aset Tetap'!$AG26)=0,0,IF(AND((YEAR(P$6)*12+MONTH(P$6))&gt;='Aset Tetap'!$Y26,(YEAR(P$6)*12+MONTH(P$6))&lt;=MIN('Aset Tetap'!$Z26,IF('Aset Tetap'!$S26="Unit Produksi",99999,'Aset Tetap'!$Y26+'Aset Tetap'!$T26*12-1))),'Aset Tetap'!$AQ26/'Aset Tetap'!$AG26,0)))</f>
        <v/>
      </c>
      <c r="Q26" s="22" t="str">
        <f>IF($B26="","",SUM(E26:P26))</f>
        <v/>
      </c>
      <c r="R26" s="22" t="str">
        <f>IF($B26="","",'Aset Tetap'!AQ26)</f>
        <v/>
      </c>
      <c r="S26" s="22" t="str">
        <f>IF($B26="","",ROUND(Q26-R26,0))</f>
        <v/>
      </c>
    </row>
    <row r="27" spans="1:19" x14ac:dyDescent="0.25">
      <c r="A27" t="str">
        <f>IF('Aset Tetap'!$B27="","",'Aset Tetap'!A27)</f>
        <v/>
      </c>
      <c r="B27" t="str">
        <f>IF('Aset Tetap'!$B27="","",'Aset Tetap'!B27)</f>
        <v/>
      </c>
      <c r="C27" t="str">
        <f>IF('Aset Tetap'!$B27="","",'Aset Tetap'!C27)</f>
        <v/>
      </c>
      <c r="D27" t="str">
        <f>IF('Aset Tetap'!$B27="","",'Aset Tetap'!D27)</f>
        <v/>
      </c>
      <c r="E27" s="22" t="str">
        <f>IF($B27="","",IF(N('Aset Tetap'!$AG27)=0,0,IF(AND((YEAR(E$6)*12+MONTH(E$6))&gt;='Aset Tetap'!$Y27,(YEAR(E$6)*12+MONTH(E$6))&lt;=MIN('Aset Tetap'!$Z27,IF('Aset Tetap'!$S27="Unit Produksi",99999,'Aset Tetap'!$Y27+'Aset Tetap'!$T27*12-1))),'Aset Tetap'!$AQ27/'Aset Tetap'!$AG27,0)))</f>
        <v/>
      </c>
      <c r="F27" s="22" t="str">
        <f>IF($B27="","",IF(N('Aset Tetap'!$AG27)=0,0,IF(AND((YEAR(F$6)*12+MONTH(F$6))&gt;='Aset Tetap'!$Y27,(YEAR(F$6)*12+MONTH(F$6))&lt;=MIN('Aset Tetap'!$Z27,IF('Aset Tetap'!$S27="Unit Produksi",99999,'Aset Tetap'!$Y27+'Aset Tetap'!$T27*12-1))),'Aset Tetap'!$AQ27/'Aset Tetap'!$AG27,0)))</f>
        <v/>
      </c>
      <c r="G27" s="22" t="str">
        <f>IF($B27="","",IF(N('Aset Tetap'!$AG27)=0,0,IF(AND((YEAR(G$6)*12+MONTH(G$6))&gt;='Aset Tetap'!$Y27,(YEAR(G$6)*12+MONTH(G$6))&lt;=MIN('Aset Tetap'!$Z27,IF('Aset Tetap'!$S27="Unit Produksi",99999,'Aset Tetap'!$Y27+'Aset Tetap'!$T27*12-1))),'Aset Tetap'!$AQ27/'Aset Tetap'!$AG27,0)))</f>
        <v/>
      </c>
      <c r="H27" s="22" t="str">
        <f>IF($B27="","",IF(N('Aset Tetap'!$AG27)=0,0,IF(AND((YEAR(H$6)*12+MONTH(H$6))&gt;='Aset Tetap'!$Y27,(YEAR(H$6)*12+MONTH(H$6))&lt;=MIN('Aset Tetap'!$Z27,IF('Aset Tetap'!$S27="Unit Produksi",99999,'Aset Tetap'!$Y27+'Aset Tetap'!$T27*12-1))),'Aset Tetap'!$AQ27/'Aset Tetap'!$AG27,0)))</f>
        <v/>
      </c>
      <c r="I27" s="22" t="str">
        <f>IF($B27="","",IF(N('Aset Tetap'!$AG27)=0,0,IF(AND((YEAR(I$6)*12+MONTH(I$6))&gt;='Aset Tetap'!$Y27,(YEAR(I$6)*12+MONTH(I$6))&lt;=MIN('Aset Tetap'!$Z27,IF('Aset Tetap'!$S27="Unit Produksi",99999,'Aset Tetap'!$Y27+'Aset Tetap'!$T27*12-1))),'Aset Tetap'!$AQ27/'Aset Tetap'!$AG27,0)))</f>
        <v/>
      </c>
      <c r="J27" s="22" t="str">
        <f>IF($B27="","",IF(N('Aset Tetap'!$AG27)=0,0,IF(AND((YEAR(J$6)*12+MONTH(J$6))&gt;='Aset Tetap'!$Y27,(YEAR(J$6)*12+MONTH(J$6))&lt;=MIN('Aset Tetap'!$Z27,IF('Aset Tetap'!$S27="Unit Produksi",99999,'Aset Tetap'!$Y27+'Aset Tetap'!$T27*12-1))),'Aset Tetap'!$AQ27/'Aset Tetap'!$AG27,0)))</f>
        <v/>
      </c>
      <c r="K27" s="22" t="str">
        <f>IF($B27="","",IF(N('Aset Tetap'!$AG27)=0,0,IF(AND((YEAR(K$6)*12+MONTH(K$6))&gt;='Aset Tetap'!$Y27,(YEAR(K$6)*12+MONTH(K$6))&lt;=MIN('Aset Tetap'!$Z27,IF('Aset Tetap'!$S27="Unit Produksi",99999,'Aset Tetap'!$Y27+'Aset Tetap'!$T27*12-1))),'Aset Tetap'!$AQ27/'Aset Tetap'!$AG27,0)))</f>
        <v/>
      </c>
      <c r="L27" s="22" t="str">
        <f>IF($B27="","",IF(N('Aset Tetap'!$AG27)=0,0,IF(AND((YEAR(L$6)*12+MONTH(L$6))&gt;='Aset Tetap'!$Y27,(YEAR(L$6)*12+MONTH(L$6))&lt;=MIN('Aset Tetap'!$Z27,IF('Aset Tetap'!$S27="Unit Produksi",99999,'Aset Tetap'!$Y27+'Aset Tetap'!$T27*12-1))),'Aset Tetap'!$AQ27/'Aset Tetap'!$AG27,0)))</f>
        <v/>
      </c>
      <c r="M27" s="22" t="str">
        <f>IF($B27="","",IF(N('Aset Tetap'!$AG27)=0,0,IF(AND((YEAR(M$6)*12+MONTH(M$6))&gt;='Aset Tetap'!$Y27,(YEAR(M$6)*12+MONTH(M$6))&lt;=MIN('Aset Tetap'!$Z27,IF('Aset Tetap'!$S27="Unit Produksi",99999,'Aset Tetap'!$Y27+'Aset Tetap'!$T27*12-1))),'Aset Tetap'!$AQ27/'Aset Tetap'!$AG27,0)))</f>
        <v/>
      </c>
      <c r="N27" s="22" t="str">
        <f>IF($B27="","",IF(N('Aset Tetap'!$AG27)=0,0,IF(AND((YEAR(N$6)*12+MONTH(N$6))&gt;='Aset Tetap'!$Y27,(YEAR(N$6)*12+MONTH(N$6))&lt;=MIN('Aset Tetap'!$Z27,IF('Aset Tetap'!$S27="Unit Produksi",99999,'Aset Tetap'!$Y27+'Aset Tetap'!$T27*12-1))),'Aset Tetap'!$AQ27/'Aset Tetap'!$AG27,0)))</f>
        <v/>
      </c>
      <c r="O27" s="22" t="str">
        <f>IF($B27="","",IF(N('Aset Tetap'!$AG27)=0,0,IF(AND((YEAR(O$6)*12+MONTH(O$6))&gt;='Aset Tetap'!$Y27,(YEAR(O$6)*12+MONTH(O$6))&lt;=MIN('Aset Tetap'!$Z27,IF('Aset Tetap'!$S27="Unit Produksi",99999,'Aset Tetap'!$Y27+'Aset Tetap'!$T27*12-1))),'Aset Tetap'!$AQ27/'Aset Tetap'!$AG27,0)))</f>
        <v/>
      </c>
      <c r="P27" s="22" t="str">
        <f>IF($B27="","",IF(N('Aset Tetap'!$AG27)=0,0,IF(AND((YEAR(P$6)*12+MONTH(P$6))&gt;='Aset Tetap'!$Y27,(YEAR(P$6)*12+MONTH(P$6))&lt;=MIN('Aset Tetap'!$Z27,IF('Aset Tetap'!$S27="Unit Produksi",99999,'Aset Tetap'!$Y27+'Aset Tetap'!$T27*12-1))),'Aset Tetap'!$AQ27/'Aset Tetap'!$AG27,0)))</f>
        <v/>
      </c>
      <c r="Q27" s="22" t="str">
        <f>IF($B27="","",SUM(E27:P27))</f>
        <v/>
      </c>
      <c r="R27" s="22" t="str">
        <f>IF($B27="","",'Aset Tetap'!AQ27)</f>
        <v/>
      </c>
      <c r="S27" s="22" t="str">
        <f>IF($B27="","",ROUND(Q27-R27,0))</f>
        <v/>
      </c>
    </row>
    <row r="28" spans="1:19" x14ac:dyDescent="0.25">
      <c r="A28" t="str">
        <f>IF('Aset Tetap'!$B28="","",'Aset Tetap'!A28)</f>
        <v/>
      </c>
      <c r="B28" t="str">
        <f>IF('Aset Tetap'!$B28="","",'Aset Tetap'!B28)</f>
        <v/>
      </c>
      <c r="C28" t="str">
        <f>IF('Aset Tetap'!$B28="","",'Aset Tetap'!C28)</f>
        <v/>
      </c>
      <c r="D28" t="str">
        <f>IF('Aset Tetap'!$B28="","",'Aset Tetap'!D28)</f>
        <v/>
      </c>
      <c r="E28" s="22" t="str">
        <f>IF($B28="","",IF(N('Aset Tetap'!$AG28)=0,0,IF(AND((YEAR(E$6)*12+MONTH(E$6))&gt;='Aset Tetap'!$Y28,(YEAR(E$6)*12+MONTH(E$6))&lt;=MIN('Aset Tetap'!$Z28,IF('Aset Tetap'!$S28="Unit Produksi",99999,'Aset Tetap'!$Y28+'Aset Tetap'!$T28*12-1))),'Aset Tetap'!$AQ28/'Aset Tetap'!$AG28,0)))</f>
        <v/>
      </c>
      <c r="F28" s="22" t="str">
        <f>IF($B28="","",IF(N('Aset Tetap'!$AG28)=0,0,IF(AND((YEAR(F$6)*12+MONTH(F$6))&gt;='Aset Tetap'!$Y28,(YEAR(F$6)*12+MONTH(F$6))&lt;=MIN('Aset Tetap'!$Z28,IF('Aset Tetap'!$S28="Unit Produksi",99999,'Aset Tetap'!$Y28+'Aset Tetap'!$T28*12-1))),'Aset Tetap'!$AQ28/'Aset Tetap'!$AG28,0)))</f>
        <v/>
      </c>
      <c r="G28" s="22" t="str">
        <f>IF($B28="","",IF(N('Aset Tetap'!$AG28)=0,0,IF(AND((YEAR(G$6)*12+MONTH(G$6))&gt;='Aset Tetap'!$Y28,(YEAR(G$6)*12+MONTH(G$6))&lt;=MIN('Aset Tetap'!$Z28,IF('Aset Tetap'!$S28="Unit Produksi",99999,'Aset Tetap'!$Y28+'Aset Tetap'!$T28*12-1))),'Aset Tetap'!$AQ28/'Aset Tetap'!$AG28,0)))</f>
        <v/>
      </c>
      <c r="H28" s="22" t="str">
        <f>IF($B28="","",IF(N('Aset Tetap'!$AG28)=0,0,IF(AND((YEAR(H$6)*12+MONTH(H$6))&gt;='Aset Tetap'!$Y28,(YEAR(H$6)*12+MONTH(H$6))&lt;=MIN('Aset Tetap'!$Z28,IF('Aset Tetap'!$S28="Unit Produksi",99999,'Aset Tetap'!$Y28+'Aset Tetap'!$T28*12-1))),'Aset Tetap'!$AQ28/'Aset Tetap'!$AG28,0)))</f>
        <v/>
      </c>
      <c r="I28" s="22" t="str">
        <f>IF($B28="","",IF(N('Aset Tetap'!$AG28)=0,0,IF(AND((YEAR(I$6)*12+MONTH(I$6))&gt;='Aset Tetap'!$Y28,(YEAR(I$6)*12+MONTH(I$6))&lt;=MIN('Aset Tetap'!$Z28,IF('Aset Tetap'!$S28="Unit Produksi",99999,'Aset Tetap'!$Y28+'Aset Tetap'!$T28*12-1))),'Aset Tetap'!$AQ28/'Aset Tetap'!$AG28,0)))</f>
        <v/>
      </c>
      <c r="J28" s="22" t="str">
        <f>IF($B28="","",IF(N('Aset Tetap'!$AG28)=0,0,IF(AND((YEAR(J$6)*12+MONTH(J$6))&gt;='Aset Tetap'!$Y28,(YEAR(J$6)*12+MONTH(J$6))&lt;=MIN('Aset Tetap'!$Z28,IF('Aset Tetap'!$S28="Unit Produksi",99999,'Aset Tetap'!$Y28+'Aset Tetap'!$T28*12-1))),'Aset Tetap'!$AQ28/'Aset Tetap'!$AG28,0)))</f>
        <v/>
      </c>
      <c r="K28" s="22" t="str">
        <f>IF($B28="","",IF(N('Aset Tetap'!$AG28)=0,0,IF(AND((YEAR(K$6)*12+MONTH(K$6))&gt;='Aset Tetap'!$Y28,(YEAR(K$6)*12+MONTH(K$6))&lt;=MIN('Aset Tetap'!$Z28,IF('Aset Tetap'!$S28="Unit Produksi",99999,'Aset Tetap'!$Y28+'Aset Tetap'!$T28*12-1))),'Aset Tetap'!$AQ28/'Aset Tetap'!$AG28,0)))</f>
        <v/>
      </c>
      <c r="L28" s="22" t="str">
        <f>IF($B28="","",IF(N('Aset Tetap'!$AG28)=0,0,IF(AND((YEAR(L$6)*12+MONTH(L$6))&gt;='Aset Tetap'!$Y28,(YEAR(L$6)*12+MONTH(L$6))&lt;=MIN('Aset Tetap'!$Z28,IF('Aset Tetap'!$S28="Unit Produksi",99999,'Aset Tetap'!$Y28+'Aset Tetap'!$T28*12-1))),'Aset Tetap'!$AQ28/'Aset Tetap'!$AG28,0)))</f>
        <v/>
      </c>
      <c r="M28" s="22" t="str">
        <f>IF($B28="","",IF(N('Aset Tetap'!$AG28)=0,0,IF(AND((YEAR(M$6)*12+MONTH(M$6))&gt;='Aset Tetap'!$Y28,(YEAR(M$6)*12+MONTH(M$6))&lt;=MIN('Aset Tetap'!$Z28,IF('Aset Tetap'!$S28="Unit Produksi",99999,'Aset Tetap'!$Y28+'Aset Tetap'!$T28*12-1))),'Aset Tetap'!$AQ28/'Aset Tetap'!$AG28,0)))</f>
        <v/>
      </c>
      <c r="N28" s="22" t="str">
        <f>IF($B28="","",IF(N('Aset Tetap'!$AG28)=0,0,IF(AND((YEAR(N$6)*12+MONTH(N$6))&gt;='Aset Tetap'!$Y28,(YEAR(N$6)*12+MONTH(N$6))&lt;=MIN('Aset Tetap'!$Z28,IF('Aset Tetap'!$S28="Unit Produksi",99999,'Aset Tetap'!$Y28+'Aset Tetap'!$T28*12-1))),'Aset Tetap'!$AQ28/'Aset Tetap'!$AG28,0)))</f>
        <v/>
      </c>
      <c r="O28" s="22" t="str">
        <f>IF($B28="","",IF(N('Aset Tetap'!$AG28)=0,0,IF(AND((YEAR(O$6)*12+MONTH(O$6))&gt;='Aset Tetap'!$Y28,(YEAR(O$6)*12+MONTH(O$6))&lt;=MIN('Aset Tetap'!$Z28,IF('Aset Tetap'!$S28="Unit Produksi",99999,'Aset Tetap'!$Y28+'Aset Tetap'!$T28*12-1))),'Aset Tetap'!$AQ28/'Aset Tetap'!$AG28,0)))</f>
        <v/>
      </c>
      <c r="P28" s="22" t="str">
        <f>IF($B28="","",IF(N('Aset Tetap'!$AG28)=0,0,IF(AND((YEAR(P$6)*12+MONTH(P$6))&gt;='Aset Tetap'!$Y28,(YEAR(P$6)*12+MONTH(P$6))&lt;=MIN('Aset Tetap'!$Z28,IF('Aset Tetap'!$S28="Unit Produksi",99999,'Aset Tetap'!$Y28+'Aset Tetap'!$T28*12-1))),'Aset Tetap'!$AQ28/'Aset Tetap'!$AG28,0)))</f>
        <v/>
      </c>
      <c r="Q28" s="22" t="str">
        <f>IF($B28="","",SUM(E28:P28))</f>
        <v/>
      </c>
      <c r="R28" s="22" t="str">
        <f>IF($B28="","",'Aset Tetap'!AQ28)</f>
        <v/>
      </c>
      <c r="S28" s="22" t="str">
        <f>IF($B28="","",ROUND(Q28-R28,0))</f>
        <v/>
      </c>
    </row>
    <row r="29" spans="1:19" x14ac:dyDescent="0.25">
      <c r="A29" t="str">
        <f>IF('Aset Tetap'!$B29="","",'Aset Tetap'!A29)</f>
        <v/>
      </c>
      <c r="B29" t="str">
        <f>IF('Aset Tetap'!$B29="","",'Aset Tetap'!B29)</f>
        <v/>
      </c>
      <c r="C29" t="str">
        <f>IF('Aset Tetap'!$B29="","",'Aset Tetap'!C29)</f>
        <v/>
      </c>
      <c r="D29" t="str">
        <f>IF('Aset Tetap'!$B29="","",'Aset Tetap'!D29)</f>
        <v/>
      </c>
      <c r="E29" s="22" t="str">
        <f>IF($B29="","",IF(N('Aset Tetap'!$AG29)=0,0,IF(AND((YEAR(E$6)*12+MONTH(E$6))&gt;='Aset Tetap'!$Y29,(YEAR(E$6)*12+MONTH(E$6))&lt;=MIN('Aset Tetap'!$Z29,IF('Aset Tetap'!$S29="Unit Produksi",99999,'Aset Tetap'!$Y29+'Aset Tetap'!$T29*12-1))),'Aset Tetap'!$AQ29/'Aset Tetap'!$AG29,0)))</f>
        <v/>
      </c>
      <c r="F29" s="22" t="str">
        <f>IF($B29="","",IF(N('Aset Tetap'!$AG29)=0,0,IF(AND((YEAR(F$6)*12+MONTH(F$6))&gt;='Aset Tetap'!$Y29,(YEAR(F$6)*12+MONTH(F$6))&lt;=MIN('Aset Tetap'!$Z29,IF('Aset Tetap'!$S29="Unit Produksi",99999,'Aset Tetap'!$Y29+'Aset Tetap'!$T29*12-1))),'Aset Tetap'!$AQ29/'Aset Tetap'!$AG29,0)))</f>
        <v/>
      </c>
      <c r="G29" s="22" t="str">
        <f>IF($B29="","",IF(N('Aset Tetap'!$AG29)=0,0,IF(AND((YEAR(G$6)*12+MONTH(G$6))&gt;='Aset Tetap'!$Y29,(YEAR(G$6)*12+MONTH(G$6))&lt;=MIN('Aset Tetap'!$Z29,IF('Aset Tetap'!$S29="Unit Produksi",99999,'Aset Tetap'!$Y29+'Aset Tetap'!$T29*12-1))),'Aset Tetap'!$AQ29/'Aset Tetap'!$AG29,0)))</f>
        <v/>
      </c>
      <c r="H29" s="22" t="str">
        <f>IF($B29="","",IF(N('Aset Tetap'!$AG29)=0,0,IF(AND((YEAR(H$6)*12+MONTH(H$6))&gt;='Aset Tetap'!$Y29,(YEAR(H$6)*12+MONTH(H$6))&lt;=MIN('Aset Tetap'!$Z29,IF('Aset Tetap'!$S29="Unit Produksi",99999,'Aset Tetap'!$Y29+'Aset Tetap'!$T29*12-1))),'Aset Tetap'!$AQ29/'Aset Tetap'!$AG29,0)))</f>
        <v/>
      </c>
      <c r="I29" s="22" t="str">
        <f>IF($B29="","",IF(N('Aset Tetap'!$AG29)=0,0,IF(AND((YEAR(I$6)*12+MONTH(I$6))&gt;='Aset Tetap'!$Y29,(YEAR(I$6)*12+MONTH(I$6))&lt;=MIN('Aset Tetap'!$Z29,IF('Aset Tetap'!$S29="Unit Produksi",99999,'Aset Tetap'!$Y29+'Aset Tetap'!$T29*12-1))),'Aset Tetap'!$AQ29/'Aset Tetap'!$AG29,0)))</f>
        <v/>
      </c>
      <c r="J29" s="22" t="str">
        <f>IF($B29="","",IF(N('Aset Tetap'!$AG29)=0,0,IF(AND((YEAR(J$6)*12+MONTH(J$6))&gt;='Aset Tetap'!$Y29,(YEAR(J$6)*12+MONTH(J$6))&lt;=MIN('Aset Tetap'!$Z29,IF('Aset Tetap'!$S29="Unit Produksi",99999,'Aset Tetap'!$Y29+'Aset Tetap'!$T29*12-1))),'Aset Tetap'!$AQ29/'Aset Tetap'!$AG29,0)))</f>
        <v/>
      </c>
      <c r="K29" s="22" t="str">
        <f>IF($B29="","",IF(N('Aset Tetap'!$AG29)=0,0,IF(AND((YEAR(K$6)*12+MONTH(K$6))&gt;='Aset Tetap'!$Y29,(YEAR(K$6)*12+MONTH(K$6))&lt;=MIN('Aset Tetap'!$Z29,IF('Aset Tetap'!$S29="Unit Produksi",99999,'Aset Tetap'!$Y29+'Aset Tetap'!$T29*12-1))),'Aset Tetap'!$AQ29/'Aset Tetap'!$AG29,0)))</f>
        <v/>
      </c>
      <c r="L29" s="22" t="str">
        <f>IF($B29="","",IF(N('Aset Tetap'!$AG29)=0,0,IF(AND((YEAR(L$6)*12+MONTH(L$6))&gt;='Aset Tetap'!$Y29,(YEAR(L$6)*12+MONTH(L$6))&lt;=MIN('Aset Tetap'!$Z29,IF('Aset Tetap'!$S29="Unit Produksi",99999,'Aset Tetap'!$Y29+'Aset Tetap'!$T29*12-1))),'Aset Tetap'!$AQ29/'Aset Tetap'!$AG29,0)))</f>
        <v/>
      </c>
      <c r="M29" s="22" t="str">
        <f>IF($B29="","",IF(N('Aset Tetap'!$AG29)=0,0,IF(AND((YEAR(M$6)*12+MONTH(M$6))&gt;='Aset Tetap'!$Y29,(YEAR(M$6)*12+MONTH(M$6))&lt;=MIN('Aset Tetap'!$Z29,IF('Aset Tetap'!$S29="Unit Produksi",99999,'Aset Tetap'!$Y29+'Aset Tetap'!$T29*12-1))),'Aset Tetap'!$AQ29/'Aset Tetap'!$AG29,0)))</f>
        <v/>
      </c>
      <c r="N29" s="22" t="str">
        <f>IF($B29="","",IF(N('Aset Tetap'!$AG29)=0,0,IF(AND((YEAR(N$6)*12+MONTH(N$6))&gt;='Aset Tetap'!$Y29,(YEAR(N$6)*12+MONTH(N$6))&lt;=MIN('Aset Tetap'!$Z29,IF('Aset Tetap'!$S29="Unit Produksi",99999,'Aset Tetap'!$Y29+'Aset Tetap'!$T29*12-1))),'Aset Tetap'!$AQ29/'Aset Tetap'!$AG29,0)))</f>
        <v/>
      </c>
      <c r="O29" s="22" t="str">
        <f>IF($B29="","",IF(N('Aset Tetap'!$AG29)=0,0,IF(AND((YEAR(O$6)*12+MONTH(O$6))&gt;='Aset Tetap'!$Y29,(YEAR(O$6)*12+MONTH(O$6))&lt;=MIN('Aset Tetap'!$Z29,IF('Aset Tetap'!$S29="Unit Produksi",99999,'Aset Tetap'!$Y29+'Aset Tetap'!$T29*12-1))),'Aset Tetap'!$AQ29/'Aset Tetap'!$AG29,0)))</f>
        <v/>
      </c>
      <c r="P29" s="22" t="str">
        <f>IF($B29="","",IF(N('Aset Tetap'!$AG29)=0,0,IF(AND((YEAR(P$6)*12+MONTH(P$6))&gt;='Aset Tetap'!$Y29,(YEAR(P$6)*12+MONTH(P$6))&lt;=MIN('Aset Tetap'!$Z29,IF('Aset Tetap'!$S29="Unit Produksi",99999,'Aset Tetap'!$Y29+'Aset Tetap'!$T29*12-1))),'Aset Tetap'!$AQ29/'Aset Tetap'!$AG29,0)))</f>
        <v/>
      </c>
      <c r="Q29" s="22" t="str">
        <f>IF($B29="","",SUM(E29:P29))</f>
        <v/>
      </c>
      <c r="R29" s="22" t="str">
        <f>IF($B29="","",'Aset Tetap'!AQ29)</f>
        <v/>
      </c>
      <c r="S29" s="22" t="str">
        <f>IF($B29="","",ROUND(Q29-R29,0))</f>
        <v/>
      </c>
    </row>
    <row r="30" spans="1:19" x14ac:dyDescent="0.25">
      <c r="A30" t="str">
        <f>IF('Aset Tetap'!$B30="","",'Aset Tetap'!A30)</f>
        <v/>
      </c>
      <c r="B30" t="str">
        <f>IF('Aset Tetap'!$B30="","",'Aset Tetap'!B30)</f>
        <v/>
      </c>
      <c r="C30" t="str">
        <f>IF('Aset Tetap'!$B30="","",'Aset Tetap'!C30)</f>
        <v/>
      </c>
      <c r="D30" t="str">
        <f>IF('Aset Tetap'!$B30="","",'Aset Tetap'!D30)</f>
        <v/>
      </c>
      <c r="E30" s="22" t="str">
        <f>IF($B30="","",IF(N('Aset Tetap'!$AG30)=0,0,IF(AND((YEAR(E$6)*12+MONTH(E$6))&gt;='Aset Tetap'!$Y30,(YEAR(E$6)*12+MONTH(E$6))&lt;=MIN('Aset Tetap'!$Z30,IF('Aset Tetap'!$S30="Unit Produksi",99999,'Aset Tetap'!$Y30+'Aset Tetap'!$T30*12-1))),'Aset Tetap'!$AQ30/'Aset Tetap'!$AG30,0)))</f>
        <v/>
      </c>
      <c r="F30" s="22" t="str">
        <f>IF($B30="","",IF(N('Aset Tetap'!$AG30)=0,0,IF(AND((YEAR(F$6)*12+MONTH(F$6))&gt;='Aset Tetap'!$Y30,(YEAR(F$6)*12+MONTH(F$6))&lt;=MIN('Aset Tetap'!$Z30,IF('Aset Tetap'!$S30="Unit Produksi",99999,'Aset Tetap'!$Y30+'Aset Tetap'!$T30*12-1))),'Aset Tetap'!$AQ30/'Aset Tetap'!$AG30,0)))</f>
        <v/>
      </c>
      <c r="G30" s="22" t="str">
        <f>IF($B30="","",IF(N('Aset Tetap'!$AG30)=0,0,IF(AND((YEAR(G$6)*12+MONTH(G$6))&gt;='Aset Tetap'!$Y30,(YEAR(G$6)*12+MONTH(G$6))&lt;=MIN('Aset Tetap'!$Z30,IF('Aset Tetap'!$S30="Unit Produksi",99999,'Aset Tetap'!$Y30+'Aset Tetap'!$T30*12-1))),'Aset Tetap'!$AQ30/'Aset Tetap'!$AG30,0)))</f>
        <v/>
      </c>
      <c r="H30" s="22" t="str">
        <f>IF($B30="","",IF(N('Aset Tetap'!$AG30)=0,0,IF(AND((YEAR(H$6)*12+MONTH(H$6))&gt;='Aset Tetap'!$Y30,(YEAR(H$6)*12+MONTH(H$6))&lt;=MIN('Aset Tetap'!$Z30,IF('Aset Tetap'!$S30="Unit Produksi",99999,'Aset Tetap'!$Y30+'Aset Tetap'!$T30*12-1))),'Aset Tetap'!$AQ30/'Aset Tetap'!$AG30,0)))</f>
        <v/>
      </c>
      <c r="I30" s="22" t="str">
        <f>IF($B30="","",IF(N('Aset Tetap'!$AG30)=0,0,IF(AND((YEAR(I$6)*12+MONTH(I$6))&gt;='Aset Tetap'!$Y30,(YEAR(I$6)*12+MONTH(I$6))&lt;=MIN('Aset Tetap'!$Z30,IF('Aset Tetap'!$S30="Unit Produksi",99999,'Aset Tetap'!$Y30+'Aset Tetap'!$T30*12-1))),'Aset Tetap'!$AQ30/'Aset Tetap'!$AG30,0)))</f>
        <v/>
      </c>
      <c r="J30" s="22" t="str">
        <f>IF($B30="","",IF(N('Aset Tetap'!$AG30)=0,0,IF(AND((YEAR(J$6)*12+MONTH(J$6))&gt;='Aset Tetap'!$Y30,(YEAR(J$6)*12+MONTH(J$6))&lt;=MIN('Aset Tetap'!$Z30,IF('Aset Tetap'!$S30="Unit Produksi",99999,'Aset Tetap'!$Y30+'Aset Tetap'!$T30*12-1))),'Aset Tetap'!$AQ30/'Aset Tetap'!$AG30,0)))</f>
        <v/>
      </c>
      <c r="K30" s="22" t="str">
        <f>IF($B30="","",IF(N('Aset Tetap'!$AG30)=0,0,IF(AND((YEAR(K$6)*12+MONTH(K$6))&gt;='Aset Tetap'!$Y30,(YEAR(K$6)*12+MONTH(K$6))&lt;=MIN('Aset Tetap'!$Z30,IF('Aset Tetap'!$S30="Unit Produksi",99999,'Aset Tetap'!$Y30+'Aset Tetap'!$T30*12-1))),'Aset Tetap'!$AQ30/'Aset Tetap'!$AG30,0)))</f>
        <v/>
      </c>
      <c r="L30" s="22" t="str">
        <f>IF($B30="","",IF(N('Aset Tetap'!$AG30)=0,0,IF(AND((YEAR(L$6)*12+MONTH(L$6))&gt;='Aset Tetap'!$Y30,(YEAR(L$6)*12+MONTH(L$6))&lt;=MIN('Aset Tetap'!$Z30,IF('Aset Tetap'!$S30="Unit Produksi",99999,'Aset Tetap'!$Y30+'Aset Tetap'!$T30*12-1))),'Aset Tetap'!$AQ30/'Aset Tetap'!$AG30,0)))</f>
        <v/>
      </c>
      <c r="M30" s="22" t="str">
        <f>IF($B30="","",IF(N('Aset Tetap'!$AG30)=0,0,IF(AND((YEAR(M$6)*12+MONTH(M$6))&gt;='Aset Tetap'!$Y30,(YEAR(M$6)*12+MONTH(M$6))&lt;=MIN('Aset Tetap'!$Z30,IF('Aset Tetap'!$S30="Unit Produksi",99999,'Aset Tetap'!$Y30+'Aset Tetap'!$T30*12-1))),'Aset Tetap'!$AQ30/'Aset Tetap'!$AG30,0)))</f>
        <v/>
      </c>
      <c r="N30" s="22" t="str">
        <f>IF($B30="","",IF(N('Aset Tetap'!$AG30)=0,0,IF(AND((YEAR(N$6)*12+MONTH(N$6))&gt;='Aset Tetap'!$Y30,(YEAR(N$6)*12+MONTH(N$6))&lt;=MIN('Aset Tetap'!$Z30,IF('Aset Tetap'!$S30="Unit Produksi",99999,'Aset Tetap'!$Y30+'Aset Tetap'!$T30*12-1))),'Aset Tetap'!$AQ30/'Aset Tetap'!$AG30,0)))</f>
        <v/>
      </c>
      <c r="O30" s="22" t="str">
        <f>IF($B30="","",IF(N('Aset Tetap'!$AG30)=0,0,IF(AND((YEAR(O$6)*12+MONTH(O$6))&gt;='Aset Tetap'!$Y30,(YEAR(O$6)*12+MONTH(O$6))&lt;=MIN('Aset Tetap'!$Z30,IF('Aset Tetap'!$S30="Unit Produksi",99999,'Aset Tetap'!$Y30+'Aset Tetap'!$T30*12-1))),'Aset Tetap'!$AQ30/'Aset Tetap'!$AG30,0)))</f>
        <v/>
      </c>
      <c r="P30" s="22" t="str">
        <f>IF($B30="","",IF(N('Aset Tetap'!$AG30)=0,0,IF(AND((YEAR(P$6)*12+MONTH(P$6))&gt;='Aset Tetap'!$Y30,(YEAR(P$6)*12+MONTH(P$6))&lt;=MIN('Aset Tetap'!$Z30,IF('Aset Tetap'!$S30="Unit Produksi",99999,'Aset Tetap'!$Y30+'Aset Tetap'!$T30*12-1))),'Aset Tetap'!$AQ30/'Aset Tetap'!$AG30,0)))</f>
        <v/>
      </c>
      <c r="Q30" s="22" t="str">
        <f>IF($B30="","",SUM(E30:P30))</f>
        <v/>
      </c>
      <c r="R30" s="22" t="str">
        <f>IF($B30="","",'Aset Tetap'!AQ30)</f>
        <v/>
      </c>
      <c r="S30" s="22" t="str">
        <f>IF($B30="","",ROUND(Q30-R30,0))</f>
        <v/>
      </c>
    </row>
    <row r="31" spans="1:19" x14ac:dyDescent="0.25">
      <c r="A31" t="str">
        <f>IF('Aset Tetap'!$B31="","",'Aset Tetap'!A31)</f>
        <v/>
      </c>
      <c r="B31" t="str">
        <f>IF('Aset Tetap'!$B31="","",'Aset Tetap'!B31)</f>
        <v/>
      </c>
      <c r="C31" t="str">
        <f>IF('Aset Tetap'!$B31="","",'Aset Tetap'!C31)</f>
        <v/>
      </c>
      <c r="D31" t="str">
        <f>IF('Aset Tetap'!$B31="","",'Aset Tetap'!D31)</f>
        <v/>
      </c>
      <c r="E31" s="22" t="str">
        <f>IF($B31="","",IF(N('Aset Tetap'!$AG31)=0,0,IF(AND((YEAR(E$6)*12+MONTH(E$6))&gt;='Aset Tetap'!$Y31,(YEAR(E$6)*12+MONTH(E$6))&lt;=MIN('Aset Tetap'!$Z31,IF('Aset Tetap'!$S31="Unit Produksi",99999,'Aset Tetap'!$Y31+'Aset Tetap'!$T31*12-1))),'Aset Tetap'!$AQ31/'Aset Tetap'!$AG31,0)))</f>
        <v/>
      </c>
      <c r="F31" s="22" t="str">
        <f>IF($B31="","",IF(N('Aset Tetap'!$AG31)=0,0,IF(AND((YEAR(F$6)*12+MONTH(F$6))&gt;='Aset Tetap'!$Y31,(YEAR(F$6)*12+MONTH(F$6))&lt;=MIN('Aset Tetap'!$Z31,IF('Aset Tetap'!$S31="Unit Produksi",99999,'Aset Tetap'!$Y31+'Aset Tetap'!$T31*12-1))),'Aset Tetap'!$AQ31/'Aset Tetap'!$AG31,0)))</f>
        <v/>
      </c>
      <c r="G31" s="22" t="str">
        <f>IF($B31="","",IF(N('Aset Tetap'!$AG31)=0,0,IF(AND((YEAR(G$6)*12+MONTH(G$6))&gt;='Aset Tetap'!$Y31,(YEAR(G$6)*12+MONTH(G$6))&lt;=MIN('Aset Tetap'!$Z31,IF('Aset Tetap'!$S31="Unit Produksi",99999,'Aset Tetap'!$Y31+'Aset Tetap'!$T31*12-1))),'Aset Tetap'!$AQ31/'Aset Tetap'!$AG31,0)))</f>
        <v/>
      </c>
      <c r="H31" s="22" t="str">
        <f>IF($B31="","",IF(N('Aset Tetap'!$AG31)=0,0,IF(AND((YEAR(H$6)*12+MONTH(H$6))&gt;='Aset Tetap'!$Y31,(YEAR(H$6)*12+MONTH(H$6))&lt;=MIN('Aset Tetap'!$Z31,IF('Aset Tetap'!$S31="Unit Produksi",99999,'Aset Tetap'!$Y31+'Aset Tetap'!$T31*12-1))),'Aset Tetap'!$AQ31/'Aset Tetap'!$AG31,0)))</f>
        <v/>
      </c>
      <c r="I31" s="22" t="str">
        <f>IF($B31="","",IF(N('Aset Tetap'!$AG31)=0,0,IF(AND((YEAR(I$6)*12+MONTH(I$6))&gt;='Aset Tetap'!$Y31,(YEAR(I$6)*12+MONTH(I$6))&lt;=MIN('Aset Tetap'!$Z31,IF('Aset Tetap'!$S31="Unit Produksi",99999,'Aset Tetap'!$Y31+'Aset Tetap'!$T31*12-1))),'Aset Tetap'!$AQ31/'Aset Tetap'!$AG31,0)))</f>
        <v/>
      </c>
      <c r="J31" s="22" t="str">
        <f>IF($B31="","",IF(N('Aset Tetap'!$AG31)=0,0,IF(AND((YEAR(J$6)*12+MONTH(J$6))&gt;='Aset Tetap'!$Y31,(YEAR(J$6)*12+MONTH(J$6))&lt;=MIN('Aset Tetap'!$Z31,IF('Aset Tetap'!$S31="Unit Produksi",99999,'Aset Tetap'!$Y31+'Aset Tetap'!$T31*12-1))),'Aset Tetap'!$AQ31/'Aset Tetap'!$AG31,0)))</f>
        <v/>
      </c>
      <c r="K31" s="22" t="str">
        <f>IF($B31="","",IF(N('Aset Tetap'!$AG31)=0,0,IF(AND((YEAR(K$6)*12+MONTH(K$6))&gt;='Aset Tetap'!$Y31,(YEAR(K$6)*12+MONTH(K$6))&lt;=MIN('Aset Tetap'!$Z31,IF('Aset Tetap'!$S31="Unit Produksi",99999,'Aset Tetap'!$Y31+'Aset Tetap'!$T31*12-1))),'Aset Tetap'!$AQ31/'Aset Tetap'!$AG31,0)))</f>
        <v/>
      </c>
      <c r="L31" s="22" t="str">
        <f>IF($B31="","",IF(N('Aset Tetap'!$AG31)=0,0,IF(AND((YEAR(L$6)*12+MONTH(L$6))&gt;='Aset Tetap'!$Y31,(YEAR(L$6)*12+MONTH(L$6))&lt;=MIN('Aset Tetap'!$Z31,IF('Aset Tetap'!$S31="Unit Produksi",99999,'Aset Tetap'!$Y31+'Aset Tetap'!$T31*12-1))),'Aset Tetap'!$AQ31/'Aset Tetap'!$AG31,0)))</f>
        <v/>
      </c>
      <c r="M31" s="22" t="str">
        <f>IF($B31="","",IF(N('Aset Tetap'!$AG31)=0,0,IF(AND((YEAR(M$6)*12+MONTH(M$6))&gt;='Aset Tetap'!$Y31,(YEAR(M$6)*12+MONTH(M$6))&lt;=MIN('Aset Tetap'!$Z31,IF('Aset Tetap'!$S31="Unit Produksi",99999,'Aset Tetap'!$Y31+'Aset Tetap'!$T31*12-1))),'Aset Tetap'!$AQ31/'Aset Tetap'!$AG31,0)))</f>
        <v/>
      </c>
      <c r="N31" s="22" t="str">
        <f>IF($B31="","",IF(N('Aset Tetap'!$AG31)=0,0,IF(AND((YEAR(N$6)*12+MONTH(N$6))&gt;='Aset Tetap'!$Y31,(YEAR(N$6)*12+MONTH(N$6))&lt;=MIN('Aset Tetap'!$Z31,IF('Aset Tetap'!$S31="Unit Produksi",99999,'Aset Tetap'!$Y31+'Aset Tetap'!$T31*12-1))),'Aset Tetap'!$AQ31/'Aset Tetap'!$AG31,0)))</f>
        <v/>
      </c>
      <c r="O31" s="22" t="str">
        <f>IF($B31="","",IF(N('Aset Tetap'!$AG31)=0,0,IF(AND((YEAR(O$6)*12+MONTH(O$6))&gt;='Aset Tetap'!$Y31,(YEAR(O$6)*12+MONTH(O$6))&lt;=MIN('Aset Tetap'!$Z31,IF('Aset Tetap'!$S31="Unit Produksi",99999,'Aset Tetap'!$Y31+'Aset Tetap'!$T31*12-1))),'Aset Tetap'!$AQ31/'Aset Tetap'!$AG31,0)))</f>
        <v/>
      </c>
      <c r="P31" s="22" t="str">
        <f>IF($B31="","",IF(N('Aset Tetap'!$AG31)=0,0,IF(AND((YEAR(P$6)*12+MONTH(P$6))&gt;='Aset Tetap'!$Y31,(YEAR(P$6)*12+MONTH(P$6))&lt;=MIN('Aset Tetap'!$Z31,IF('Aset Tetap'!$S31="Unit Produksi",99999,'Aset Tetap'!$Y31+'Aset Tetap'!$T31*12-1))),'Aset Tetap'!$AQ31/'Aset Tetap'!$AG31,0)))</f>
        <v/>
      </c>
      <c r="Q31" s="22" t="str">
        <f>IF($B31="","",SUM(E31:P31))</f>
        <v/>
      </c>
      <c r="R31" s="22" t="str">
        <f>IF($B31="","",'Aset Tetap'!AQ31)</f>
        <v/>
      </c>
      <c r="S31" s="22" t="str">
        <f>IF($B31="","",ROUND(Q31-R31,0))</f>
        <v/>
      </c>
    </row>
    <row r="32" spans="1:19" x14ac:dyDescent="0.25">
      <c r="A32" t="str">
        <f>IF('Aset Tetap'!$B32="","",'Aset Tetap'!A32)</f>
        <v/>
      </c>
      <c r="B32" t="str">
        <f>IF('Aset Tetap'!$B32="","",'Aset Tetap'!B32)</f>
        <v/>
      </c>
      <c r="C32" t="str">
        <f>IF('Aset Tetap'!$B32="","",'Aset Tetap'!C32)</f>
        <v/>
      </c>
      <c r="D32" t="str">
        <f>IF('Aset Tetap'!$B32="","",'Aset Tetap'!D32)</f>
        <v/>
      </c>
      <c r="E32" s="22" t="str">
        <f>IF($B32="","",IF(N('Aset Tetap'!$AG32)=0,0,IF(AND((YEAR(E$6)*12+MONTH(E$6))&gt;='Aset Tetap'!$Y32,(YEAR(E$6)*12+MONTH(E$6))&lt;=MIN('Aset Tetap'!$Z32,IF('Aset Tetap'!$S32="Unit Produksi",99999,'Aset Tetap'!$Y32+'Aset Tetap'!$T32*12-1))),'Aset Tetap'!$AQ32/'Aset Tetap'!$AG32,0)))</f>
        <v/>
      </c>
      <c r="F32" s="22" t="str">
        <f>IF($B32="","",IF(N('Aset Tetap'!$AG32)=0,0,IF(AND((YEAR(F$6)*12+MONTH(F$6))&gt;='Aset Tetap'!$Y32,(YEAR(F$6)*12+MONTH(F$6))&lt;=MIN('Aset Tetap'!$Z32,IF('Aset Tetap'!$S32="Unit Produksi",99999,'Aset Tetap'!$Y32+'Aset Tetap'!$T32*12-1))),'Aset Tetap'!$AQ32/'Aset Tetap'!$AG32,0)))</f>
        <v/>
      </c>
      <c r="G32" s="22" t="str">
        <f>IF($B32="","",IF(N('Aset Tetap'!$AG32)=0,0,IF(AND((YEAR(G$6)*12+MONTH(G$6))&gt;='Aset Tetap'!$Y32,(YEAR(G$6)*12+MONTH(G$6))&lt;=MIN('Aset Tetap'!$Z32,IF('Aset Tetap'!$S32="Unit Produksi",99999,'Aset Tetap'!$Y32+'Aset Tetap'!$T32*12-1))),'Aset Tetap'!$AQ32/'Aset Tetap'!$AG32,0)))</f>
        <v/>
      </c>
      <c r="H32" s="22" t="str">
        <f>IF($B32="","",IF(N('Aset Tetap'!$AG32)=0,0,IF(AND((YEAR(H$6)*12+MONTH(H$6))&gt;='Aset Tetap'!$Y32,(YEAR(H$6)*12+MONTH(H$6))&lt;=MIN('Aset Tetap'!$Z32,IF('Aset Tetap'!$S32="Unit Produksi",99999,'Aset Tetap'!$Y32+'Aset Tetap'!$T32*12-1))),'Aset Tetap'!$AQ32/'Aset Tetap'!$AG32,0)))</f>
        <v/>
      </c>
      <c r="I32" s="22" t="str">
        <f>IF($B32="","",IF(N('Aset Tetap'!$AG32)=0,0,IF(AND((YEAR(I$6)*12+MONTH(I$6))&gt;='Aset Tetap'!$Y32,(YEAR(I$6)*12+MONTH(I$6))&lt;=MIN('Aset Tetap'!$Z32,IF('Aset Tetap'!$S32="Unit Produksi",99999,'Aset Tetap'!$Y32+'Aset Tetap'!$T32*12-1))),'Aset Tetap'!$AQ32/'Aset Tetap'!$AG32,0)))</f>
        <v/>
      </c>
      <c r="J32" s="22" t="str">
        <f>IF($B32="","",IF(N('Aset Tetap'!$AG32)=0,0,IF(AND((YEAR(J$6)*12+MONTH(J$6))&gt;='Aset Tetap'!$Y32,(YEAR(J$6)*12+MONTH(J$6))&lt;=MIN('Aset Tetap'!$Z32,IF('Aset Tetap'!$S32="Unit Produksi",99999,'Aset Tetap'!$Y32+'Aset Tetap'!$T32*12-1))),'Aset Tetap'!$AQ32/'Aset Tetap'!$AG32,0)))</f>
        <v/>
      </c>
      <c r="K32" s="22" t="str">
        <f>IF($B32="","",IF(N('Aset Tetap'!$AG32)=0,0,IF(AND((YEAR(K$6)*12+MONTH(K$6))&gt;='Aset Tetap'!$Y32,(YEAR(K$6)*12+MONTH(K$6))&lt;=MIN('Aset Tetap'!$Z32,IF('Aset Tetap'!$S32="Unit Produksi",99999,'Aset Tetap'!$Y32+'Aset Tetap'!$T32*12-1))),'Aset Tetap'!$AQ32/'Aset Tetap'!$AG32,0)))</f>
        <v/>
      </c>
      <c r="L32" s="22" t="str">
        <f>IF($B32="","",IF(N('Aset Tetap'!$AG32)=0,0,IF(AND((YEAR(L$6)*12+MONTH(L$6))&gt;='Aset Tetap'!$Y32,(YEAR(L$6)*12+MONTH(L$6))&lt;=MIN('Aset Tetap'!$Z32,IF('Aset Tetap'!$S32="Unit Produksi",99999,'Aset Tetap'!$Y32+'Aset Tetap'!$T32*12-1))),'Aset Tetap'!$AQ32/'Aset Tetap'!$AG32,0)))</f>
        <v/>
      </c>
      <c r="M32" s="22" t="str">
        <f>IF($B32="","",IF(N('Aset Tetap'!$AG32)=0,0,IF(AND((YEAR(M$6)*12+MONTH(M$6))&gt;='Aset Tetap'!$Y32,(YEAR(M$6)*12+MONTH(M$6))&lt;=MIN('Aset Tetap'!$Z32,IF('Aset Tetap'!$S32="Unit Produksi",99999,'Aset Tetap'!$Y32+'Aset Tetap'!$T32*12-1))),'Aset Tetap'!$AQ32/'Aset Tetap'!$AG32,0)))</f>
        <v/>
      </c>
      <c r="N32" s="22" t="str">
        <f>IF($B32="","",IF(N('Aset Tetap'!$AG32)=0,0,IF(AND((YEAR(N$6)*12+MONTH(N$6))&gt;='Aset Tetap'!$Y32,(YEAR(N$6)*12+MONTH(N$6))&lt;=MIN('Aset Tetap'!$Z32,IF('Aset Tetap'!$S32="Unit Produksi",99999,'Aset Tetap'!$Y32+'Aset Tetap'!$T32*12-1))),'Aset Tetap'!$AQ32/'Aset Tetap'!$AG32,0)))</f>
        <v/>
      </c>
      <c r="O32" s="22" t="str">
        <f>IF($B32="","",IF(N('Aset Tetap'!$AG32)=0,0,IF(AND((YEAR(O$6)*12+MONTH(O$6))&gt;='Aset Tetap'!$Y32,(YEAR(O$6)*12+MONTH(O$6))&lt;=MIN('Aset Tetap'!$Z32,IF('Aset Tetap'!$S32="Unit Produksi",99999,'Aset Tetap'!$Y32+'Aset Tetap'!$T32*12-1))),'Aset Tetap'!$AQ32/'Aset Tetap'!$AG32,0)))</f>
        <v/>
      </c>
      <c r="P32" s="22" t="str">
        <f>IF($B32="","",IF(N('Aset Tetap'!$AG32)=0,0,IF(AND((YEAR(P$6)*12+MONTH(P$6))&gt;='Aset Tetap'!$Y32,(YEAR(P$6)*12+MONTH(P$6))&lt;=MIN('Aset Tetap'!$Z32,IF('Aset Tetap'!$S32="Unit Produksi",99999,'Aset Tetap'!$Y32+'Aset Tetap'!$T32*12-1))),'Aset Tetap'!$AQ32/'Aset Tetap'!$AG32,0)))</f>
        <v/>
      </c>
      <c r="Q32" s="22" t="str">
        <f>IF($B32="","",SUM(E32:P32))</f>
        <v/>
      </c>
      <c r="R32" s="22" t="str">
        <f>IF($B32="","",'Aset Tetap'!AQ32)</f>
        <v/>
      </c>
      <c r="S32" s="22" t="str">
        <f>IF($B32="","",ROUND(Q32-R32,0))</f>
        <v/>
      </c>
    </row>
    <row r="33" spans="1:19" x14ac:dyDescent="0.25">
      <c r="A33" t="str">
        <f>IF('Aset Tetap'!$B33="","",'Aset Tetap'!A33)</f>
        <v/>
      </c>
      <c r="B33" t="str">
        <f>IF('Aset Tetap'!$B33="","",'Aset Tetap'!B33)</f>
        <v/>
      </c>
      <c r="C33" t="str">
        <f>IF('Aset Tetap'!$B33="","",'Aset Tetap'!C33)</f>
        <v/>
      </c>
      <c r="D33" t="str">
        <f>IF('Aset Tetap'!$B33="","",'Aset Tetap'!D33)</f>
        <v/>
      </c>
      <c r="E33" s="22" t="str">
        <f>IF($B33="","",IF(N('Aset Tetap'!$AG33)=0,0,IF(AND((YEAR(E$6)*12+MONTH(E$6))&gt;='Aset Tetap'!$Y33,(YEAR(E$6)*12+MONTH(E$6))&lt;=MIN('Aset Tetap'!$Z33,IF('Aset Tetap'!$S33="Unit Produksi",99999,'Aset Tetap'!$Y33+'Aset Tetap'!$T33*12-1))),'Aset Tetap'!$AQ33/'Aset Tetap'!$AG33,0)))</f>
        <v/>
      </c>
      <c r="F33" s="22" t="str">
        <f>IF($B33="","",IF(N('Aset Tetap'!$AG33)=0,0,IF(AND((YEAR(F$6)*12+MONTH(F$6))&gt;='Aset Tetap'!$Y33,(YEAR(F$6)*12+MONTH(F$6))&lt;=MIN('Aset Tetap'!$Z33,IF('Aset Tetap'!$S33="Unit Produksi",99999,'Aset Tetap'!$Y33+'Aset Tetap'!$T33*12-1))),'Aset Tetap'!$AQ33/'Aset Tetap'!$AG33,0)))</f>
        <v/>
      </c>
      <c r="G33" s="22" t="str">
        <f>IF($B33="","",IF(N('Aset Tetap'!$AG33)=0,0,IF(AND((YEAR(G$6)*12+MONTH(G$6))&gt;='Aset Tetap'!$Y33,(YEAR(G$6)*12+MONTH(G$6))&lt;=MIN('Aset Tetap'!$Z33,IF('Aset Tetap'!$S33="Unit Produksi",99999,'Aset Tetap'!$Y33+'Aset Tetap'!$T33*12-1))),'Aset Tetap'!$AQ33/'Aset Tetap'!$AG33,0)))</f>
        <v/>
      </c>
      <c r="H33" s="22" t="str">
        <f>IF($B33="","",IF(N('Aset Tetap'!$AG33)=0,0,IF(AND((YEAR(H$6)*12+MONTH(H$6))&gt;='Aset Tetap'!$Y33,(YEAR(H$6)*12+MONTH(H$6))&lt;=MIN('Aset Tetap'!$Z33,IF('Aset Tetap'!$S33="Unit Produksi",99999,'Aset Tetap'!$Y33+'Aset Tetap'!$T33*12-1))),'Aset Tetap'!$AQ33/'Aset Tetap'!$AG33,0)))</f>
        <v/>
      </c>
      <c r="I33" s="22" t="str">
        <f>IF($B33="","",IF(N('Aset Tetap'!$AG33)=0,0,IF(AND((YEAR(I$6)*12+MONTH(I$6))&gt;='Aset Tetap'!$Y33,(YEAR(I$6)*12+MONTH(I$6))&lt;=MIN('Aset Tetap'!$Z33,IF('Aset Tetap'!$S33="Unit Produksi",99999,'Aset Tetap'!$Y33+'Aset Tetap'!$T33*12-1))),'Aset Tetap'!$AQ33/'Aset Tetap'!$AG33,0)))</f>
        <v/>
      </c>
      <c r="J33" s="22" t="str">
        <f>IF($B33="","",IF(N('Aset Tetap'!$AG33)=0,0,IF(AND((YEAR(J$6)*12+MONTH(J$6))&gt;='Aset Tetap'!$Y33,(YEAR(J$6)*12+MONTH(J$6))&lt;=MIN('Aset Tetap'!$Z33,IF('Aset Tetap'!$S33="Unit Produksi",99999,'Aset Tetap'!$Y33+'Aset Tetap'!$T33*12-1))),'Aset Tetap'!$AQ33/'Aset Tetap'!$AG33,0)))</f>
        <v/>
      </c>
      <c r="K33" s="22" t="str">
        <f>IF($B33="","",IF(N('Aset Tetap'!$AG33)=0,0,IF(AND((YEAR(K$6)*12+MONTH(K$6))&gt;='Aset Tetap'!$Y33,(YEAR(K$6)*12+MONTH(K$6))&lt;=MIN('Aset Tetap'!$Z33,IF('Aset Tetap'!$S33="Unit Produksi",99999,'Aset Tetap'!$Y33+'Aset Tetap'!$T33*12-1))),'Aset Tetap'!$AQ33/'Aset Tetap'!$AG33,0)))</f>
        <v/>
      </c>
      <c r="L33" s="22" t="str">
        <f>IF($B33="","",IF(N('Aset Tetap'!$AG33)=0,0,IF(AND((YEAR(L$6)*12+MONTH(L$6))&gt;='Aset Tetap'!$Y33,(YEAR(L$6)*12+MONTH(L$6))&lt;=MIN('Aset Tetap'!$Z33,IF('Aset Tetap'!$S33="Unit Produksi",99999,'Aset Tetap'!$Y33+'Aset Tetap'!$T33*12-1))),'Aset Tetap'!$AQ33/'Aset Tetap'!$AG33,0)))</f>
        <v/>
      </c>
      <c r="M33" s="22" t="str">
        <f>IF($B33="","",IF(N('Aset Tetap'!$AG33)=0,0,IF(AND((YEAR(M$6)*12+MONTH(M$6))&gt;='Aset Tetap'!$Y33,(YEAR(M$6)*12+MONTH(M$6))&lt;=MIN('Aset Tetap'!$Z33,IF('Aset Tetap'!$S33="Unit Produksi",99999,'Aset Tetap'!$Y33+'Aset Tetap'!$T33*12-1))),'Aset Tetap'!$AQ33/'Aset Tetap'!$AG33,0)))</f>
        <v/>
      </c>
      <c r="N33" s="22" t="str">
        <f>IF($B33="","",IF(N('Aset Tetap'!$AG33)=0,0,IF(AND((YEAR(N$6)*12+MONTH(N$6))&gt;='Aset Tetap'!$Y33,(YEAR(N$6)*12+MONTH(N$6))&lt;=MIN('Aset Tetap'!$Z33,IF('Aset Tetap'!$S33="Unit Produksi",99999,'Aset Tetap'!$Y33+'Aset Tetap'!$T33*12-1))),'Aset Tetap'!$AQ33/'Aset Tetap'!$AG33,0)))</f>
        <v/>
      </c>
      <c r="O33" s="22" t="str">
        <f>IF($B33="","",IF(N('Aset Tetap'!$AG33)=0,0,IF(AND((YEAR(O$6)*12+MONTH(O$6))&gt;='Aset Tetap'!$Y33,(YEAR(O$6)*12+MONTH(O$6))&lt;=MIN('Aset Tetap'!$Z33,IF('Aset Tetap'!$S33="Unit Produksi",99999,'Aset Tetap'!$Y33+'Aset Tetap'!$T33*12-1))),'Aset Tetap'!$AQ33/'Aset Tetap'!$AG33,0)))</f>
        <v/>
      </c>
      <c r="P33" s="22" t="str">
        <f>IF($B33="","",IF(N('Aset Tetap'!$AG33)=0,0,IF(AND((YEAR(P$6)*12+MONTH(P$6))&gt;='Aset Tetap'!$Y33,(YEAR(P$6)*12+MONTH(P$6))&lt;=MIN('Aset Tetap'!$Z33,IF('Aset Tetap'!$S33="Unit Produksi",99999,'Aset Tetap'!$Y33+'Aset Tetap'!$T33*12-1))),'Aset Tetap'!$AQ33/'Aset Tetap'!$AG33,0)))</f>
        <v/>
      </c>
      <c r="Q33" s="22" t="str">
        <f>IF($B33="","",SUM(E33:P33))</f>
        <v/>
      </c>
      <c r="R33" s="22" t="str">
        <f>IF($B33="","",'Aset Tetap'!AQ33)</f>
        <v/>
      </c>
      <c r="S33" s="22" t="str">
        <f>IF($B33="","",ROUND(Q33-R33,0))</f>
        <v/>
      </c>
    </row>
    <row r="34" spans="1:19" x14ac:dyDescent="0.25">
      <c r="A34" t="str">
        <f>IF('Aset Tetap'!$B34="","",'Aset Tetap'!A34)</f>
        <v/>
      </c>
      <c r="B34" t="str">
        <f>IF('Aset Tetap'!$B34="","",'Aset Tetap'!B34)</f>
        <v/>
      </c>
      <c r="C34" t="str">
        <f>IF('Aset Tetap'!$B34="","",'Aset Tetap'!C34)</f>
        <v/>
      </c>
      <c r="D34" t="str">
        <f>IF('Aset Tetap'!$B34="","",'Aset Tetap'!D34)</f>
        <v/>
      </c>
      <c r="E34" s="22" t="str">
        <f>IF($B34="","",IF(N('Aset Tetap'!$AG34)=0,0,IF(AND((YEAR(E$6)*12+MONTH(E$6))&gt;='Aset Tetap'!$Y34,(YEAR(E$6)*12+MONTH(E$6))&lt;=MIN('Aset Tetap'!$Z34,IF('Aset Tetap'!$S34="Unit Produksi",99999,'Aset Tetap'!$Y34+'Aset Tetap'!$T34*12-1))),'Aset Tetap'!$AQ34/'Aset Tetap'!$AG34,0)))</f>
        <v/>
      </c>
      <c r="F34" s="22" t="str">
        <f>IF($B34="","",IF(N('Aset Tetap'!$AG34)=0,0,IF(AND((YEAR(F$6)*12+MONTH(F$6))&gt;='Aset Tetap'!$Y34,(YEAR(F$6)*12+MONTH(F$6))&lt;=MIN('Aset Tetap'!$Z34,IF('Aset Tetap'!$S34="Unit Produksi",99999,'Aset Tetap'!$Y34+'Aset Tetap'!$T34*12-1))),'Aset Tetap'!$AQ34/'Aset Tetap'!$AG34,0)))</f>
        <v/>
      </c>
      <c r="G34" s="22" t="str">
        <f>IF($B34="","",IF(N('Aset Tetap'!$AG34)=0,0,IF(AND((YEAR(G$6)*12+MONTH(G$6))&gt;='Aset Tetap'!$Y34,(YEAR(G$6)*12+MONTH(G$6))&lt;=MIN('Aset Tetap'!$Z34,IF('Aset Tetap'!$S34="Unit Produksi",99999,'Aset Tetap'!$Y34+'Aset Tetap'!$T34*12-1))),'Aset Tetap'!$AQ34/'Aset Tetap'!$AG34,0)))</f>
        <v/>
      </c>
      <c r="H34" s="22" t="str">
        <f>IF($B34="","",IF(N('Aset Tetap'!$AG34)=0,0,IF(AND((YEAR(H$6)*12+MONTH(H$6))&gt;='Aset Tetap'!$Y34,(YEAR(H$6)*12+MONTH(H$6))&lt;=MIN('Aset Tetap'!$Z34,IF('Aset Tetap'!$S34="Unit Produksi",99999,'Aset Tetap'!$Y34+'Aset Tetap'!$T34*12-1))),'Aset Tetap'!$AQ34/'Aset Tetap'!$AG34,0)))</f>
        <v/>
      </c>
      <c r="I34" s="22" t="str">
        <f>IF($B34="","",IF(N('Aset Tetap'!$AG34)=0,0,IF(AND((YEAR(I$6)*12+MONTH(I$6))&gt;='Aset Tetap'!$Y34,(YEAR(I$6)*12+MONTH(I$6))&lt;=MIN('Aset Tetap'!$Z34,IF('Aset Tetap'!$S34="Unit Produksi",99999,'Aset Tetap'!$Y34+'Aset Tetap'!$T34*12-1))),'Aset Tetap'!$AQ34/'Aset Tetap'!$AG34,0)))</f>
        <v/>
      </c>
      <c r="J34" s="22" t="str">
        <f>IF($B34="","",IF(N('Aset Tetap'!$AG34)=0,0,IF(AND((YEAR(J$6)*12+MONTH(J$6))&gt;='Aset Tetap'!$Y34,(YEAR(J$6)*12+MONTH(J$6))&lt;=MIN('Aset Tetap'!$Z34,IF('Aset Tetap'!$S34="Unit Produksi",99999,'Aset Tetap'!$Y34+'Aset Tetap'!$T34*12-1))),'Aset Tetap'!$AQ34/'Aset Tetap'!$AG34,0)))</f>
        <v/>
      </c>
      <c r="K34" s="22" t="str">
        <f>IF($B34="","",IF(N('Aset Tetap'!$AG34)=0,0,IF(AND((YEAR(K$6)*12+MONTH(K$6))&gt;='Aset Tetap'!$Y34,(YEAR(K$6)*12+MONTH(K$6))&lt;=MIN('Aset Tetap'!$Z34,IF('Aset Tetap'!$S34="Unit Produksi",99999,'Aset Tetap'!$Y34+'Aset Tetap'!$T34*12-1))),'Aset Tetap'!$AQ34/'Aset Tetap'!$AG34,0)))</f>
        <v/>
      </c>
      <c r="L34" s="22" t="str">
        <f>IF($B34="","",IF(N('Aset Tetap'!$AG34)=0,0,IF(AND((YEAR(L$6)*12+MONTH(L$6))&gt;='Aset Tetap'!$Y34,(YEAR(L$6)*12+MONTH(L$6))&lt;=MIN('Aset Tetap'!$Z34,IF('Aset Tetap'!$S34="Unit Produksi",99999,'Aset Tetap'!$Y34+'Aset Tetap'!$T34*12-1))),'Aset Tetap'!$AQ34/'Aset Tetap'!$AG34,0)))</f>
        <v/>
      </c>
      <c r="M34" s="22" t="str">
        <f>IF($B34="","",IF(N('Aset Tetap'!$AG34)=0,0,IF(AND((YEAR(M$6)*12+MONTH(M$6))&gt;='Aset Tetap'!$Y34,(YEAR(M$6)*12+MONTH(M$6))&lt;=MIN('Aset Tetap'!$Z34,IF('Aset Tetap'!$S34="Unit Produksi",99999,'Aset Tetap'!$Y34+'Aset Tetap'!$T34*12-1))),'Aset Tetap'!$AQ34/'Aset Tetap'!$AG34,0)))</f>
        <v/>
      </c>
      <c r="N34" s="22" t="str">
        <f>IF($B34="","",IF(N('Aset Tetap'!$AG34)=0,0,IF(AND((YEAR(N$6)*12+MONTH(N$6))&gt;='Aset Tetap'!$Y34,(YEAR(N$6)*12+MONTH(N$6))&lt;=MIN('Aset Tetap'!$Z34,IF('Aset Tetap'!$S34="Unit Produksi",99999,'Aset Tetap'!$Y34+'Aset Tetap'!$T34*12-1))),'Aset Tetap'!$AQ34/'Aset Tetap'!$AG34,0)))</f>
        <v/>
      </c>
      <c r="O34" s="22" t="str">
        <f>IF($B34="","",IF(N('Aset Tetap'!$AG34)=0,0,IF(AND((YEAR(O$6)*12+MONTH(O$6))&gt;='Aset Tetap'!$Y34,(YEAR(O$6)*12+MONTH(O$6))&lt;=MIN('Aset Tetap'!$Z34,IF('Aset Tetap'!$S34="Unit Produksi",99999,'Aset Tetap'!$Y34+'Aset Tetap'!$T34*12-1))),'Aset Tetap'!$AQ34/'Aset Tetap'!$AG34,0)))</f>
        <v/>
      </c>
      <c r="P34" s="22" t="str">
        <f>IF($B34="","",IF(N('Aset Tetap'!$AG34)=0,0,IF(AND((YEAR(P$6)*12+MONTH(P$6))&gt;='Aset Tetap'!$Y34,(YEAR(P$6)*12+MONTH(P$6))&lt;=MIN('Aset Tetap'!$Z34,IF('Aset Tetap'!$S34="Unit Produksi",99999,'Aset Tetap'!$Y34+'Aset Tetap'!$T34*12-1))),'Aset Tetap'!$AQ34/'Aset Tetap'!$AG34,0)))</f>
        <v/>
      </c>
      <c r="Q34" s="22" t="str">
        <f>IF($B34="","",SUM(E34:P34))</f>
        <v/>
      </c>
      <c r="R34" s="22" t="str">
        <f>IF($B34="","",'Aset Tetap'!AQ34)</f>
        <v/>
      </c>
      <c r="S34" s="22" t="str">
        <f>IF($B34="","",ROUND(Q34-R34,0))</f>
        <v/>
      </c>
    </row>
    <row r="35" spans="1:19" x14ac:dyDescent="0.25">
      <c r="A35" t="str">
        <f>IF('Aset Tetap'!$B35="","",'Aset Tetap'!A35)</f>
        <v/>
      </c>
      <c r="B35" t="str">
        <f>IF('Aset Tetap'!$B35="","",'Aset Tetap'!B35)</f>
        <v/>
      </c>
      <c r="C35" t="str">
        <f>IF('Aset Tetap'!$B35="","",'Aset Tetap'!C35)</f>
        <v/>
      </c>
      <c r="D35" t="str">
        <f>IF('Aset Tetap'!$B35="","",'Aset Tetap'!D35)</f>
        <v/>
      </c>
      <c r="E35" s="22" t="str">
        <f>IF($B35="","",IF(N('Aset Tetap'!$AG35)=0,0,IF(AND((YEAR(E$6)*12+MONTH(E$6))&gt;='Aset Tetap'!$Y35,(YEAR(E$6)*12+MONTH(E$6))&lt;=MIN('Aset Tetap'!$Z35,IF('Aset Tetap'!$S35="Unit Produksi",99999,'Aset Tetap'!$Y35+'Aset Tetap'!$T35*12-1))),'Aset Tetap'!$AQ35/'Aset Tetap'!$AG35,0)))</f>
        <v/>
      </c>
      <c r="F35" s="22" t="str">
        <f>IF($B35="","",IF(N('Aset Tetap'!$AG35)=0,0,IF(AND((YEAR(F$6)*12+MONTH(F$6))&gt;='Aset Tetap'!$Y35,(YEAR(F$6)*12+MONTH(F$6))&lt;=MIN('Aset Tetap'!$Z35,IF('Aset Tetap'!$S35="Unit Produksi",99999,'Aset Tetap'!$Y35+'Aset Tetap'!$T35*12-1))),'Aset Tetap'!$AQ35/'Aset Tetap'!$AG35,0)))</f>
        <v/>
      </c>
      <c r="G35" s="22" t="str">
        <f>IF($B35="","",IF(N('Aset Tetap'!$AG35)=0,0,IF(AND((YEAR(G$6)*12+MONTH(G$6))&gt;='Aset Tetap'!$Y35,(YEAR(G$6)*12+MONTH(G$6))&lt;=MIN('Aset Tetap'!$Z35,IF('Aset Tetap'!$S35="Unit Produksi",99999,'Aset Tetap'!$Y35+'Aset Tetap'!$T35*12-1))),'Aset Tetap'!$AQ35/'Aset Tetap'!$AG35,0)))</f>
        <v/>
      </c>
      <c r="H35" s="22" t="str">
        <f>IF($B35="","",IF(N('Aset Tetap'!$AG35)=0,0,IF(AND((YEAR(H$6)*12+MONTH(H$6))&gt;='Aset Tetap'!$Y35,(YEAR(H$6)*12+MONTH(H$6))&lt;=MIN('Aset Tetap'!$Z35,IF('Aset Tetap'!$S35="Unit Produksi",99999,'Aset Tetap'!$Y35+'Aset Tetap'!$T35*12-1))),'Aset Tetap'!$AQ35/'Aset Tetap'!$AG35,0)))</f>
        <v/>
      </c>
      <c r="I35" s="22" t="str">
        <f>IF($B35="","",IF(N('Aset Tetap'!$AG35)=0,0,IF(AND((YEAR(I$6)*12+MONTH(I$6))&gt;='Aset Tetap'!$Y35,(YEAR(I$6)*12+MONTH(I$6))&lt;=MIN('Aset Tetap'!$Z35,IF('Aset Tetap'!$S35="Unit Produksi",99999,'Aset Tetap'!$Y35+'Aset Tetap'!$T35*12-1))),'Aset Tetap'!$AQ35/'Aset Tetap'!$AG35,0)))</f>
        <v/>
      </c>
      <c r="J35" s="22" t="str">
        <f>IF($B35="","",IF(N('Aset Tetap'!$AG35)=0,0,IF(AND((YEAR(J$6)*12+MONTH(J$6))&gt;='Aset Tetap'!$Y35,(YEAR(J$6)*12+MONTH(J$6))&lt;=MIN('Aset Tetap'!$Z35,IF('Aset Tetap'!$S35="Unit Produksi",99999,'Aset Tetap'!$Y35+'Aset Tetap'!$T35*12-1))),'Aset Tetap'!$AQ35/'Aset Tetap'!$AG35,0)))</f>
        <v/>
      </c>
      <c r="K35" s="22" t="str">
        <f>IF($B35="","",IF(N('Aset Tetap'!$AG35)=0,0,IF(AND((YEAR(K$6)*12+MONTH(K$6))&gt;='Aset Tetap'!$Y35,(YEAR(K$6)*12+MONTH(K$6))&lt;=MIN('Aset Tetap'!$Z35,IF('Aset Tetap'!$S35="Unit Produksi",99999,'Aset Tetap'!$Y35+'Aset Tetap'!$T35*12-1))),'Aset Tetap'!$AQ35/'Aset Tetap'!$AG35,0)))</f>
        <v/>
      </c>
      <c r="L35" s="22" t="str">
        <f>IF($B35="","",IF(N('Aset Tetap'!$AG35)=0,0,IF(AND((YEAR(L$6)*12+MONTH(L$6))&gt;='Aset Tetap'!$Y35,(YEAR(L$6)*12+MONTH(L$6))&lt;=MIN('Aset Tetap'!$Z35,IF('Aset Tetap'!$S35="Unit Produksi",99999,'Aset Tetap'!$Y35+'Aset Tetap'!$T35*12-1))),'Aset Tetap'!$AQ35/'Aset Tetap'!$AG35,0)))</f>
        <v/>
      </c>
      <c r="M35" s="22" t="str">
        <f>IF($B35="","",IF(N('Aset Tetap'!$AG35)=0,0,IF(AND((YEAR(M$6)*12+MONTH(M$6))&gt;='Aset Tetap'!$Y35,(YEAR(M$6)*12+MONTH(M$6))&lt;=MIN('Aset Tetap'!$Z35,IF('Aset Tetap'!$S35="Unit Produksi",99999,'Aset Tetap'!$Y35+'Aset Tetap'!$T35*12-1))),'Aset Tetap'!$AQ35/'Aset Tetap'!$AG35,0)))</f>
        <v/>
      </c>
      <c r="N35" s="22" t="str">
        <f>IF($B35="","",IF(N('Aset Tetap'!$AG35)=0,0,IF(AND((YEAR(N$6)*12+MONTH(N$6))&gt;='Aset Tetap'!$Y35,(YEAR(N$6)*12+MONTH(N$6))&lt;=MIN('Aset Tetap'!$Z35,IF('Aset Tetap'!$S35="Unit Produksi",99999,'Aset Tetap'!$Y35+'Aset Tetap'!$T35*12-1))),'Aset Tetap'!$AQ35/'Aset Tetap'!$AG35,0)))</f>
        <v/>
      </c>
      <c r="O35" s="22" t="str">
        <f>IF($B35="","",IF(N('Aset Tetap'!$AG35)=0,0,IF(AND((YEAR(O$6)*12+MONTH(O$6))&gt;='Aset Tetap'!$Y35,(YEAR(O$6)*12+MONTH(O$6))&lt;=MIN('Aset Tetap'!$Z35,IF('Aset Tetap'!$S35="Unit Produksi",99999,'Aset Tetap'!$Y35+'Aset Tetap'!$T35*12-1))),'Aset Tetap'!$AQ35/'Aset Tetap'!$AG35,0)))</f>
        <v/>
      </c>
      <c r="P35" s="22" t="str">
        <f>IF($B35="","",IF(N('Aset Tetap'!$AG35)=0,0,IF(AND((YEAR(P$6)*12+MONTH(P$6))&gt;='Aset Tetap'!$Y35,(YEAR(P$6)*12+MONTH(P$6))&lt;=MIN('Aset Tetap'!$Z35,IF('Aset Tetap'!$S35="Unit Produksi",99999,'Aset Tetap'!$Y35+'Aset Tetap'!$T35*12-1))),'Aset Tetap'!$AQ35/'Aset Tetap'!$AG35,0)))</f>
        <v/>
      </c>
      <c r="Q35" s="22" t="str">
        <f>IF($B35="","",SUM(E35:P35))</f>
        <v/>
      </c>
      <c r="R35" s="22" t="str">
        <f>IF($B35="","",'Aset Tetap'!AQ35)</f>
        <v/>
      </c>
      <c r="S35" s="22" t="str">
        <f>IF($B35="","",ROUND(Q35-R35,0))</f>
        <v/>
      </c>
    </row>
    <row r="36" spans="1:19" x14ac:dyDescent="0.25">
      <c r="A36" t="str">
        <f>IF('Aset Tetap'!$B36="","",'Aset Tetap'!A36)</f>
        <v/>
      </c>
      <c r="B36" t="str">
        <f>IF('Aset Tetap'!$B36="","",'Aset Tetap'!B36)</f>
        <v/>
      </c>
      <c r="C36" t="str">
        <f>IF('Aset Tetap'!$B36="","",'Aset Tetap'!C36)</f>
        <v/>
      </c>
      <c r="D36" t="str">
        <f>IF('Aset Tetap'!$B36="","",'Aset Tetap'!D36)</f>
        <v/>
      </c>
      <c r="E36" s="22" t="str">
        <f>IF($B36="","",IF(N('Aset Tetap'!$AG36)=0,0,IF(AND((YEAR(E$6)*12+MONTH(E$6))&gt;='Aset Tetap'!$Y36,(YEAR(E$6)*12+MONTH(E$6))&lt;=MIN('Aset Tetap'!$Z36,IF('Aset Tetap'!$S36="Unit Produksi",99999,'Aset Tetap'!$Y36+'Aset Tetap'!$T36*12-1))),'Aset Tetap'!$AQ36/'Aset Tetap'!$AG36,0)))</f>
        <v/>
      </c>
      <c r="F36" s="22" t="str">
        <f>IF($B36="","",IF(N('Aset Tetap'!$AG36)=0,0,IF(AND((YEAR(F$6)*12+MONTH(F$6))&gt;='Aset Tetap'!$Y36,(YEAR(F$6)*12+MONTH(F$6))&lt;=MIN('Aset Tetap'!$Z36,IF('Aset Tetap'!$S36="Unit Produksi",99999,'Aset Tetap'!$Y36+'Aset Tetap'!$T36*12-1))),'Aset Tetap'!$AQ36/'Aset Tetap'!$AG36,0)))</f>
        <v/>
      </c>
      <c r="G36" s="22" t="str">
        <f>IF($B36="","",IF(N('Aset Tetap'!$AG36)=0,0,IF(AND((YEAR(G$6)*12+MONTH(G$6))&gt;='Aset Tetap'!$Y36,(YEAR(G$6)*12+MONTH(G$6))&lt;=MIN('Aset Tetap'!$Z36,IF('Aset Tetap'!$S36="Unit Produksi",99999,'Aset Tetap'!$Y36+'Aset Tetap'!$T36*12-1))),'Aset Tetap'!$AQ36/'Aset Tetap'!$AG36,0)))</f>
        <v/>
      </c>
      <c r="H36" s="22" t="str">
        <f>IF($B36="","",IF(N('Aset Tetap'!$AG36)=0,0,IF(AND((YEAR(H$6)*12+MONTH(H$6))&gt;='Aset Tetap'!$Y36,(YEAR(H$6)*12+MONTH(H$6))&lt;=MIN('Aset Tetap'!$Z36,IF('Aset Tetap'!$S36="Unit Produksi",99999,'Aset Tetap'!$Y36+'Aset Tetap'!$T36*12-1))),'Aset Tetap'!$AQ36/'Aset Tetap'!$AG36,0)))</f>
        <v/>
      </c>
      <c r="I36" s="22" t="str">
        <f>IF($B36="","",IF(N('Aset Tetap'!$AG36)=0,0,IF(AND((YEAR(I$6)*12+MONTH(I$6))&gt;='Aset Tetap'!$Y36,(YEAR(I$6)*12+MONTH(I$6))&lt;=MIN('Aset Tetap'!$Z36,IF('Aset Tetap'!$S36="Unit Produksi",99999,'Aset Tetap'!$Y36+'Aset Tetap'!$T36*12-1))),'Aset Tetap'!$AQ36/'Aset Tetap'!$AG36,0)))</f>
        <v/>
      </c>
      <c r="J36" s="22" t="str">
        <f>IF($B36="","",IF(N('Aset Tetap'!$AG36)=0,0,IF(AND((YEAR(J$6)*12+MONTH(J$6))&gt;='Aset Tetap'!$Y36,(YEAR(J$6)*12+MONTH(J$6))&lt;=MIN('Aset Tetap'!$Z36,IF('Aset Tetap'!$S36="Unit Produksi",99999,'Aset Tetap'!$Y36+'Aset Tetap'!$T36*12-1))),'Aset Tetap'!$AQ36/'Aset Tetap'!$AG36,0)))</f>
        <v/>
      </c>
      <c r="K36" s="22" t="str">
        <f>IF($B36="","",IF(N('Aset Tetap'!$AG36)=0,0,IF(AND((YEAR(K$6)*12+MONTH(K$6))&gt;='Aset Tetap'!$Y36,(YEAR(K$6)*12+MONTH(K$6))&lt;=MIN('Aset Tetap'!$Z36,IF('Aset Tetap'!$S36="Unit Produksi",99999,'Aset Tetap'!$Y36+'Aset Tetap'!$T36*12-1))),'Aset Tetap'!$AQ36/'Aset Tetap'!$AG36,0)))</f>
        <v/>
      </c>
      <c r="L36" s="22" t="str">
        <f>IF($B36="","",IF(N('Aset Tetap'!$AG36)=0,0,IF(AND((YEAR(L$6)*12+MONTH(L$6))&gt;='Aset Tetap'!$Y36,(YEAR(L$6)*12+MONTH(L$6))&lt;=MIN('Aset Tetap'!$Z36,IF('Aset Tetap'!$S36="Unit Produksi",99999,'Aset Tetap'!$Y36+'Aset Tetap'!$T36*12-1))),'Aset Tetap'!$AQ36/'Aset Tetap'!$AG36,0)))</f>
        <v/>
      </c>
      <c r="M36" s="22" t="str">
        <f>IF($B36="","",IF(N('Aset Tetap'!$AG36)=0,0,IF(AND((YEAR(M$6)*12+MONTH(M$6))&gt;='Aset Tetap'!$Y36,(YEAR(M$6)*12+MONTH(M$6))&lt;=MIN('Aset Tetap'!$Z36,IF('Aset Tetap'!$S36="Unit Produksi",99999,'Aset Tetap'!$Y36+'Aset Tetap'!$T36*12-1))),'Aset Tetap'!$AQ36/'Aset Tetap'!$AG36,0)))</f>
        <v/>
      </c>
      <c r="N36" s="22" t="str">
        <f>IF($B36="","",IF(N('Aset Tetap'!$AG36)=0,0,IF(AND((YEAR(N$6)*12+MONTH(N$6))&gt;='Aset Tetap'!$Y36,(YEAR(N$6)*12+MONTH(N$6))&lt;=MIN('Aset Tetap'!$Z36,IF('Aset Tetap'!$S36="Unit Produksi",99999,'Aset Tetap'!$Y36+'Aset Tetap'!$T36*12-1))),'Aset Tetap'!$AQ36/'Aset Tetap'!$AG36,0)))</f>
        <v/>
      </c>
      <c r="O36" s="22" t="str">
        <f>IF($B36="","",IF(N('Aset Tetap'!$AG36)=0,0,IF(AND((YEAR(O$6)*12+MONTH(O$6))&gt;='Aset Tetap'!$Y36,(YEAR(O$6)*12+MONTH(O$6))&lt;=MIN('Aset Tetap'!$Z36,IF('Aset Tetap'!$S36="Unit Produksi",99999,'Aset Tetap'!$Y36+'Aset Tetap'!$T36*12-1))),'Aset Tetap'!$AQ36/'Aset Tetap'!$AG36,0)))</f>
        <v/>
      </c>
      <c r="P36" s="22" t="str">
        <f>IF($B36="","",IF(N('Aset Tetap'!$AG36)=0,0,IF(AND((YEAR(P$6)*12+MONTH(P$6))&gt;='Aset Tetap'!$Y36,(YEAR(P$6)*12+MONTH(P$6))&lt;=MIN('Aset Tetap'!$Z36,IF('Aset Tetap'!$S36="Unit Produksi",99999,'Aset Tetap'!$Y36+'Aset Tetap'!$T36*12-1))),'Aset Tetap'!$AQ36/'Aset Tetap'!$AG36,0)))</f>
        <v/>
      </c>
      <c r="Q36" s="22" t="str">
        <f>IF($B36="","",SUM(E36:P36))</f>
        <v/>
      </c>
      <c r="R36" s="22" t="str">
        <f>IF($B36="","",'Aset Tetap'!AQ36)</f>
        <v/>
      </c>
      <c r="S36" s="22" t="str">
        <f>IF($B36="","",ROUND(Q36-R36,0))</f>
        <v/>
      </c>
    </row>
    <row r="37" spans="1:19" x14ac:dyDescent="0.25">
      <c r="A37" t="str">
        <f>IF('Aset Tetap'!$B37="","",'Aset Tetap'!A37)</f>
        <v/>
      </c>
      <c r="B37" t="str">
        <f>IF('Aset Tetap'!$B37="","",'Aset Tetap'!B37)</f>
        <v/>
      </c>
      <c r="C37" t="str">
        <f>IF('Aset Tetap'!$B37="","",'Aset Tetap'!C37)</f>
        <v/>
      </c>
      <c r="D37" t="str">
        <f>IF('Aset Tetap'!$B37="","",'Aset Tetap'!D37)</f>
        <v/>
      </c>
      <c r="E37" s="22" t="str">
        <f>IF($B37="","",IF(N('Aset Tetap'!$AG37)=0,0,IF(AND((YEAR(E$6)*12+MONTH(E$6))&gt;='Aset Tetap'!$Y37,(YEAR(E$6)*12+MONTH(E$6))&lt;=MIN('Aset Tetap'!$Z37,IF('Aset Tetap'!$S37="Unit Produksi",99999,'Aset Tetap'!$Y37+'Aset Tetap'!$T37*12-1))),'Aset Tetap'!$AQ37/'Aset Tetap'!$AG37,0)))</f>
        <v/>
      </c>
      <c r="F37" s="22" t="str">
        <f>IF($B37="","",IF(N('Aset Tetap'!$AG37)=0,0,IF(AND((YEAR(F$6)*12+MONTH(F$6))&gt;='Aset Tetap'!$Y37,(YEAR(F$6)*12+MONTH(F$6))&lt;=MIN('Aset Tetap'!$Z37,IF('Aset Tetap'!$S37="Unit Produksi",99999,'Aset Tetap'!$Y37+'Aset Tetap'!$T37*12-1))),'Aset Tetap'!$AQ37/'Aset Tetap'!$AG37,0)))</f>
        <v/>
      </c>
      <c r="G37" s="22" t="str">
        <f>IF($B37="","",IF(N('Aset Tetap'!$AG37)=0,0,IF(AND((YEAR(G$6)*12+MONTH(G$6))&gt;='Aset Tetap'!$Y37,(YEAR(G$6)*12+MONTH(G$6))&lt;=MIN('Aset Tetap'!$Z37,IF('Aset Tetap'!$S37="Unit Produksi",99999,'Aset Tetap'!$Y37+'Aset Tetap'!$T37*12-1))),'Aset Tetap'!$AQ37/'Aset Tetap'!$AG37,0)))</f>
        <v/>
      </c>
      <c r="H37" s="22" t="str">
        <f>IF($B37="","",IF(N('Aset Tetap'!$AG37)=0,0,IF(AND((YEAR(H$6)*12+MONTH(H$6))&gt;='Aset Tetap'!$Y37,(YEAR(H$6)*12+MONTH(H$6))&lt;=MIN('Aset Tetap'!$Z37,IF('Aset Tetap'!$S37="Unit Produksi",99999,'Aset Tetap'!$Y37+'Aset Tetap'!$T37*12-1))),'Aset Tetap'!$AQ37/'Aset Tetap'!$AG37,0)))</f>
        <v/>
      </c>
      <c r="I37" s="22" t="str">
        <f>IF($B37="","",IF(N('Aset Tetap'!$AG37)=0,0,IF(AND((YEAR(I$6)*12+MONTH(I$6))&gt;='Aset Tetap'!$Y37,(YEAR(I$6)*12+MONTH(I$6))&lt;=MIN('Aset Tetap'!$Z37,IF('Aset Tetap'!$S37="Unit Produksi",99999,'Aset Tetap'!$Y37+'Aset Tetap'!$T37*12-1))),'Aset Tetap'!$AQ37/'Aset Tetap'!$AG37,0)))</f>
        <v/>
      </c>
      <c r="J37" s="22" t="str">
        <f>IF($B37="","",IF(N('Aset Tetap'!$AG37)=0,0,IF(AND((YEAR(J$6)*12+MONTH(J$6))&gt;='Aset Tetap'!$Y37,(YEAR(J$6)*12+MONTH(J$6))&lt;=MIN('Aset Tetap'!$Z37,IF('Aset Tetap'!$S37="Unit Produksi",99999,'Aset Tetap'!$Y37+'Aset Tetap'!$T37*12-1))),'Aset Tetap'!$AQ37/'Aset Tetap'!$AG37,0)))</f>
        <v/>
      </c>
      <c r="K37" s="22" t="str">
        <f>IF($B37="","",IF(N('Aset Tetap'!$AG37)=0,0,IF(AND((YEAR(K$6)*12+MONTH(K$6))&gt;='Aset Tetap'!$Y37,(YEAR(K$6)*12+MONTH(K$6))&lt;=MIN('Aset Tetap'!$Z37,IF('Aset Tetap'!$S37="Unit Produksi",99999,'Aset Tetap'!$Y37+'Aset Tetap'!$T37*12-1))),'Aset Tetap'!$AQ37/'Aset Tetap'!$AG37,0)))</f>
        <v/>
      </c>
      <c r="L37" s="22" t="str">
        <f>IF($B37="","",IF(N('Aset Tetap'!$AG37)=0,0,IF(AND((YEAR(L$6)*12+MONTH(L$6))&gt;='Aset Tetap'!$Y37,(YEAR(L$6)*12+MONTH(L$6))&lt;=MIN('Aset Tetap'!$Z37,IF('Aset Tetap'!$S37="Unit Produksi",99999,'Aset Tetap'!$Y37+'Aset Tetap'!$T37*12-1))),'Aset Tetap'!$AQ37/'Aset Tetap'!$AG37,0)))</f>
        <v/>
      </c>
      <c r="M37" s="22" t="str">
        <f>IF($B37="","",IF(N('Aset Tetap'!$AG37)=0,0,IF(AND((YEAR(M$6)*12+MONTH(M$6))&gt;='Aset Tetap'!$Y37,(YEAR(M$6)*12+MONTH(M$6))&lt;=MIN('Aset Tetap'!$Z37,IF('Aset Tetap'!$S37="Unit Produksi",99999,'Aset Tetap'!$Y37+'Aset Tetap'!$T37*12-1))),'Aset Tetap'!$AQ37/'Aset Tetap'!$AG37,0)))</f>
        <v/>
      </c>
      <c r="N37" s="22" t="str">
        <f>IF($B37="","",IF(N('Aset Tetap'!$AG37)=0,0,IF(AND((YEAR(N$6)*12+MONTH(N$6))&gt;='Aset Tetap'!$Y37,(YEAR(N$6)*12+MONTH(N$6))&lt;=MIN('Aset Tetap'!$Z37,IF('Aset Tetap'!$S37="Unit Produksi",99999,'Aset Tetap'!$Y37+'Aset Tetap'!$T37*12-1))),'Aset Tetap'!$AQ37/'Aset Tetap'!$AG37,0)))</f>
        <v/>
      </c>
      <c r="O37" s="22" t="str">
        <f>IF($B37="","",IF(N('Aset Tetap'!$AG37)=0,0,IF(AND((YEAR(O$6)*12+MONTH(O$6))&gt;='Aset Tetap'!$Y37,(YEAR(O$6)*12+MONTH(O$6))&lt;=MIN('Aset Tetap'!$Z37,IF('Aset Tetap'!$S37="Unit Produksi",99999,'Aset Tetap'!$Y37+'Aset Tetap'!$T37*12-1))),'Aset Tetap'!$AQ37/'Aset Tetap'!$AG37,0)))</f>
        <v/>
      </c>
      <c r="P37" s="22" t="str">
        <f>IF($B37="","",IF(N('Aset Tetap'!$AG37)=0,0,IF(AND((YEAR(P$6)*12+MONTH(P$6))&gt;='Aset Tetap'!$Y37,(YEAR(P$6)*12+MONTH(P$6))&lt;=MIN('Aset Tetap'!$Z37,IF('Aset Tetap'!$S37="Unit Produksi",99999,'Aset Tetap'!$Y37+'Aset Tetap'!$T37*12-1))),'Aset Tetap'!$AQ37/'Aset Tetap'!$AG37,0)))</f>
        <v/>
      </c>
      <c r="Q37" s="22" t="str">
        <f>IF($B37="","",SUM(E37:P37))</f>
        <v/>
      </c>
      <c r="R37" s="22" t="str">
        <f>IF($B37="","",'Aset Tetap'!AQ37)</f>
        <v/>
      </c>
      <c r="S37" s="22" t="str">
        <f>IF($B37="","",ROUND(Q37-R37,0))</f>
        <v/>
      </c>
    </row>
    <row r="38" spans="1:19" x14ac:dyDescent="0.25">
      <c r="A38" t="str">
        <f>IF('Aset Tetap'!$B38="","",'Aset Tetap'!A38)</f>
        <v/>
      </c>
      <c r="B38" t="str">
        <f>IF('Aset Tetap'!$B38="","",'Aset Tetap'!B38)</f>
        <v/>
      </c>
      <c r="C38" t="str">
        <f>IF('Aset Tetap'!$B38="","",'Aset Tetap'!C38)</f>
        <v/>
      </c>
      <c r="D38" t="str">
        <f>IF('Aset Tetap'!$B38="","",'Aset Tetap'!D38)</f>
        <v/>
      </c>
      <c r="E38" s="22" t="str">
        <f>IF($B38="","",IF(N('Aset Tetap'!$AG38)=0,0,IF(AND((YEAR(E$6)*12+MONTH(E$6))&gt;='Aset Tetap'!$Y38,(YEAR(E$6)*12+MONTH(E$6))&lt;=MIN('Aset Tetap'!$Z38,IF('Aset Tetap'!$S38="Unit Produksi",99999,'Aset Tetap'!$Y38+'Aset Tetap'!$T38*12-1))),'Aset Tetap'!$AQ38/'Aset Tetap'!$AG38,0)))</f>
        <v/>
      </c>
      <c r="F38" s="22" t="str">
        <f>IF($B38="","",IF(N('Aset Tetap'!$AG38)=0,0,IF(AND((YEAR(F$6)*12+MONTH(F$6))&gt;='Aset Tetap'!$Y38,(YEAR(F$6)*12+MONTH(F$6))&lt;=MIN('Aset Tetap'!$Z38,IF('Aset Tetap'!$S38="Unit Produksi",99999,'Aset Tetap'!$Y38+'Aset Tetap'!$T38*12-1))),'Aset Tetap'!$AQ38/'Aset Tetap'!$AG38,0)))</f>
        <v/>
      </c>
      <c r="G38" s="22" t="str">
        <f>IF($B38="","",IF(N('Aset Tetap'!$AG38)=0,0,IF(AND((YEAR(G$6)*12+MONTH(G$6))&gt;='Aset Tetap'!$Y38,(YEAR(G$6)*12+MONTH(G$6))&lt;=MIN('Aset Tetap'!$Z38,IF('Aset Tetap'!$S38="Unit Produksi",99999,'Aset Tetap'!$Y38+'Aset Tetap'!$T38*12-1))),'Aset Tetap'!$AQ38/'Aset Tetap'!$AG38,0)))</f>
        <v/>
      </c>
      <c r="H38" s="22" t="str">
        <f>IF($B38="","",IF(N('Aset Tetap'!$AG38)=0,0,IF(AND((YEAR(H$6)*12+MONTH(H$6))&gt;='Aset Tetap'!$Y38,(YEAR(H$6)*12+MONTH(H$6))&lt;=MIN('Aset Tetap'!$Z38,IF('Aset Tetap'!$S38="Unit Produksi",99999,'Aset Tetap'!$Y38+'Aset Tetap'!$T38*12-1))),'Aset Tetap'!$AQ38/'Aset Tetap'!$AG38,0)))</f>
        <v/>
      </c>
      <c r="I38" s="22" t="str">
        <f>IF($B38="","",IF(N('Aset Tetap'!$AG38)=0,0,IF(AND((YEAR(I$6)*12+MONTH(I$6))&gt;='Aset Tetap'!$Y38,(YEAR(I$6)*12+MONTH(I$6))&lt;=MIN('Aset Tetap'!$Z38,IF('Aset Tetap'!$S38="Unit Produksi",99999,'Aset Tetap'!$Y38+'Aset Tetap'!$T38*12-1))),'Aset Tetap'!$AQ38/'Aset Tetap'!$AG38,0)))</f>
        <v/>
      </c>
      <c r="J38" s="22" t="str">
        <f>IF($B38="","",IF(N('Aset Tetap'!$AG38)=0,0,IF(AND((YEAR(J$6)*12+MONTH(J$6))&gt;='Aset Tetap'!$Y38,(YEAR(J$6)*12+MONTH(J$6))&lt;=MIN('Aset Tetap'!$Z38,IF('Aset Tetap'!$S38="Unit Produksi",99999,'Aset Tetap'!$Y38+'Aset Tetap'!$T38*12-1))),'Aset Tetap'!$AQ38/'Aset Tetap'!$AG38,0)))</f>
        <v/>
      </c>
      <c r="K38" s="22" t="str">
        <f>IF($B38="","",IF(N('Aset Tetap'!$AG38)=0,0,IF(AND((YEAR(K$6)*12+MONTH(K$6))&gt;='Aset Tetap'!$Y38,(YEAR(K$6)*12+MONTH(K$6))&lt;=MIN('Aset Tetap'!$Z38,IF('Aset Tetap'!$S38="Unit Produksi",99999,'Aset Tetap'!$Y38+'Aset Tetap'!$T38*12-1))),'Aset Tetap'!$AQ38/'Aset Tetap'!$AG38,0)))</f>
        <v/>
      </c>
      <c r="L38" s="22" t="str">
        <f>IF($B38="","",IF(N('Aset Tetap'!$AG38)=0,0,IF(AND((YEAR(L$6)*12+MONTH(L$6))&gt;='Aset Tetap'!$Y38,(YEAR(L$6)*12+MONTH(L$6))&lt;=MIN('Aset Tetap'!$Z38,IF('Aset Tetap'!$S38="Unit Produksi",99999,'Aset Tetap'!$Y38+'Aset Tetap'!$T38*12-1))),'Aset Tetap'!$AQ38/'Aset Tetap'!$AG38,0)))</f>
        <v/>
      </c>
      <c r="M38" s="22" t="str">
        <f>IF($B38="","",IF(N('Aset Tetap'!$AG38)=0,0,IF(AND((YEAR(M$6)*12+MONTH(M$6))&gt;='Aset Tetap'!$Y38,(YEAR(M$6)*12+MONTH(M$6))&lt;=MIN('Aset Tetap'!$Z38,IF('Aset Tetap'!$S38="Unit Produksi",99999,'Aset Tetap'!$Y38+'Aset Tetap'!$T38*12-1))),'Aset Tetap'!$AQ38/'Aset Tetap'!$AG38,0)))</f>
        <v/>
      </c>
      <c r="N38" s="22" t="str">
        <f>IF($B38="","",IF(N('Aset Tetap'!$AG38)=0,0,IF(AND((YEAR(N$6)*12+MONTH(N$6))&gt;='Aset Tetap'!$Y38,(YEAR(N$6)*12+MONTH(N$6))&lt;=MIN('Aset Tetap'!$Z38,IF('Aset Tetap'!$S38="Unit Produksi",99999,'Aset Tetap'!$Y38+'Aset Tetap'!$T38*12-1))),'Aset Tetap'!$AQ38/'Aset Tetap'!$AG38,0)))</f>
        <v/>
      </c>
      <c r="O38" s="22" t="str">
        <f>IF($B38="","",IF(N('Aset Tetap'!$AG38)=0,0,IF(AND((YEAR(O$6)*12+MONTH(O$6))&gt;='Aset Tetap'!$Y38,(YEAR(O$6)*12+MONTH(O$6))&lt;=MIN('Aset Tetap'!$Z38,IF('Aset Tetap'!$S38="Unit Produksi",99999,'Aset Tetap'!$Y38+'Aset Tetap'!$T38*12-1))),'Aset Tetap'!$AQ38/'Aset Tetap'!$AG38,0)))</f>
        <v/>
      </c>
      <c r="P38" s="22" t="str">
        <f>IF($B38="","",IF(N('Aset Tetap'!$AG38)=0,0,IF(AND((YEAR(P$6)*12+MONTH(P$6))&gt;='Aset Tetap'!$Y38,(YEAR(P$6)*12+MONTH(P$6))&lt;=MIN('Aset Tetap'!$Z38,IF('Aset Tetap'!$S38="Unit Produksi",99999,'Aset Tetap'!$Y38+'Aset Tetap'!$T38*12-1))),'Aset Tetap'!$AQ38/'Aset Tetap'!$AG38,0)))</f>
        <v/>
      </c>
      <c r="Q38" s="22" t="str">
        <f>IF($B38="","",SUM(E38:P38))</f>
        <v/>
      </c>
      <c r="R38" s="22" t="str">
        <f>IF($B38="","",'Aset Tetap'!AQ38)</f>
        <v/>
      </c>
      <c r="S38" s="22" t="str">
        <f>IF($B38="","",ROUND(Q38-R38,0))</f>
        <v/>
      </c>
    </row>
    <row r="39" spans="1:19" x14ac:dyDescent="0.25">
      <c r="A39" t="str">
        <f>IF('Aset Tetap'!$B39="","",'Aset Tetap'!A39)</f>
        <v/>
      </c>
      <c r="B39" t="str">
        <f>IF('Aset Tetap'!$B39="","",'Aset Tetap'!B39)</f>
        <v/>
      </c>
      <c r="C39" t="str">
        <f>IF('Aset Tetap'!$B39="","",'Aset Tetap'!C39)</f>
        <v/>
      </c>
      <c r="D39" t="str">
        <f>IF('Aset Tetap'!$B39="","",'Aset Tetap'!D39)</f>
        <v/>
      </c>
      <c r="E39" s="22" t="str">
        <f>IF($B39="","",IF(N('Aset Tetap'!$AG39)=0,0,IF(AND((YEAR(E$6)*12+MONTH(E$6))&gt;='Aset Tetap'!$Y39,(YEAR(E$6)*12+MONTH(E$6))&lt;=MIN('Aset Tetap'!$Z39,IF('Aset Tetap'!$S39="Unit Produksi",99999,'Aset Tetap'!$Y39+'Aset Tetap'!$T39*12-1))),'Aset Tetap'!$AQ39/'Aset Tetap'!$AG39,0)))</f>
        <v/>
      </c>
      <c r="F39" s="22" t="str">
        <f>IF($B39="","",IF(N('Aset Tetap'!$AG39)=0,0,IF(AND((YEAR(F$6)*12+MONTH(F$6))&gt;='Aset Tetap'!$Y39,(YEAR(F$6)*12+MONTH(F$6))&lt;=MIN('Aset Tetap'!$Z39,IF('Aset Tetap'!$S39="Unit Produksi",99999,'Aset Tetap'!$Y39+'Aset Tetap'!$T39*12-1))),'Aset Tetap'!$AQ39/'Aset Tetap'!$AG39,0)))</f>
        <v/>
      </c>
      <c r="G39" s="22" t="str">
        <f>IF($B39="","",IF(N('Aset Tetap'!$AG39)=0,0,IF(AND((YEAR(G$6)*12+MONTH(G$6))&gt;='Aset Tetap'!$Y39,(YEAR(G$6)*12+MONTH(G$6))&lt;=MIN('Aset Tetap'!$Z39,IF('Aset Tetap'!$S39="Unit Produksi",99999,'Aset Tetap'!$Y39+'Aset Tetap'!$T39*12-1))),'Aset Tetap'!$AQ39/'Aset Tetap'!$AG39,0)))</f>
        <v/>
      </c>
      <c r="H39" s="22" t="str">
        <f>IF($B39="","",IF(N('Aset Tetap'!$AG39)=0,0,IF(AND((YEAR(H$6)*12+MONTH(H$6))&gt;='Aset Tetap'!$Y39,(YEAR(H$6)*12+MONTH(H$6))&lt;=MIN('Aset Tetap'!$Z39,IF('Aset Tetap'!$S39="Unit Produksi",99999,'Aset Tetap'!$Y39+'Aset Tetap'!$T39*12-1))),'Aset Tetap'!$AQ39/'Aset Tetap'!$AG39,0)))</f>
        <v/>
      </c>
      <c r="I39" s="22" t="str">
        <f>IF($B39="","",IF(N('Aset Tetap'!$AG39)=0,0,IF(AND((YEAR(I$6)*12+MONTH(I$6))&gt;='Aset Tetap'!$Y39,(YEAR(I$6)*12+MONTH(I$6))&lt;=MIN('Aset Tetap'!$Z39,IF('Aset Tetap'!$S39="Unit Produksi",99999,'Aset Tetap'!$Y39+'Aset Tetap'!$T39*12-1))),'Aset Tetap'!$AQ39/'Aset Tetap'!$AG39,0)))</f>
        <v/>
      </c>
      <c r="J39" s="22" t="str">
        <f>IF($B39="","",IF(N('Aset Tetap'!$AG39)=0,0,IF(AND((YEAR(J$6)*12+MONTH(J$6))&gt;='Aset Tetap'!$Y39,(YEAR(J$6)*12+MONTH(J$6))&lt;=MIN('Aset Tetap'!$Z39,IF('Aset Tetap'!$S39="Unit Produksi",99999,'Aset Tetap'!$Y39+'Aset Tetap'!$T39*12-1))),'Aset Tetap'!$AQ39/'Aset Tetap'!$AG39,0)))</f>
        <v/>
      </c>
      <c r="K39" s="22" t="str">
        <f>IF($B39="","",IF(N('Aset Tetap'!$AG39)=0,0,IF(AND((YEAR(K$6)*12+MONTH(K$6))&gt;='Aset Tetap'!$Y39,(YEAR(K$6)*12+MONTH(K$6))&lt;=MIN('Aset Tetap'!$Z39,IF('Aset Tetap'!$S39="Unit Produksi",99999,'Aset Tetap'!$Y39+'Aset Tetap'!$T39*12-1))),'Aset Tetap'!$AQ39/'Aset Tetap'!$AG39,0)))</f>
        <v/>
      </c>
      <c r="L39" s="22" t="str">
        <f>IF($B39="","",IF(N('Aset Tetap'!$AG39)=0,0,IF(AND((YEAR(L$6)*12+MONTH(L$6))&gt;='Aset Tetap'!$Y39,(YEAR(L$6)*12+MONTH(L$6))&lt;=MIN('Aset Tetap'!$Z39,IF('Aset Tetap'!$S39="Unit Produksi",99999,'Aset Tetap'!$Y39+'Aset Tetap'!$T39*12-1))),'Aset Tetap'!$AQ39/'Aset Tetap'!$AG39,0)))</f>
        <v/>
      </c>
      <c r="M39" s="22" t="str">
        <f>IF($B39="","",IF(N('Aset Tetap'!$AG39)=0,0,IF(AND((YEAR(M$6)*12+MONTH(M$6))&gt;='Aset Tetap'!$Y39,(YEAR(M$6)*12+MONTH(M$6))&lt;=MIN('Aset Tetap'!$Z39,IF('Aset Tetap'!$S39="Unit Produksi",99999,'Aset Tetap'!$Y39+'Aset Tetap'!$T39*12-1))),'Aset Tetap'!$AQ39/'Aset Tetap'!$AG39,0)))</f>
        <v/>
      </c>
      <c r="N39" s="22" t="str">
        <f>IF($B39="","",IF(N('Aset Tetap'!$AG39)=0,0,IF(AND((YEAR(N$6)*12+MONTH(N$6))&gt;='Aset Tetap'!$Y39,(YEAR(N$6)*12+MONTH(N$6))&lt;=MIN('Aset Tetap'!$Z39,IF('Aset Tetap'!$S39="Unit Produksi",99999,'Aset Tetap'!$Y39+'Aset Tetap'!$T39*12-1))),'Aset Tetap'!$AQ39/'Aset Tetap'!$AG39,0)))</f>
        <v/>
      </c>
      <c r="O39" s="22" t="str">
        <f>IF($B39="","",IF(N('Aset Tetap'!$AG39)=0,0,IF(AND((YEAR(O$6)*12+MONTH(O$6))&gt;='Aset Tetap'!$Y39,(YEAR(O$6)*12+MONTH(O$6))&lt;=MIN('Aset Tetap'!$Z39,IF('Aset Tetap'!$S39="Unit Produksi",99999,'Aset Tetap'!$Y39+'Aset Tetap'!$T39*12-1))),'Aset Tetap'!$AQ39/'Aset Tetap'!$AG39,0)))</f>
        <v/>
      </c>
      <c r="P39" s="22" t="str">
        <f>IF($B39="","",IF(N('Aset Tetap'!$AG39)=0,0,IF(AND((YEAR(P$6)*12+MONTH(P$6))&gt;='Aset Tetap'!$Y39,(YEAR(P$6)*12+MONTH(P$6))&lt;=MIN('Aset Tetap'!$Z39,IF('Aset Tetap'!$S39="Unit Produksi",99999,'Aset Tetap'!$Y39+'Aset Tetap'!$T39*12-1))),'Aset Tetap'!$AQ39/'Aset Tetap'!$AG39,0)))</f>
        <v/>
      </c>
      <c r="Q39" s="22" t="str">
        <f>IF($B39="","",SUM(E39:P39))</f>
        <v/>
      </c>
      <c r="R39" s="22" t="str">
        <f>IF($B39="","",'Aset Tetap'!AQ39)</f>
        <v/>
      </c>
      <c r="S39" s="22" t="str">
        <f>IF($B39="","",ROUND(Q39-R39,0))</f>
        <v/>
      </c>
    </row>
    <row r="40" spans="1:19" x14ac:dyDescent="0.25">
      <c r="A40" t="str">
        <f>IF('Aset Tetap'!$B40="","",'Aset Tetap'!A40)</f>
        <v/>
      </c>
      <c r="B40" t="str">
        <f>IF('Aset Tetap'!$B40="","",'Aset Tetap'!B40)</f>
        <v/>
      </c>
      <c r="C40" t="str">
        <f>IF('Aset Tetap'!$B40="","",'Aset Tetap'!C40)</f>
        <v/>
      </c>
      <c r="D40" t="str">
        <f>IF('Aset Tetap'!$B40="","",'Aset Tetap'!D40)</f>
        <v/>
      </c>
      <c r="E40" s="22" t="str">
        <f>IF($B40="","",IF(N('Aset Tetap'!$AG40)=0,0,IF(AND((YEAR(E$6)*12+MONTH(E$6))&gt;='Aset Tetap'!$Y40,(YEAR(E$6)*12+MONTH(E$6))&lt;=MIN('Aset Tetap'!$Z40,IF('Aset Tetap'!$S40="Unit Produksi",99999,'Aset Tetap'!$Y40+'Aset Tetap'!$T40*12-1))),'Aset Tetap'!$AQ40/'Aset Tetap'!$AG40,0)))</f>
        <v/>
      </c>
      <c r="F40" s="22" t="str">
        <f>IF($B40="","",IF(N('Aset Tetap'!$AG40)=0,0,IF(AND((YEAR(F$6)*12+MONTH(F$6))&gt;='Aset Tetap'!$Y40,(YEAR(F$6)*12+MONTH(F$6))&lt;=MIN('Aset Tetap'!$Z40,IF('Aset Tetap'!$S40="Unit Produksi",99999,'Aset Tetap'!$Y40+'Aset Tetap'!$T40*12-1))),'Aset Tetap'!$AQ40/'Aset Tetap'!$AG40,0)))</f>
        <v/>
      </c>
      <c r="G40" s="22" t="str">
        <f>IF($B40="","",IF(N('Aset Tetap'!$AG40)=0,0,IF(AND((YEAR(G$6)*12+MONTH(G$6))&gt;='Aset Tetap'!$Y40,(YEAR(G$6)*12+MONTH(G$6))&lt;=MIN('Aset Tetap'!$Z40,IF('Aset Tetap'!$S40="Unit Produksi",99999,'Aset Tetap'!$Y40+'Aset Tetap'!$T40*12-1))),'Aset Tetap'!$AQ40/'Aset Tetap'!$AG40,0)))</f>
        <v/>
      </c>
      <c r="H40" s="22" t="str">
        <f>IF($B40="","",IF(N('Aset Tetap'!$AG40)=0,0,IF(AND((YEAR(H$6)*12+MONTH(H$6))&gt;='Aset Tetap'!$Y40,(YEAR(H$6)*12+MONTH(H$6))&lt;=MIN('Aset Tetap'!$Z40,IF('Aset Tetap'!$S40="Unit Produksi",99999,'Aset Tetap'!$Y40+'Aset Tetap'!$T40*12-1))),'Aset Tetap'!$AQ40/'Aset Tetap'!$AG40,0)))</f>
        <v/>
      </c>
      <c r="I40" s="22" t="str">
        <f>IF($B40="","",IF(N('Aset Tetap'!$AG40)=0,0,IF(AND((YEAR(I$6)*12+MONTH(I$6))&gt;='Aset Tetap'!$Y40,(YEAR(I$6)*12+MONTH(I$6))&lt;=MIN('Aset Tetap'!$Z40,IF('Aset Tetap'!$S40="Unit Produksi",99999,'Aset Tetap'!$Y40+'Aset Tetap'!$T40*12-1))),'Aset Tetap'!$AQ40/'Aset Tetap'!$AG40,0)))</f>
        <v/>
      </c>
      <c r="J40" s="22" t="str">
        <f>IF($B40="","",IF(N('Aset Tetap'!$AG40)=0,0,IF(AND((YEAR(J$6)*12+MONTH(J$6))&gt;='Aset Tetap'!$Y40,(YEAR(J$6)*12+MONTH(J$6))&lt;=MIN('Aset Tetap'!$Z40,IF('Aset Tetap'!$S40="Unit Produksi",99999,'Aset Tetap'!$Y40+'Aset Tetap'!$T40*12-1))),'Aset Tetap'!$AQ40/'Aset Tetap'!$AG40,0)))</f>
        <v/>
      </c>
      <c r="K40" s="22" t="str">
        <f>IF($B40="","",IF(N('Aset Tetap'!$AG40)=0,0,IF(AND((YEAR(K$6)*12+MONTH(K$6))&gt;='Aset Tetap'!$Y40,(YEAR(K$6)*12+MONTH(K$6))&lt;=MIN('Aset Tetap'!$Z40,IF('Aset Tetap'!$S40="Unit Produksi",99999,'Aset Tetap'!$Y40+'Aset Tetap'!$T40*12-1))),'Aset Tetap'!$AQ40/'Aset Tetap'!$AG40,0)))</f>
        <v/>
      </c>
      <c r="L40" s="22" t="str">
        <f>IF($B40="","",IF(N('Aset Tetap'!$AG40)=0,0,IF(AND((YEAR(L$6)*12+MONTH(L$6))&gt;='Aset Tetap'!$Y40,(YEAR(L$6)*12+MONTH(L$6))&lt;=MIN('Aset Tetap'!$Z40,IF('Aset Tetap'!$S40="Unit Produksi",99999,'Aset Tetap'!$Y40+'Aset Tetap'!$T40*12-1))),'Aset Tetap'!$AQ40/'Aset Tetap'!$AG40,0)))</f>
        <v/>
      </c>
      <c r="M40" s="22" t="str">
        <f>IF($B40="","",IF(N('Aset Tetap'!$AG40)=0,0,IF(AND((YEAR(M$6)*12+MONTH(M$6))&gt;='Aset Tetap'!$Y40,(YEAR(M$6)*12+MONTH(M$6))&lt;=MIN('Aset Tetap'!$Z40,IF('Aset Tetap'!$S40="Unit Produksi",99999,'Aset Tetap'!$Y40+'Aset Tetap'!$T40*12-1))),'Aset Tetap'!$AQ40/'Aset Tetap'!$AG40,0)))</f>
        <v/>
      </c>
      <c r="N40" s="22" t="str">
        <f>IF($B40="","",IF(N('Aset Tetap'!$AG40)=0,0,IF(AND((YEAR(N$6)*12+MONTH(N$6))&gt;='Aset Tetap'!$Y40,(YEAR(N$6)*12+MONTH(N$6))&lt;=MIN('Aset Tetap'!$Z40,IF('Aset Tetap'!$S40="Unit Produksi",99999,'Aset Tetap'!$Y40+'Aset Tetap'!$T40*12-1))),'Aset Tetap'!$AQ40/'Aset Tetap'!$AG40,0)))</f>
        <v/>
      </c>
      <c r="O40" s="22" t="str">
        <f>IF($B40="","",IF(N('Aset Tetap'!$AG40)=0,0,IF(AND((YEAR(O$6)*12+MONTH(O$6))&gt;='Aset Tetap'!$Y40,(YEAR(O$6)*12+MONTH(O$6))&lt;=MIN('Aset Tetap'!$Z40,IF('Aset Tetap'!$S40="Unit Produksi",99999,'Aset Tetap'!$Y40+'Aset Tetap'!$T40*12-1))),'Aset Tetap'!$AQ40/'Aset Tetap'!$AG40,0)))</f>
        <v/>
      </c>
      <c r="P40" s="22" t="str">
        <f>IF($B40="","",IF(N('Aset Tetap'!$AG40)=0,0,IF(AND((YEAR(P$6)*12+MONTH(P$6))&gt;='Aset Tetap'!$Y40,(YEAR(P$6)*12+MONTH(P$6))&lt;=MIN('Aset Tetap'!$Z40,IF('Aset Tetap'!$S40="Unit Produksi",99999,'Aset Tetap'!$Y40+'Aset Tetap'!$T40*12-1))),'Aset Tetap'!$AQ40/'Aset Tetap'!$AG40,0)))</f>
        <v/>
      </c>
      <c r="Q40" s="22" t="str">
        <f>IF($B40="","",SUM(E40:P40))</f>
        <v/>
      </c>
      <c r="R40" s="22" t="str">
        <f>IF($B40="","",'Aset Tetap'!AQ40)</f>
        <v/>
      </c>
      <c r="S40" s="22" t="str">
        <f>IF($B40="","",ROUND(Q40-R40,0))</f>
        <v/>
      </c>
    </row>
    <row r="41" spans="1:19" x14ac:dyDescent="0.25">
      <c r="A41" t="str">
        <f>IF('Aset Tetap'!$B41="","",'Aset Tetap'!A41)</f>
        <v/>
      </c>
      <c r="B41" t="str">
        <f>IF('Aset Tetap'!$B41="","",'Aset Tetap'!B41)</f>
        <v/>
      </c>
      <c r="C41" t="str">
        <f>IF('Aset Tetap'!$B41="","",'Aset Tetap'!C41)</f>
        <v/>
      </c>
      <c r="D41" t="str">
        <f>IF('Aset Tetap'!$B41="","",'Aset Tetap'!D41)</f>
        <v/>
      </c>
      <c r="E41" s="22" t="str">
        <f>IF($B41="","",IF(N('Aset Tetap'!$AG41)=0,0,IF(AND((YEAR(E$6)*12+MONTH(E$6))&gt;='Aset Tetap'!$Y41,(YEAR(E$6)*12+MONTH(E$6))&lt;=MIN('Aset Tetap'!$Z41,IF('Aset Tetap'!$S41="Unit Produksi",99999,'Aset Tetap'!$Y41+'Aset Tetap'!$T41*12-1))),'Aset Tetap'!$AQ41/'Aset Tetap'!$AG41,0)))</f>
        <v/>
      </c>
      <c r="F41" s="22" t="str">
        <f>IF($B41="","",IF(N('Aset Tetap'!$AG41)=0,0,IF(AND((YEAR(F$6)*12+MONTH(F$6))&gt;='Aset Tetap'!$Y41,(YEAR(F$6)*12+MONTH(F$6))&lt;=MIN('Aset Tetap'!$Z41,IF('Aset Tetap'!$S41="Unit Produksi",99999,'Aset Tetap'!$Y41+'Aset Tetap'!$T41*12-1))),'Aset Tetap'!$AQ41/'Aset Tetap'!$AG41,0)))</f>
        <v/>
      </c>
      <c r="G41" s="22" t="str">
        <f>IF($B41="","",IF(N('Aset Tetap'!$AG41)=0,0,IF(AND((YEAR(G$6)*12+MONTH(G$6))&gt;='Aset Tetap'!$Y41,(YEAR(G$6)*12+MONTH(G$6))&lt;=MIN('Aset Tetap'!$Z41,IF('Aset Tetap'!$S41="Unit Produksi",99999,'Aset Tetap'!$Y41+'Aset Tetap'!$T41*12-1))),'Aset Tetap'!$AQ41/'Aset Tetap'!$AG41,0)))</f>
        <v/>
      </c>
      <c r="H41" s="22" t="str">
        <f>IF($B41="","",IF(N('Aset Tetap'!$AG41)=0,0,IF(AND((YEAR(H$6)*12+MONTH(H$6))&gt;='Aset Tetap'!$Y41,(YEAR(H$6)*12+MONTH(H$6))&lt;=MIN('Aset Tetap'!$Z41,IF('Aset Tetap'!$S41="Unit Produksi",99999,'Aset Tetap'!$Y41+'Aset Tetap'!$T41*12-1))),'Aset Tetap'!$AQ41/'Aset Tetap'!$AG41,0)))</f>
        <v/>
      </c>
      <c r="I41" s="22" t="str">
        <f>IF($B41="","",IF(N('Aset Tetap'!$AG41)=0,0,IF(AND((YEAR(I$6)*12+MONTH(I$6))&gt;='Aset Tetap'!$Y41,(YEAR(I$6)*12+MONTH(I$6))&lt;=MIN('Aset Tetap'!$Z41,IF('Aset Tetap'!$S41="Unit Produksi",99999,'Aset Tetap'!$Y41+'Aset Tetap'!$T41*12-1))),'Aset Tetap'!$AQ41/'Aset Tetap'!$AG41,0)))</f>
        <v/>
      </c>
      <c r="J41" s="22" t="str">
        <f>IF($B41="","",IF(N('Aset Tetap'!$AG41)=0,0,IF(AND((YEAR(J$6)*12+MONTH(J$6))&gt;='Aset Tetap'!$Y41,(YEAR(J$6)*12+MONTH(J$6))&lt;=MIN('Aset Tetap'!$Z41,IF('Aset Tetap'!$S41="Unit Produksi",99999,'Aset Tetap'!$Y41+'Aset Tetap'!$T41*12-1))),'Aset Tetap'!$AQ41/'Aset Tetap'!$AG41,0)))</f>
        <v/>
      </c>
      <c r="K41" s="22" t="str">
        <f>IF($B41="","",IF(N('Aset Tetap'!$AG41)=0,0,IF(AND((YEAR(K$6)*12+MONTH(K$6))&gt;='Aset Tetap'!$Y41,(YEAR(K$6)*12+MONTH(K$6))&lt;=MIN('Aset Tetap'!$Z41,IF('Aset Tetap'!$S41="Unit Produksi",99999,'Aset Tetap'!$Y41+'Aset Tetap'!$T41*12-1))),'Aset Tetap'!$AQ41/'Aset Tetap'!$AG41,0)))</f>
        <v/>
      </c>
      <c r="L41" s="22" t="str">
        <f>IF($B41="","",IF(N('Aset Tetap'!$AG41)=0,0,IF(AND((YEAR(L$6)*12+MONTH(L$6))&gt;='Aset Tetap'!$Y41,(YEAR(L$6)*12+MONTH(L$6))&lt;=MIN('Aset Tetap'!$Z41,IF('Aset Tetap'!$S41="Unit Produksi",99999,'Aset Tetap'!$Y41+'Aset Tetap'!$T41*12-1))),'Aset Tetap'!$AQ41/'Aset Tetap'!$AG41,0)))</f>
        <v/>
      </c>
      <c r="M41" s="22" t="str">
        <f>IF($B41="","",IF(N('Aset Tetap'!$AG41)=0,0,IF(AND((YEAR(M$6)*12+MONTH(M$6))&gt;='Aset Tetap'!$Y41,(YEAR(M$6)*12+MONTH(M$6))&lt;=MIN('Aset Tetap'!$Z41,IF('Aset Tetap'!$S41="Unit Produksi",99999,'Aset Tetap'!$Y41+'Aset Tetap'!$T41*12-1))),'Aset Tetap'!$AQ41/'Aset Tetap'!$AG41,0)))</f>
        <v/>
      </c>
      <c r="N41" s="22" t="str">
        <f>IF($B41="","",IF(N('Aset Tetap'!$AG41)=0,0,IF(AND((YEAR(N$6)*12+MONTH(N$6))&gt;='Aset Tetap'!$Y41,(YEAR(N$6)*12+MONTH(N$6))&lt;=MIN('Aset Tetap'!$Z41,IF('Aset Tetap'!$S41="Unit Produksi",99999,'Aset Tetap'!$Y41+'Aset Tetap'!$T41*12-1))),'Aset Tetap'!$AQ41/'Aset Tetap'!$AG41,0)))</f>
        <v/>
      </c>
      <c r="O41" s="22" t="str">
        <f>IF($B41="","",IF(N('Aset Tetap'!$AG41)=0,0,IF(AND((YEAR(O$6)*12+MONTH(O$6))&gt;='Aset Tetap'!$Y41,(YEAR(O$6)*12+MONTH(O$6))&lt;=MIN('Aset Tetap'!$Z41,IF('Aset Tetap'!$S41="Unit Produksi",99999,'Aset Tetap'!$Y41+'Aset Tetap'!$T41*12-1))),'Aset Tetap'!$AQ41/'Aset Tetap'!$AG41,0)))</f>
        <v/>
      </c>
      <c r="P41" s="22" t="str">
        <f>IF($B41="","",IF(N('Aset Tetap'!$AG41)=0,0,IF(AND((YEAR(P$6)*12+MONTH(P$6))&gt;='Aset Tetap'!$Y41,(YEAR(P$6)*12+MONTH(P$6))&lt;=MIN('Aset Tetap'!$Z41,IF('Aset Tetap'!$S41="Unit Produksi",99999,'Aset Tetap'!$Y41+'Aset Tetap'!$T41*12-1))),'Aset Tetap'!$AQ41/'Aset Tetap'!$AG41,0)))</f>
        <v/>
      </c>
      <c r="Q41" s="22" t="str">
        <f>IF($B41="","",SUM(E41:P41))</f>
        <v/>
      </c>
      <c r="R41" s="22" t="str">
        <f>IF($B41="","",'Aset Tetap'!AQ41)</f>
        <v/>
      </c>
      <c r="S41" s="22" t="str">
        <f>IF($B41="","",ROUND(Q41-R41,0))</f>
        <v/>
      </c>
    </row>
    <row r="42" spans="1:19" x14ac:dyDescent="0.25">
      <c r="A42" t="str">
        <f>IF('Aset Tetap'!$B42="","",'Aset Tetap'!A42)</f>
        <v/>
      </c>
      <c r="B42" t="str">
        <f>IF('Aset Tetap'!$B42="","",'Aset Tetap'!B42)</f>
        <v/>
      </c>
      <c r="C42" t="str">
        <f>IF('Aset Tetap'!$B42="","",'Aset Tetap'!C42)</f>
        <v/>
      </c>
      <c r="D42" t="str">
        <f>IF('Aset Tetap'!$B42="","",'Aset Tetap'!D42)</f>
        <v/>
      </c>
      <c r="E42" s="22" t="str">
        <f>IF($B42="","",IF(N('Aset Tetap'!$AG42)=0,0,IF(AND((YEAR(E$6)*12+MONTH(E$6))&gt;='Aset Tetap'!$Y42,(YEAR(E$6)*12+MONTH(E$6))&lt;=MIN('Aset Tetap'!$Z42,IF('Aset Tetap'!$S42="Unit Produksi",99999,'Aset Tetap'!$Y42+'Aset Tetap'!$T42*12-1))),'Aset Tetap'!$AQ42/'Aset Tetap'!$AG42,0)))</f>
        <v/>
      </c>
      <c r="F42" s="22" t="str">
        <f>IF($B42="","",IF(N('Aset Tetap'!$AG42)=0,0,IF(AND((YEAR(F$6)*12+MONTH(F$6))&gt;='Aset Tetap'!$Y42,(YEAR(F$6)*12+MONTH(F$6))&lt;=MIN('Aset Tetap'!$Z42,IF('Aset Tetap'!$S42="Unit Produksi",99999,'Aset Tetap'!$Y42+'Aset Tetap'!$T42*12-1))),'Aset Tetap'!$AQ42/'Aset Tetap'!$AG42,0)))</f>
        <v/>
      </c>
      <c r="G42" s="22" t="str">
        <f>IF($B42="","",IF(N('Aset Tetap'!$AG42)=0,0,IF(AND((YEAR(G$6)*12+MONTH(G$6))&gt;='Aset Tetap'!$Y42,(YEAR(G$6)*12+MONTH(G$6))&lt;=MIN('Aset Tetap'!$Z42,IF('Aset Tetap'!$S42="Unit Produksi",99999,'Aset Tetap'!$Y42+'Aset Tetap'!$T42*12-1))),'Aset Tetap'!$AQ42/'Aset Tetap'!$AG42,0)))</f>
        <v/>
      </c>
      <c r="H42" s="22" t="str">
        <f>IF($B42="","",IF(N('Aset Tetap'!$AG42)=0,0,IF(AND((YEAR(H$6)*12+MONTH(H$6))&gt;='Aset Tetap'!$Y42,(YEAR(H$6)*12+MONTH(H$6))&lt;=MIN('Aset Tetap'!$Z42,IF('Aset Tetap'!$S42="Unit Produksi",99999,'Aset Tetap'!$Y42+'Aset Tetap'!$T42*12-1))),'Aset Tetap'!$AQ42/'Aset Tetap'!$AG42,0)))</f>
        <v/>
      </c>
      <c r="I42" s="22" t="str">
        <f>IF($B42="","",IF(N('Aset Tetap'!$AG42)=0,0,IF(AND((YEAR(I$6)*12+MONTH(I$6))&gt;='Aset Tetap'!$Y42,(YEAR(I$6)*12+MONTH(I$6))&lt;=MIN('Aset Tetap'!$Z42,IF('Aset Tetap'!$S42="Unit Produksi",99999,'Aset Tetap'!$Y42+'Aset Tetap'!$T42*12-1))),'Aset Tetap'!$AQ42/'Aset Tetap'!$AG42,0)))</f>
        <v/>
      </c>
      <c r="J42" s="22" t="str">
        <f>IF($B42="","",IF(N('Aset Tetap'!$AG42)=0,0,IF(AND((YEAR(J$6)*12+MONTH(J$6))&gt;='Aset Tetap'!$Y42,(YEAR(J$6)*12+MONTH(J$6))&lt;=MIN('Aset Tetap'!$Z42,IF('Aset Tetap'!$S42="Unit Produksi",99999,'Aset Tetap'!$Y42+'Aset Tetap'!$T42*12-1))),'Aset Tetap'!$AQ42/'Aset Tetap'!$AG42,0)))</f>
        <v/>
      </c>
      <c r="K42" s="22" t="str">
        <f>IF($B42="","",IF(N('Aset Tetap'!$AG42)=0,0,IF(AND((YEAR(K$6)*12+MONTH(K$6))&gt;='Aset Tetap'!$Y42,(YEAR(K$6)*12+MONTH(K$6))&lt;=MIN('Aset Tetap'!$Z42,IF('Aset Tetap'!$S42="Unit Produksi",99999,'Aset Tetap'!$Y42+'Aset Tetap'!$T42*12-1))),'Aset Tetap'!$AQ42/'Aset Tetap'!$AG42,0)))</f>
        <v/>
      </c>
      <c r="L42" s="22" t="str">
        <f>IF($B42="","",IF(N('Aset Tetap'!$AG42)=0,0,IF(AND((YEAR(L$6)*12+MONTH(L$6))&gt;='Aset Tetap'!$Y42,(YEAR(L$6)*12+MONTH(L$6))&lt;=MIN('Aset Tetap'!$Z42,IF('Aset Tetap'!$S42="Unit Produksi",99999,'Aset Tetap'!$Y42+'Aset Tetap'!$T42*12-1))),'Aset Tetap'!$AQ42/'Aset Tetap'!$AG42,0)))</f>
        <v/>
      </c>
      <c r="M42" s="22" t="str">
        <f>IF($B42="","",IF(N('Aset Tetap'!$AG42)=0,0,IF(AND((YEAR(M$6)*12+MONTH(M$6))&gt;='Aset Tetap'!$Y42,(YEAR(M$6)*12+MONTH(M$6))&lt;=MIN('Aset Tetap'!$Z42,IF('Aset Tetap'!$S42="Unit Produksi",99999,'Aset Tetap'!$Y42+'Aset Tetap'!$T42*12-1))),'Aset Tetap'!$AQ42/'Aset Tetap'!$AG42,0)))</f>
        <v/>
      </c>
      <c r="N42" s="22" t="str">
        <f>IF($B42="","",IF(N('Aset Tetap'!$AG42)=0,0,IF(AND((YEAR(N$6)*12+MONTH(N$6))&gt;='Aset Tetap'!$Y42,(YEAR(N$6)*12+MONTH(N$6))&lt;=MIN('Aset Tetap'!$Z42,IF('Aset Tetap'!$S42="Unit Produksi",99999,'Aset Tetap'!$Y42+'Aset Tetap'!$T42*12-1))),'Aset Tetap'!$AQ42/'Aset Tetap'!$AG42,0)))</f>
        <v/>
      </c>
      <c r="O42" s="22" t="str">
        <f>IF($B42="","",IF(N('Aset Tetap'!$AG42)=0,0,IF(AND((YEAR(O$6)*12+MONTH(O$6))&gt;='Aset Tetap'!$Y42,(YEAR(O$6)*12+MONTH(O$6))&lt;=MIN('Aset Tetap'!$Z42,IF('Aset Tetap'!$S42="Unit Produksi",99999,'Aset Tetap'!$Y42+'Aset Tetap'!$T42*12-1))),'Aset Tetap'!$AQ42/'Aset Tetap'!$AG42,0)))</f>
        <v/>
      </c>
      <c r="P42" s="22" t="str">
        <f>IF($B42="","",IF(N('Aset Tetap'!$AG42)=0,0,IF(AND((YEAR(P$6)*12+MONTH(P$6))&gt;='Aset Tetap'!$Y42,(YEAR(P$6)*12+MONTH(P$6))&lt;=MIN('Aset Tetap'!$Z42,IF('Aset Tetap'!$S42="Unit Produksi",99999,'Aset Tetap'!$Y42+'Aset Tetap'!$T42*12-1))),'Aset Tetap'!$AQ42/'Aset Tetap'!$AG42,0)))</f>
        <v/>
      </c>
      <c r="Q42" s="22" t="str">
        <f>IF($B42="","",SUM(E42:P42))</f>
        <v/>
      </c>
      <c r="R42" s="22" t="str">
        <f>IF($B42="","",'Aset Tetap'!AQ42)</f>
        <v/>
      </c>
      <c r="S42" s="22" t="str">
        <f>IF($B42="","",ROUND(Q42-R42,0))</f>
        <v/>
      </c>
    </row>
    <row r="43" spans="1:19" x14ac:dyDescent="0.25">
      <c r="A43" t="str">
        <f>IF('Aset Tetap'!$B43="","",'Aset Tetap'!A43)</f>
        <v/>
      </c>
      <c r="B43" t="str">
        <f>IF('Aset Tetap'!$B43="","",'Aset Tetap'!B43)</f>
        <v/>
      </c>
      <c r="C43" t="str">
        <f>IF('Aset Tetap'!$B43="","",'Aset Tetap'!C43)</f>
        <v/>
      </c>
      <c r="D43" t="str">
        <f>IF('Aset Tetap'!$B43="","",'Aset Tetap'!D43)</f>
        <v/>
      </c>
      <c r="E43" s="22" t="str">
        <f>IF($B43="","",IF(N('Aset Tetap'!$AG43)=0,0,IF(AND((YEAR(E$6)*12+MONTH(E$6))&gt;='Aset Tetap'!$Y43,(YEAR(E$6)*12+MONTH(E$6))&lt;=MIN('Aset Tetap'!$Z43,IF('Aset Tetap'!$S43="Unit Produksi",99999,'Aset Tetap'!$Y43+'Aset Tetap'!$T43*12-1))),'Aset Tetap'!$AQ43/'Aset Tetap'!$AG43,0)))</f>
        <v/>
      </c>
      <c r="F43" s="22" t="str">
        <f>IF($B43="","",IF(N('Aset Tetap'!$AG43)=0,0,IF(AND((YEAR(F$6)*12+MONTH(F$6))&gt;='Aset Tetap'!$Y43,(YEAR(F$6)*12+MONTH(F$6))&lt;=MIN('Aset Tetap'!$Z43,IF('Aset Tetap'!$S43="Unit Produksi",99999,'Aset Tetap'!$Y43+'Aset Tetap'!$T43*12-1))),'Aset Tetap'!$AQ43/'Aset Tetap'!$AG43,0)))</f>
        <v/>
      </c>
      <c r="G43" s="22" t="str">
        <f>IF($B43="","",IF(N('Aset Tetap'!$AG43)=0,0,IF(AND((YEAR(G$6)*12+MONTH(G$6))&gt;='Aset Tetap'!$Y43,(YEAR(G$6)*12+MONTH(G$6))&lt;=MIN('Aset Tetap'!$Z43,IF('Aset Tetap'!$S43="Unit Produksi",99999,'Aset Tetap'!$Y43+'Aset Tetap'!$T43*12-1))),'Aset Tetap'!$AQ43/'Aset Tetap'!$AG43,0)))</f>
        <v/>
      </c>
      <c r="H43" s="22" t="str">
        <f>IF($B43="","",IF(N('Aset Tetap'!$AG43)=0,0,IF(AND((YEAR(H$6)*12+MONTH(H$6))&gt;='Aset Tetap'!$Y43,(YEAR(H$6)*12+MONTH(H$6))&lt;=MIN('Aset Tetap'!$Z43,IF('Aset Tetap'!$S43="Unit Produksi",99999,'Aset Tetap'!$Y43+'Aset Tetap'!$T43*12-1))),'Aset Tetap'!$AQ43/'Aset Tetap'!$AG43,0)))</f>
        <v/>
      </c>
      <c r="I43" s="22" t="str">
        <f>IF($B43="","",IF(N('Aset Tetap'!$AG43)=0,0,IF(AND((YEAR(I$6)*12+MONTH(I$6))&gt;='Aset Tetap'!$Y43,(YEAR(I$6)*12+MONTH(I$6))&lt;=MIN('Aset Tetap'!$Z43,IF('Aset Tetap'!$S43="Unit Produksi",99999,'Aset Tetap'!$Y43+'Aset Tetap'!$T43*12-1))),'Aset Tetap'!$AQ43/'Aset Tetap'!$AG43,0)))</f>
        <v/>
      </c>
      <c r="J43" s="22" t="str">
        <f>IF($B43="","",IF(N('Aset Tetap'!$AG43)=0,0,IF(AND((YEAR(J$6)*12+MONTH(J$6))&gt;='Aset Tetap'!$Y43,(YEAR(J$6)*12+MONTH(J$6))&lt;=MIN('Aset Tetap'!$Z43,IF('Aset Tetap'!$S43="Unit Produksi",99999,'Aset Tetap'!$Y43+'Aset Tetap'!$T43*12-1))),'Aset Tetap'!$AQ43/'Aset Tetap'!$AG43,0)))</f>
        <v/>
      </c>
      <c r="K43" s="22" t="str">
        <f>IF($B43="","",IF(N('Aset Tetap'!$AG43)=0,0,IF(AND((YEAR(K$6)*12+MONTH(K$6))&gt;='Aset Tetap'!$Y43,(YEAR(K$6)*12+MONTH(K$6))&lt;=MIN('Aset Tetap'!$Z43,IF('Aset Tetap'!$S43="Unit Produksi",99999,'Aset Tetap'!$Y43+'Aset Tetap'!$T43*12-1))),'Aset Tetap'!$AQ43/'Aset Tetap'!$AG43,0)))</f>
        <v/>
      </c>
      <c r="L43" s="22" t="str">
        <f>IF($B43="","",IF(N('Aset Tetap'!$AG43)=0,0,IF(AND((YEAR(L$6)*12+MONTH(L$6))&gt;='Aset Tetap'!$Y43,(YEAR(L$6)*12+MONTH(L$6))&lt;=MIN('Aset Tetap'!$Z43,IF('Aset Tetap'!$S43="Unit Produksi",99999,'Aset Tetap'!$Y43+'Aset Tetap'!$T43*12-1))),'Aset Tetap'!$AQ43/'Aset Tetap'!$AG43,0)))</f>
        <v/>
      </c>
      <c r="M43" s="22" t="str">
        <f>IF($B43="","",IF(N('Aset Tetap'!$AG43)=0,0,IF(AND((YEAR(M$6)*12+MONTH(M$6))&gt;='Aset Tetap'!$Y43,(YEAR(M$6)*12+MONTH(M$6))&lt;=MIN('Aset Tetap'!$Z43,IF('Aset Tetap'!$S43="Unit Produksi",99999,'Aset Tetap'!$Y43+'Aset Tetap'!$T43*12-1))),'Aset Tetap'!$AQ43/'Aset Tetap'!$AG43,0)))</f>
        <v/>
      </c>
      <c r="N43" s="22" t="str">
        <f>IF($B43="","",IF(N('Aset Tetap'!$AG43)=0,0,IF(AND((YEAR(N$6)*12+MONTH(N$6))&gt;='Aset Tetap'!$Y43,(YEAR(N$6)*12+MONTH(N$6))&lt;=MIN('Aset Tetap'!$Z43,IF('Aset Tetap'!$S43="Unit Produksi",99999,'Aset Tetap'!$Y43+'Aset Tetap'!$T43*12-1))),'Aset Tetap'!$AQ43/'Aset Tetap'!$AG43,0)))</f>
        <v/>
      </c>
      <c r="O43" s="22" t="str">
        <f>IF($B43="","",IF(N('Aset Tetap'!$AG43)=0,0,IF(AND((YEAR(O$6)*12+MONTH(O$6))&gt;='Aset Tetap'!$Y43,(YEAR(O$6)*12+MONTH(O$6))&lt;=MIN('Aset Tetap'!$Z43,IF('Aset Tetap'!$S43="Unit Produksi",99999,'Aset Tetap'!$Y43+'Aset Tetap'!$T43*12-1))),'Aset Tetap'!$AQ43/'Aset Tetap'!$AG43,0)))</f>
        <v/>
      </c>
      <c r="P43" s="22" t="str">
        <f>IF($B43="","",IF(N('Aset Tetap'!$AG43)=0,0,IF(AND((YEAR(P$6)*12+MONTH(P$6))&gt;='Aset Tetap'!$Y43,(YEAR(P$6)*12+MONTH(P$6))&lt;=MIN('Aset Tetap'!$Z43,IF('Aset Tetap'!$S43="Unit Produksi",99999,'Aset Tetap'!$Y43+'Aset Tetap'!$T43*12-1))),'Aset Tetap'!$AQ43/'Aset Tetap'!$AG43,0)))</f>
        <v/>
      </c>
      <c r="Q43" s="22" t="str">
        <f>IF($B43="","",SUM(E43:P43))</f>
        <v/>
      </c>
      <c r="R43" s="22" t="str">
        <f>IF($B43="","",'Aset Tetap'!AQ43)</f>
        <v/>
      </c>
      <c r="S43" s="22" t="str">
        <f>IF($B43="","",ROUND(Q43-R43,0))</f>
        <v/>
      </c>
    </row>
    <row r="44" spans="1:19" x14ac:dyDescent="0.25">
      <c r="A44" t="str">
        <f>IF('Aset Tetap'!$B44="","",'Aset Tetap'!A44)</f>
        <v/>
      </c>
      <c r="B44" t="str">
        <f>IF('Aset Tetap'!$B44="","",'Aset Tetap'!B44)</f>
        <v/>
      </c>
      <c r="C44" t="str">
        <f>IF('Aset Tetap'!$B44="","",'Aset Tetap'!C44)</f>
        <v/>
      </c>
      <c r="D44" t="str">
        <f>IF('Aset Tetap'!$B44="","",'Aset Tetap'!D44)</f>
        <v/>
      </c>
      <c r="E44" s="22" t="str">
        <f>IF($B44="","",IF(N('Aset Tetap'!$AG44)=0,0,IF(AND((YEAR(E$6)*12+MONTH(E$6))&gt;='Aset Tetap'!$Y44,(YEAR(E$6)*12+MONTH(E$6))&lt;=MIN('Aset Tetap'!$Z44,IF('Aset Tetap'!$S44="Unit Produksi",99999,'Aset Tetap'!$Y44+'Aset Tetap'!$T44*12-1))),'Aset Tetap'!$AQ44/'Aset Tetap'!$AG44,0)))</f>
        <v/>
      </c>
      <c r="F44" s="22" t="str">
        <f>IF($B44="","",IF(N('Aset Tetap'!$AG44)=0,0,IF(AND((YEAR(F$6)*12+MONTH(F$6))&gt;='Aset Tetap'!$Y44,(YEAR(F$6)*12+MONTH(F$6))&lt;=MIN('Aset Tetap'!$Z44,IF('Aset Tetap'!$S44="Unit Produksi",99999,'Aset Tetap'!$Y44+'Aset Tetap'!$T44*12-1))),'Aset Tetap'!$AQ44/'Aset Tetap'!$AG44,0)))</f>
        <v/>
      </c>
      <c r="G44" s="22" t="str">
        <f>IF($B44="","",IF(N('Aset Tetap'!$AG44)=0,0,IF(AND((YEAR(G$6)*12+MONTH(G$6))&gt;='Aset Tetap'!$Y44,(YEAR(G$6)*12+MONTH(G$6))&lt;=MIN('Aset Tetap'!$Z44,IF('Aset Tetap'!$S44="Unit Produksi",99999,'Aset Tetap'!$Y44+'Aset Tetap'!$T44*12-1))),'Aset Tetap'!$AQ44/'Aset Tetap'!$AG44,0)))</f>
        <v/>
      </c>
      <c r="H44" s="22" t="str">
        <f>IF($B44="","",IF(N('Aset Tetap'!$AG44)=0,0,IF(AND((YEAR(H$6)*12+MONTH(H$6))&gt;='Aset Tetap'!$Y44,(YEAR(H$6)*12+MONTH(H$6))&lt;=MIN('Aset Tetap'!$Z44,IF('Aset Tetap'!$S44="Unit Produksi",99999,'Aset Tetap'!$Y44+'Aset Tetap'!$T44*12-1))),'Aset Tetap'!$AQ44/'Aset Tetap'!$AG44,0)))</f>
        <v/>
      </c>
      <c r="I44" s="22" t="str">
        <f>IF($B44="","",IF(N('Aset Tetap'!$AG44)=0,0,IF(AND((YEAR(I$6)*12+MONTH(I$6))&gt;='Aset Tetap'!$Y44,(YEAR(I$6)*12+MONTH(I$6))&lt;=MIN('Aset Tetap'!$Z44,IF('Aset Tetap'!$S44="Unit Produksi",99999,'Aset Tetap'!$Y44+'Aset Tetap'!$T44*12-1))),'Aset Tetap'!$AQ44/'Aset Tetap'!$AG44,0)))</f>
        <v/>
      </c>
      <c r="J44" s="22" t="str">
        <f>IF($B44="","",IF(N('Aset Tetap'!$AG44)=0,0,IF(AND((YEAR(J$6)*12+MONTH(J$6))&gt;='Aset Tetap'!$Y44,(YEAR(J$6)*12+MONTH(J$6))&lt;=MIN('Aset Tetap'!$Z44,IF('Aset Tetap'!$S44="Unit Produksi",99999,'Aset Tetap'!$Y44+'Aset Tetap'!$T44*12-1))),'Aset Tetap'!$AQ44/'Aset Tetap'!$AG44,0)))</f>
        <v/>
      </c>
      <c r="K44" s="22" t="str">
        <f>IF($B44="","",IF(N('Aset Tetap'!$AG44)=0,0,IF(AND((YEAR(K$6)*12+MONTH(K$6))&gt;='Aset Tetap'!$Y44,(YEAR(K$6)*12+MONTH(K$6))&lt;=MIN('Aset Tetap'!$Z44,IF('Aset Tetap'!$S44="Unit Produksi",99999,'Aset Tetap'!$Y44+'Aset Tetap'!$T44*12-1))),'Aset Tetap'!$AQ44/'Aset Tetap'!$AG44,0)))</f>
        <v/>
      </c>
      <c r="L44" s="22" t="str">
        <f>IF($B44="","",IF(N('Aset Tetap'!$AG44)=0,0,IF(AND((YEAR(L$6)*12+MONTH(L$6))&gt;='Aset Tetap'!$Y44,(YEAR(L$6)*12+MONTH(L$6))&lt;=MIN('Aset Tetap'!$Z44,IF('Aset Tetap'!$S44="Unit Produksi",99999,'Aset Tetap'!$Y44+'Aset Tetap'!$T44*12-1))),'Aset Tetap'!$AQ44/'Aset Tetap'!$AG44,0)))</f>
        <v/>
      </c>
      <c r="M44" s="22" t="str">
        <f>IF($B44="","",IF(N('Aset Tetap'!$AG44)=0,0,IF(AND((YEAR(M$6)*12+MONTH(M$6))&gt;='Aset Tetap'!$Y44,(YEAR(M$6)*12+MONTH(M$6))&lt;=MIN('Aset Tetap'!$Z44,IF('Aset Tetap'!$S44="Unit Produksi",99999,'Aset Tetap'!$Y44+'Aset Tetap'!$T44*12-1))),'Aset Tetap'!$AQ44/'Aset Tetap'!$AG44,0)))</f>
        <v/>
      </c>
      <c r="N44" s="22" t="str">
        <f>IF($B44="","",IF(N('Aset Tetap'!$AG44)=0,0,IF(AND((YEAR(N$6)*12+MONTH(N$6))&gt;='Aset Tetap'!$Y44,(YEAR(N$6)*12+MONTH(N$6))&lt;=MIN('Aset Tetap'!$Z44,IF('Aset Tetap'!$S44="Unit Produksi",99999,'Aset Tetap'!$Y44+'Aset Tetap'!$T44*12-1))),'Aset Tetap'!$AQ44/'Aset Tetap'!$AG44,0)))</f>
        <v/>
      </c>
      <c r="O44" s="22" t="str">
        <f>IF($B44="","",IF(N('Aset Tetap'!$AG44)=0,0,IF(AND((YEAR(O$6)*12+MONTH(O$6))&gt;='Aset Tetap'!$Y44,(YEAR(O$6)*12+MONTH(O$6))&lt;=MIN('Aset Tetap'!$Z44,IF('Aset Tetap'!$S44="Unit Produksi",99999,'Aset Tetap'!$Y44+'Aset Tetap'!$T44*12-1))),'Aset Tetap'!$AQ44/'Aset Tetap'!$AG44,0)))</f>
        <v/>
      </c>
      <c r="P44" s="22" t="str">
        <f>IF($B44="","",IF(N('Aset Tetap'!$AG44)=0,0,IF(AND((YEAR(P$6)*12+MONTH(P$6))&gt;='Aset Tetap'!$Y44,(YEAR(P$6)*12+MONTH(P$6))&lt;=MIN('Aset Tetap'!$Z44,IF('Aset Tetap'!$S44="Unit Produksi",99999,'Aset Tetap'!$Y44+'Aset Tetap'!$T44*12-1))),'Aset Tetap'!$AQ44/'Aset Tetap'!$AG44,0)))</f>
        <v/>
      </c>
      <c r="Q44" s="22" t="str">
        <f>IF($B44="","",SUM(E44:P44))</f>
        <v/>
      </c>
      <c r="R44" s="22" t="str">
        <f>IF($B44="","",'Aset Tetap'!AQ44)</f>
        <v/>
      </c>
      <c r="S44" s="22" t="str">
        <f>IF($B44="","",ROUND(Q44-R44,0))</f>
        <v/>
      </c>
    </row>
    <row r="45" spans="1:19" x14ac:dyDescent="0.25">
      <c r="A45" t="str">
        <f>IF('Aset Tetap'!$B45="","",'Aset Tetap'!A45)</f>
        <v/>
      </c>
      <c r="B45" t="str">
        <f>IF('Aset Tetap'!$B45="","",'Aset Tetap'!B45)</f>
        <v/>
      </c>
      <c r="C45" t="str">
        <f>IF('Aset Tetap'!$B45="","",'Aset Tetap'!C45)</f>
        <v/>
      </c>
      <c r="D45" t="str">
        <f>IF('Aset Tetap'!$B45="","",'Aset Tetap'!D45)</f>
        <v/>
      </c>
      <c r="E45" s="22" t="str">
        <f>IF($B45="","",IF(N('Aset Tetap'!$AG45)=0,0,IF(AND((YEAR(E$6)*12+MONTH(E$6))&gt;='Aset Tetap'!$Y45,(YEAR(E$6)*12+MONTH(E$6))&lt;=MIN('Aset Tetap'!$Z45,IF('Aset Tetap'!$S45="Unit Produksi",99999,'Aset Tetap'!$Y45+'Aset Tetap'!$T45*12-1))),'Aset Tetap'!$AQ45/'Aset Tetap'!$AG45,0)))</f>
        <v/>
      </c>
      <c r="F45" s="22" t="str">
        <f>IF($B45="","",IF(N('Aset Tetap'!$AG45)=0,0,IF(AND((YEAR(F$6)*12+MONTH(F$6))&gt;='Aset Tetap'!$Y45,(YEAR(F$6)*12+MONTH(F$6))&lt;=MIN('Aset Tetap'!$Z45,IF('Aset Tetap'!$S45="Unit Produksi",99999,'Aset Tetap'!$Y45+'Aset Tetap'!$T45*12-1))),'Aset Tetap'!$AQ45/'Aset Tetap'!$AG45,0)))</f>
        <v/>
      </c>
      <c r="G45" s="22" t="str">
        <f>IF($B45="","",IF(N('Aset Tetap'!$AG45)=0,0,IF(AND((YEAR(G$6)*12+MONTH(G$6))&gt;='Aset Tetap'!$Y45,(YEAR(G$6)*12+MONTH(G$6))&lt;=MIN('Aset Tetap'!$Z45,IF('Aset Tetap'!$S45="Unit Produksi",99999,'Aset Tetap'!$Y45+'Aset Tetap'!$T45*12-1))),'Aset Tetap'!$AQ45/'Aset Tetap'!$AG45,0)))</f>
        <v/>
      </c>
      <c r="H45" s="22" t="str">
        <f>IF($B45="","",IF(N('Aset Tetap'!$AG45)=0,0,IF(AND((YEAR(H$6)*12+MONTH(H$6))&gt;='Aset Tetap'!$Y45,(YEAR(H$6)*12+MONTH(H$6))&lt;=MIN('Aset Tetap'!$Z45,IF('Aset Tetap'!$S45="Unit Produksi",99999,'Aset Tetap'!$Y45+'Aset Tetap'!$T45*12-1))),'Aset Tetap'!$AQ45/'Aset Tetap'!$AG45,0)))</f>
        <v/>
      </c>
      <c r="I45" s="22" t="str">
        <f>IF($B45="","",IF(N('Aset Tetap'!$AG45)=0,0,IF(AND((YEAR(I$6)*12+MONTH(I$6))&gt;='Aset Tetap'!$Y45,(YEAR(I$6)*12+MONTH(I$6))&lt;=MIN('Aset Tetap'!$Z45,IF('Aset Tetap'!$S45="Unit Produksi",99999,'Aset Tetap'!$Y45+'Aset Tetap'!$T45*12-1))),'Aset Tetap'!$AQ45/'Aset Tetap'!$AG45,0)))</f>
        <v/>
      </c>
      <c r="J45" s="22" t="str">
        <f>IF($B45="","",IF(N('Aset Tetap'!$AG45)=0,0,IF(AND((YEAR(J$6)*12+MONTH(J$6))&gt;='Aset Tetap'!$Y45,(YEAR(J$6)*12+MONTH(J$6))&lt;=MIN('Aset Tetap'!$Z45,IF('Aset Tetap'!$S45="Unit Produksi",99999,'Aset Tetap'!$Y45+'Aset Tetap'!$T45*12-1))),'Aset Tetap'!$AQ45/'Aset Tetap'!$AG45,0)))</f>
        <v/>
      </c>
      <c r="K45" s="22" t="str">
        <f>IF($B45="","",IF(N('Aset Tetap'!$AG45)=0,0,IF(AND((YEAR(K$6)*12+MONTH(K$6))&gt;='Aset Tetap'!$Y45,(YEAR(K$6)*12+MONTH(K$6))&lt;=MIN('Aset Tetap'!$Z45,IF('Aset Tetap'!$S45="Unit Produksi",99999,'Aset Tetap'!$Y45+'Aset Tetap'!$T45*12-1))),'Aset Tetap'!$AQ45/'Aset Tetap'!$AG45,0)))</f>
        <v/>
      </c>
      <c r="L45" s="22" t="str">
        <f>IF($B45="","",IF(N('Aset Tetap'!$AG45)=0,0,IF(AND((YEAR(L$6)*12+MONTH(L$6))&gt;='Aset Tetap'!$Y45,(YEAR(L$6)*12+MONTH(L$6))&lt;=MIN('Aset Tetap'!$Z45,IF('Aset Tetap'!$S45="Unit Produksi",99999,'Aset Tetap'!$Y45+'Aset Tetap'!$T45*12-1))),'Aset Tetap'!$AQ45/'Aset Tetap'!$AG45,0)))</f>
        <v/>
      </c>
      <c r="M45" s="22" t="str">
        <f>IF($B45="","",IF(N('Aset Tetap'!$AG45)=0,0,IF(AND((YEAR(M$6)*12+MONTH(M$6))&gt;='Aset Tetap'!$Y45,(YEAR(M$6)*12+MONTH(M$6))&lt;=MIN('Aset Tetap'!$Z45,IF('Aset Tetap'!$S45="Unit Produksi",99999,'Aset Tetap'!$Y45+'Aset Tetap'!$T45*12-1))),'Aset Tetap'!$AQ45/'Aset Tetap'!$AG45,0)))</f>
        <v/>
      </c>
      <c r="N45" s="22" t="str">
        <f>IF($B45="","",IF(N('Aset Tetap'!$AG45)=0,0,IF(AND((YEAR(N$6)*12+MONTH(N$6))&gt;='Aset Tetap'!$Y45,(YEAR(N$6)*12+MONTH(N$6))&lt;=MIN('Aset Tetap'!$Z45,IF('Aset Tetap'!$S45="Unit Produksi",99999,'Aset Tetap'!$Y45+'Aset Tetap'!$T45*12-1))),'Aset Tetap'!$AQ45/'Aset Tetap'!$AG45,0)))</f>
        <v/>
      </c>
      <c r="O45" s="22" t="str">
        <f>IF($B45="","",IF(N('Aset Tetap'!$AG45)=0,0,IF(AND((YEAR(O$6)*12+MONTH(O$6))&gt;='Aset Tetap'!$Y45,(YEAR(O$6)*12+MONTH(O$6))&lt;=MIN('Aset Tetap'!$Z45,IF('Aset Tetap'!$S45="Unit Produksi",99999,'Aset Tetap'!$Y45+'Aset Tetap'!$T45*12-1))),'Aset Tetap'!$AQ45/'Aset Tetap'!$AG45,0)))</f>
        <v/>
      </c>
      <c r="P45" s="22" t="str">
        <f>IF($B45="","",IF(N('Aset Tetap'!$AG45)=0,0,IF(AND((YEAR(P$6)*12+MONTH(P$6))&gt;='Aset Tetap'!$Y45,(YEAR(P$6)*12+MONTH(P$6))&lt;=MIN('Aset Tetap'!$Z45,IF('Aset Tetap'!$S45="Unit Produksi",99999,'Aset Tetap'!$Y45+'Aset Tetap'!$T45*12-1))),'Aset Tetap'!$AQ45/'Aset Tetap'!$AG45,0)))</f>
        <v/>
      </c>
      <c r="Q45" s="22" t="str">
        <f>IF($B45="","",SUM(E45:P45))</f>
        <v/>
      </c>
      <c r="R45" s="22" t="str">
        <f>IF($B45="","",'Aset Tetap'!AQ45)</f>
        <v/>
      </c>
      <c r="S45" s="22" t="str">
        <f>IF($B45="","",ROUND(Q45-R45,0))</f>
        <v/>
      </c>
    </row>
    <row r="46" spans="1:19" x14ac:dyDescent="0.25">
      <c r="A46" t="str">
        <f>IF('Aset Tetap'!$B46="","",'Aset Tetap'!A46)</f>
        <v/>
      </c>
      <c r="B46" t="str">
        <f>IF('Aset Tetap'!$B46="","",'Aset Tetap'!B46)</f>
        <v/>
      </c>
      <c r="C46" t="str">
        <f>IF('Aset Tetap'!$B46="","",'Aset Tetap'!C46)</f>
        <v/>
      </c>
      <c r="D46" t="str">
        <f>IF('Aset Tetap'!$B46="","",'Aset Tetap'!D46)</f>
        <v/>
      </c>
      <c r="E46" s="22" t="str">
        <f>IF($B46="","",IF(N('Aset Tetap'!$AG46)=0,0,IF(AND((YEAR(E$6)*12+MONTH(E$6))&gt;='Aset Tetap'!$Y46,(YEAR(E$6)*12+MONTH(E$6))&lt;=MIN('Aset Tetap'!$Z46,IF('Aset Tetap'!$S46="Unit Produksi",99999,'Aset Tetap'!$Y46+'Aset Tetap'!$T46*12-1))),'Aset Tetap'!$AQ46/'Aset Tetap'!$AG46,0)))</f>
        <v/>
      </c>
      <c r="F46" s="22" t="str">
        <f>IF($B46="","",IF(N('Aset Tetap'!$AG46)=0,0,IF(AND((YEAR(F$6)*12+MONTH(F$6))&gt;='Aset Tetap'!$Y46,(YEAR(F$6)*12+MONTH(F$6))&lt;=MIN('Aset Tetap'!$Z46,IF('Aset Tetap'!$S46="Unit Produksi",99999,'Aset Tetap'!$Y46+'Aset Tetap'!$T46*12-1))),'Aset Tetap'!$AQ46/'Aset Tetap'!$AG46,0)))</f>
        <v/>
      </c>
      <c r="G46" s="22" t="str">
        <f>IF($B46="","",IF(N('Aset Tetap'!$AG46)=0,0,IF(AND((YEAR(G$6)*12+MONTH(G$6))&gt;='Aset Tetap'!$Y46,(YEAR(G$6)*12+MONTH(G$6))&lt;=MIN('Aset Tetap'!$Z46,IF('Aset Tetap'!$S46="Unit Produksi",99999,'Aset Tetap'!$Y46+'Aset Tetap'!$T46*12-1))),'Aset Tetap'!$AQ46/'Aset Tetap'!$AG46,0)))</f>
        <v/>
      </c>
      <c r="H46" s="22" t="str">
        <f>IF($B46="","",IF(N('Aset Tetap'!$AG46)=0,0,IF(AND((YEAR(H$6)*12+MONTH(H$6))&gt;='Aset Tetap'!$Y46,(YEAR(H$6)*12+MONTH(H$6))&lt;=MIN('Aset Tetap'!$Z46,IF('Aset Tetap'!$S46="Unit Produksi",99999,'Aset Tetap'!$Y46+'Aset Tetap'!$T46*12-1))),'Aset Tetap'!$AQ46/'Aset Tetap'!$AG46,0)))</f>
        <v/>
      </c>
      <c r="I46" s="22" t="str">
        <f>IF($B46="","",IF(N('Aset Tetap'!$AG46)=0,0,IF(AND((YEAR(I$6)*12+MONTH(I$6))&gt;='Aset Tetap'!$Y46,(YEAR(I$6)*12+MONTH(I$6))&lt;=MIN('Aset Tetap'!$Z46,IF('Aset Tetap'!$S46="Unit Produksi",99999,'Aset Tetap'!$Y46+'Aset Tetap'!$T46*12-1))),'Aset Tetap'!$AQ46/'Aset Tetap'!$AG46,0)))</f>
        <v/>
      </c>
      <c r="J46" s="22" t="str">
        <f>IF($B46="","",IF(N('Aset Tetap'!$AG46)=0,0,IF(AND((YEAR(J$6)*12+MONTH(J$6))&gt;='Aset Tetap'!$Y46,(YEAR(J$6)*12+MONTH(J$6))&lt;=MIN('Aset Tetap'!$Z46,IF('Aset Tetap'!$S46="Unit Produksi",99999,'Aset Tetap'!$Y46+'Aset Tetap'!$T46*12-1))),'Aset Tetap'!$AQ46/'Aset Tetap'!$AG46,0)))</f>
        <v/>
      </c>
      <c r="K46" s="22" t="str">
        <f>IF($B46="","",IF(N('Aset Tetap'!$AG46)=0,0,IF(AND((YEAR(K$6)*12+MONTH(K$6))&gt;='Aset Tetap'!$Y46,(YEAR(K$6)*12+MONTH(K$6))&lt;=MIN('Aset Tetap'!$Z46,IF('Aset Tetap'!$S46="Unit Produksi",99999,'Aset Tetap'!$Y46+'Aset Tetap'!$T46*12-1))),'Aset Tetap'!$AQ46/'Aset Tetap'!$AG46,0)))</f>
        <v/>
      </c>
      <c r="L46" s="22" t="str">
        <f>IF($B46="","",IF(N('Aset Tetap'!$AG46)=0,0,IF(AND((YEAR(L$6)*12+MONTH(L$6))&gt;='Aset Tetap'!$Y46,(YEAR(L$6)*12+MONTH(L$6))&lt;=MIN('Aset Tetap'!$Z46,IF('Aset Tetap'!$S46="Unit Produksi",99999,'Aset Tetap'!$Y46+'Aset Tetap'!$T46*12-1))),'Aset Tetap'!$AQ46/'Aset Tetap'!$AG46,0)))</f>
        <v/>
      </c>
      <c r="M46" s="22" t="str">
        <f>IF($B46="","",IF(N('Aset Tetap'!$AG46)=0,0,IF(AND((YEAR(M$6)*12+MONTH(M$6))&gt;='Aset Tetap'!$Y46,(YEAR(M$6)*12+MONTH(M$6))&lt;=MIN('Aset Tetap'!$Z46,IF('Aset Tetap'!$S46="Unit Produksi",99999,'Aset Tetap'!$Y46+'Aset Tetap'!$T46*12-1))),'Aset Tetap'!$AQ46/'Aset Tetap'!$AG46,0)))</f>
        <v/>
      </c>
      <c r="N46" s="22" t="str">
        <f>IF($B46="","",IF(N('Aset Tetap'!$AG46)=0,0,IF(AND((YEAR(N$6)*12+MONTH(N$6))&gt;='Aset Tetap'!$Y46,(YEAR(N$6)*12+MONTH(N$6))&lt;=MIN('Aset Tetap'!$Z46,IF('Aset Tetap'!$S46="Unit Produksi",99999,'Aset Tetap'!$Y46+'Aset Tetap'!$T46*12-1))),'Aset Tetap'!$AQ46/'Aset Tetap'!$AG46,0)))</f>
        <v/>
      </c>
      <c r="O46" s="22" t="str">
        <f>IF($B46="","",IF(N('Aset Tetap'!$AG46)=0,0,IF(AND((YEAR(O$6)*12+MONTH(O$6))&gt;='Aset Tetap'!$Y46,(YEAR(O$6)*12+MONTH(O$6))&lt;=MIN('Aset Tetap'!$Z46,IF('Aset Tetap'!$S46="Unit Produksi",99999,'Aset Tetap'!$Y46+'Aset Tetap'!$T46*12-1))),'Aset Tetap'!$AQ46/'Aset Tetap'!$AG46,0)))</f>
        <v/>
      </c>
      <c r="P46" s="22" t="str">
        <f>IF($B46="","",IF(N('Aset Tetap'!$AG46)=0,0,IF(AND((YEAR(P$6)*12+MONTH(P$6))&gt;='Aset Tetap'!$Y46,(YEAR(P$6)*12+MONTH(P$6))&lt;=MIN('Aset Tetap'!$Z46,IF('Aset Tetap'!$S46="Unit Produksi",99999,'Aset Tetap'!$Y46+'Aset Tetap'!$T46*12-1))),'Aset Tetap'!$AQ46/'Aset Tetap'!$AG46,0)))</f>
        <v/>
      </c>
      <c r="Q46" s="22" t="str">
        <f>IF($B46="","",SUM(E46:P46))</f>
        <v/>
      </c>
      <c r="R46" s="22" t="str">
        <f>IF($B46="","",'Aset Tetap'!AQ46)</f>
        <v/>
      </c>
      <c r="S46" s="22" t="str">
        <f>IF($B46="","",ROUND(Q46-R46,0))</f>
        <v/>
      </c>
    </row>
    <row r="47" spans="1:19" x14ac:dyDescent="0.25">
      <c r="A47" t="str">
        <f>IF('Aset Tetap'!$B47="","",'Aset Tetap'!A47)</f>
        <v/>
      </c>
      <c r="B47" t="str">
        <f>IF('Aset Tetap'!$B47="","",'Aset Tetap'!B47)</f>
        <v/>
      </c>
      <c r="C47" t="str">
        <f>IF('Aset Tetap'!$B47="","",'Aset Tetap'!C47)</f>
        <v/>
      </c>
      <c r="D47" t="str">
        <f>IF('Aset Tetap'!$B47="","",'Aset Tetap'!D47)</f>
        <v/>
      </c>
      <c r="E47" s="22" t="str">
        <f>IF($B47="","",IF(N('Aset Tetap'!$AG47)=0,0,IF(AND((YEAR(E$6)*12+MONTH(E$6))&gt;='Aset Tetap'!$Y47,(YEAR(E$6)*12+MONTH(E$6))&lt;=MIN('Aset Tetap'!$Z47,IF('Aset Tetap'!$S47="Unit Produksi",99999,'Aset Tetap'!$Y47+'Aset Tetap'!$T47*12-1))),'Aset Tetap'!$AQ47/'Aset Tetap'!$AG47,0)))</f>
        <v/>
      </c>
      <c r="F47" s="22" t="str">
        <f>IF($B47="","",IF(N('Aset Tetap'!$AG47)=0,0,IF(AND((YEAR(F$6)*12+MONTH(F$6))&gt;='Aset Tetap'!$Y47,(YEAR(F$6)*12+MONTH(F$6))&lt;=MIN('Aset Tetap'!$Z47,IF('Aset Tetap'!$S47="Unit Produksi",99999,'Aset Tetap'!$Y47+'Aset Tetap'!$T47*12-1))),'Aset Tetap'!$AQ47/'Aset Tetap'!$AG47,0)))</f>
        <v/>
      </c>
      <c r="G47" s="22" t="str">
        <f>IF($B47="","",IF(N('Aset Tetap'!$AG47)=0,0,IF(AND((YEAR(G$6)*12+MONTH(G$6))&gt;='Aset Tetap'!$Y47,(YEAR(G$6)*12+MONTH(G$6))&lt;=MIN('Aset Tetap'!$Z47,IF('Aset Tetap'!$S47="Unit Produksi",99999,'Aset Tetap'!$Y47+'Aset Tetap'!$T47*12-1))),'Aset Tetap'!$AQ47/'Aset Tetap'!$AG47,0)))</f>
        <v/>
      </c>
      <c r="H47" s="22" t="str">
        <f>IF($B47="","",IF(N('Aset Tetap'!$AG47)=0,0,IF(AND((YEAR(H$6)*12+MONTH(H$6))&gt;='Aset Tetap'!$Y47,(YEAR(H$6)*12+MONTH(H$6))&lt;=MIN('Aset Tetap'!$Z47,IF('Aset Tetap'!$S47="Unit Produksi",99999,'Aset Tetap'!$Y47+'Aset Tetap'!$T47*12-1))),'Aset Tetap'!$AQ47/'Aset Tetap'!$AG47,0)))</f>
        <v/>
      </c>
      <c r="I47" s="22" t="str">
        <f>IF($B47="","",IF(N('Aset Tetap'!$AG47)=0,0,IF(AND((YEAR(I$6)*12+MONTH(I$6))&gt;='Aset Tetap'!$Y47,(YEAR(I$6)*12+MONTH(I$6))&lt;=MIN('Aset Tetap'!$Z47,IF('Aset Tetap'!$S47="Unit Produksi",99999,'Aset Tetap'!$Y47+'Aset Tetap'!$T47*12-1))),'Aset Tetap'!$AQ47/'Aset Tetap'!$AG47,0)))</f>
        <v/>
      </c>
      <c r="J47" s="22" t="str">
        <f>IF($B47="","",IF(N('Aset Tetap'!$AG47)=0,0,IF(AND((YEAR(J$6)*12+MONTH(J$6))&gt;='Aset Tetap'!$Y47,(YEAR(J$6)*12+MONTH(J$6))&lt;=MIN('Aset Tetap'!$Z47,IF('Aset Tetap'!$S47="Unit Produksi",99999,'Aset Tetap'!$Y47+'Aset Tetap'!$T47*12-1))),'Aset Tetap'!$AQ47/'Aset Tetap'!$AG47,0)))</f>
        <v/>
      </c>
      <c r="K47" s="22" t="str">
        <f>IF($B47="","",IF(N('Aset Tetap'!$AG47)=0,0,IF(AND((YEAR(K$6)*12+MONTH(K$6))&gt;='Aset Tetap'!$Y47,(YEAR(K$6)*12+MONTH(K$6))&lt;=MIN('Aset Tetap'!$Z47,IF('Aset Tetap'!$S47="Unit Produksi",99999,'Aset Tetap'!$Y47+'Aset Tetap'!$T47*12-1))),'Aset Tetap'!$AQ47/'Aset Tetap'!$AG47,0)))</f>
        <v/>
      </c>
      <c r="L47" s="22" t="str">
        <f>IF($B47="","",IF(N('Aset Tetap'!$AG47)=0,0,IF(AND((YEAR(L$6)*12+MONTH(L$6))&gt;='Aset Tetap'!$Y47,(YEAR(L$6)*12+MONTH(L$6))&lt;=MIN('Aset Tetap'!$Z47,IF('Aset Tetap'!$S47="Unit Produksi",99999,'Aset Tetap'!$Y47+'Aset Tetap'!$T47*12-1))),'Aset Tetap'!$AQ47/'Aset Tetap'!$AG47,0)))</f>
        <v/>
      </c>
      <c r="M47" s="22" t="str">
        <f>IF($B47="","",IF(N('Aset Tetap'!$AG47)=0,0,IF(AND((YEAR(M$6)*12+MONTH(M$6))&gt;='Aset Tetap'!$Y47,(YEAR(M$6)*12+MONTH(M$6))&lt;=MIN('Aset Tetap'!$Z47,IF('Aset Tetap'!$S47="Unit Produksi",99999,'Aset Tetap'!$Y47+'Aset Tetap'!$T47*12-1))),'Aset Tetap'!$AQ47/'Aset Tetap'!$AG47,0)))</f>
        <v/>
      </c>
      <c r="N47" s="22" t="str">
        <f>IF($B47="","",IF(N('Aset Tetap'!$AG47)=0,0,IF(AND((YEAR(N$6)*12+MONTH(N$6))&gt;='Aset Tetap'!$Y47,(YEAR(N$6)*12+MONTH(N$6))&lt;=MIN('Aset Tetap'!$Z47,IF('Aset Tetap'!$S47="Unit Produksi",99999,'Aset Tetap'!$Y47+'Aset Tetap'!$T47*12-1))),'Aset Tetap'!$AQ47/'Aset Tetap'!$AG47,0)))</f>
        <v/>
      </c>
      <c r="O47" s="22" t="str">
        <f>IF($B47="","",IF(N('Aset Tetap'!$AG47)=0,0,IF(AND((YEAR(O$6)*12+MONTH(O$6))&gt;='Aset Tetap'!$Y47,(YEAR(O$6)*12+MONTH(O$6))&lt;=MIN('Aset Tetap'!$Z47,IF('Aset Tetap'!$S47="Unit Produksi",99999,'Aset Tetap'!$Y47+'Aset Tetap'!$T47*12-1))),'Aset Tetap'!$AQ47/'Aset Tetap'!$AG47,0)))</f>
        <v/>
      </c>
      <c r="P47" s="22" t="str">
        <f>IF($B47="","",IF(N('Aset Tetap'!$AG47)=0,0,IF(AND((YEAR(P$6)*12+MONTH(P$6))&gt;='Aset Tetap'!$Y47,(YEAR(P$6)*12+MONTH(P$6))&lt;=MIN('Aset Tetap'!$Z47,IF('Aset Tetap'!$S47="Unit Produksi",99999,'Aset Tetap'!$Y47+'Aset Tetap'!$T47*12-1))),'Aset Tetap'!$AQ47/'Aset Tetap'!$AG47,0)))</f>
        <v/>
      </c>
      <c r="Q47" s="22" t="str">
        <f>IF($B47="","",SUM(E47:P47))</f>
        <v/>
      </c>
      <c r="R47" s="22" t="str">
        <f>IF($B47="","",'Aset Tetap'!AQ47)</f>
        <v/>
      </c>
      <c r="S47" s="22" t="str">
        <f>IF($B47="","",ROUND(Q47-R47,0))</f>
        <v/>
      </c>
    </row>
    <row r="48" spans="1:19" x14ac:dyDescent="0.25">
      <c r="A48" t="str">
        <f>IF('Aset Tetap'!$B48="","",'Aset Tetap'!A48)</f>
        <v/>
      </c>
      <c r="B48" t="str">
        <f>IF('Aset Tetap'!$B48="","",'Aset Tetap'!B48)</f>
        <v/>
      </c>
      <c r="C48" t="str">
        <f>IF('Aset Tetap'!$B48="","",'Aset Tetap'!C48)</f>
        <v/>
      </c>
      <c r="D48" t="str">
        <f>IF('Aset Tetap'!$B48="","",'Aset Tetap'!D48)</f>
        <v/>
      </c>
      <c r="E48" s="22" t="str">
        <f>IF($B48="","",IF(N('Aset Tetap'!$AG48)=0,0,IF(AND((YEAR(E$6)*12+MONTH(E$6))&gt;='Aset Tetap'!$Y48,(YEAR(E$6)*12+MONTH(E$6))&lt;=MIN('Aset Tetap'!$Z48,IF('Aset Tetap'!$S48="Unit Produksi",99999,'Aset Tetap'!$Y48+'Aset Tetap'!$T48*12-1))),'Aset Tetap'!$AQ48/'Aset Tetap'!$AG48,0)))</f>
        <v/>
      </c>
      <c r="F48" s="22" t="str">
        <f>IF($B48="","",IF(N('Aset Tetap'!$AG48)=0,0,IF(AND((YEAR(F$6)*12+MONTH(F$6))&gt;='Aset Tetap'!$Y48,(YEAR(F$6)*12+MONTH(F$6))&lt;=MIN('Aset Tetap'!$Z48,IF('Aset Tetap'!$S48="Unit Produksi",99999,'Aset Tetap'!$Y48+'Aset Tetap'!$T48*12-1))),'Aset Tetap'!$AQ48/'Aset Tetap'!$AG48,0)))</f>
        <v/>
      </c>
      <c r="G48" s="22" t="str">
        <f>IF($B48="","",IF(N('Aset Tetap'!$AG48)=0,0,IF(AND((YEAR(G$6)*12+MONTH(G$6))&gt;='Aset Tetap'!$Y48,(YEAR(G$6)*12+MONTH(G$6))&lt;=MIN('Aset Tetap'!$Z48,IF('Aset Tetap'!$S48="Unit Produksi",99999,'Aset Tetap'!$Y48+'Aset Tetap'!$T48*12-1))),'Aset Tetap'!$AQ48/'Aset Tetap'!$AG48,0)))</f>
        <v/>
      </c>
      <c r="H48" s="22" t="str">
        <f>IF($B48="","",IF(N('Aset Tetap'!$AG48)=0,0,IF(AND((YEAR(H$6)*12+MONTH(H$6))&gt;='Aset Tetap'!$Y48,(YEAR(H$6)*12+MONTH(H$6))&lt;=MIN('Aset Tetap'!$Z48,IF('Aset Tetap'!$S48="Unit Produksi",99999,'Aset Tetap'!$Y48+'Aset Tetap'!$T48*12-1))),'Aset Tetap'!$AQ48/'Aset Tetap'!$AG48,0)))</f>
        <v/>
      </c>
      <c r="I48" s="22" t="str">
        <f>IF($B48="","",IF(N('Aset Tetap'!$AG48)=0,0,IF(AND((YEAR(I$6)*12+MONTH(I$6))&gt;='Aset Tetap'!$Y48,(YEAR(I$6)*12+MONTH(I$6))&lt;=MIN('Aset Tetap'!$Z48,IF('Aset Tetap'!$S48="Unit Produksi",99999,'Aset Tetap'!$Y48+'Aset Tetap'!$T48*12-1))),'Aset Tetap'!$AQ48/'Aset Tetap'!$AG48,0)))</f>
        <v/>
      </c>
      <c r="J48" s="22" t="str">
        <f>IF($B48="","",IF(N('Aset Tetap'!$AG48)=0,0,IF(AND((YEAR(J$6)*12+MONTH(J$6))&gt;='Aset Tetap'!$Y48,(YEAR(J$6)*12+MONTH(J$6))&lt;=MIN('Aset Tetap'!$Z48,IF('Aset Tetap'!$S48="Unit Produksi",99999,'Aset Tetap'!$Y48+'Aset Tetap'!$T48*12-1))),'Aset Tetap'!$AQ48/'Aset Tetap'!$AG48,0)))</f>
        <v/>
      </c>
      <c r="K48" s="22" t="str">
        <f>IF($B48="","",IF(N('Aset Tetap'!$AG48)=0,0,IF(AND((YEAR(K$6)*12+MONTH(K$6))&gt;='Aset Tetap'!$Y48,(YEAR(K$6)*12+MONTH(K$6))&lt;=MIN('Aset Tetap'!$Z48,IF('Aset Tetap'!$S48="Unit Produksi",99999,'Aset Tetap'!$Y48+'Aset Tetap'!$T48*12-1))),'Aset Tetap'!$AQ48/'Aset Tetap'!$AG48,0)))</f>
        <v/>
      </c>
      <c r="L48" s="22" t="str">
        <f>IF($B48="","",IF(N('Aset Tetap'!$AG48)=0,0,IF(AND((YEAR(L$6)*12+MONTH(L$6))&gt;='Aset Tetap'!$Y48,(YEAR(L$6)*12+MONTH(L$6))&lt;=MIN('Aset Tetap'!$Z48,IF('Aset Tetap'!$S48="Unit Produksi",99999,'Aset Tetap'!$Y48+'Aset Tetap'!$T48*12-1))),'Aset Tetap'!$AQ48/'Aset Tetap'!$AG48,0)))</f>
        <v/>
      </c>
      <c r="M48" s="22" t="str">
        <f>IF($B48="","",IF(N('Aset Tetap'!$AG48)=0,0,IF(AND((YEAR(M$6)*12+MONTH(M$6))&gt;='Aset Tetap'!$Y48,(YEAR(M$6)*12+MONTH(M$6))&lt;=MIN('Aset Tetap'!$Z48,IF('Aset Tetap'!$S48="Unit Produksi",99999,'Aset Tetap'!$Y48+'Aset Tetap'!$T48*12-1))),'Aset Tetap'!$AQ48/'Aset Tetap'!$AG48,0)))</f>
        <v/>
      </c>
      <c r="N48" s="22" t="str">
        <f>IF($B48="","",IF(N('Aset Tetap'!$AG48)=0,0,IF(AND((YEAR(N$6)*12+MONTH(N$6))&gt;='Aset Tetap'!$Y48,(YEAR(N$6)*12+MONTH(N$6))&lt;=MIN('Aset Tetap'!$Z48,IF('Aset Tetap'!$S48="Unit Produksi",99999,'Aset Tetap'!$Y48+'Aset Tetap'!$T48*12-1))),'Aset Tetap'!$AQ48/'Aset Tetap'!$AG48,0)))</f>
        <v/>
      </c>
      <c r="O48" s="22" t="str">
        <f>IF($B48="","",IF(N('Aset Tetap'!$AG48)=0,0,IF(AND((YEAR(O$6)*12+MONTH(O$6))&gt;='Aset Tetap'!$Y48,(YEAR(O$6)*12+MONTH(O$6))&lt;=MIN('Aset Tetap'!$Z48,IF('Aset Tetap'!$S48="Unit Produksi",99999,'Aset Tetap'!$Y48+'Aset Tetap'!$T48*12-1))),'Aset Tetap'!$AQ48/'Aset Tetap'!$AG48,0)))</f>
        <v/>
      </c>
      <c r="P48" s="22" t="str">
        <f>IF($B48="","",IF(N('Aset Tetap'!$AG48)=0,0,IF(AND((YEAR(P$6)*12+MONTH(P$6))&gt;='Aset Tetap'!$Y48,(YEAR(P$6)*12+MONTH(P$6))&lt;=MIN('Aset Tetap'!$Z48,IF('Aset Tetap'!$S48="Unit Produksi",99999,'Aset Tetap'!$Y48+'Aset Tetap'!$T48*12-1))),'Aset Tetap'!$AQ48/'Aset Tetap'!$AG48,0)))</f>
        <v/>
      </c>
      <c r="Q48" s="22" t="str">
        <f>IF($B48="","",SUM(E48:P48))</f>
        <v/>
      </c>
      <c r="R48" s="22" t="str">
        <f>IF($B48="","",'Aset Tetap'!AQ48)</f>
        <v/>
      </c>
      <c r="S48" s="22" t="str">
        <f>IF($B48="","",ROUND(Q48-R48,0))</f>
        <v/>
      </c>
    </row>
    <row r="49" spans="1:19" x14ac:dyDescent="0.25">
      <c r="A49" t="str">
        <f>IF('Aset Tetap'!$B49="","",'Aset Tetap'!A49)</f>
        <v/>
      </c>
      <c r="B49" t="str">
        <f>IF('Aset Tetap'!$B49="","",'Aset Tetap'!B49)</f>
        <v/>
      </c>
      <c r="C49" t="str">
        <f>IF('Aset Tetap'!$B49="","",'Aset Tetap'!C49)</f>
        <v/>
      </c>
      <c r="D49" t="str">
        <f>IF('Aset Tetap'!$B49="","",'Aset Tetap'!D49)</f>
        <v/>
      </c>
      <c r="E49" s="22" t="str">
        <f>IF($B49="","",IF(N('Aset Tetap'!$AG49)=0,0,IF(AND((YEAR(E$6)*12+MONTH(E$6))&gt;='Aset Tetap'!$Y49,(YEAR(E$6)*12+MONTH(E$6))&lt;=MIN('Aset Tetap'!$Z49,IF('Aset Tetap'!$S49="Unit Produksi",99999,'Aset Tetap'!$Y49+'Aset Tetap'!$T49*12-1))),'Aset Tetap'!$AQ49/'Aset Tetap'!$AG49,0)))</f>
        <v/>
      </c>
      <c r="F49" s="22" t="str">
        <f>IF($B49="","",IF(N('Aset Tetap'!$AG49)=0,0,IF(AND((YEAR(F$6)*12+MONTH(F$6))&gt;='Aset Tetap'!$Y49,(YEAR(F$6)*12+MONTH(F$6))&lt;=MIN('Aset Tetap'!$Z49,IF('Aset Tetap'!$S49="Unit Produksi",99999,'Aset Tetap'!$Y49+'Aset Tetap'!$T49*12-1))),'Aset Tetap'!$AQ49/'Aset Tetap'!$AG49,0)))</f>
        <v/>
      </c>
      <c r="G49" s="22" t="str">
        <f>IF($B49="","",IF(N('Aset Tetap'!$AG49)=0,0,IF(AND((YEAR(G$6)*12+MONTH(G$6))&gt;='Aset Tetap'!$Y49,(YEAR(G$6)*12+MONTH(G$6))&lt;=MIN('Aset Tetap'!$Z49,IF('Aset Tetap'!$S49="Unit Produksi",99999,'Aset Tetap'!$Y49+'Aset Tetap'!$T49*12-1))),'Aset Tetap'!$AQ49/'Aset Tetap'!$AG49,0)))</f>
        <v/>
      </c>
      <c r="H49" s="22" t="str">
        <f>IF($B49="","",IF(N('Aset Tetap'!$AG49)=0,0,IF(AND((YEAR(H$6)*12+MONTH(H$6))&gt;='Aset Tetap'!$Y49,(YEAR(H$6)*12+MONTH(H$6))&lt;=MIN('Aset Tetap'!$Z49,IF('Aset Tetap'!$S49="Unit Produksi",99999,'Aset Tetap'!$Y49+'Aset Tetap'!$T49*12-1))),'Aset Tetap'!$AQ49/'Aset Tetap'!$AG49,0)))</f>
        <v/>
      </c>
      <c r="I49" s="22" t="str">
        <f>IF($B49="","",IF(N('Aset Tetap'!$AG49)=0,0,IF(AND((YEAR(I$6)*12+MONTH(I$6))&gt;='Aset Tetap'!$Y49,(YEAR(I$6)*12+MONTH(I$6))&lt;=MIN('Aset Tetap'!$Z49,IF('Aset Tetap'!$S49="Unit Produksi",99999,'Aset Tetap'!$Y49+'Aset Tetap'!$T49*12-1))),'Aset Tetap'!$AQ49/'Aset Tetap'!$AG49,0)))</f>
        <v/>
      </c>
      <c r="J49" s="22" t="str">
        <f>IF($B49="","",IF(N('Aset Tetap'!$AG49)=0,0,IF(AND((YEAR(J$6)*12+MONTH(J$6))&gt;='Aset Tetap'!$Y49,(YEAR(J$6)*12+MONTH(J$6))&lt;=MIN('Aset Tetap'!$Z49,IF('Aset Tetap'!$S49="Unit Produksi",99999,'Aset Tetap'!$Y49+'Aset Tetap'!$T49*12-1))),'Aset Tetap'!$AQ49/'Aset Tetap'!$AG49,0)))</f>
        <v/>
      </c>
      <c r="K49" s="22" t="str">
        <f>IF($B49="","",IF(N('Aset Tetap'!$AG49)=0,0,IF(AND((YEAR(K$6)*12+MONTH(K$6))&gt;='Aset Tetap'!$Y49,(YEAR(K$6)*12+MONTH(K$6))&lt;=MIN('Aset Tetap'!$Z49,IF('Aset Tetap'!$S49="Unit Produksi",99999,'Aset Tetap'!$Y49+'Aset Tetap'!$T49*12-1))),'Aset Tetap'!$AQ49/'Aset Tetap'!$AG49,0)))</f>
        <v/>
      </c>
      <c r="L49" s="22" t="str">
        <f>IF($B49="","",IF(N('Aset Tetap'!$AG49)=0,0,IF(AND((YEAR(L$6)*12+MONTH(L$6))&gt;='Aset Tetap'!$Y49,(YEAR(L$6)*12+MONTH(L$6))&lt;=MIN('Aset Tetap'!$Z49,IF('Aset Tetap'!$S49="Unit Produksi",99999,'Aset Tetap'!$Y49+'Aset Tetap'!$T49*12-1))),'Aset Tetap'!$AQ49/'Aset Tetap'!$AG49,0)))</f>
        <v/>
      </c>
      <c r="M49" s="22" t="str">
        <f>IF($B49="","",IF(N('Aset Tetap'!$AG49)=0,0,IF(AND((YEAR(M$6)*12+MONTH(M$6))&gt;='Aset Tetap'!$Y49,(YEAR(M$6)*12+MONTH(M$6))&lt;=MIN('Aset Tetap'!$Z49,IF('Aset Tetap'!$S49="Unit Produksi",99999,'Aset Tetap'!$Y49+'Aset Tetap'!$T49*12-1))),'Aset Tetap'!$AQ49/'Aset Tetap'!$AG49,0)))</f>
        <v/>
      </c>
      <c r="N49" s="22" t="str">
        <f>IF($B49="","",IF(N('Aset Tetap'!$AG49)=0,0,IF(AND((YEAR(N$6)*12+MONTH(N$6))&gt;='Aset Tetap'!$Y49,(YEAR(N$6)*12+MONTH(N$6))&lt;=MIN('Aset Tetap'!$Z49,IF('Aset Tetap'!$S49="Unit Produksi",99999,'Aset Tetap'!$Y49+'Aset Tetap'!$T49*12-1))),'Aset Tetap'!$AQ49/'Aset Tetap'!$AG49,0)))</f>
        <v/>
      </c>
      <c r="O49" s="22" t="str">
        <f>IF($B49="","",IF(N('Aset Tetap'!$AG49)=0,0,IF(AND((YEAR(O$6)*12+MONTH(O$6))&gt;='Aset Tetap'!$Y49,(YEAR(O$6)*12+MONTH(O$6))&lt;=MIN('Aset Tetap'!$Z49,IF('Aset Tetap'!$S49="Unit Produksi",99999,'Aset Tetap'!$Y49+'Aset Tetap'!$T49*12-1))),'Aset Tetap'!$AQ49/'Aset Tetap'!$AG49,0)))</f>
        <v/>
      </c>
      <c r="P49" s="22" t="str">
        <f>IF($B49="","",IF(N('Aset Tetap'!$AG49)=0,0,IF(AND((YEAR(P$6)*12+MONTH(P$6))&gt;='Aset Tetap'!$Y49,(YEAR(P$6)*12+MONTH(P$6))&lt;=MIN('Aset Tetap'!$Z49,IF('Aset Tetap'!$S49="Unit Produksi",99999,'Aset Tetap'!$Y49+'Aset Tetap'!$T49*12-1))),'Aset Tetap'!$AQ49/'Aset Tetap'!$AG49,0)))</f>
        <v/>
      </c>
      <c r="Q49" s="22" t="str">
        <f>IF($B49="","",SUM(E49:P49))</f>
        <v/>
      </c>
      <c r="R49" s="22" t="str">
        <f>IF($B49="","",'Aset Tetap'!AQ49)</f>
        <v/>
      </c>
      <c r="S49" s="22" t="str">
        <f>IF($B49="","",ROUND(Q49-R49,0))</f>
        <v/>
      </c>
    </row>
    <row r="50" spans="1:19" x14ac:dyDescent="0.25">
      <c r="A50" t="str">
        <f>IF('Aset Tetap'!$B50="","",'Aset Tetap'!A50)</f>
        <v/>
      </c>
      <c r="B50" t="str">
        <f>IF('Aset Tetap'!$B50="","",'Aset Tetap'!B50)</f>
        <v/>
      </c>
      <c r="C50" t="str">
        <f>IF('Aset Tetap'!$B50="","",'Aset Tetap'!C50)</f>
        <v/>
      </c>
      <c r="D50" t="str">
        <f>IF('Aset Tetap'!$B50="","",'Aset Tetap'!D50)</f>
        <v/>
      </c>
      <c r="E50" s="22" t="str">
        <f>IF($B50="","",IF(N('Aset Tetap'!$AG50)=0,0,IF(AND((YEAR(E$6)*12+MONTH(E$6))&gt;='Aset Tetap'!$Y50,(YEAR(E$6)*12+MONTH(E$6))&lt;=MIN('Aset Tetap'!$Z50,IF('Aset Tetap'!$S50="Unit Produksi",99999,'Aset Tetap'!$Y50+'Aset Tetap'!$T50*12-1))),'Aset Tetap'!$AQ50/'Aset Tetap'!$AG50,0)))</f>
        <v/>
      </c>
      <c r="F50" s="22" t="str">
        <f>IF($B50="","",IF(N('Aset Tetap'!$AG50)=0,0,IF(AND((YEAR(F$6)*12+MONTH(F$6))&gt;='Aset Tetap'!$Y50,(YEAR(F$6)*12+MONTH(F$6))&lt;=MIN('Aset Tetap'!$Z50,IF('Aset Tetap'!$S50="Unit Produksi",99999,'Aset Tetap'!$Y50+'Aset Tetap'!$T50*12-1))),'Aset Tetap'!$AQ50/'Aset Tetap'!$AG50,0)))</f>
        <v/>
      </c>
      <c r="G50" s="22" t="str">
        <f>IF($B50="","",IF(N('Aset Tetap'!$AG50)=0,0,IF(AND((YEAR(G$6)*12+MONTH(G$6))&gt;='Aset Tetap'!$Y50,(YEAR(G$6)*12+MONTH(G$6))&lt;=MIN('Aset Tetap'!$Z50,IF('Aset Tetap'!$S50="Unit Produksi",99999,'Aset Tetap'!$Y50+'Aset Tetap'!$T50*12-1))),'Aset Tetap'!$AQ50/'Aset Tetap'!$AG50,0)))</f>
        <v/>
      </c>
      <c r="H50" s="22" t="str">
        <f>IF($B50="","",IF(N('Aset Tetap'!$AG50)=0,0,IF(AND((YEAR(H$6)*12+MONTH(H$6))&gt;='Aset Tetap'!$Y50,(YEAR(H$6)*12+MONTH(H$6))&lt;=MIN('Aset Tetap'!$Z50,IF('Aset Tetap'!$S50="Unit Produksi",99999,'Aset Tetap'!$Y50+'Aset Tetap'!$T50*12-1))),'Aset Tetap'!$AQ50/'Aset Tetap'!$AG50,0)))</f>
        <v/>
      </c>
      <c r="I50" s="22" t="str">
        <f>IF($B50="","",IF(N('Aset Tetap'!$AG50)=0,0,IF(AND((YEAR(I$6)*12+MONTH(I$6))&gt;='Aset Tetap'!$Y50,(YEAR(I$6)*12+MONTH(I$6))&lt;=MIN('Aset Tetap'!$Z50,IF('Aset Tetap'!$S50="Unit Produksi",99999,'Aset Tetap'!$Y50+'Aset Tetap'!$T50*12-1))),'Aset Tetap'!$AQ50/'Aset Tetap'!$AG50,0)))</f>
        <v/>
      </c>
      <c r="J50" s="22" t="str">
        <f>IF($B50="","",IF(N('Aset Tetap'!$AG50)=0,0,IF(AND((YEAR(J$6)*12+MONTH(J$6))&gt;='Aset Tetap'!$Y50,(YEAR(J$6)*12+MONTH(J$6))&lt;=MIN('Aset Tetap'!$Z50,IF('Aset Tetap'!$S50="Unit Produksi",99999,'Aset Tetap'!$Y50+'Aset Tetap'!$T50*12-1))),'Aset Tetap'!$AQ50/'Aset Tetap'!$AG50,0)))</f>
        <v/>
      </c>
      <c r="K50" s="22" t="str">
        <f>IF($B50="","",IF(N('Aset Tetap'!$AG50)=0,0,IF(AND((YEAR(K$6)*12+MONTH(K$6))&gt;='Aset Tetap'!$Y50,(YEAR(K$6)*12+MONTH(K$6))&lt;=MIN('Aset Tetap'!$Z50,IF('Aset Tetap'!$S50="Unit Produksi",99999,'Aset Tetap'!$Y50+'Aset Tetap'!$T50*12-1))),'Aset Tetap'!$AQ50/'Aset Tetap'!$AG50,0)))</f>
        <v/>
      </c>
      <c r="L50" s="22" t="str">
        <f>IF($B50="","",IF(N('Aset Tetap'!$AG50)=0,0,IF(AND((YEAR(L$6)*12+MONTH(L$6))&gt;='Aset Tetap'!$Y50,(YEAR(L$6)*12+MONTH(L$6))&lt;=MIN('Aset Tetap'!$Z50,IF('Aset Tetap'!$S50="Unit Produksi",99999,'Aset Tetap'!$Y50+'Aset Tetap'!$T50*12-1))),'Aset Tetap'!$AQ50/'Aset Tetap'!$AG50,0)))</f>
        <v/>
      </c>
      <c r="M50" s="22" t="str">
        <f>IF($B50="","",IF(N('Aset Tetap'!$AG50)=0,0,IF(AND((YEAR(M$6)*12+MONTH(M$6))&gt;='Aset Tetap'!$Y50,(YEAR(M$6)*12+MONTH(M$6))&lt;=MIN('Aset Tetap'!$Z50,IF('Aset Tetap'!$S50="Unit Produksi",99999,'Aset Tetap'!$Y50+'Aset Tetap'!$T50*12-1))),'Aset Tetap'!$AQ50/'Aset Tetap'!$AG50,0)))</f>
        <v/>
      </c>
      <c r="N50" s="22" t="str">
        <f>IF($B50="","",IF(N('Aset Tetap'!$AG50)=0,0,IF(AND((YEAR(N$6)*12+MONTH(N$6))&gt;='Aset Tetap'!$Y50,(YEAR(N$6)*12+MONTH(N$6))&lt;=MIN('Aset Tetap'!$Z50,IF('Aset Tetap'!$S50="Unit Produksi",99999,'Aset Tetap'!$Y50+'Aset Tetap'!$T50*12-1))),'Aset Tetap'!$AQ50/'Aset Tetap'!$AG50,0)))</f>
        <v/>
      </c>
      <c r="O50" s="22" t="str">
        <f>IF($B50="","",IF(N('Aset Tetap'!$AG50)=0,0,IF(AND((YEAR(O$6)*12+MONTH(O$6))&gt;='Aset Tetap'!$Y50,(YEAR(O$6)*12+MONTH(O$6))&lt;=MIN('Aset Tetap'!$Z50,IF('Aset Tetap'!$S50="Unit Produksi",99999,'Aset Tetap'!$Y50+'Aset Tetap'!$T50*12-1))),'Aset Tetap'!$AQ50/'Aset Tetap'!$AG50,0)))</f>
        <v/>
      </c>
      <c r="P50" s="22" t="str">
        <f>IF($B50="","",IF(N('Aset Tetap'!$AG50)=0,0,IF(AND((YEAR(P$6)*12+MONTH(P$6))&gt;='Aset Tetap'!$Y50,(YEAR(P$6)*12+MONTH(P$6))&lt;=MIN('Aset Tetap'!$Z50,IF('Aset Tetap'!$S50="Unit Produksi",99999,'Aset Tetap'!$Y50+'Aset Tetap'!$T50*12-1))),'Aset Tetap'!$AQ50/'Aset Tetap'!$AG50,0)))</f>
        <v/>
      </c>
      <c r="Q50" s="22" t="str">
        <f>IF($B50="","",SUM(E50:P50))</f>
        <v/>
      </c>
      <c r="R50" s="22" t="str">
        <f>IF($B50="","",'Aset Tetap'!AQ50)</f>
        <v/>
      </c>
      <c r="S50" s="22" t="str">
        <f>IF($B50="","",ROUND(Q50-R50,0))</f>
        <v/>
      </c>
    </row>
    <row r="51" spans="1:19" x14ac:dyDescent="0.25">
      <c r="A51" t="str">
        <f>IF('Aset Tetap'!$B51="","",'Aset Tetap'!A51)</f>
        <v/>
      </c>
      <c r="B51" t="str">
        <f>IF('Aset Tetap'!$B51="","",'Aset Tetap'!B51)</f>
        <v/>
      </c>
      <c r="C51" t="str">
        <f>IF('Aset Tetap'!$B51="","",'Aset Tetap'!C51)</f>
        <v/>
      </c>
      <c r="D51" t="str">
        <f>IF('Aset Tetap'!$B51="","",'Aset Tetap'!D51)</f>
        <v/>
      </c>
      <c r="E51" s="22" t="str">
        <f>IF($B51="","",IF(N('Aset Tetap'!$AG51)=0,0,IF(AND((YEAR(E$6)*12+MONTH(E$6))&gt;='Aset Tetap'!$Y51,(YEAR(E$6)*12+MONTH(E$6))&lt;=MIN('Aset Tetap'!$Z51,IF('Aset Tetap'!$S51="Unit Produksi",99999,'Aset Tetap'!$Y51+'Aset Tetap'!$T51*12-1))),'Aset Tetap'!$AQ51/'Aset Tetap'!$AG51,0)))</f>
        <v/>
      </c>
      <c r="F51" s="22" t="str">
        <f>IF($B51="","",IF(N('Aset Tetap'!$AG51)=0,0,IF(AND((YEAR(F$6)*12+MONTH(F$6))&gt;='Aset Tetap'!$Y51,(YEAR(F$6)*12+MONTH(F$6))&lt;=MIN('Aset Tetap'!$Z51,IF('Aset Tetap'!$S51="Unit Produksi",99999,'Aset Tetap'!$Y51+'Aset Tetap'!$T51*12-1))),'Aset Tetap'!$AQ51/'Aset Tetap'!$AG51,0)))</f>
        <v/>
      </c>
      <c r="G51" s="22" t="str">
        <f>IF($B51="","",IF(N('Aset Tetap'!$AG51)=0,0,IF(AND((YEAR(G$6)*12+MONTH(G$6))&gt;='Aset Tetap'!$Y51,(YEAR(G$6)*12+MONTH(G$6))&lt;=MIN('Aset Tetap'!$Z51,IF('Aset Tetap'!$S51="Unit Produksi",99999,'Aset Tetap'!$Y51+'Aset Tetap'!$T51*12-1))),'Aset Tetap'!$AQ51/'Aset Tetap'!$AG51,0)))</f>
        <v/>
      </c>
      <c r="H51" s="22" t="str">
        <f>IF($B51="","",IF(N('Aset Tetap'!$AG51)=0,0,IF(AND((YEAR(H$6)*12+MONTH(H$6))&gt;='Aset Tetap'!$Y51,(YEAR(H$6)*12+MONTH(H$6))&lt;=MIN('Aset Tetap'!$Z51,IF('Aset Tetap'!$S51="Unit Produksi",99999,'Aset Tetap'!$Y51+'Aset Tetap'!$T51*12-1))),'Aset Tetap'!$AQ51/'Aset Tetap'!$AG51,0)))</f>
        <v/>
      </c>
      <c r="I51" s="22" t="str">
        <f>IF($B51="","",IF(N('Aset Tetap'!$AG51)=0,0,IF(AND((YEAR(I$6)*12+MONTH(I$6))&gt;='Aset Tetap'!$Y51,(YEAR(I$6)*12+MONTH(I$6))&lt;=MIN('Aset Tetap'!$Z51,IF('Aset Tetap'!$S51="Unit Produksi",99999,'Aset Tetap'!$Y51+'Aset Tetap'!$T51*12-1))),'Aset Tetap'!$AQ51/'Aset Tetap'!$AG51,0)))</f>
        <v/>
      </c>
      <c r="J51" s="22" t="str">
        <f>IF($B51="","",IF(N('Aset Tetap'!$AG51)=0,0,IF(AND((YEAR(J$6)*12+MONTH(J$6))&gt;='Aset Tetap'!$Y51,(YEAR(J$6)*12+MONTH(J$6))&lt;=MIN('Aset Tetap'!$Z51,IF('Aset Tetap'!$S51="Unit Produksi",99999,'Aset Tetap'!$Y51+'Aset Tetap'!$T51*12-1))),'Aset Tetap'!$AQ51/'Aset Tetap'!$AG51,0)))</f>
        <v/>
      </c>
      <c r="K51" s="22" t="str">
        <f>IF($B51="","",IF(N('Aset Tetap'!$AG51)=0,0,IF(AND((YEAR(K$6)*12+MONTH(K$6))&gt;='Aset Tetap'!$Y51,(YEAR(K$6)*12+MONTH(K$6))&lt;=MIN('Aset Tetap'!$Z51,IF('Aset Tetap'!$S51="Unit Produksi",99999,'Aset Tetap'!$Y51+'Aset Tetap'!$T51*12-1))),'Aset Tetap'!$AQ51/'Aset Tetap'!$AG51,0)))</f>
        <v/>
      </c>
      <c r="L51" s="22" t="str">
        <f>IF($B51="","",IF(N('Aset Tetap'!$AG51)=0,0,IF(AND((YEAR(L$6)*12+MONTH(L$6))&gt;='Aset Tetap'!$Y51,(YEAR(L$6)*12+MONTH(L$6))&lt;=MIN('Aset Tetap'!$Z51,IF('Aset Tetap'!$S51="Unit Produksi",99999,'Aset Tetap'!$Y51+'Aset Tetap'!$T51*12-1))),'Aset Tetap'!$AQ51/'Aset Tetap'!$AG51,0)))</f>
        <v/>
      </c>
      <c r="M51" s="22" t="str">
        <f>IF($B51="","",IF(N('Aset Tetap'!$AG51)=0,0,IF(AND((YEAR(M$6)*12+MONTH(M$6))&gt;='Aset Tetap'!$Y51,(YEAR(M$6)*12+MONTH(M$6))&lt;=MIN('Aset Tetap'!$Z51,IF('Aset Tetap'!$S51="Unit Produksi",99999,'Aset Tetap'!$Y51+'Aset Tetap'!$T51*12-1))),'Aset Tetap'!$AQ51/'Aset Tetap'!$AG51,0)))</f>
        <v/>
      </c>
      <c r="N51" s="22" t="str">
        <f>IF($B51="","",IF(N('Aset Tetap'!$AG51)=0,0,IF(AND((YEAR(N$6)*12+MONTH(N$6))&gt;='Aset Tetap'!$Y51,(YEAR(N$6)*12+MONTH(N$6))&lt;=MIN('Aset Tetap'!$Z51,IF('Aset Tetap'!$S51="Unit Produksi",99999,'Aset Tetap'!$Y51+'Aset Tetap'!$T51*12-1))),'Aset Tetap'!$AQ51/'Aset Tetap'!$AG51,0)))</f>
        <v/>
      </c>
      <c r="O51" s="22" t="str">
        <f>IF($B51="","",IF(N('Aset Tetap'!$AG51)=0,0,IF(AND((YEAR(O$6)*12+MONTH(O$6))&gt;='Aset Tetap'!$Y51,(YEAR(O$6)*12+MONTH(O$6))&lt;=MIN('Aset Tetap'!$Z51,IF('Aset Tetap'!$S51="Unit Produksi",99999,'Aset Tetap'!$Y51+'Aset Tetap'!$T51*12-1))),'Aset Tetap'!$AQ51/'Aset Tetap'!$AG51,0)))</f>
        <v/>
      </c>
      <c r="P51" s="22" t="str">
        <f>IF($B51="","",IF(N('Aset Tetap'!$AG51)=0,0,IF(AND((YEAR(P$6)*12+MONTH(P$6))&gt;='Aset Tetap'!$Y51,(YEAR(P$6)*12+MONTH(P$6))&lt;=MIN('Aset Tetap'!$Z51,IF('Aset Tetap'!$S51="Unit Produksi",99999,'Aset Tetap'!$Y51+'Aset Tetap'!$T51*12-1))),'Aset Tetap'!$AQ51/'Aset Tetap'!$AG51,0)))</f>
        <v/>
      </c>
      <c r="Q51" s="22" t="str">
        <f>IF($B51="","",SUM(E51:P51))</f>
        <v/>
      </c>
      <c r="R51" s="22" t="str">
        <f>IF($B51="","",'Aset Tetap'!AQ51)</f>
        <v/>
      </c>
      <c r="S51" s="22" t="str">
        <f>IF($B51="","",ROUND(Q51-R51,0))</f>
        <v/>
      </c>
    </row>
    <row r="52" spans="1:19" x14ac:dyDescent="0.25">
      <c r="A52" t="str">
        <f>IF('Aset Tetap'!$B52="","",'Aset Tetap'!A52)</f>
        <v/>
      </c>
      <c r="B52" t="str">
        <f>IF('Aset Tetap'!$B52="","",'Aset Tetap'!B52)</f>
        <v/>
      </c>
      <c r="C52" t="str">
        <f>IF('Aset Tetap'!$B52="","",'Aset Tetap'!C52)</f>
        <v/>
      </c>
      <c r="D52" t="str">
        <f>IF('Aset Tetap'!$B52="","",'Aset Tetap'!D52)</f>
        <v/>
      </c>
      <c r="E52" s="22" t="str">
        <f>IF($B52="","",IF(N('Aset Tetap'!$AG52)=0,0,IF(AND((YEAR(E$6)*12+MONTH(E$6))&gt;='Aset Tetap'!$Y52,(YEAR(E$6)*12+MONTH(E$6))&lt;=MIN('Aset Tetap'!$Z52,IF('Aset Tetap'!$S52="Unit Produksi",99999,'Aset Tetap'!$Y52+'Aset Tetap'!$T52*12-1))),'Aset Tetap'!$AQ52/'Aset Tetap'!$AG52,0)))</f>
        <v/>
      </c>
      <c r="F52" s="22" t="str">
        <f>IF($B52="","",IF(N('Aset Tetap'!$AG52)=0,0,IF(AND((YEAR(F$6)*12+MONTH(F$6))&gt;='Aset Tetap'!$Y52,(YEAR(F$6)*12+MONTH(F$6))&lt;=MIN('Aset Tetap'!$Z52,IF('Aset Tetap'!$S52="Unit Produksi",99999,'Aset Tetap'!$Y52+'Aset Tetap'!$T52*12-1))),'Aset Tetap'!$AQ52/'Aset Tetap'!$AG52,0)))</f>
        <v/>
      </c>
      <c r="G52" s="22" t="str">
        <f>IF($B52="","",IF(N('Aset Tetap'!$AG52)=0,0,IF(AND((YEAR(G$6)*12+MONTH(G$6))&gt;='Aset Tetap'!$Y52,(YEAR(G$6)*12+MONTH(G$6))&lt;=MIN('Aset Tetap'!$Z52,IF('Aset Tetap'!$S52="Unit Produksi",99999,'Aset Tetap'!$Y52+'Aset Tetap'!$T52*12-1))),'Aset Tetap'!$AQ52/'Aset Tetap'!$AG52,0)))</f>
        <v/>
      </c>
      <c r="H52" s="22" t="str">
        <f>IF($B52="","",IF(N('Aset Tetap'!$AG52)=0,0,IF(AND((YEAR(H$6)*12+MONTH(H$6))&gt;='Aset Tetap'!$Y52,(YEAR(H$6)*12+MONTH(H$6))&lt;=MIN('Aset Tetap'!$Z52,IF('Aset Tetap'!$S52="Unit Produksi",99999,'Aset Tetap'!$Y52+'Aset Tetap'!$T52*12-1))),'Aset Tetap'!$AQ52/'Aset Tetap'!$AG52,0)))</f>
        <v/>
      </c>
      <c r="I52" s="22" t="str">
        <f>IF($B52="","",IF(N('Aset Tetap'!$AG52)=0,0,IF(AND((YEAR(I$6)*12+MONTH(I$6))&gt;='Aset Tetap'!$Y52,(YEAR(I$6)*12+MONTH(I$6))&lt;=MIN('Aset Tetap'!$Z52,IF('Aset Tetap'!$S52="Unit Produksi",99999,'Aset Tetap'!$Y52+'Aset Tetap'!$T52*12-1))),'Aset Tetap'!$AQ52/'Aset Tetap'!$AG52,0)))</f>
        <v/>
      </c>
      <c r="J52" s="22" t="str">
        <f>IF($B52="","",IF(N('Aset Tetap'!$AG52)=0,0,IF(AND((YEAR(J$6)*12+MONTH(J$6))&gt;='Aset Tetap'!$Y52,(YEAR(J$6)*12+MONTH(J$6))&lt;=MIN('Aset Tetap'!$Z52,IF('Aset Tetap'!$S52="Unit Produksi",99999,'Aset Tetap'!$Y52+'Aset Tetap'!$T52*12-1))),'Aset Tetap'!$AQ52/'Aset Tetap'!$AG52,0)))</f>
        <v/>
      </c>
      <c r="K52" s="22" t="str">
        <f>IF($B52="","",IF(N('Aset Tetap'!$AG52)=0,0,IF(AND((YEAR(K$6)*12+MONTH(K$6))&gt;='Aset Tetap'!$Y52,(YEAR(K$6)*12+MONTH(K$6))&lt;=MIN('Aset Tetap'!$Z52,IF('Aset Tetap'!$S52="Unit Produksi",99999,'Aset Tetap'!$Y52+'Aset Tetap'!$T52*12-1))),'Aset Tetap'!$AQ52/'Aset Tetap'!$AG52,0)))</f>
        <v/>
      </c>
      <c r="L52" s="22" t="str">
        <f>IF($B52="","",IF(N('Aset Tetap'!$AG52)=0,0,IF(AND((YEAR(L$6)*12+MONTH(L$6))&gt;='Aset Tetap'!$Y52,(YEAR(L$6)*12+MONTH(L$6))&lt;=MIN('Aset Tetap'!$Z52,IF('Aset Tetap'!$S52="Unit Produksi",99999,'Aset Tetap'!$Y52+'Aset Tetap'!$T52*12-1))),'Aset Tetap'!$AQ52/'Aset Tetap'!$AG52,0)))</f>
        <v/>
      </c>
      <c r="M52" s="22" t="str">
        <f>IF($B52="","",IF(N('Aset Tetap'!$AG52)=0,0,IF(AND((YEAR(M$6)*12+MONTH(M$6))&gt;='Aset Tetap'!$Y52,(YEAR(M$6)*12+MONTH(M$6))&lt;=MIN('Aset Tetap'!$Z52,IF('Aset Tetap'!$S52="Unit Produksi",99999,'Aset Tetap'!$Y52+'Aset Tetap'!$T52*12-1))),'Aset Tetap'!$AQ52/'Aset Tetap'!$AG52,0)))</f>
        <v/>
      </c>
      <c r="N52" s="22" t="str">
        <f>IF($B52="","",IF(N('Aset Tetap'!$AG52)=0,0,IF(AND((YEAR(N$6)*12+MONTH(N$6))&gt;='Aset Tetap'!$Y52,(YEAR(N$6)*12+MONTH(N$6))&lt;=MIN('Aset Tetap'!$Z52,IF('Aset Tetap'!$S52="Unit Produksi",99999,'Aset Tetap'!$Y52+'Aset Tetap'!$T52*12-1))),'Aset Tetap'!$AQ52/'Aset Tetap'!$AG52,0)))</f>
        <v/>
      </c>
      <c r="O52" s="22" t="str">
        <f>IF($B52="","",IF(N('Aset Tetap'!$AG52)=0,0,IF(AND((YEAR(O$6)*12+MONTH(O$6))&gt;='Aset Tetap'!$Y52,(YEAR(O$6)*12+MONTH(O$6))&lt;=MIN('Aset Tetap'!$Z52,IF('Aset Tetap'!$S52="Unit Produksi",99999,'Aset Tetap'!$Y52+'Aset Tetap'!$T52*12-1))),'Aset Tetap'!$AQ52/'Aset Tetap'!$AG52,0)))</f>
        <v/>
      </c>
      <c r="P52" s="22" t="str">
        <f>IF($B52="","",IF(N('Aset Tetap'!$AG52)=0,0,IF(AND((YEAR(P$6)*12+MONTH(P$6))&gt;='Aset Tetap'!$Y52,(YEAR(P$6)*12+MONTH(P$6))&lt;=MIN('Aset Tetap'!$Z52,IF('Aset Tetap'!$S52="Unit Produksi",99999,'Aset Tetap'!$Y52+'Aset Tetap'!$T52*12-1))),'Aset Tetap'!$AQ52/'Aset Tetap'!$AG52,0)))</f>
        <v/>
      </c>
      <c r="Q52" s="22" t="str">
        <f>IF($B52="","",SUM(E52:P52))</f>
        <v/>
      </c>
      <c r="R52" s="22" t="str">
        <f>IF($B52="","",'Aset Tetap'!AQ52)</f>
        <v/>
      </c>
      <c r="S52" s="22" t="str">
        <f>IF($B52="","",ROUND(Q52-R52,0))</f>
        <v/>
      </c>
    </row>
    <row r="53" spans="1:19" x14ac:dyDescent="0.25">
      <c r="A53" t="str">
        <f>IF('Aset Tetap'!$B53="","",'Aset Tetap'!A53)</f>
        <v/>
      </c>
      <c r="B53" t="str">
        <f>IF('Aset Tetap'!$B53="","",'Aset Tetap'!B53)</f>
        <v/>
      </c>
      <c r="C53" t="str">
        <f>IF('Aset Tetap'!$B53="","",'Aset Tetap'!C53)</f>
        <v/>
      </c>
      <c r="D53" t="str">
        <f>IF('Aset Tetap'!$B53="","",'Aset Tetap'!D53)</f>
        <v/>
      </c>
      <c r="E53" s="22" t="str">
        <f>IF($B53="","",IF(N('Aset Tetap'!$AG53)=0,0,IF(AND((YEAR(E$6)*12+MONTH(E$6))&gt;='Aset Tetap'!$Y53,(YEAR(E$6)*12+MONTH(E$6))&lt;=MIN('Aset Tetap'!$Z53,IF('Aset Tetap'!$S53="Unit Produksi",99999,'Aset Tetap'!$Y53+'Aset Tetap'!$T53*12-1))),'Aset Tetap'!$AQ53/'Aset Tetap'!$AG53,0)))</f>
        <v/>
      </c>
      <c r="F53" s="22" t="str">
        <f>IF($B53="","",IF(N('Aset Tetap'!$AG53)=0,0,IF(AND((YEAR(F$6)*12+MONTH(F$6))&gt;='Aset Tetap'!$Y53,(YEAR(F$6)*12+MONTH(F$6))&lt;=MIN('Aset Tetap'!$Z53,IF('Aset Tetap'!$S53="Unit Produksi",99999,'Aset Tetap'!$Y53+'Aset Tetap'!$T53*12-1))),'Aset Tetap'!$AQ53/'Aset Tetap'!$AG53,0)))</f>
        <v/>
      </c>
      <c r="G53" s="22" t="str">
        <f>IF($B53="","",IF(N('Aset Tetap'!$AG53)=0,0,IF(AND((YEAR(G$6)*12+MONTH(G$6))&gt;='Aset Tetap'!$Y53,(YEAR(G$6)*12+MONTH(G$6))&lt;=MIN('Aset Tetap'!$Z53,IF('Aset Tetap'!$S53="Unit Produksi",99999,'Aset Tetap'!$Y53+'Aset Tetap'!$T53*12-1))),'Aset Tetap'!$AQ53/'Aset Tetap'!$AG53,0)))</f>
        <v/>
      </c>
      <c r="H53" s="22" t="str">
        <f>IF($B53="","",IF(N('Aset Tetap'!$AG53)=0,0,IF(AND((YEAR(H$6)*12+MONTH(H$6))&gt;='Aset Tetap'!$Y53,(YEAR(H$6)*12+MONTH(H$6))&lt;=MIN('Aset Tetap'!$Z53,IF('Aset Tetap'!$S53="Unit Produksi",99999,'Aset Tetap'!$Y53+'Aset Tetap'!$T53*12-1))),'Aset Tetap'!$AQ53/'Aset Tetap'!$AG53,0)))</f>
        <v/>
      </c>
      <c r="I53" s="22" t="str">
        <f>IF($B53="","",IF(N('Aset Tetap'!$AG53)=0,0,IF(AND((YEAR(I$6)*12+MONTH(I$6))&gt;='Aset Tetap'!$Y53,(YEAR(I$6)*12+MONTH(I$6))&lt;=MIN('Aset Tetap'!$Z53,IF('Aset Tetap'!$S53="Unit Produksi",99999,'Aset Tetap'!$Y53+'Aset Tetap'!$T53*12-1))),'Aset Tetap'!$AQ53/'Aset Tetap'!$AG53,0)))</f>
        <v/>
      </c>
      <c r="J53" s="22" t="str">
        <f>IF($B53="","",IF(N('Aset Tetap'!$AG53)=0,0,IF(AND((YEAR(J$6)*12+MONTH(J$6))&gt;='Aset Tetap'!$Y53,(YEAR(J$6)*12+MONTH(J$6))&lt;=MIN('Aset Tetap'!$Z53,IF('Aset Tetap'!$S53="Unit Produksi",99999,'Aset Tetap'!$Y53+'Aset Tetap'!$T53*12-1))),'Aset Tetap'!$AQ53/'Aset Tetap'!$AG53,0)))</f>
        <v/>
      </c>
      <c r="K53" s="22" t="str">
        <f>IF($B53="","",IF(N('Aset Tetap'!$AG53)=0,0,IF(AND((YEAR(K$6)*12+MONTH(K$6))&gt;='Aset Tetap'!$Y53,(YEAR(K$6)*12+MONTH(K$6))&lt;=MIN('Aset Tetap'!$Z53,IF('Aset Tetap'!$S53="Unit Produksi",99999,'Aset Tetap'!$Y53+'Aset Tetap'!$T53*12-1))),'Aset Tetap'!$AQ53/'Aset Tetap'!$AG53,0)))</f>
        <v/>
      </c>
      <c r="L53" s="22" t="str">
        <f>IF($B53="","",IF(N('Aset Tetap'!$AG53)=0,0,IF(AND((YEAR(L$6)*12+MONTH(L$6))&gt;='Aset Tetap'!$Y53,(YEAR(L$6)*12+MONTH(L$6))&lt;=MIN('Aset Tetap'!$Z53,IF('Aset Tetap'!$S53="Unit Produksi",99999,'Aset Tetap'!$Y53+'Aset Tetap'!$T53*12-1))),'Aset Tetap'!$AQ53/'Aset Tetap'!$AG53,0)))</f>
        <v/>
      </c>
      <c r="M53" s="22" t="str">
        <f>IF($B53="","",IF(N('Aset Tetap'!$AG53)=0,0,IF(AND((YEAR(M$6)*12+MONTH(M$6))&gt;='Aset Tetap'!$Y53,(YEAR(M$6)*12+MONTH(M$6))&lt;=MIN('Aset Tetap'!$Z53,IF('Aset Tetap'!$S53="Unit Produksi",99999,'Aset Tetap'!$Y53+'Aset Tetap'!$T53*12-1))),'Aset Tetap'!$AQ53/'Aset Tetap'!$AG53,0)))</f>
        <v/>
      </c>
      <c r="N53" s="22" t="str">
        <f>IF($B53="","",IF(N('Aset Tetap'!$AG53)=0,0,IF(AND((YEAR(N$6)*12+MONTH(N$6))&gt;='Aset Tetap'!$Y53,(YEAR(N$6)*12+MONTH(N$6))&lt;=MIN('Aset Tetap'!$Z53,IF('Aset Tetap'!$S53="Unit Produksi",99999,'Aset Tetap'!$Y53+'Aset Tetap'!$T53*12-1))),'Aset Tetap'!$AQ53/'Aset Tetap'!$AG53,0)))</f>
        <v/>
      </c>
      <c r="O53" s="22" t="str">
        <f>IF($B53="","",IF(N('Aset Tetap'!$AG53)=0,0,IF(AND((YEAR(O$6)*12+MONTH(O$6))&gt;='Aset Tetap'!$Y53,(YEAR(O$6)*12+MONTH(O$6))&lt;=MIN('Aset Tetap'!$Z53,IF('Aset Tetap'!$S53="Unit Produksi",99999,'Aset Tetap'!$Y53+'Aset Tetap'!$T53*12-1))),'Aset Tetap'!$AQ53/'Aset Tetap'!$AG53,0)))</f>
        <v/>
      </c>
      <c r="P53" s="22" t="str">
        <f>IF($B53="","",IF(N('Aset Tetap'!$AG53)=0,0,IF(AND((YEAR(P$6)*12+MONTH(P$6))&gt;='Aset Tetap'!$Y53,(YEAR(P$6)*12+MONTH(P$6))&lt;=MIN('Aset Tetap'!$Z53,IF('Aset Tetap'!$S53="Unit Produksi",99999,'Aset Tetap'!$Y53+'Aset Tetap'!$T53*12-1))),'Aset Tetap'!$AQ53/'Aset Tetap'!$AG53,0)))</f>
        <v/>
      </c>
      <c r="Q53" s="22" t="str">
        <f>IF($B53="","",SUM(E53:P53))</f>
        <v/>
      </c>
      <c r="R53" s="22" t="str">
        <f>IF($B53="","",'Aset Tetap'!AQ53)</f>
        <v/>
      </c>
      <c r="S53" s="22" t="str">
        <f>IF($B53="","",ROUND(Q53-R53,0))</f>
        <v/>
      </c>
    </row>
    <row r="54" spans="1:19" x14ac:dyDescent="0.25">
      <c r="A54" t="str">
        <f>IF('Aset Tetap'!$B54="","",'Aset Tetap'!A54)</f>
        <v/>
      </c>
      <c r="B54" t="str">
        <f>IF('Aset Tetap'!$B54="","",'Aset Tetap'!B54)</f>
        <v/>
      </c>
      <c r="C54" t="str">
        <f>IF('Aset Tetap'!$B54="","",'Aset Tetap'!C54)</f>
        <v/>
      </c>
      <c r="D54" t="str">
        <f>IF('Aset Tetap'!$B54="","",'Aset Tetap'!D54)</f>
        <v/>
      </c>
      <c r="E54" s="22" t="str">
        <f>IF($B54="","",IF(N('Aset Tetap'!$AG54)=0,0,IF(AND((YEAR(E$6)*12+MONTH(E$6))&gt;='Aset Tetap'!$Y54,(YEAR(E$6)*12+MONTH(E$6))&lt;=MIN('Aset Tetap'!$Z54,IF('Aset Tetap'!$S54="Unit Produksi",99999,'Aset Tetap'!$Y54+'Aset Tetap'!$T54*12-1))),'Aset Tetap'!$AQ54/'Aset Tetap'!$AG54,0)))</f>
        <v/>
      </c>
      <c r="F54" s="22" t="str">
        <f>IF($B54="","",IF(N('Aset Tetap'!$AG54)=0,0,IF(AND((YEAR(F$6)*12+MONTH(F$6))&gt;='Aset Tetap'!$Y54,(YEAR(F$6)*12+MONTH(F$6))&lt;=MIN('Aset Tetap'!$Z54,IF('Aset Tetap'!$S54="Unit Produksi",99999,'Aset Tetap'!$Y54+'Aset Tetap'!$T54*12-1))),'Aset Tetap'!$AQ54/'Aset Tetap'!$AG54,0)))</f>
        <v/>
      </c>
      <c r="G54" s="22" t="str">
        <f>IF($B54="","",IF(N('Aset Tetap'!$AG54)=0,0,IF(AND((YEAR(G$6)*12+MONTH(G$6))&gt;='Aset Tetap'!$Y54,(YEAR(G$6)*12+MONTH(G$6))&lt;=MIN('Aset Tetap'!$Z54,IF('Aset Tetap'!$S54="Unit Produksi",99999,'Aset Tetap'!$Y54+'Aset Tetap'!$T54*12-1))),'Aset Tetap'!$AQ54/'Aset Tetap'!$AG54,0)))</f>
        <v/>
      </c>
      <c r="H54" s="22" t="str">
        <f>IF($B54="","",IF(N('Aset Tetap'!$AG54)=0,0,IF(AND((YEAR(H$6)*12+MONTH(H$6))&gt;='Aset Tetap'!$Y54,(YEAR(H$6)*12+MONTH(H$6))&lt;=MIN('Aset Tetap'!$Z54,IF('Aset Tetap'!$S54="Unit Produksi",99999,'Aset Tetap'!$Y54+'Aset Tetap'!$T54*12-1))),'Aset Tetap'!$AQ54/'Aset Tetap'!$AG54,0)))</f>
        <v/>
      </c>
      <c r="I54" s="22" t="str">
        <f>IF($B54="","",IF(N('Aset Tetap'!$AG54)=0,0,IF(AND((YEAR(I$6)*12+MONTH(I$6))&gt;='Aset Tetap'!$Y54,(YEAR(I$6)*12+MONTH(I$6))&lt;=MIN('Aset Tetap'!$Z54,IF('Aset Tetap'!$S54="Unit Produksi",99999,'Aset Tetap'!$Y54+'Aset Tetap'!$T54*12-1))),'Aset Tetap'!$AQ54/'Aset Tetap'!$AG54,0)))</f>
        <v/>
      </c>
      <c r="J54" s="22" t="str">
        <f>IF($B54="","",IF(N('Aset Tetap'!$AG54)=0,0,IF(AND((YEAR(J$6)*12+MONTH(J$6))&gt;='Aset Tetap'!$Y54,(YEAR(J$6)*12+MONTH(J$6))&lt;=MIN('Aset Tetap'!$Z54,IF('Aset Tetap'!$S54="Unit Produksi",99999,'Aset Tetap'!$Y54+'Aset Tetap'!$T54*12-1))),'Aset Tetap'!$AQ54/'Aset Tetap'!$AG54,0)))</f>
        <v/>
      </c>
      <c r="K54" s="22" t="str">
        <f>IF($B54="","",IF(N('Aset Tetap'!$AG54)=0,0,IF(AND((YEAR(K$6)*12+MONTH(K$6))&gt;='Aset Tetap'!$Y54,(YEAR(K$6)*12+MONTH(K$6))&lt;=MIN('Aset Tetap'!$Z54,IF('Aset Tetap'!$S54="Unit Produksi",99999,'Aset Tetap'!$Y54+'Aset Tetap'!$T54*12-1))),'Aset Tetap'!$AQ54/'Aset Tetap'!$AG54,0)))</f>
        <v/>
      </c>
      <c r="L54" s="22" t="str">
        <f>IF($B54="","",IF(N('Aset Tetap'!$AG54)=0,0,IF(AND((YEAR(L$6)*12+MONTH(L$6))&gt;='Aset Tetap'!$Y54,(YEAR(L$6)*12+MONTH(L$6))&lt;=MIN('Aset Tetap'!$Z54,IF('Aset Tetap'!$S54="Unit Produksi",99999,'Aset Tetap'!$Y54+'Aset Tetap'!$T54*12-1))),'Aset Tetap'!$AQ54/'Aset Tetap'!$AG54,0)))</f>
        <v/>
      </c>
      <c r="M54" s="22" t="str">
        <f>IF($B54="","",IF(N('Aset Tetap'!$AG54)=0,0,IF(AND((YEAR(M$6)*12+MONTH(M$6))&gt;='Aset Tetap'!$Y54,(YEAR(M$6)*12+MONTH(M$6))&lt;=MIN('Aset Tetap'!$Z54,IF('Aset Tetap'!$S54="Unit Produksi",99999,'Aset Tetap'!$Y54+'Aset Tetap'!$T54*12-1))),'Aset Tetap'!$AQ54/'Aset Tetap'!$AG54,0)))</f>
        <v/>
      </c>
      <c r="N54" s="22" t="str">
        <f>IF($B54="","",IF(N('Aset Tetap'!$AG54)=0,0,IF(AND((YEAR(N$6)*12+MONTH(N$6))&gt;='Aset Tetap'!$Y54,(YEAR(N$6)*12+MONTH(N$6))&lt;=MIN('Aset Tetap'!$Z54,IF('Aset Tetap'!$S54="Unit Produksi",99999,'Aset Tetap'!$Y54+'Aset Tetap'!$T54*12-1))),'Aset Tetap'!$AQ54/'Aset Tetap'!$AG54,0)))</f>
        <v/>
      </c>
      <c r="O54" s="22" t="str">
        <f>IF($B54="","",IF(N('Aset Tetap'!$AG54)=0,0,IF(AND((YEAR(O$6)*12+MONTH(O$6))&gt;='Aset Tetap'!$Y54,(YEAR(O$6)*12+MONTH(O$6))&lt;=MIN('Aset Tetap'!$Z54,IF('Aset Tetap'!$S54="Unit Produksi",99999,'Aset Tetap'!$Y54+'Aset Tetap'!$T54*12-1))),'Aset Tetap'!$AQ54/'Aset Tetap'!$AG54,0)))</f>
        <v/>
      </c>
      <c r="P54" s="22" t="str">
        <f>IF($B54="","",IF(N('Aset Tetap'!$AG54)=0,0,IF(AND((YEAR(P$6)*12+MONTH(P$6))&gt;='Aset Tetap'!$Y54,(YEAR(P$6)*12+MONTH(P$6))&lt;=MIN('Aset Tetap'!$Z54,IF('Aset Tetap'!$S54="Unit Produksi",99999,'Aset Tetap'!$Y54+'Aset Tetap'!$T54*12-1))),'Aset Tetap'!$AQ54/'Aset Tetap'!$AG54,0)))</f>
        <v/>
      </c>
      <c r="Q54" s="22" t="str">
        <f>IF($B54="","",SUM(E54:P54))</f>
        <v/>
      </c>
      <c r="R54" s="22" t="str">
        <f>IF($B54="","",'Aset Tetap'!AQ54)</f>
        <v/>
      </c>
      <c r="S54" s="22" t="str">
        <f>IF($B54="","",ROUND(Q54-R54,0))</f>
        <v/>
      </c>
    </row>
    <row r="55" spans="1:19" x14ac:dyDescent="0.25">
      <c r="A55" t="str">
        <f>IF('Aset Tetap'!$B55="","",'Aset Tetap'!A55)</f>
        <v/>
      </c>
      <c r="B55" t="str">
        <f>IF('Aset Tetap'!$B55="","",'Aset Tetap'!B55)</f>
        <v/>
      </c>
      <c r="C55" t="str">
        <f>IF('Aset Tetap'!$B55="","",'Aset Tetap'!C55)</f>
        <v/>
      </c>
      <c r="D55" t="str">
        <f>IF('Aset Tetap'!$B55="","",'Aset Tetap'!D55)</f>
        <v/>
      </c>
      <c r="E55" s="22" t="str">
        <f>IF($B55="","",IF(N('Aset Tetap'!$AG55)=0,0,IF(AND((YEAR(E$6)*12+MONTH(E$6))&gt;='Aset Tetap'!$Y55,(YEAR(E$6)*12+MONTH(E$6))&lt;=MIN('Aset Tetap'!$Z55,IF('Aset Tetap'!$S55="Unit Produksi",99999,'Aset Tetap'!$Y55+'Aset Tetap'!$T55*12-1))),'Aset Tetap'!$AQ55/'Aset Tetap'!$AG55,0)))</f>
        <v/>
      </c>
      <c r="F55" s="22" t="str">
        <f>IF($B55="","",IF(N('Aset Tetap'!$AG55)=0,0,IF(AND((YEAR(F$6)*12+MONTH(F$6))&gt;='Aset Tetap'!$Y55,(YEAR(F$6)*12+MONTH(F$6))&lt;=MIN('Aset Tetap'!$Z55,IF('Aset Tetap'!$S55="Unit Produksi",99999,'Aset Tetap'!$Y55+'Aset Tetap'!$T55*12-1))),'Aset Tetap'!$AQ55/'Aset Tetap'!$AG55,0)))</f>
        <v/>
      </c>
      <c r="G55" s="22" t="str">
        <f>IF($B55="","",IF(N('Aset Tetap'!$AG55)=0,0,IF(AND((YEAR(G$6)*12+MONTH(G$6))&gt;='Aset Tetap'!$Y55,(YEAR(G$6)*12+MONTH(G$6))&lt;=MIN('Aset Tetap'!$Z55,IF('Aset Tetap'!$S55="Unit Produksi",99999,'Aset Tetap'!$Y55+'Aset Tetap'!$T55*12-1))),'Aset Tetap'!$AQ55/'Aset Tetap'!$AG55,0)))</f>
        <v/>
      </c>
      <c r="H55" s="22" t="str">
        <f>IF($B55="","",IF(N('Aset Tetap'!$AG55)=0,0,IF(AND((YEAR(H$6)*12+MONTH(H$6))&gt;='Aset Tetap'!$Y55,(YEAR(H$6)*12+MONTH(H$6))&lt;=MIN('Aset Tetap'!$Z55,IF('Aset Tetap'!$S55="Unit Produksi",99999,'Aset Tetap'!$Y55+'Aset Tetap'!$T55*12-1))),'Aset Tetap'!$AQ55/'Aset Tetap'!$AG55,0)))</f>
        <v/>
      </c>
      <c r="I55" s="22" t="str">
        <f>IF($B55="","",IF(N('Aset Tetap'!$AG55)=0,0,IF(AND((YEAR(I$6)*12+MONTH(I$6))&gt;='Aset Tetap'!$Y55,(YEAR(I$6)*12+MONTH(I$6))&lt;=MIN('Aset Tetap'!$Z55,IF('Aset Tetap'!$S55="Unit Produksi",99999,'Aset Tetap'!$Y55+'Aset Tetap'!$T55*12-1))),'Aset Tetap'!$AQ55/'Aset Tetap'!$AG55,0)))</f>
        <v/>
      </c>
      <c r="J55" s="22" t="str">
        <f>IF($B55="","",IF(N('Aset Tetap'!$AG55)=0,0,IF(AND((YEAR(J$6)*12+MONTH(J$6))&gt;='Aset Tetap'!$Y55,(YEAR(J$6)*12+MONTH(J$6))&lt;=MIN('Aset Tetap'!$Z55,IF('Aset Tetap'!$S55="Unit Produksi",99999,'Aset Tetap'!$Y55+'Aset Tetap'!$T55*12-1))),'Aset Tetap'!$AQ55/'Aset Tetap'!$AG55,0)))</f>
        <v/>
      </c>
      <c r="K55" s="22" t="str">
        <f>IF($B55="","",IF(N('Aset Tetap'!$AG55)=0,0,IF(AND((YEAR(K$6)*12+MONTH(K$6))&gt;='Aset Tetap'!$Y55,(YEAR(K$6)*12+MONTH(K$6))&lt;=MIN('Aset Tetap'!$Z55,IF('Aset Tetap'!$S55="Unit Produksi",99999,'Aset Tetap'!$Y55+'Aset Tetap'!$T55*12-1))),'Aset Tetap'!$AQ55/'Aset Tetap'!$AG55,0)))</f>
        <v/>
      </c>
      <c r="L55" s="22" t="str">
        <f>IF($B55="","",IF(N('Aset Tetap'!$AG55)=0,0,IF(AND((YEAR(L$6)*12+MONTH(L$6))&gt;='Aset Tetap'!$Y55,(YEAR(L$6)*12+MONTH(L$6))&lt;=MIN('Aset Tetap'!$Z55,IF('Aset Tetap'!$S55="Unit Produksi",99999,'Aset Tetap'!$Y55+'Aset Tetap'!$T55*12-1))),'Aset Tetap'!$AQ55/'Aset Tetap'!$AG55,0)))</f>
        <v/>
      </c>
      <c r="M55" s="22" t="str">
        <f>IF($B55="","",IF(N('Aset Tetap'!$AG55)=0,0,IF(AND((YEAR(M$6)*12+MONTH(M$6))&gt;='Aset Tetap'!$Y55,(YEAR(M$6)*12+MONTH(M$6))&lt;=MIN('Aset Tetap'!$Z55,IF('Aset Tetap'!$S55="Unit Produksi",99999,'Aset Tetap'!$Y55+'Aset Tetap'!$T55*12-1))),'Aset Tetap'!$AQ55/'Aset Tetap'!$AG55,0)))</f>
        <v/>
      </c>
      <c r="N55" s="22" t="str">
        <f>IF($B55="","",IF(N('Aset Tetap'!$AG55)=0,0,IF(AND((YEAR(N$6)*12+MONTH(N$6))&gt;='Aset Tetap'!$Y55,(YEAR(N$6)*12+MONTH(N$6))&lt;=MIN('Aset Tetap'!$Z55,IF('Aset Tetap'!$S55="Unit Produksi",99999,'Aset Tetap'!$Y55+'Aset Tetap'!$T55*12-1))),'Aset Tetap'!$AQ55/'Aset Tetap'!$AG55,0)))</f>
        <v/>
      </c>
      <c r="O55" s="22" t="str">
        <f>IF($B55="","",IF(N('Aset Tetap'!$AG55)=0,0,IF(AND((YEAR(O$6)*12+MONTH(O$6))&gt;='Aset Tetap'!$Y55,(YEAR(O$6)*12+MONTH(O$6))&lt;=MIN('Aset Tetap'!$Z55,IF('Aset Tetap'!$S55="Unit Produksi",99999,'Aset Tetap'!$Y55+'Aset Tetap'!$T55*12-1))),'Aset Tetap'!$AQ55/'Aset Tetap'!$AG55,0)))</f>
        <v/>
      </c>
      <c r="P55" s="22" t="str">
        <f>IF($B55="","",IF(N('Aset Tetap'!$AG55)=0,0,IF(AND((YEAR(P$6)*12+MONTH(P$6))&gt;='Aset Tetap'!$Y55,(YEAR(P$6)*12+MONTH(P$6))&lt;=MIN('Aset Tetap'!$Z55,IF('Aset Tetap'!$S55="Unit Produksi",99999,'Aset Tetap'!$Y55+'Aset Tetap'!$T55*12-1))),'Aset Tetap'!$AQ55/'Aset Tetap'!$AG55,0)))</f>
        <v/>
      </c>
      <c r="Q55" s="22" t="str">
        <f>IF($B55="","",SUM(E55:P55))</f>
        <v/>
      </c>
      <c r="R55" s="22" t="str">
        <f>IF($B55="","",'Aset Tetap'!AQ55)</f>
        <v/>
      </c>
      <c r="S55" s="22" t="str">
        <f>IF($B55="","",ROUND(Q55-R55,0))</f>
        <v/>
      </c>
    </row>
    <row r="56" spans="1:19" x14ac:dyDescent="0.25">
      <c r="A56" t="str">
        <f>IF('Aset Tetap'!$B56="","",'Aset Tetap'!A56)</f>
        <v/>
      </c>
      <c r="B56" t="str">
        <f>IF('Aset Tetap'!$B56="","",'Aset Tetap'!B56)</f>
        <v/>
      </c>
      <c r="C56" t="str">
        <f>IF('Aset Tetap'!$B56="","",'Aset Tetap'!C56)</f>
        <v/>
      </c>
      <c r="D56" t="str">
        <f>IF('Aset Tetap'!$B56="","",'Aset Tetap'!D56)</f>
        <v/>
      </c>
      <c r="E56" s="22" t="str">
        <f>IF($B56="","",IF(N('Aset Tetap'!$AG56)=0,0,IF(AND((YEAR(E$6)*12+MONTH(E$6))&gt;='Aset Tetap'!$Y56,(YEAR(E$6)*12+MONTH(E$6))&lt;=MIN('Aset Tetap'!$Z56,IF('Aset Tetap'!$S56="Unit Produksi",99999,'Aset Tetap'!$Y56+'Aset Tetap'!$T56*12-1))),'Aset Tetap'!$AQ56/'Aset Tetap'!$AG56,0)))</f>
        <v/>
      </c>
      <c r="F56" s="22" t="str">
        <f>IF($B56="","",IF(N('Aset Tetap'!$AG56)=0,0,IF(AND((YEAR(F$6)*12+MONTH(F$6))&gt;='Aset Tetap'!$Y56,(YEAR(F$6)*12+MONTH(F$6))&lt;=MIN('Aset Tetap'!$Z56,IF('Aset Tetap'!$S56="Unit Produksi",99999,'Aset Tetap'!$Y56+'Aset Tetap'!$T56*12-1))),'Aset Tetap'!$AQ56/'Aset Tetap'!$AG56,0)))</f>
        <v/>
      </c>
      <c r="G56" s="22" t="str">
        <f>IF($B56="","",IF(N('Aset Tetap'!$AG56)=0,0,IF(AND((YEAR(G$6)*12+MONTH(G$6))&gt;='Aset Tetap'!$Y56,(YEAR(G$6)*12+MONTH(G$6))&lt;=MIN('Aset Tetap'!$Z56,IF('Aset Tetap'!$S56="Unit Produksi",99999,'Aset Tetap'!$Y56+'Aset Tetap'!$T56*12-1))),'Aset Tetap'!$AQ56/'Aset Tetap'!$AG56,0)))</f>
        <v/>
      </c>
      <c r="H56" s="22" t="str">
        <f>IF($B56="","",IF(N('Aset Tetap'!$AG56)=0,0,IF(AND((YEAR(H$6)*12+MONTH(H$6))&gt;='Aset Tetap'!$Y56,(YEAR(H$6)*12+MONTH(H$6))&lt;=MIN('Aset Tetap'!$Z56,IF('Aset Tetap'!$S56="Unit Produksi",99999,'Aset Tetap'!$Y56+'Aset Tetap'!$T56*12-1))),'Aset Tetap'!$AQ56/'Aset Tetap'!$AG56,0)))</f>
        <v/>
      </c>
      <c r="I56" s="22" t="str">
        <f>IF($B56="","",IF(N('Aset Tetap'!$AG56)=0,0,IF(AND((YEAR(I$6)*12+MONTH(I$6))&gt;='Aset Tetap'!$Y56,(YEAR(I$6)*12+MONTH(I$6))&lt;=MIN('Aset Tetap'!$Z56,IF('Aset Tetap'!$S56="Unit Produksi",99999,'Aset Tetap'!$Y56+'Aset Tetap'!$T56*12-1))),'Aset Tetap'!$AQ56/'Aset Tetap'!$AG56,0)))</f>
        <v/>
      </c>
      <c r="J56" s="22" t="str">
        <f>IF($B56="","",IF(N('Aset Tetap'!$AG56)=0,0,IF(AND((YEAR(J$6)*12+MONTH(J$6))&gt;='Aset Tetap'!$Y56,(YEAR(J$6)*12+MONTH(J$6))&lt;=MIN('Aset Tetap'!$Z56,IF('Aset Tetap'!$S56="Unit Produksi",99999,'Aset Tetap'!$Y56+'Aset Tetap'!$T56*12-1))),'Aset Tetap'!$AQ56/'Aset Tetap'!$AG56,0)))</f>
        <v/>
      </c>
      <c r="K56" s="22" t="str">
        <f>IF($B56="","",IF(N('Aset Tetap'!$AG56)=0,0,IF(AND((YEAR(K$6)*12+MONTH(K$6))&gt;='Aset Tetap'!$Y56,(YEAR(K$6)*12+MONTH(K$6))&lt;=MIN('Aset Tetap'!$Z56,IF('Aset Tetap'!$S56="Unit Produksi",99999,'Aset Tetap'!$Y56+'Aset Tetap'!$T56*12-1))),'Aset Tetap'!$AQ56/'Aset Tetap'!$AG56,0)))</f>
        <v/>
      </c>
      <c r="L56" s="22" t="str">
        <f>IF($B56="","",IF(N('Aset Tetap'!$AG56)=0,0,IF(AND((YEAR(L$6)*12+MONTH(L$6))&gt;='Aset Tetap'!$Y56,(YEAR(L$6)*12+MONTH(L$6))&lt;=MIN('Aset Tetap'!$Z56,IF('Aset Tetap'!$S56="Unit Produksi",99999,'Aset Tetap'!$Y56+'Aset Tetap'!$T56*12-1))),'Aset Tetap'!$AQ56/'Aset Tetap'!$AG56,0)))</f>
        <v/>
      </c>
      <c r="M56" s="22" t="str">
        <f>IF($B56="","",IF(N('Aset Tetap'!$AG56)=0,0,IF(AND((YEAR(M$6)*12+MONTH(M$6))&gt;='Aset Tetap'!$Y56,(YEAR(M$6)*12+MONTH(M$6))&lt;=MIN('Aset Tetap'!$Z56,IF('Aset Tetap'!$S56="Unit Produksi",99999,'Aset Tetap'!$Y56+'Aset Tetap'!$T56*12-1))),'Aset Tetap'!$AQ56/'Aset Tetap'!$AG56,0)))</f>
        <v/>
      </c>
      <c r="N56" s="22" t="str">
        <f>IF($B56="","",IF(N('Aset Tetap'!$AG56)=0,0,IF(AND((YEAR(N$6)*12+MONTH(N$6))&gt;='Aset Tetap'!$Y56,(YEAR(N$6)*12+MONTH(N$6))&lt;=MIN('Aset Tetap'!$Z56,IF('Aset Tetap'!$S56="Unit Produksi",99999,'Aset Tetap'!$Y56+'Aset Tetap'!$T56*12-1))),'Aset Tetap'!$AQ56/'Aset Tetap'!$AG56,0)))</f>
        <v/>
      </c>
      <c r="O56" s="22" t="str">
        <f>IF($B56="","",IF(N('Aset Tetap'!$AG56)=0,0,IF(AND((YEAR(O$6)*12+MONTH(O$6))&gt;='Aset Tetap'!$Y56,(YEAR(O$6)*12+MONTH(O$6))&lt;=MIN('Aset Tetap'!$Z56,IF('Aset Tetap'!$S56="Unit Produksi",99999,'Aset Tetap'!$Y56+'Aset Tetap'!$T56*12-1))),'Aset Tetap'!$AQ56/'Aset Tetap'!$AG56,0)))</f>
        <v/>
      </c>
      <c r="P56" s="22" t="str">
        <f>IF($B56="","",IF(N('Aset Tetap'!$AG56)=0,0,IF(AND((YEAR(P$6)*12+MONTH(P$6))&gt;='Aset Tetap'!$Y56,(YEAR(P$6)*12+MONTH(P$6))&lt;=MIN('Aset Tetap'!$Z56,IF('Aset Tetap'!$S56="Unit Produksi",99999,'Aset Tetap'!$Y56+'Aset Tetap'!$T56*12-1))),'Aset Tetap'!$AQ56/'Aset Tetap'!$AG56,0)))</f>
        <v/>
      </c>
      <c r="Q56" s="22" t="str">
        <f>IF($B56="","",SUM(E56:P56))</f>
        <v/>
      </c>
      <c r="R56" s="22" t="str">
        <f>IF($B56="","",'Aset Tetap'!AQ56)</f>
        <v/>
      </c>
      <c r="S56" s="22" t="str">
        <f>IF($B56="","",ROUND(Q56-R56,0))</f>
        <v/>
      </c>
    </row>
    <row r="57" spans="1:19" x14ac:dyDescent="0.25">
      <c r="A57" t="str">
        <f>IF('Aset Tetap'!$B57="","",'Aset Tetap'!A57)</f>
        <v/>
      </c>
      <c r="B57" t="str">
        <f>IF('Aset Tetap'!$B57="","",'Aset Tetap'!B57)</f>
        <v/>
      </c>
      <c r="C57" t="str">
        <f>IF('Aset Tetap'!$B57="","",'Aset Tetap'!C57)</f>
        <v/>
      </c>
      <c r="D57" t="str">
        <f>IF('Aset Tetap'!$B57="","",'Aset Tetap'!D57)</f>
        <v/>
      </c>
      <c r="E57" s="22" t="str">
        <f>IF($B57="","",IF(N('Aset Tetap'!$AG57)=0,0,IF(AND((YEAR(E$6)*12+MONTH(E$6))&gt;='Aset Tetap'!$Y57,(YEAR(E$6)*12+MONTH(E$6))&lt;=MIN('Aset Tetap'!$Z57,IF('Aset Tetap'!$S57="Unit Produksi",99999,'Aset Tetap'!$Y57+'Aset Tetap'!$T57*12-1))),'Aset Tetap'!$AQ57/'Aset Tetap'!$AG57,0)))</f>
        <v/>
      </c>
      <c r="F57" s="22" t="str">
        <f>IF($B57="","",IF(N('Aset Tetap'!$AG57)=0,0,IF(AND((YEAR(F$6)*12+MONTH(F$6))&gt;='Aset Tetap'!$Y57,(YEAR(F$6)*12+MONTH(F$6))&lt;=MIN('Aset Tetap'!$Z57,IF('Aset Tetap'!$S57="Unit Produksi",99999,'Aset Tetap'!$Y57+'Aset Tetap'!$T57*12-1))),'Aset Tetap'!$AQ57/'Aset Tetap'!$AG57,0)))</f>
        <v/>
      </c>
      <c r="G57" s="22" t="str">
        <f>IF($B57="","",IF(N('Aset Tetap'!$AG57)=0,0,IF(AND((YEAR(G$6)*12+MONTH(G$6))&gt;='Aset Tetap'!$Y57,(YEAR(G$6)*12+MONTH(G$6))&lt;=MIN('Aset Tetap'!$Z57,IF('Aset Tetap'!$S57="Unit Produksi",99999,'Aset Tetap'!$Y57+'Aset Tetap'!$T57*12-1))),'Aset Tetap'!$AQ57/'Aset Tetap'!$AG57,0)))</f>
        <v/>
      </c>
      <c r="H57" s="22" t="str">
        <f>IF($B57="","",IF(N('Aset Tetap'!$AG57)=0,0,IF(AND((YEAR(H$6)*12+MONTH(H$6))&gt;='Aset Tetap'!$Y57,(YEAR(H$6)*12+MONTH(H$6))&lt;=MIN('Aset Tetap'!$Z57,IF('Aset Tetap'!$S57="Unit Produksi",99999,'Aset Tetap'!$Y57+'Aset Tetap'!$T57*12-1))),'Aset Tetap'!$AQ57/'Aset Tetap'!$AG57,0)))</f>
        <v/>
      </c>
      <c r="I57" s="22" t="str">
        <f>IF($B57="","",IF(N('Aset Tetap'!$AG57)=0,0,IF(AND((YEAR(I$6)*12+MONTH(I$6))&gt;='Aset Tetap'!$Y57,(YEAR(I$6)*12+MONTH(I$6))&lt;=MIN('Aset Tetap'!$Z57,IF('Aset Tetap'!$S57="Unit Produksi",99999,'Aset Tetap'!$Y57+'Aset Tetap'!$T57*12-1))),'Aset Tetap'!$AQ57/'Aset Tetap'!$AG57,0)))</f>
        <v/>
      </c>
      <c r="J57" s="22" t="str">
        <f>IF($B57="","",IF(N('Aset Tetap'!$AG57)=0,0,IF(AND((YEAR(J$6)*12+MONTH(J$6))&gt;='Aset Tetap'!$Y57,(YEAR(J$6)*12+MONTH(J$6))&lt;=MIN('Aset Tetap'!$Z57,IF('Aset Tetap'!$S57="Unit Produksi",99999,'Aset Tetap'!$Y57+'Aset Tetap'!$T57*12-1))),'Aset Tetap'!$AQ57/'Aset Tetap'!$AG57,0)))</f>
        <v/>
      </c>
      <c r="K57" s="22" t="str">
        <f>IF($B57="","",IF(N('Aset Tetap'!$AG57)=0,0,IF(AND((YEAR(K$6)*12+MONTH(K$6))&gt;='Aset Tetap'!$Y57,(YEAR(K$6)*12+MONTH(K$6))&lt;=MIN('Aset Tetap'!$Z57,IF('Aset Tetap'!$S57="Unit Produksi",99999,'Aset Tetap'!$Y57+'Aset Tetap'!$T57*12-1))),'Aset Tetap'!$AQ57/'Aset Tetap'!$AG57,0)))</f>
        <v/>
      </c>
      <c r="L57" s="22" t="str">
        <f>IF($B57="","",IF(N('Aset Tetap'!$AG57)=0,0,IF(AND((YEAR(L$6)*12+MONTH(L$6))&gt;='Aset Tetap'!$Y57,(YEAR(L$6)*12+MONTH(L$6))&lt;=MIN('Aset Tetap'!$Z57,IF('Aset Tetap'!$S57="Unit Produksi",99999,'Aset Tetap'!$Y57+'Aset Tetap'!$T57*12-1))),'Aset Tetap'!$AQ57/'Aset Tetap'!$AG57,0)))</f>
        <v/>
      </c>
      <c r="M57" s="22" t="str">
        <f>IF($B57="","",IF(N('Aset Tetap'!$AG57)=0,0,IF(AND((YEAR(M$6)*12+MONTH(M$6))&gt;='Aset Tetap'!$Y57,(YEAR(M$6)*12+MONTH(M$6))&lt;=MIN('Aset Tetap'!$Z57,IF('Aset Tetap'!$S57="Unit Produksi",99999,'Aset Tetap'!$Y57+'Aset Tetap'!$T57*12-1))),'Aset Tetap'!$AQ57/'Aset Tetap'!$AG57,0)))</f>
        <v/>
      </c>
      <c r="N57" s="22" t="str">
        <f>IF($B57="","",IF(N('Aset Tetap'!$AG57)=0,0,IF(AND((YEAR(N$6)*12+MONTH(N$6))&gt;='Aset Tetap'!$Y57,(YEAR(N$6)*12+MONTH(N$6))&lt;=MIN('Aset Tetap'!$Z57,IF('Aset Tetap'!$S57="Unit Produksi",99999,'Aset Tetap'!$Y57+'Aset Tetap'!$T57*12-1))),'Aset Tetap'!$AQ57/'Aset Tetap'!$AG57,0)))</f>
        <v/>
      </c>
      <c r="O57" s="22" t="str">
        <f>IF($B57="","",IF(N('Aset Tetap'!$AG57)=0,0,IF(AND((YEAR(O$6)*12+MONTH(O$6))&gt;='Aset Tetap'!$Y57,(YEAR(O$6)*12+MONTH(O$6))&lt;=MIN('Aset Tetap'!$Z57,IF('Aset Tetap'!$S57="Unit Produksi",99999,'Aset Tetap'!$Y57+'Aset Tetap'!$T57*12-1))),'Aset Tetap'!$AQ57/'Aset Tetap'!$AG57,0)))</f>
        <v/>
      </c>
      <c r="P57" s="22" t="str">
        <f>IF($B57="","",IF(N('Aset Tetap'!$AG57)=0,0,IF(AND((YEAR(P$6)*12+MONTH(P$6))&gt;='Aset Tetap'!$Y57,(YEAR(P$6)*12+MONTH(P$6))&lt;=MIN('Aset Tetap'!$Z57,IF('Aset Tetap'!$S57="Unit Produksi",99999,'Aset Tetap'!$Y57+'Aset Tetap'!$T57*12-1))),'Aset Tetap'!$AQ57/'Aset Tetap'!$AG57,0)))</f>
        <v/>
      </c>
      <c r="Q57" s="22" t="str">
        <f>IF($B57="","",SUM(E57:P57))</f>
        <v/>
      </c>
      <c r="R57" s="22" t="str">
        <f>IF($B57="","",'Aset Tetap'!AQ57)</f>
        <v/>
      </c>
      <c r="S57" s="22" t="str">
        <f>IF($B57="","",ROUND(Q57-R57,0))</f>
        <v/>
      </c>
    </row>
    <row r="58" spans="1:19" x14ac:dyDescent="0.25">
      <c r="A58" t="str">
        <f>IF('Aset Tetap'!$B58="","",'Aset Tetap'!A58)</f>
        <v/>
      </c>
      <c r="B58" t="str">
        <f>IF('Aset Tetap'!$B58="","",'Aset Tetap'!B58)</f>
        <v/>
      </c>
      <c r="C58" t="str">
        <f>IF('Aset Tetap'!$B58="","",'Aset Tetap'!C58)</f>
        <v/>
      </c>
      <c r="D58" t="str">
        <f>IF('Aset Tetap'!$B58="","",'Aset Tetap'!D58)</f>
        <v/>
      </c>
      <c r="E58" s="22" t="str">
        <f>IF($B58="","",IF(N('Aset Tetap'!$AG58)=0,0,IF(AND((YEAR(E$6)*12+MONTH(E$6))&gt;='Aset Tetap'!$Y58,(YEAR(E$6)*12+MONTH(E$6))&lt;=MIN('Aset Tetap'!$Z58,IF('Aset Tetap'!$S58="Unit Produksi",99999,'Aset Tetap'!$Y58+'Aset Tetap'!$T58*12-1))),'Aset Tetap'!$AQ58/'Aset Tetap'!$AG58,0)))</f>
        <v/>
      </c>
      <c r="F58" s="22" t="str">
        <f>IF($B58="","",IF(N('Aset Tetap'!$AG58)=0,0,IF(AND((YEAR(F$6)*12+MONTH(F$6))&gt;='Aset Tetap'!$Y58,(YEAR(F$6)*12+MONTH(F$6))&lt;=MIN('Aset Tetap'!$Z58,IF('Aset Tetap'!$S58="Unit Produksi",99999,'Aset Tetap'!$Y58+'Aset Tetap'!$T58*12-1))),'Aset Tetap'!$AQ58/'Aset Tetap'!$AG58,0)))</f>
        <v/>
      </c>
      <c r="G58" s="22" t="str">
        <f>IF($B58="","",IF(N('Aset Tetap'!$AG58)=0,0,IF(AND((YEAR(G$6)*12+MONTH(G$6))&gt;='Aset Tetap'!$Y58,(YEAR(G$6)*12+MONTH(G$6))&lt;=MIN('Aset Tetap'!$Z58,IF('Aset Tetap'!$S58="Unit Produksi",99999,'Aset Tetap'!$Y58+'Aset Tetap'!$T58*12-1))),'Aset Tetap'!$AQ58/'Aset Tetap'!$AG58,0)))</f>
        <v/>
      </c>
      <c r="H58" s="22" t="str">
        <f>IF($B58="","",IF(N('Aset Tetap'!$AG58)=0,0,IF(AND((YEAR(H$6)*12+MONTH(H$6))&gt;='Aset Tetap'!$Y58,(YEAR(H$6)*12+MONTH(H$6))&lt;=MIN('Aset Tetap'!$Z58,IF('Aset Tetap'!$S58="Unit Produksi",99999,'Aset Tetap'!$Y58+'Aset Tetap'!$T58*12-1))),'Aset Tetap'!$AQ58/'Aset Tetap'!$AG58,0)))</f>
        <v/>
      </c>
      <c r="I58" s="22" t="str">
        <f>IF($B58="","",IF(N('Aset Tetap'!$AG58)=0,0,IF(AND((YEAR(I$6)*12+MONTH(I$6))&gt;='Aset Tetap'!$Y58,(YEAR(I$6)*12+MONTH(I$6))&lt;=MIN('Aset Tetap'!$Z58,IF('Aset Tetap'!$S58="Unit Produksi",99999,'Aset Tetap'!$Y58+'Aset Tetap'!$T58*12-1))),'Aset Tetap'!$AQ58/'Aset Tetap'!$AG58,0)))</f>
        <v/>
      </c>
      <c r="J58" s="22" t="str">
        <f>IF($B58="","",IF(N('Aset Tetap'!$AG58)=0,0,IF(AND((YEAR(J$6)*12+MONTH(J$6))&gt;='Aset Tetap'!$Y58,(YEAR(J$6)*12+MONTH(J$6))&lt;=MIN('Aset Tetap'!$Z58,IF('Aset Tetap'!$S58="Unit Produksi",99999,'Aset Tetap'!$Y58+'Aset Tetap'!$T58*12-1))),'Aset Tetap'!$AQ58/'Aset Tetap'!$AG58,0)))</f>
        <v/>
      </c>
      <c r="K58" s="22" t="str">
        <f>IF($B58="","",IF(N('Aset Tetap'!$AG58)=0,0,IF(AND((YEAR(K$6)*12+MONTH(K$6))&gt;='Aset Tetap'!$Y58,(YEAR(K$6)*12+MONTH(K$6))&lt;=MIN('Aset Tetap'!$Z58,IF('Aset Tetap'!$S58="Unit Produksi",99999,'Aset Tetap'!$Y58+'Aset Tetap'!$T58*12-1))),'Aset Tetap'!$AQ58/'Aset Tetap'!$AG58,0)))</f>
        <v/>
      </c>
      <c r="L58" s="22" t="str">
        <f>IF($B58="","",IF(N('Aset Tetap'!$AG58)=0,0,IF(AND((YEAR(L$6)*12+MONTH(L$6))&gt;='Aset Tetap'!$Y58,(YEAR(L$6)*12+MONTH(L$6))&lt;=MIN('Aset Tetap'!$Z58,IF('Aset Tetap'!$S58="Unit Produksi",99999,'Aset Tetap'!$Y58+'Aset Tetap'!$T58*12-1))),'Aset Tetap'!$AQ58/'Aset Tetap'!$AG58,0)))</f>
        <v/>
      </c>
      <c r="M58" s="22" t="str">
        <f>IF($B58="","",IF(N('Aset Tetap'!$AG58)=0,0,IF(AND((YEAR(M$6)*12+MONTH(M$6))&gt;='Aset Tetap'!$Y58,(YEAR(M$6)*12+MONTH(M$6))&lt;=MIN('Aset Tetap'!$Z58,IF('Aset Tetap'!$S58="Unit Produksi",99999,'Aset Tetap'!$Y58+'Aset Tetap'!$T58*12-1))),'Aset Tetap'!$AQ58/'Aset Tetap'!$AG58,0)))</f>
        <v/>
      </c>
      <c r="N58" s="22" t="str">
        <f>IF($B58="","",IF(N('Aset Tetap'!$AG58)=0,0,IF(AND((YEAR(N$6)*12+MONTH(N$6))&gt;='Aset Tetap'!$Y58,(YEAR(N$6)*12+MONTH(N$6))&lt;=MIN('Aset Tetap'!$Z58,IF('Aset Tetap'!$S58="Unit Produksi",99999,'Aset Tetap'!$Y58+'Aset Tetap'!$T58*12-1))),'Aset Tetap'!$AQ58/'Aset Tetap'!$AG58,0)))</f>
        <v/>
      </c>
      <c r="O58" s="22" t="str">
        <f>IF($B58="","",IF(N('Aset Tetap'!$AG58)=0,0,IF(AND((YEAR(O$6)*12+MONTH(O$6))&gt;='Aset Tetap'!$Y58,(YEAR(O$6)*12+MONTH(O$6))&lt;=MIN('Aset Tetap'!$Z58,IF('Aset Tetap'!$S58="Unit Produksi",99999,'Aset Tetap'!$Y58+'Aset Tetap'!$T58*12-1))),'Aset Tetap'!$AQ58/'Aset Tetap'!$AG58,0)))</f>
        <v/>
      </c>
      <c r="P58" s="22" t="str">
        <f>IF($B58="","",IF(N('Aset Tetap'!$AG58)=0,0,IF(AND((YEAR(P$6)*12+MONTH(P$6))&gt;='Aset Tetap'!$Y58,(YEAR(P$6)*12+MONTH(P$6))&lt;=MIN('Aset Tetap'!$Z58,IF('Aset Tetap'!$S58="Unit Produksi",99999,'Aset Tetap'!$Y58+'Aset Tetap'!$T58*12-1))),'Aset Tetap'!$AQ58/'Aset Tetap'!$AG58,0)))</f>
        <v/>
      </c>
      <c r="Q58" s="22" t="str">
        <f>IF($B58="","",SUM(E58:P58))</f>
        <v/>
      </c>
      <c r="R58" s="22" t="str">
        <f>IF($B58="","",'Aset Tetap'!AQ58)</f>
        <v/>
      </c>
      <c r="S58" s="22" t="str">
        <f>IF($B58="","",ROUND(Q58-R58,0))</f>
        <v/>
      </c>
    </row>
    <row r="59" spans="1:19" x14ac:dyDescent="0.25">
      <c r="A59" t="str">
        <f>IF('Aset Tetap'!$B59="","",'Aset Tetap'!A59)</f>
        <v/>
      </c>
      <c r="B59" t="str">
        <f>IF('Aset Tetap'!$B59="","",'Aset Tetap'!B59)</f>
        <v/>
      </c>
      <c r="C59" t="str">
        <f>IF('Aset Tetap'!$B59="","",'Aset Tetap'!C59)</f>
        <v/>
      </c>
      <c r="D59" t="str">
        <f>IF('Aset Tetap'!$B59="","",'Aset Tetap'!D59)</f>
        <v/>
      </c>
      <c r="E59" s="22" t="str">
        <f>IF($B59="","",IF(N('Aset Tetap'!$AG59)=0,0,IF(AND((YEAR(E$6)*12+MONTH(E$6))&gt;='Aset Tetap'!$Y59,(YEAR(E$6)*12+MONTH(E$6))&lt;=MIN('Aset Tetap'!$Z59,IF('Aset Tetap'!$S59="Unit Produksi",99999,'Aset Tetap'!$Y59+'Aset Tetap'!$T59*12-1))),'Aset Tetap'!$AQ59/'Aset Tetap'!$AG59,0)))</f>
        <v/>
      </c>
      <c r="F59" s="22" t="str">
        <f>IF($B59="","",IF(N('Aset Tetap'!$AG59)=0,0,IF(AND((YEAR(F$6)*12+MONTH(F$6))&gt;='Aset Tetap'!$Y59,(YEAR(F$6)*12+MONTH(F$6))&lt;=MIN('Aset Tetap'!$Z59,IF('Aset Tetap'!$S59="Unit Produksi",99999,'Aset Tetap'!$Y59+'Aset Tetap'!$T59*12-1))),'Aset Tetap'!$AQ59/'Aset Tetap'!$AG59,0)))</f>
        <v/>
      </c>
      <c r="G59" s="22" t="str">
        <f>IF($B59="","",IF(N('Aset Tetap'!$AG59)=0,0,IF(AND((YEAR(G$6)*12+MONTH(G$6))&gt;='Aset Tetap'!$Y59,(YEAR(G$6)*12+MONTH(G$6))&lt;=MIN('Aset Tetap'!$Z59,IF('Aset Tetap'!$S59="Unit Produksi",99999,'Aset Tetap'!$Y59+'Aset Tetap'!$T59*12-1))),'Aset Tetap'!$AQ59/'Aset Tetap'!$AG59,0)))</f>
        <v/>
      </c>
      <c r="H59" s="22" t="str">
        <f>IF($B59="","",IF(N('Aset Tetap'!$AG59)=0,0,IF(AND((YEAR(H$6)*12+MONTH(H$6))&gt;='Aset Tetap'!$Y59,(YEAR(H$6)*12+MONTH(H$6))&lt;=MIN('Aset Tetap'!$Z59,IF('Aset Tetap'!$S59="Unit Produksi",99999,'Aset Tetap'!$Y59+'Aset Tetap'!$T59*12-1))),'Aset Tetap'!$AQ59/'Aset Tetap'!$AG59,0)))</f>
        <v/>
      </c>
      <c r="I59" s="22" t="str">
        <f>IF($B59="","",IF(N('Aset Tetap'!$AG59)=0,0,IF(AND((YEAR(I$6)*12+MONTH(I$6))&gt;='Aset Tetap'!$Y59,(YEAR(I$6)*12+MONTH(I$6))&lt;=MIN('Aset Tetap'!$Z59,IF('Aset Tetap'!$S59="Unit Produksi",99999,'Aset Tetap'!$Y59+'Aset Tetap'!$T59*12-1))),'Aset Tetap'!$AQ59/'Aset Tetap'!$AG59,0)))</f>
        <v/>
      </c>
      <c r="J59" s="22" t="str">
        <f>IF($B59="","",IF(N('Aset Tetap'!$AG59)=0,0,IF(AND((YEAR(J$6)*12+MONTH(J$6))&gt;='Aset Tetap'!$Y59,(YEAR(J$6)*12+MONTH(J$6))&lt;=MIN('Aset Tetap'!$Z59,IF('Aset Tetap'!$S59="Unit Produksi",99999,'Aset Tetap'!$Y59+'Aset Tetap'!$T59*12-1))),'Aset Tetap'!$AQ59/'Aset Tetap'!$AG59,0)))</f>
        <v/>
      </c>
      <c r="K59" s="22" t="str">
        <f>IF($B59="","",IF(N('Aset Tetap'!$AG59)=0,0,IF(AND((YEAR(K$6)*12+MONTH(K$6))&gt;='Aset Tetap'!$Y59,(YEAR(K$6)*12+MONTH(K$6))&lt;=MIN('Aset Tetap'!$Z59,IF('Aset Tetap'!$S59="Unit Produksi",99999,'Aset Tetap'!$Y59+'Aset Tetap'!$T59*12-1))),'Aset Tetap'!$AQ59/'Aset Tetap'!$AG59,0)))</f>
        <v/>
      </c>
      <c r="L59" s="22" t="str">
        <f>IF($B59="","",IF(N('Aset Tetap'!$AG59)=0,0,IF(AND((YEAR(L$6)*12+MONTH(L$6))&gt;='Aset Tetap'!$Y59,(YEAR(L$6)*12+MONTH(L$6))&lt;=MIN('Aset Tetap'!$Z59,IF('Aset Tetap'!$S59="Unit Produksi",99999,'Aset Tetap'!$Y59+'Aset Tetap'!$T59*12-1))),'Aset Tetap'!$AQ59/'Aset Tetap'!$AG59,0)))</f>
        <v/>
      </c>
      <c r="M59" s="22" t="str">
        <f>IF($B59="","",IF(N('Aset Tetap'!$AG59)=0,0,IF(AND((YEAR(M$6)*12+MONTH(M$6))&gt;='Aset Tetap'!$Y59,(YEAR(M$6)*12+MONTH(M$6))&lt;=MIN('Aset Tetap'!$Z59,IF('Aset Tetap'!$S59="Unit Produksi",99999,'Aset Tetap'!$Y59+'Aset Tetap'!$T59*12-1))),'Aset Tetap'!$AQ59/'Aset Tetap'!$AG59,0)))</f>
        <v/>
      </c>
      <c r="N59" s="22" t="str">
        <f>IF($B59="","",IF(N('Aset Tetap'!$AG59)=0,0,IF(AND((YEAR(N$6)*12+MONTH(N$6))&gt;='Aset Tetap'!$Y59,(YEAR(N$6)*12+MONTH(N$6))&lt;=MIN('Aset Tetap'!$Z59,IF('Aset Tetap'!$S59="Unit Produksi",99999,'Aset Tetap'!$Y59+'Aset Tetap'!$T59*12-1))),'Aset Tetap'!$AQ59/'Aset Tetap'!$AG59,0)))</f>
        <v/>
      </c>
      <c r="O59" s="22" t="str">
        <f>IF($B59="","",IF(N('Aset Tetap'!$AG59)=0,0,IF(AND((YEAR(O$6)*12+MONTH(O$6))&gt;='Aset Tetap'!$Y59,(YEAR(O$6)*12+MONTH(O$6))&lt;=MIN('Aset Tetap'!$Z59,IF('Aset Tetap'!$S59="Unit Produksi",99999,'Aset Tetap'!$Y59+'Aset Tetap'!$T59*12-1))),'Aset Tetap'!$AQ59/'Aset Tetap'!$AG59,0)))</f>
        <v/>
      </c>
      <c r="P59" s="22" t="str">
        <f>IF($B59="","",IF(N('Aset Tetap'!$AG59)=0,0,IF(AND((YEAR(P$6)*12+MONTH(P$6))&gt;='Aset Tetap'!$Y59,(YEAR(P$6)*12+MONTH(P$6))&lt;=MIN('Aset Tetap'!$Z59,IF('Aset Tetap'!$S59="Unit Produksi",99999,'Aset Tetap'!$Y59+'Aset Tetap'!$T59*12-1))),'Aset Tetap'!$AQ59/'Aset Tetap'!$AG59,0)))</f>
        <v/>
      </c>
      <c r="Q59" s="22" t="str">
        <f>IF($B59="","",SUM(E59:P59))</f>
        <v/>
      </c>
      <c r="R59" s="22" t="str">
        <f>IF($B59="","",'Aset Tetap'!AQ59)</f>
        <v/>
      </c>
      <c r="S59" s="22" t="str">
        <f>IF($B59="","",ROUND(Q59-R59,0))</f>
        <v/>
      </c>
    </row>
    <row r="60" spans="1:19" x14ac:dyDescent="0.25">
      <c r="A60" t="str">
        <f>IF('Aset Tetap'!$B60="","",'Aset Tetap'!A60)</f>
        <v/>
      </c>
      <c r="B60" t="str">
        <f>IF('Aset Tetap'!$B60="","",'Aset Tetap'!B60)</f>
        <v/>
      </c>
      <c r="C60" t="str">
        <f>IF('Aset Tetap'!$B60="","",'Aset Tetap'!C60)</f>
        <v/>
      </c>
      <c r="D60" t="str">
        <f>IF('Aset Tetap'!$B60="","",'Aset Tetap'!D60)</f>
        <v/>
      </c>
      <c r="E60" s="22" t="str">
        <f>IF($B60="","",IF(N('Aset Tetap'!$AG60)=0,0,IF(AND((YEAR(E$6)*12+MONTH(E$6))&gt;='Aset Tetap'!$Y60,(YEAR(E$6)*12+MONTH(E$6))&lt;=MIN('Aset Tetap'!$Z60,IF('Aset Tetap'!$S60="Unit Produksi",99999,'Aset Tetap'!$Y60+'Aset Tetap'!$T60*12-1))),'Aset Tetap'!$AQ60/'Aset Tetap'!$AG60,0)))</f>
        <v/>
      </c>
      <c r="F60" s="22" t="str">
        <f>IF($B60="","",IF(N('Aset Tetap'!$AG60)=0,0,IF(AND((YEAR(F$6)*12+MONTH(F$6))&gt;='Aset Tetap'!$Y60,(YEAR(F$6)*12+MONTH(F$6))&lt;=MIN('Aset Tetap'!$Z60,IF('Aset Tetap'!$S60="Unit Produksi",99999,'Aset Tetap'!$Y60+'Aset Tetap'!$T60*12-1))),'Aset Tetap'!$AQ60/'Aset Tetap'!$AG60,0)))</f>
        <v/>
      </c>
      <c r="G60" s="22" t="str">
        <f>IF($B60="","",IF(N('Aset Tetap'!$AG60)=0,0,IF(AND((YEAR(G$6)*12+MONTH(G$6))&gt;='Aset Tetap'!$Y60,(YEAR(G$6)*12+MONTH(G$6))&lt;=MIN('Aset Tetap'!$Z60,IF('Aset Tetap'!$S60="Unit Produksi",99999,'Aset Tetap'!$Y60+'Aset Tetap'!$T60*12-1))),'Aset Tetap'!$AQ60/'Aset Tetap'!$AG60,0)))</f>
        <v/>
      </c>
      <c r="H60" s="22" t="str">
        <f>IF($B60="","",IF(N('Aset Tetap'!$AG60)=0,0,IF(AND((YEAR(H$6)*12+MONTH(H$6))&gt;='Aset Tetap'!$Y60,(YEAR(H$6)*12+MONTH(H$6))&lt;=MIN('Aset Tetap'!$Z60,IF('Aset Tetap'!$S60="Unit Produksi",99999,'Aset Tetap'!$Y60+'Aset Tetap'!$T60*12-1))),'Aset Tetap'!$AQ60/'Aset Tetap'!$AG60,0)))</f>
        <v/>
      </c>
      <c r="I60" s="22" t="str">
        <f>IF($B60="","",IF(N('Aset Tetap'!$AG60)=0,0,IF(AND((YEAR(I$6)*12+MONTH(I$6))&gt;='Aset Tetap'!$Y60,(YEAR(I$6)*12+MONTH(I$6))&lt;=MIN('Aset Tetap'!$Z60,IF('Aset Tetap'!$S60="Unit Produksi",99999,'Aset Tetap'!$Y60+'Aset Tetap'!$T60*12-1))),'Aset Tetap'!$AQ60/'Aset Tetap'!$AG60,0)))</f>
        <v/>
      </c>
      <c r="J60" s="22" t="str">
        <f>IF($B60="","",IF(N('Aset Tetap'!$AG60)=0,0,IF(AND((YEAR(J$6)*12+MONTH(J$6))&gt;='Aset Tetap'!$Y60,(YEAR(J$6)*12+MONTH(J$6))&lt;=MIN('Aset Tetap'!$Z60,IF('Aset Tetap'!$S60="Unit Produksi",99999,'Aset Tetap'!$Y60+'Aset Tetap'!$T60*12-1))),'Aset Tetap'!$AQ60/'Aset Tetap'!$AG60,0)))</f>
        <v/>
      </c>
      <c r="K60" s="22" t="str">
        <f>IF($B60="","",IF(N('Aset Tetap'!$AG60)=0,0,IF(AND((YEAR(K$6)*12+MONTH(K$6))&gt;='Aset Tetap'!$Y60,(YEAR(K$6)*12+MONTH(K$6))&lt;=MIN('Aset Tetap'!$Z60,IF('Aset Tetap'!$S60="Unit Produksi",99999,'Aset Tetap'!$Y60+'Aset Tetap'!$T60*12-1))),'Aset Tetap'!$AQ60/'Aset Tetap'!$AG60,0)))</f>
        <v/>
      </c>
      <c r="L60" s="22" t="str">
        <f>IF($B60="","",IF(N('Aset Tetap'!$AG60)=0,0,IF(AND((YEAR(L$6)*12+MONTH(L$6))&gt;='Aset Tetap'!$Y60,(YEAR(L$6)*12+MONTH(L$6))&lt;=MIN('Aset Tetap'!$Z60,IF('Aset Tetap'!$S60="Unit Produksi",99999,'Aset Tetap'!$Y60+'Aset Tetap'!$T60*12-1))),'Aset Tetap'!$AQ60/'Aset Tetap'!$AG60,0)))</f>
        <v/>
      </c>
      <c r="M60" s="22" t="str">
        <f>IF($B60="","",IF(N('Aset Tetap'!$AG60)=0,0,IF(AND((YEAR(M$6)*12+MONTH(M$6))&gt;='Aset Tetap'!$Y60,(YEAR(M$6)*12+MONTH(M$6))&lt;=MIN('Aset Tetap'!$Z60,IF('Aset Tetap'!$S60="Unit Produksi",99999,'Aset Tetap'!$Y60+'Aset Tetap'!$T60*12-1))),'Aset Tetap'!$AQ60/'Aset Tetap'!$AG60,0)))</f>
        <v/>
      </c>
      <c r="N60" s="22" t="str">
        <f>IF($B60="","",IF(N('Aset Tetap'!$AG60)=0,0,IF(AND((YEAR(N$6)*12+MONTH(N$6))&gt;='Aset Tetap'!$Y60,(YEAR(N$6)*12+MONTH(N$6))&lt;=MIN('Aset Tetap'!$Z60,IF('Aset Tetap'!$S60="Unit Produksi",99999,'Aset Tetap'!$Y60+'Aset Tetap'!$T60*12-1))),'Aset Tetap'!$AQ60/'Aset Tetap'!$AG60,0)))</f>
        <v/>
      </c>
      <c r="O60" s="22" t="str">
        <f>IF($B60="","",IF(N('Aset Tetap'!$AG60)=0,0,IF(AND((YEAR(O$6)*12+MONTH(O$6))&gt;='Aset Tetap'!$Y60,(YEAR(O$6)*12+MONTH(O$6))&lt;=MIN('Aset Tetap'!$Z60,IF('Aset Tetap'!$S60="Unit Produksi",99999,'Aset Tetap'!$Y60+'Aset Tetap'!$T60*12-1))),'Aset Tetap'!$AQ60/'Aset Tetap'!$AG60,0)))</f>
        <v/>
      </c>
      <c r="P60" s="22" t="str">
        <f>IF($B60="","",IF(N('Aset Tetap'!$AG60)=0,0,IF(AND((YEAR(P$6)*12+MONTH(P$6))&gt;='Aset Tetap'!$Y60,(YEAR(P$6)*12+MONTH(P$6))&lt;=MIN('Aset Tetap'!$Z60,IF('Aset Tetap'!$S60="Unit Produksi",99999,'Aset Tetap'!$Y60+'Aset Tetap'!$T60*12-1))),'Aset Tetap'!$AQ60/'Aset Tetap'!$AG60,0)))</f>
        <v/>
      </c>
      <c r="Q60" s="22" t="str">
        <f>IF($B60="","",SUM(E60:P60))</f>
        <v/>
      </c>
      <c r="R60" s="22" t="str">
        <f>IF($B60="","",'Aset Tetap'!AQ60)</f>
        <v/>
      </c>
      <c r="S60" s="22" t="str">
        <f>IF($B60="","",ROUND(Q60-R60,0))</f>
        <v/>
      </c>
    </row>
    <row r="61" spans="1:19" x14ac:dyDescent="0.25">
      <c r="A61" t="str">
        <f>IF('Aset Tetap'!$B61="","",'Aset Tetap'!A61)</f>
        <v/>
      </c>
      <c r="B61" t="str">
        <f>IF('Aset Tetap'!$B61="","",'Aset Tetap'!B61)</f>
        <v/>
      </c>
      <c r="C61" t="str">
        <f>IF('Aset Tetap'!$B61="","",'Aset Tetap'!C61)</f>
        <v/>
      </c>
      <c r="D61" t="str">
        <f>IF('Aset Tetap'!$B61="","",'Aset Tetap'!D61)</f>
        <v/>
      </c>
      <c r="E61" s="22" t="str">
        <f>IF($B61="","",IF(N('Aset Tetap'!$AG61)=0,0,IF(AND((YEAR(E$6)*12+MONTH(E$6))&gt;='Aset Tetap'!$Y61,(YEAR(E$6)*12+MONTH(E$6))&lt;=MIN('Aset Tetap'!$Z61,IF('Aset Tetap'!$S61="Unit Produksi",99999,'Aset Tetap'!$Y61+'Aset Tetap'!$T61*12-1))),'Aset Tetap'!$AQ61/'Aset Tetap'!$AG61,0)))</f>
        <v/>
      </c>
      <c r="F61" s="22" t="str">
        <f>IF($B61="","",IF(N('Aset Tetap'!$AG61)=0,0,IF(AND((YEAR(F$6)*12+MONTH(F$6))&gt;='Aset Tetap'!$Y61,(YEAR(F$6)*12+MONTH(F$6))&lt;=MIN('Aset Tetap'!$Z61,IF('Aset Tetap'!$S61="Unit Produksi",99999,'Aset Tetap'!$Y61+'Aset Tetap'!$T61*12-1))),'Aset Tetap'!$AQ61/'Aset Tetap'!$AG61,0)))</f>
        <v/>
      </c>
      <c r="G61" s="22" t="str">
        <f>IF($B61="","",IF(N('Aset Tetap'!$AG61)=0,0,IF(AND((YEAR(G$6)*12+MONTH(G$6))&gt;='Aset Tetap'!$Y61,(YEAR(G$6)*12+MONTH(G$6))&lt;=MIN('Aset Tetap'!$Z61,IF('Aset Tetap'!$S61="Unit Produksi",99999,'Aset Tetap'!$Y61+'Aset Tetap'!$T61*12-1))),'Aset Tetap'!$AQ61/'Aset Tetap'!$AG61,0)))</f>
        <v/>
      </c>
      <c r="H61" s="22" t="str">
        <f>IF($B61="","",IF(N('Aset Tetap'!$AG61)=0,0,IF(AND((YEAR(H$6)*12+MONTH(H$6))&gt;='Aset Tetap'!$Y61,(YEAR(H$6)*12+MONTH(H$6))&lt;=MIN('Aset Tetap'!$Z61,IF('Aset Tetap'!$S61="Unit Produksi",99999,'Aset Tetap'!$Y61+'Aset Tetap'!$T61*12-1))),'Aset Tetap'!$AQ61/'Aset Tetap'!$AG61,0)))</f>
        <v/>
      </c>
      <c r="I61" s="22" t="str">
        <f>IF($B61="","",IF(N('Aset Tetap'!$AG61)=0,0,IF(AND((YEAR(I$6)*12+MONTH(I$6))&gt;='Aset Tetap'!$Y61,(YEAR(I$6)*12+MONTH(I$6))&lt;=MIN('Aset Tetap'!$Z61,IF('Aset Tetap'!$S61="Unit Produksi",99999,'Aset Tetap'!$Y61+'Aset Tetap'!$T61*12-1))),'Aset Tetap'!$AQ61/'Aset Tetap'!$AG61,0)))</f>
        <v/>
      </c>
      <c r="J61" s="22" t="str">
        <f>IF($B61="","",IF(N('Aset Tetap'!$AG61)=0,0,IF(AND((YEAR(J$6)*12+MONTH(J$6))&gt;='Aset Tetap'!$Y61,(YEAR(J$6)*12+MONTH(J$6))&lt;=MIN('Aset Tetap'!$Z61,IF('Aset Tetap'!$S61="Unit Produksi",99999,'Aset Tetap'!$Y61+'Aset Tetap'!$T61*12-1))),'Aset Tetap'!$AQ61/'Aset Tetap'!$AG61,0)))</f>
        <v/>
      </c>
      <c r="K61" s="22" t="str">
        <f>IF($B61="","",IF(N('Aset Tetap'!$AG61)=0,0,IF(AND((YEAR(K$6)*12+MONTH(K$6))&gt;='Aset Tetap'!$Y61,(YEAR(K$6)*12+MONTH(K$6))&lt;=MIN('Aset Tetap'!$Z61,IF('Aset Tetap'!$S61="Unit Produksi",99999,'Aset Tetap'!$Y61+'Aset Tetap'!$T61*12-1))),'Aset Tetap'!$AQ61/'Aset Tetap'!$AG61,0)))</f>
        <v/>
      </c>
      <c r="L61" s="22" t="str">
        <f>IF($B61="","",IF(N('Aset Tetap'!$AG61)=0,0,IF(AND((YEAR(L$6)*12+MONTH(L$6))&gt;='Aset Tetap'!$Y61,(YEAR(L$6)*12+MONTH(L$6))&lt;=MIN('Aset Tetap'!$Z61,IF('Aset Tetap'!$S61="Unit Produksi",99999,'Aset Tetap'!$Y61+'Aset Tetap'!$T61*12-1))),'Aset Tetap'!$AQ61/'Aset Tetap'!$AG61,0)))</f>
        <v/>
      </c>
      <c r="M61" s="22" t="str">
        <f>IF($B61="","",IF(N('Aset Tetap'!$AG61)=0,0,IF(AND((YEAR(M$6)*12+MONTH(M$6))&gt;='Aset Tetap'!$Y61,(YEAR(M$6)*12+MONTH(M$6))&lt;=MIN('Aset Tetap'!$Z61,IF('Aset Tetap'!$S61="Unit Produksi",99999,'Aset Tetap'!$Y61+'Aset Tetap'!$T61*12-1))),'Aset Tetap'!$AQ61/'Aset Tetap'!$AG61,0)))</f>
        <v/>
      </c>
      <c r="N61" s="22" t="str">
        <f>IF($B61="","",IF(N('Aset Tetap'!$AG61)=0,0,IF(AND((YEAR(N$6)*12+MONTH(N$6))&gt;='Aset Tetap'!$Y61,(YEAR(N$6)*12+MONTH(N$6))&lt;=MIN('Aset Tetap'!$Z61,IF('Aset Tetap'!$S61="Unit Produksi",99999,'Aset Tetap'!$Y61+'Aset Tetap'!$T61*12-1))),'Aset Tetap'!$AQ61/'Aset Tetap'!$AG61,0)))</f>
        <v/>
      </c>
      <c r="O61" s="22" t="str">
        <f>IF($B61="","",IF(N('Aset Tetap'!$AG61)=0,0,IF(AND((YEAR(O$6)*12+MONTH(O$6))&gt;='Aset Tetap'!$Y61,(YEAR(O$6)*12+MONTH(O$6))&lt;=MIN('Aset Tetap'!$Z61,IF('Aset Tetap'!$S61="Unit Produksi",99999,'Aset Tetap'!$Y61+'Aset Tetap'!$T61*12-1))),'Aset Tetap'!$AQ61/'Aset Tetap'!$AG61,0)))</f>
        <v/>
      </c>
      <c r="P61" s="22" t="str">
        <f>IF($B61="","",IF(N('Aset Tetap'!$AG61)=0,0,IF(AND((YEAR(P$6)*12+MONTH(P$6))&gt;='Aset Tetap'!$Y61,(YEAR(P$6)*12+MONTH(P$6))&lt;=MIN('Aset Tetap'!$Z61,IF('Aset Tetap'!$S61="Unit Produksi",99999,'Aset Tetap'!$Y61+'Aset Tetap'!$T61*12-1))),'Aset Tetap'!$AQ61/'Aset Tetap'!$AG61,0)))</f>
        <v/>
      </c>
      <c r="Q61" s="22" t="str">
        <f>IF($B61="","",SUM(E61:P61))</f>
        <v/>
      </c>
      <c r="R61" s="22" t="str">
        <f>IF($B61="","",'Aset Tetap'!AQ61)</f>
        <v/>
      </c>
      <c r="S61" s="22" t="str">
        <f>IF($B61="","",ROUND(Q61-R61,0))</f>
        <v/>
      </c>
    </row>
    <row r="62" spans="1:19" x14ac:dyDescent="0.25">
      <c r="A62" t="str">
        <f>IF('Aset Tetap'!$B62="","",'Aset Tetap'!A62)</f>
        <v/>
      </c>
      <c r="B62" t="str">
        <f>IF('Aset Tetap'!$B62="","",'Aset Tetap'!B62)</f>
        <v/>
      </c>
      <c r="C62" t="str">
        <f>IF('Aset Tetap'!$B62="","",'Aset Tetap'!C62)</f>
        <v/>
      </c>
      <c r="D62" t="str">
        <f>IF('Aset Tetap'!$B62="","",'Aset Tetap'!D62)</f>
        <v/>
      </c>
      <c r="E62" s="22" t="str">
        <f>IF($B62="","",IF(N('Aset Tetap'!$AG62)=0,0,IF(AND((YEAR(E$6)*12+MONTH(E$6))&gt;='Aset Tetap'!$Y62,(YEAR(E$6)*12+MONTH(E$6))&lt;=MIN('Aset Tetap'!$Z62,IF('Aset Tetap'!$S62="Unit Produksi",99999,'Aset Tetap'!$Y62+'Aset Tetap'!$T62*12-1))),'Aset Tetap'!$AQ62/'Aset Tetap'!$AG62,0)))</f>
        <v/>
      </c>
      <c r="F62" s="22" t="str">
        <f>IF($B62="","",IF(N('Aset Tetap'!$AG62)=0,0,IF(AND((YEAR(F$6)*12+MONTH(F$6))&gt;='Aset Tetap'!$Y62,(YEAR(F$6)*12+MONTH(F$6))&lt;=MIN('Aset Tetap'!$Z62,IF('Aset Tetap'!$S62="Unit Produksi",99999,'Aset Tetap'!$Y62+'Aset Tetap'!$T62*12-1))),'Aset Tetap'!$AQ62/'Aset Tetap'!$AG62,0)))</f>
        <v/>
      </c>
      <c r="G62" s="22" t="str">
        <f>IF($B62="","",IF(N('Aset Tetap'!$AG62)=0,0,IF(AND((YEAR(G$6)*12+MONTH(G$6))&gt;='Aset Tetap'!$Y62,(YEAR(G$6)*12+MONTH(G$6))&lt;=MIN('Aset Tetap'!$Z62,IF('Aset Tetap'!$S62="Unit Produksi",99999,'Aset Tetap'!$Y62+'Aset Tetap'!$T62*12-1))),'Aset Tetap'!$AQ62/'Aset Tetap'!$AG62,0)))</f>
        <v/>
      </c>
      <c r="H62" s="22" t="str">
        <f>IF($B62="","",IF(N('Aset Tetap'!$AG62)=0,0,IF(AND((YEAR(H$6)*12+MONTH(H$6))&gt;='Aset Tetap'!$Y62,(YEAR(H$6)*12+MONTH(H$6))&lt;=MIN('Aset Tetap'!$Z62,IF('Aset Tetap'!$S62="Unit Produksi",99999,'Aset Tetap'!$Y62+'Aset Tetap'!$T62*12-1))),'Aset Tetap'!$AQ62/'Aset Tetap'!$AG62,0)))</f>
        <v/>
      </c>
      <c r="I62" s="22" t="str">
        <f>IF($B62="","",IF(N('Aset Tetap'!$AG62)=0,0,IF(AND((YEAR(I$6)*12+MONTH(I$6))&gt;='Aset Tetap'!$Y62,(YEAR(I$6)*12+MONTH(I$6))&lt;=MIN('Aset Tetap'!$Z62,IF('Aset Tetap'!$S62="Unit Produksi",99999,'Aset Tetap'!$Y62+'Aset Tetap'!$T62*12-1))),'Aset Tetap'!$AQ62/'Aset Tetap'!$AG62,0)))</f>
        <v/>
      </c>
      <c r="J62" s="22" t="str">
        <f>IF($B62="","",IF(N('Aset Tetap'!$AG62)=0,0,IF(AND((YEAR(J$6)*12+MONTH(J$6))&gt;='Aset Tetap'!$Y62,(YEAR(J$6)*12+MONTH(J$6))&lt;=MIN('Aset Tetap'!$Z62,IF('Aset Tetap'!$S62="Unit Produksi",99999,'Aset Tetap'!$Y62+'Aset Tetap'!$T62*12-1))),'Aset Tetap'!$AQ62/'Aset Tetap'!$AG62,0)))</f>
        <v/>
      </c>
      <c r="K62" s="22" t="str">
        <f>IF($B62="","",IF(N('Aset Tetap'!$AG62)=0,0,IF(AND((YEAR(K$6)*12+MONTH(K$6))&gt;='Aset Tetap'!$Y62,(YEAR(K$6)*12+MONTH(K$6))&lt;=MIN('Aset Tetap'!$Z62,IF('Aset Tetap'!$S62="Unit Produksi",99999,'Aset Tetap'!$Y62+'Aset Tetap'!$T62*12-1))),'Aset Tetap'!$AQ62/'Aset Tetap'!$AG62,0)))</f>
        <v/>
      </c>
      <c r="L62" s="22" t="str">
        <f>IF($B62="","",IF(N('Aset Tetap'!$AG62)=0,0,IF(AND((YEAR(L$6)*12+MONTH(L$6))&gt;='Aset Tetap'!$Y62,(YEAR(L$6)*12+MONTH(L$6))&lt;=MIN('Aset Tetap'!$Z62,IF('Aset Tetap'!$S62="Unit Produksi",99999,'Aset Tetap'!$Y62+'Aset Tetap'!$T62*12-1))),'Aset Tetap'!$AQ62/'Aset Tetap'!$AG62,0)))</f>
        <v/>
      </c>
      <c r="M62" s="22" t="str">
        <f>IF($B62="","",IF(N('Aset Tetap'!$AG62)=0,0,IF(AND((YEAR(M$6)*12+MONTH(M$6))&gt;='Aset Tetap'!$Y62,(YEAR(M$6)*12+MONTH(M$6))&lt;=MIN('Aset Tetap'!$Z62,IF('Aset Tetap'!$S62="Unit Produksi",99999,'Aset Tetap'!$Y62+'Aset Tetap'!$T62*12-1))),'Aset Tetap'!$AQ62/'Aset Tetap'!$AG62,0)))</f>
        <v/>
      </c>
      <c r="N62" s="22" t="str">
        <f>IF($B62="","",IF(N('Aset Tetap'!$AG62)=0,0,IF(AND((YEAR(N$6)*12+MONTH(N$6))&gt;='Aset Tetap'!$Y62,(YEAR(N$6)*12+MONTH(N$6))&lt;=MIN('Aset Tetap'!$Z62,IF('Aset Tetap'!$S62="Unit Produksi",99999,'Aset Tetap'!$Y62+'Aset Tetap'!$T62*12-1))),'Aset Tetap'!$AQ62/'Aset Tetap'!$AG62,0)))</f>
        <v/>
      </c>
      <c r="O62" s="22" t="str">
        <f>IF($B62="","",IF(N('Aset Tetap'!$AG62)=0,0,IF(AND((YEAR(O$6)*12+MONTH(O$6))&gt;='Aset Tetap'!$Y62,(YEAR(O$6)*12+MONTH(O$6))&lt;=MIN('Aset Tetap'!$Z62,IF('Aset Tetap'!$S62="Unit Produksi",99999,'Aset Tetap'!$Y62+'Aset Tetap'!$T62*12-1))),'Aset Tetap'!$AQ62/'Aset Tetap'!$AG62,0)))</f>
        <v/>
      </c>
      <c r="P62" s="22" t="str">
        <f>IF($B62="","",IF(N('Aset Tetap'!$AG62)=0,0,IF(AND((YEAR(P$6)*12+MONTH(P$6))&gt;='Aset Tetap'!$Y62,(YEAR(P$6)*12+MONTH(P$6))&lt;=MIN('Aset Tetap'!$Z62,IF('Aset Tetap'!$S62="Unit Produksi",99999,'Aset Tetap'!$Y62+'Aset Tetap'!$T62*12-1))),'Aset Tetap'!$AQ62/'Aset Tetap'!$AG62,0)))</f>
        <v/>
      </c>
      <c r="Q62" s="22" t="str">
        <f>IF($B62="","",SUM(E62:P62))</f>
        <v/>
      </c>
      <c r="R62" s="22" t="str">
        <f>IF($B62="","",'Aset Tetap'!AQ62)</f>
        <v/>
      </c>
      <c r="S62" s="22" t="str">
        <f>IF($B62="","",ROUND(Q62-R62,0))</f>
        <v/>
      </c>
    </row>
    <row r="63" spans="1:19" x14ac:dyDescent="0.25">
      <c r="A63" t="str">
        <f>IF('Aset Tetap'!$B63="","",'Aset Tetap'!A63)</f>
        <v/>
      </c>
      <c r="B63" t="str">
        <f>IF('Aset Tetap'!$B63="","",'Aset Tetap'!B63)</f>
        <v/>
      </c>
      <c r="C63" t="str">
        <f>IF('Aset Tetap'!$B63="","",'Aset Tetap'!C63)</f>
        <v/>
      </c>
      <c r="D63" t="str">
        <f>IF('Aset Tetap'!$B63="","",'Aset Tetap'!D63)</f>
        <v/>
      </c>
      <c r="E63" s="22" t="str">
        <f>IF($B63="","",IF(N('Aset Tetap'!$AG63)=0,0,IF(AND((YEAR(E$6)*12+MONTH(E$6))&gt;='Aset Tetap'!$Y63,(YEAR(E$6)*12+MONTH(E$6))&lt;=MIN('Aset Tetap'!$Z63,IF('Aset Tetap'!$S63="Unit Produksi",99999,'Aset Tetap'!$Y63+'Aset Tetap'!$T63*12-1))),'Aset Tetap'!$AQ63/'Aset Tetap'!$AG63,0)))</f>
        <v/>
      </c>
      <c r="F63" s="22" t="str">
        <f>IF($B63="","",IF(N('Aset Tetap'!$AG63)=0,0,IF(AND((YEAR(F$6)*12+MONTH(F$6))&gt;='Aset Tetap'!$Y63,(YEAR(F$6)*12+MONTH(F$6))&lt;=MIN('Aset Tetap'!$Z63,IF('Aset Tetap'!$S63="Unit Produksi",99999,'Aset Tetap'!$Y63+'Aset Tetap'!$T63*12-1))),'Aset Tetap'!$AQ63/'Aset Tetap'!$AG63,0)))</f>
        <v/>
      </c>
      <c r="G63" s="22" t="str">
        <f>IF($B63="","",IF(N('Aset Tetap'!$AG63)=0,0,IF(AND((YEAR(G$6)*12+MONTH(G$6))&gt;='Aset Tetap'!$Y63,(YEAR(G$6)*12+MONTH(G$6))&lt;=MIN('Aset Tetap'!$Z63,IF('Aset Tetap'!$S63="Unit Produksi",99999,'Aset Tetap'!$Y63+'Aset Tetap'!$T63*12-1))),'Aset Tetap'!$AQ63/'Aset Tetap'!$AG63,0)))</f>
        <v/>
      </c>
      <c r="H63" s="22" t="str">
        <f>IF($B63="","",IF(N('Aset Tetap'!$AG63)=0,0,IF(AND((YEAR(H$6)*12+MONTH(H$6))&gt;='Aset Tetap'!$Y63,(YEAR(H$6)*12+MONTH(H$6))&lt;=MIN('Aset Tetap'!$Z63,IF('Aset Tetap'!$S63="Unit Produksi",99999,'Aset Tetap'!$Y63+'Aset Tetap'!$T63*12-1))),'Aset Tetap'!$AQ63/'Aset Tetap'!$AG63,0)))</f>
        <v/>
      </c>
      <c r="I63" s="22" t="str">
        <f>IF($B63="","",IF(N('Aset Tetap'!$AG63)=0,0,IF(AND((YEAR(I$6)*12+MONTH(I$6))&gt;='Aset Tetap'!$Y63,(YEAR(I$6)*12+MONTH(I$6))&lt;=MIN('Aset Tetap'!$Z63,IF('Aset Tetap'!$S63="Unit Produksi",99999,'Aset Tetap'!$Y63+'Aset Tetap'!$T63*12-1))),'Aset Tetap'!$AQ63/'Aset Tetap'!$AG63,0)))</f>
        <v/>
      </c>
      <c r="J63" s="22" t="str">
        <f>IF($B63="","",IF(N('Aset Tetap'!$AG63)=0,0,IF(AND((YEAR(J$6)*12+MONTH(J$6))&gt;='Aset Tetap'!$Y63,(YEAR(J$6)*12+MONTH(J$6))&lt;=MIN('Aset Tetap'!$Z63,IF('Aset Tetap'!$S63="Unit Produksi",99999,'Aset Tetap'!$Y63+'Aset Tetap'!$T63*12-1))),'Aset Tetap'!$AQ63/'Aset Tetap'!$AG63,0)))</f>
        <v/>
      </c>
      <c r="K63" s="22" t="str">
        <f>IF($B63="","",IF(N('Aset Tetap'!$AG63)=0,0,IF(AND((YEAR(K$6)*12+MONTH(K$6))&gt;='Aset Tetap'!$Y63,(YEAR(K$6)*12+MONTH(K$6))&lt;=MIN('Aset Tetap'!$Z63,IF('Aset Tetap'!$S63="Unit Produksi",99999,'Aset Tetap'!$Y63+'Aset Tetap'!$T63*12-1))),'Aset Tetap'!$AQ63/'Aset Tetap'!$AG63,0)))</f>
        <v/>
      </c>
      <c r="L63" s="22" t="str">
        <f>IF($B63="","",IF(N('Aset Tetap'!$AG63)=0,0,IF(AND((YEAR(L$6)*12+MONTH(L$6))&gt;='Aset Tetap'!$Y63,(YEAR(L$6)*12+MONTH(L$6))&lt;=MIN('Aset Tetap'!$Z63,IF('Aset Tetap'!$S63="Unit Produksi",99999,'Aset Tetap'!$Y63+'Aset Tetap'!$T63*12-1))),'Aset Tetap'!$AQ63/'Aset Tetap'!$AG63,0)))</f>
        <v/>
      </c>
      <c r="M63" s="22" t="str">
        <f>IF($B63="","",IF(N('Aset Tetap'!$AG63)=0,0,IF(AND((YEAR(M$6)*12+MONTH(M$6))&gt;='Aset Tetap'!$Y63,(YEAR(M$6)*12+MONTH(M$6))&lt;=MIN('Aset Tetap'!$Z63,IF('Aset Tetap'!$S63="Unit Produksi",99999,'Aset Tetap'!$Y63+'Aset Tetap'!$T63*12-1))),'Aset Tetap'!$AQ63/'Aset Tetap'!$AG63,0)))</f>
        <v/>
      </c>
      <c r="N63" s="22" t="str">
        <f>IF($B63="","",IF(N('Aset Tetap'!$AG63)=0,0,IF(AND((YEAR(N$6)*12+MONTH(N$6))&gt;='Aset Tetap'!$Y63,(YEAR(N$6)*12+MONTH(N$6))&lt;=MIN('Aset Tetap'!$Z63,IF('Aset Tetap'!$S63="Unit Produksi",99999,'Aset Tetap'!$Y63+'Aset Tetap'!$T63*12-1))),'Aset Tetap'!$AQ63/'Aset Tetap'!$AG63,0)))</f>
        <v/>
      </c>
      <c r="O63" s="22" t="str">
        <f>IF($B63="","",IF(N('Aset Tetap'!$AG63)=0,0,IF(AND((YEAR(O$6)*12+MONTH(O$6))&gt;='Aset Tetap'!$Y63,(YEAR(O$6)*12+MONTH(O$6))&lt;=MIN('Aset Tetap'!$Z63,IF('Aset Tetap'!$S63="Unit Produksi",99999,'Aset Tetap'!$Y63+'Aset Tetap'!$T63*12-1))),'Aset Tetap'!$AQ63/'Aset Tetap'!$AG63,0)))</f>
        <v/>
      </c>
      <c r="P63" s="22" t="str">
        <f>IF($B63="","",IF(N('Aset Tetap'!$AG63)=0,0,IF(AND((YEAR(P$6)*12+MONTH(P$6))&gt;='Aset Tetap'!$Y63,(YEAR(P$6)*12+MONTH(P$6))&lt;=MIN('Aset Tetap'!$Z63,IF('Aset Tetap'!$S63="Unit Produksi",99999,'Aset Tetap'!$Y63+'Aset Tetap'!$T63*12-1))),'Aset Tetap'!$AQ63/'Aset Tetap'!$AG63,0)))</f>
        <v/>
      </c>
      <c r="Q63" s="22" t="str">
        <f>IF($B63="","",SUM(E63:P63))</f>
        <v/>
      </c>
      <c r="R63" s="22" t="str">
        <f>IF($B63="","",'Aset Tetap'!AQ63)</f>
        <v/>
      </c>
      <c r="S63" s="22" t="str">
        <f>IF($B63="","",ROUND(Q63-R63,0))</f>
        <v/>
      </c>
    </row>
    <row r="64" spans="1:19" x14ac:dyDescent="0.25">
      <c r="A64" t="str">
        <f>IF('Aset Tetap'!$B64="","",'Aset Tetap'!A64)</f>
        <v/>
      </c>
      <c r="B64" t="str">
        <f>IF('Aset Tetap'!$B64="","",'Aset Tetap'!B64)</f>
        <v/>
      </c>
      <c r="C64" t="str">
        <f>IF('Aset Tetap'!$B64="","",'Aset Tetap'!C64)</f>
        <v/>
      </c>
      <c r="D64" t="str">
        <f>IF('Aset Tetap'!$B64="","",'Aset Tetap'!D64)</f>
        <v/>
      </c>
      <c r="E64" s="22" t="str">
        <f>IF($B64="","",IF(N('Aset Tetap'!$AG64)=0,0,IF(AND((YEAR(E$6)*12+MONTH(E$6))&gt;='Aset Tetap'!$Y64,(YEAR(E$6)*12+MONTH(E$6))&lt;=MIN('Aset Tetap'!$Z64,IF('Aset Tetap'!$S64="Unit Produksi",99999,'Aset Tetap'!$Y64+'Aset Tetap'!$T64*12-1))),'Aset Tetap'!$AQ64/'Aset Tetap'!$AG64,0)))</f>
        <v/>
      </c>
      <c r="F64" s="22" t="str">
        <f>IF($B64="","",IF(N('Aset Tetap'!$AG64)=0,0,IF(AND((YEAR(F$6)*12+MONTH(F$6))&gt;='Aset Tetap'!$Y64,(YEAR(F$6)*12+MONTH(F$6))&lt;=MIN('Aset Tetap'!$Z64,IF('Aset Tetap'!$S64="Unit Produksi",99999,'Aset Tetap'!$Y64+'Aset Tetap'!$T64*12-1))),'Aset Tetap'!$AQ64/'Aset Tetap'!$AG64,0)))</f>
        <v/>
      </c>
      <c r="G64" s="22" t="str">
        <f>IF($B64="","",IF(N('Aset Tetap'!$AG64)=0,0,IF(AND((YEAR(G$6)*12+MONTH(G$6))&gt;='Aset Tetap'!$Y64,(YEAR(G$6)*12+MONTH(G$6))&lt;=MIN('Aset Tetap'!$Z64,IF('Aset Tetap'!$S64="Unit Produksi",99999,'Aset Tetap'!$Y64+'Aset Tetap'!$T64*12-1))),'Aset Tetap'!$AQ64/'Aset Tetap'!$AG64,0)))</f>
        <v/>
      </c>
      <c r="H64" s="22" t="str">
        <f>IF($B64="","",IF(N('Aset Tetap'!$AG64)=0,0,IF(AND((YEAR(H$6)*12+MONTH(H$6))&gt;='Aset Tetap'!$Y64,(YEAR(H$6)*12+MONTH(H$6))&lt;=MIN('Aset Tetap'!$Z64,IF('Aset Tetap'!$S64="Unit Produksi",99999,'Aset Tetap'!$Y64+'Aset Tetap'!$T64*12-1))),'Aset Tetap'!$AQ64/'Aset Tetap'!$AG64,0)))</f>
        <v/>
      </c>
      <c r="I64" s="22" t="str">
        <f>IF($B64="","",IF(N('Aset Tetap'!$AG64)=0,0,IF(AND((YEAR(I$6)*12+MONTH(I$6))&gt;='Aset Tetap'!$Y64,(YEAR(I$6)*12+MONTH(I$6))&lt;=MIN('Aset Tetap'!$Z64,IF('Aset Tetap'!$S64="Unit Produksi",99999,'Aset Tetap'!$Y64+'Aset Tetap'!$T64*12-1))),'Aset Tetap'!$AQ64/'Aset Tetap'!$AG64,0)))</f>
        <v/>
      </c>
      <c r="J64" s="22" t="str">
        <f>IF($B64="","",IF(N('Aset Tetap'!$AG64)=0,0,IF(AND((YEAR(J$6)*12+MONTH(J$6))&gt;='Aset Tetap'!$Y64,(YEAR(J$6)*12+MONTH(J$6))&lt;=MIN('Aset Tetap'!$Z64,IF('Aset Tetap'!$S64="Unit Produksi",99999,'Aset Tetap'!$Y64+'Aset Tetap'!$T64*12-1))),'Aset Tetap'!$AQ64/'Aset Tetap'!$AG64,0)))</f>
        <v/>
      </c>
      <c r="K64" s="22" t="str">
        <f>IF($B64="","",IF(N('Aset Tetap'!$AG64)=0,0,IF(AND((YEAR(K$6)*12+MONTH(K$6))&gt;='Aset Tetap'!$Y64,(YEAR(K$6)*12+MONTH(K$6))&lt;=MIN('Aset Tetap'!$Z64,IF('Aset Tetap'!$S64="Unit Produksi",99999,'Aset Tetap'!$Y64+'Aset Tetap'!$T64*12-1))),'Aset Tetap'!$AQ64/'Aset Tetap'!$AG64,0)))</f>
        <v/>
      </c>
      <c r="L64" s="22" t="str">
        <f>IF($B64="","",IF(N('Aset Tetap'!$AG64)=0,0,IF(AND((YEAR(L$6)*12+MONTH(L$6))&gt;='Aset Tetap'!$Y64,(YEAR(L$6)*12+MONTH(L$6))&lt;=MIN('Aset Tetap'!$Z64,IF('Aset Tetap'!$S64="Unit Produksi",99999,'Aset Tetap'!$Y64+'Aset Tetap'!$T64*12-1))),'Aset Tetap'!$AQ64/'Aset Tetap'!$AG64,0)))</f>
        <v/>
      </c>
      <c r="M64" s="22" t="str">
        <f>IF($B64="","",IF(N('Aset Tetap'!$AG64)=0,0,IF(AND((YEAR(M$6)*12+MONTH(M$6))&gt;='Aset Tetap'!$Y64,(YEAR(M$6)*12+MONTH(M$6))&lt;=MIN('Aset Tetap'!$Z64,IF('Aset Tetap'!$S64="Unit Produksi",99999,'Aset Tetap'!$Y64+'Aset Tetap'!$T64*12-1))),'Aset Tetap'!$AQ64/'Aset Tetap'!$AG64,0)))</f>
        <v/>
      </c>
      <c r="N64" s="22" t="str">
        <f>IF($B64="","",IF(N('Aset Tetap'!$AG64)=0,0,IF(AND((YEAR(N$6)*12+MONTH(N$6))&gt;='Aset Tetap'!$Y64,(YEAR(N$6)*12+MONTH(N$6))&lt;=MIN('Aset Tetap'!$Z64,IF('Aset Tetap'!$S64="Unit Produksi",99999,'Aset Tetap'!$Y64+'Aset Tetap'!$T64*12-1))),'Aset Tetap'!$AQ64/'Aset Tetap'!$AG64,0)))</f>
        <v/>
      </c>
      <c r="O64" s="22" t="str">
        <f>IF($B64="","",IF(N('Aset Tetap'!$AG64)=0,0,IF(AND((YEAR(O$6)*12+MONTH(O$6))&gt;='Aset Tetap'!$Y64,(YEAR(O$6)*12+MONTH(O$6))&lt;=MIN('Aset Tetap'!$Z64,IF('Aset Tetap'!$S64="Unit Produksi",99999,'Aset Tetap'!$Y64+'Aset Tetap'!$T64*12-1))),'Aset Tetap'!$AQ64/'Aset Tetap'!$AG64,0)))</f>
        <v/>
      </c>
      <c r="P64" s="22" t="str">
        <f>IF($B64="","",IF(N('Aset Tetap'!$AG64)=0,0,IF(AND((YEAR(P$6)*12+MONTH(P$6))&gt;='Aset Tetap'!$Y64,(YEAR(P$6)*12+MONTH(P$6))&lt;=MIN('Aset Tetap'!$Z64,IF('Aset Tetap'!$S64="Unit Produksi",99999,'Aset Tetap'!$Y64+'Aset Tetap'!$T64*12-1))),'Aset Tetap'!$AQ64/'Aset Tetap'!$AG64,0)))</f>
        <v/>
      </c>
      <c r="Q64" s="22" t="str">
        <f>IF($B64="","",SUM(E64:P64))</f>
        <v/>
      </c>
      <c r="R64" s="22" t="str">
        <f>IF($B64="","",'Aset Tetap'!AQ64)</f>
        <v/>
      </c>
      <c r="S64" s="22" t="str">
        <f>IF($B64="","",ROUND(Q64-R64,0))</f>
        <v/>
      </c>
    </row>
    <row r="65" spans="1:19" x14ac:dyDescent="0.25">
      <c r="A65" t="str">
        <f>IF('Aset Tetap'!$B65="","",'Aset Tetap'!A65)</f>
        <v/>
      </c>
      <c r="B65" t="str">
        <f>IF('Aset Tetap'!$B65="","",'Aset Tetap'!B65)</f>
        <v/>
      </c>
      <c r="C65" t="str">
        <f>IF('Aset Tetap'!$B65="","",'Aset Tetap'!C65)</f>
        <v/>
      </c>
      <c r="D65" t="str">
        <f>IF('Aset Tetap'!$B65="","",'Aset Tetap'!D65)</f>
        <v/>
      </c>
      <c r="E65" s="22" t="str">
        <f>IF($B65="","",IF(N('Aset Tetap'!$AG65)=0,0,IF(AND((YEAR(E$6)*12+MONTH(E$6))&gt;='Aset Tetap'!$Y65,(YEAR(E$6)*12+MONTH(E$6))&lt;=MIN('Aset Tetap'!$Z65,IF('Aset Tetap'!$S65="Unit Produksi",99999,'Aset Tetap'!$Y65+'Aset Tetap'!$T65*12-1))),'Aset Tetap'!$AQ65/'Aset Tetap'!$AG65,0)))</f>
        <v/>
      </c>
      <c r="F65" s="22" t="str">
        <f>IF($B65="","",IF(N('Aset Tetap'!$AG65)=0,0,IF(AND((YEAR(F$6)*12+MONTH(F$6))&gt;='Aset Tetap'!$Y65,(YEAR(F$6)*12+MONTH(F$6))&lt;=MIN('Aset Tetap'!$Z65,IF('Aset Tetap'!$S65="Unit Produksi",99999,'Aset Tetap'!$Y65+'Aset Tetap'!$T65*12-1))),'Aset Tetap'!$AQ65/'Aset Tetap'!$AG65,0)))</f>
        <v/>
      </c>
      <c r="G65" s="22" t="str">
        <f>IF($B65="","",IF(N('Aset Tetap'!$AG65)=0,0,IF(AND((YEAR(G$6)*12+MONTH(G$6))&gt;='Aset Tetap'!$Y65,(YEAR(G$6)*12+MONTH(G$6))&lt;=MIN('Aset Tetap'!$Z65,IF('Aset Tetap'!$S65="Unit Produksi",99999,'Aset Tetap'!$Y65+'Aset Tetap'!$T65*12-1))),'Aset Tetap'!$AQ65/'Aset Tetap'!$AG65,0)))</f>
        <v/>
      </c>
      <c r="H65" s="22" t="str">
        <f>IF($B65="","",IF(N('Aset Tetap'!$AG65)=0,0,IF(AND((YEAR(H$6)*12+MONTH(H$6))&gt;='Aset Tetap'!$Y65,(YEAR(H$6)*12+MONTH(H$6))&lt;=MIN('Aset Tetap'!$Z65,IF('Aset Tetap'!$S65="Unit Produksi",99999,'Aset Tetap'!$Y65+'Aset Tetap'!$T65*12-1))),'Aset Tetap'!$AQ65/'Aset Tetap'!$AG65,0)))</f>
        <v/>
      </c>
      <c r="I65" s="22" t="str">
        <f>IF($B65="","",IF(N('Aset Tetap'!$AG65)=0,0,IF(AND((YEAR(I$6)*12+MONTH(I$6))&gt;='Aset Tetap'!$Y65,(YEAR(I$6)*12+MONTH(I$6))&lt;=MIN('Aset Tetap'!$Z65,IF('Aset Tetap'!$S65="Unit Produksi",99999,'Aset Tetap'!$Y65+'Aset Tetap'!$T65*12-1))),'Aset Tetap'!$AQ65/'Aset Tetap'!$AG65,0)))</f>
        <v/>
      </c>
      <c r="J65" s="22" t="str">
        <f>IF($B65="","",IF(N('Aset Tetap'!$AG65)=0,0,IF(AND((YEAR(J$6)*12+MONTH(J$6))&gt;='Aset Tetap'!$Y65,(YEAR(J$6)*12+MONTH(J$6))&lt;=MIN('Aset Tetap'!$Z65,IF('Aset Tetap'!$S65="Unit Produksi",99999,'Aset Tetap'!$Y65+'Aset Tetap'!$T65*12-1))),'Aset Tetap'!$AQ65/'Aset Tetap'!$AG65,0)))</f>
        <v/>
      </c>
      <c r="K65" s="22" t="str">
        <f>IF($B65="","",IF(N('Aset Tetap'!$AG65)=0,0,IF(AND((YEAR(K$6)*12+MONTH(K$6))&gt;='Aset Tetap'!$Y65,(YEAR(K$6)*12+MONTH(K$6))&lt;=MIN('Aset Tetap'!$Z65,IF('Aset Tetap'!$S65="Unit Produksi",99999,'Aset Tetap'!$Y65+'Aset Tetap'!$T65*12-1))),'Aset Tetap'!$AQ65/'Aset Tetap'!$AG65,0)))</f>
        <v/>
      </c>
      <c r="L65" s="22" t="str">
        <f>IF($B65="","",IF(N('Aset Tetap'!$AG65)=0,0,IF(AND((YEAR(L$6)*12+MONTH(L$6))&gt;='Aset Tetap'!$Y65,(YEAR(L$6)*12+MONTH(L$6))&lt;=MIN('Aset Tetap'!$Z65,IF('Aset Tetap'!$S65="Unit Produksi",99999,'Aset Tetap'!$Y65+'Aset Tetap'!$T65*12-1))),'Aset Tetap'!$AQ65/'Aset Tetap'!$AG65,0)))</f>
        <v/>
      </c>
      <c r="M65" s="22" t="str">
        <f>IF($B65="","",IF(N('Aset Tetap'!$AG65)=0,0,IF(AND((YEAR(M$6)*12+MONTH(M$6))&gt;='Aset Tetap'!$Y65,(YEAR(M$6)*12+MONTH(M$6))&lt;=MIN('Aset Tetap'!$Z65,IF('Aset Tetap'!$S65="Unit Produksi",99999,'Aset Tetap'!$Y65+'Aset Tetap'!$T65*12-1))),'Aset Tetap'!$AQ65/'Aset Tetap'!$AG65,0)))</f>
        <v/>
      </c>
      <c r="N65" s="22" t="str">
        <f>IF($B65="","",IF(N('Aset Tetap'!$AG65)=0,0,IF(AND((YEAR(N$6)*12+MONTH(N$6))&gt;='Aset Tetap'!$Y65,(YEAR(N$6)*12+MONTH(N$6))&lt;=MIN('Aset Tetap'!$Z65,IF('Aset Tetap'!$S65="Unit Produksi",99999,'Aset Tetap'!$Y65+'Aset Tetap'!$T65*12-1))),'Aset Tetap'!$AQ65/'Aset Tetap'!$AG65,0)))</f>
        <v/>
      </c>
      <c r="O65" s="22" t="str">
        <f>IF($B65="","",IF(N('Aset Tetap'!$AG65)=0,0,IF(AND((YEAR(O$6)*12+MONTH(O$6))&gt;='Aset Tetap'!$Y65,(YEAR(O$6)*12+MONTH(O$6))&lt;=MIN('Aset Tetap'!$Z65,IF('Aset Tetap'!$S65="Unit Produksi",99999,'Aset Tetap'!$Y65+'Aset Tetap'!$T65*12-1))),'Aset Tetap'!$AQ65/'Aset Tetap'!$AG65,0)))</f>
        <v/>
      </c>
      <c r="P65" s="22" t="str">
        <f>IF($B65="","",IF(N('Aset Tetap'!$AG65)=0,0,IF(AND((YEAR(P$6)*12+MONTH(P$6))&gt;='Aset Tetap'!$Y65,(YEAR(P$6)*12+MONTH(P$6))&lt;=MIN('Aset Tetap'!$Z65,IF('Aset Tetap'!$S65="Unit Produksi",99999,'Aset Tetap'!$Y65+'Aset Tetap'!$T65*12-1))),'Aset Tetap'!$AQ65/'Aset Tetap'!$AG65,0)))</f>
        <v/>
      </c>
      <c r="Q65" s="22" t="str">
        <f>IF($B65="","",SUM(E65:P65))</f>
        <v/>
      </c>
      <c r="R65" s="22" t="str">
        <f>IF($B65="","",'Aset Tetap'!AQ65)</f>
        <v/>
      </c>
      <c r="S65" s="22" t="str">
        <f>IF($B65="","",ROUND(Q65-R65,0))</f>
        <v/>
      </c>
    </row>
    <row r="66" spans="1:19" x14ac:dyDescent="0.25">
      <c r="A66" t="str">
        <f>IF('Aset Tetap'!$B66="","",'Aset Tetap'!A66)</f>
        <v/>
      </c>
      <c r="B66" t="str">
        <f>IF('Aset Tetap'!$B66="","",'Aset Tetap'!B66)</f>
        <v/>
      </c>
      <c r="C66" t="str">
        <f>IF('Aset Tetap'!$B66="","",'Aset Tetap'!C66)</f>
        <v/>
      </c>
      <c r="D66" t="str">
        <f>IF('Aset Tetap'!$B66="","",'Aset Tetap'!D66)</f>
        <v/>
      </c>
      <c r="E66" s="22" t="str">
        <f>IF($B66="","",IF(N('Aset Tetap'!$AG66)=0,0,IF(AND((YEAR(E$6)*12+MONTH(E$6))&gt;='Aset Tetap'!$Y66,(YEAR(E$6)*12+MONTH(E$6))&lt;=MIN('Aset Tetap'!$Z66,IF('Aset Tetap'!$S66="Unit Produksi",99999,'Aset Tetap'!$Y66+'Aset Tetap'!$T66*12-1))),'Aset Tetap'!$AQ66/'Aset Tetap'!$AG66,0)))</f>
        <v/>
      </c>
      <c r="F66" s="22" t="str">
        <f>IF($B66="","",IF(N('Aset Tetap'!$AG66)=0,0,IF(AND((YEAR(F$6)*12+MONTH(F$6))&gt;='Aset Tetap'!$Y66,(YEAR(F$6)*12+MONTH(F$6))&lt;=MIN('Aset Tetap'!$Z66,IF('Aset Tetap'!$S66="Unit Produksi",99999,'Aset Tetap'!$Y66+'Aset Tetap'!$T66*12-1))),'Aset Tetap'!$AQ66/'Aset Tetap'!$AG66,0)))</f>
        <v/>
      </c>
      <c r="G66" s="22" t="str">
        <f>IF($B66="","",IF(N('Aset Tetap'!$AG66)=0,0,IF(AND((YEAR(G$6)*12+MONTH(G$6))&gt;='Aset Tetap'!$Y66,(YEAR(G$6)*12+MONTH(G$6))&lt;=MIN('Aset Tetap'!$Z66,IF('Aset Tetap'!$S66="Unit Produksi",99999,'Aset Tetap'!$Y66+'Aset Tetap'!$T66*12-1))),'Aset Tetap'!$AQ66/'Aset Tetap'!$AG66,0)))</f>
        <v/>
      </c>
      <c r="H66" s="22" t="str">
        <f>IF($B66="","",IF(N('Aset Tetap'!$AG66)=0,0,IF(AND((YEAR(H$6)*12+MONTH(H$6))&gt;='Aset Tetap'!$Y66,(YEAR(H$6)*12+MONTH(H$6))&lt;=MIN('Aset Tetap'!$Z66,IF('Aset Tetap'!$S66="Unit Produksi",99999,'Aset Tetap'!$Y66+'Aset Tetap'!$T66*12-1))),'Aset Tetap'!$AQ66/'Aset Tetap'!$AG66,0)))</f>
        <v/>
      </c>
      <c r="I66" s="22" t="str">
        <f>IF($B66="","",IF(N('Aset Tetap'!$AG66)=0,0,IF(AND((YEAR(I$6)*12+MONTH(I$6))&gt;='Aset Tetap'!$Y66,(YEAR(I$6)*12+MONTH(I$6))&lt;=MIN('Aset Tetap'!$Z66,IF('Aset Tetap'!$S66="Unit Produksi",99999,'Aset Tetap'!$Y66+'Aset Tetap'!$T66*12-1))),'Aset Tetap'!$AQ66/'Aset Tetap'!$AG66,0)))</f>
        <v/>
      </c>
      <c r="J66" s="22" t="str">
        <f>IF($B66="","",IF(N('Aset Tetap'!$AG66)=0,0,IF(AND((YEAR(J$6)*12+MONTH(J$6))&gt;='Aset Tetap'!$Y66,(YEAR(J$6)*12+MONTH(J$6))&lt;=MIN('Aset Tetap'!$Z66,IF('Aset Tetap'!$S66="Unit Produksi",99999,'Aset Tetap'!$Y66+'Aset Tetap'!$T66*12-1))),'Aset Tetap'!$AQ66/'Aset Tetap'!$AG66,0)))</f>
        <v/>
      </c>
      <c r="K66" s="22" t="str">
        <f>IF($B66="","",IF(N('Aset Tetap'!$AG66)=0,0,IF(AND((YEAR(K$6)*12+MONTH(K$6))&gt;='Aset Tetap'!$Y66,(YEAR(K$6)*12+MONTH(K$6))&lt;=MIN('Aset Tetap'!$Z66,IF('Aset Tetap'!$S66="Unit Produksi",99999,'Aset Tetap'!$Y66+'Aset Tetap'!$T66*12-1))),'Aset Tetap'!$AQ66/'Aset Tetap'!$AG66,0)))</f>
        <v/>
      </c>
      <c r="L66" s="22" t="str">
        <f>IF($B66="","",IF(N('Aset Tetap'!$AG66)=0,0,IF(AND((YEAR(L$6)*12+MONTH(L$6))&gt;='Aset Tetap'!$Y66,(YEAR(L$6)*12+MONTH(L$6))&lt;=MIN('Aset Tetap'!$Z66,IF('Aset Tetap'!$S66="Unit Produksi",99999,'Aset Tetap'!$Y66+'Aset Tetap'!$T66*12-1))),'Aset Tetap'!$AQ66/'Aset Tetap'!$AG66,0)))</f>
        <v/>
      </c>
      <c r="M66" s="22" t="str">
        <f>IF($B66="","",IF(N('Aset Tetap'!$AG66)=0,0,IF(AND((YEAR(M$6)*12+MONTH(M$6))&gt;='Aset Tetap'!$Y66,(YEAR(M$6)*12+MONTH(M$6))&lt;=MIN('Aset Tetap'!$Z66,IF('Aset Tetap'!$S66="Unit Produksi",99999,'Aset Tetap'!$Y66+'Aset Tetap'!$T66*12-1))),'Aset Tetap'!$AQ66/'Aset Tetap'!$AG66,0)))</f>
        <v/>
      </c>
      <c r="N66" s="22" t="str">
        <f>IF($B66="","",IF(N('Aset Tetap'!$AG66)=0,0,IF(AND((YEAR(N$6)*12+MONTH(N$6))&gt;='Aset Tetap'!$Y66,(YEAR(N$6)*12+MONTH(N$6))&lt;=MIN('Aset Tetap'!$Z66,IF('Aset Tetap'!$S66="Unit Produksi",99999,'Aset Tetap'!$Y66+'Aset Tetap'!$T66*12-1))),'Aset Tetap'!$AQ66/'Aset Tetap'!$AG66,0)))</f>
        <v/>
      </c>
      <c r="O66" s="22" t="str">
        <f>IF($B66="","",IF(N('Aset Tetap'!$AG66)=0,0,IF(AND((YEAR(O$6)*12+MONTH(O$6))&gt;='Aset Tetap'!$Y66,(YEAR(O$6)*12+MONTH(O$6))&lt;=MIN('Aset Tetap'!$Z66,IF('Aset Tetap'!$S66="Unit Produksi",99999,'Aset Tetap'!$Y66+'Aset Tetap'!$T66*12-1))),'Aset Tetap'!$AQ66/'Aset Tetap'!$AG66,0)))</f>
        <v/>
      </c>
      <c r="P66" s="22" t="str">
        <f>IF($B66="","",IF(N('Aset Tetap'!$AG66)=0,0,IF(AND((YEAR(P$6)*12+MONTH(P$6))&gt;='Aset Tetap'!$Y66,(YEAR(P$6)*12+MONTH(P$6))&lt;=MIN('Aset Tetap'!$Z66,IF('Aset Tetap'!$S66="Unit Produksi",99999,'Aset Tetap'!$Y66+'Aset Tetap'!$T66*12-1))),'Aset Tetap'!$AQ66/'Aset Tetap'!$AG66,0)))</f>
        <v/>
      </c>
      <c r="Q66" s="22" t="str">
        <f>IF($B66="","",SUM(E66:P66))</f>
        <v/>
      </c>
      <c r="R66" s="22" t="str">
        <f>IF($B66="","",'Aset Tetap'!AQ66)</f>
        <v/>
      </c>
      <c r="S66" s="22" t="str">
        <f>IF($B66="","",ROUND(Q66-R66,0))</f>
        <v/>
      </c>
    </row>
    <row r="67" spans="1:19" x14ac:dyDescent="0.25">
      <c r="A67" t="str">
        <f>IF('Aset Tetap'!$B67="","",'Aset Tetap'!A67)</f>
        <v/>
      </c>
      <c r="B67" t="str">
        <f>IF('Aset Tetap'!$B67="","",'Aset Tetap'!B67)</f>
        <v/>
      </c>
      <c r="C67" t="str">
        <f>IF('Aset Tetap'!$B67="","",'Aset Tetap'!C67)</f>
        <v/>
      </c>
      <c r="D67" t="str">
        <f>IF('Aset Tetap'!$B67="","",'Aset Tetap'!D67)</f>
        <v/>
      </c>
      <c r="E67" s="22" t="str">
        <f>IF($B67="","",IF(N('Aset Tetap'!$AG67)=0,0,IF(AND((YEAR(E$6)*12+MONTH(E$6))&gt;='Aset Tetap'!$Y67,(YEAR(E$6)*12+MONTH(E$6))&lt;=MIN('Aset Tetap'!$Z67,IF('Aset Tetap'!$S67="Unit Produksi",99999,'Aset Tetap'!$Y67+'Aset Tetap'!$T67*12-1))),'Aset Tetap'!$AQ67/'Aset Tetap'!$AG67,0)))</f>
        <v/>
      </c>
      <c r="F67" s="22" t="str">
        <f>IF($B67="","",IF(N('Aset Tetap'!$AG67)=0,0,IF(AND((YEAR(F$6)*12+MONTH(F$6))&gt;='Aset Tetap'!$Y67,(YEAR(F$6)*12+MONTH(F$6))&lt;=MIN('Aset Tetap'!$Z67,IF('Aset Tetap'!$S67="Unit Produksi",99999,'Aset Tetap'!$Y67+'Aset Tetap'!$T67*12-1))),'Aset Tetap'!$AQ67/'Aset Tetap'!$AG67,0)))</f>
        <v/>
      </c>
      <c r="G67" s="22" t="str">
        <f>IF($B67="","",IF(N('Aset Tetap'!$AG67)=0,0,IF(AND((YEAR(G$6)*12+MONTH(G$6))&gt;='Aset Tetap'!$Y67,(YEAR(G$6)*12+MONTH(G$6))&lt;=MIN('Aset Tetap'!$Z67,IF('Aset Tetap'!$S67="Unit Produksi",99999,'Aset Tetap'!$Y67+'Aset Tetap'!$T67*12-1))),'Aset Tetap'!$AQ67/'Aset Tetap'!$AG67,0)))</f>
        <v/>
      </c>
      <c r="H67" s="22" t="str">
        <f>IF($B67="","",IF(N('Aset Tetap'!$AG67)=0,0,IF(AND((YEAR(H$6)*12+MONTH(H$6))&gt;='Aset Tetap'!$Y67,(YEAR(H$6)*12+MONTH(H$6))&lt;=MIN('Aset Tetap'!$Z67,IF('Aset Tetap'!$S67="Unit Produksi",99999,'Aset Tetap'!$Y67+'Aset Tetap'!$T67*12-1))),'Aset Tetap'!$AQ67/'Aset Tetap'!$AG67,0)))</f>
        <v/>
      </c>
      <c r="I67" s="22" t="str">
        <f>IF($B67="","",IF(N('Aset Tetap'!$AG67)=0,0,IF(AND((YEAR(I$6)*12+MONTH(I$6))&gt;='Aset Tetap'!$Y67,(YEAR(I$6)*12+MONTH(I$6))&lt;=MIN('Aset Tetap'!$Z67,IF('Aset Tetap'!$S67="Unit Produksi",99999,'Aset Tetap'!$Y67+'Aset Tetap'!$T67*12-1))),'Aset Tetap'!$AQ67/'Aset Tetap'!$AG67,0)))</f>
        <v/>
      </c>
      <c r="J67" s="22" t="str">
        <f>IF($B67="","",IF(N('Aset Tetap'!$AG67)=0,0,IF(AND((YEAR(J$6)*12+MONTH(J$6))&gt;='Aset Tetap'!$Y67,(YEAR(J$6)*12+MONTH(J$6))&lt;=MIN('Aset Tetap'!$Z67,IF('Aset Tetap'!$S67="Unit Produksi",99999,'Aset Tetap'!$Y67+'Aset Tetap'!$T67*12-1))),'Aset Tetap'!$AQ67/'Aset Tetap'!$AG67,0)))</f>
        <v/>
      </c>
      <c r="K67" s="22" t="str">
        <f>IF($B67="","",IF(N('Aset Tetap'!$AG67)=0,0,IF(AND((YEAR(K$6)*12+MONTH(K$6))&gt;='Aset Tetap'!$Y67,(YEAR(K$6)*12+MONTH(K$6))&lt;=MIN('Aset Tetap'!$Z67,IF('Aset Tetap'!$S67="Unit Produksi",99999,'Aset Tetap'!$Y67+'Aset Tetap'!$T67*12-1))),'Aset Tetap'!$AQ67/'Aset Tetap'!$AG67,0)))</f>
        <v/>
      </c>
      <c r="L67" s="22" t="str">
        <f>IF($B67="","",IF(N('Aset Tetap'!$AG67)=0,0,IF(AND((YEAR(L$6)*12+MONTH(L$6))&gt;='Aset Tetap'!$Y67,(YEAR(L$6)*12+MONTH(L$6))&lt;=MIN('Aset Tetap'!$Z67,IF('Aset Tetap'!$S67="Unit Produksi",99999,'Aset Tetap'!$Y67+'Aset Tetap'!$T67*12-1))),'Aset Tetap'!$AQ67/'Aset Tetap'!$AG67,0)))</f>
        <v/>
      </c>
      <c r="M67" s="22" t="str">
        <f>IF($B67="","",IF(N('Aset Tetap'!$AG67)=0,0,IF(AND((YEAR(M$6)*12+MONTH(M$6))&gt;='Aset Tetap'!$Y67,(YEAR(M$6)*12+MONTH(M$6))&lt;=MIN('Aset Tetap'!$Z67,IF('Aset Tetap'!$S67="Unit Produksi",99999,'Aset Tetap'!$Y67+'Aset Tetap'!$T67*12-1))),'Aset Tetap'!$AQ67/'Aset Tetap'!$AG67,0)))</f>
        <v/>
      </c>
      <c r="N67" s="22" t="str">
        <f>IF($B67="","",IF(N('Aset Tetap'!$AG67)=0,0,IF(AND((YEAR(N$6)*12+MONTH(N$6))&gt;='Aset Tetap'!$Y67,(YEAR(N$6)*12+MONTH(N$6))&lt;=MIN('Aset Tetap'!$Z67,IF('Aset Tetap'!$S67="Unit Produksi",99999,'Aset Tetap'!$Y67+'Aset Tetap'!$T67*12-1))),'Aset Tetap'!$AQ67/'Aset Tetap'!$AG67,0)))</f>
        <v/>
      </c>
      <c r="O67" s="22" t="str">
        <f>IF($B67="","",IF(N('Aset Tetap'!$AG67)=0,0,IF(AND((YEAR(O$6)*12+MONTH(O$6))&gt;='Aset Tetap'!$Y67,(YEAR(O$6)*12+MONTH(O$6))&lt;=MIN('Aset Tetap'!$Z67,IF('Aset Tetap'!$S67="Unit Produksi",99999,'Aset Tetap'!$Y67+'Aset Tetap'!$T67*12-1))),'Aset Tetap'!$AQ67/'Aset Tetap'!$AG67,0)))</f>
        <v/>
      </c>
      <c r="P67" s="22" t="str">
        <f>IF($B67="","",IF(N('Aset Tetap'!$AG67)=0,0,IF(AND((YEAR(P$6)*12+MONTH(P$6))&gt;='Aset Tetap'!$Y67,(YEAR(P$6)*12+MONTH(P$6))&lt;=MIN('Aset Tetap'!$Z67,IF('Aset Tetap'!$S67="Unit Produksi",99999,'Aset Tetap'!$Y67+'Aset Tetap'!$T67*12-1))),'Aset Tetap'!$AQ67/'Aset Tetap'!$AG67,0)))</f>
        <v/>
      </c>
      <c r="Q67" s="22" t="str">
        <f>IF($B67="","",SUM(E67:P67))</f>
        <v/>
      </c>
      <c r="R67" s="22" t="str">
        <f>IF($B67="","",'Aset Tetap'!AQ67)</f>
        <v/>
      </c>
      <c r="S67" s="22" t="str">
        <f>IF($B67="","",ROUND(Q67-R67,0))</f>
        <v/>
      </c>
    </row>
    <row r="68" spans="1:19" x14ac:dyDescent="0.25">
      <c r="A68" t="str">
        <f>IF('Aset Tetap'!$B68="","",'Aset Tetap'!A68)</f>
        <v/>
      </c>
      <c r="B68" t="str">
        <f>IF('Aset Tetap'!$B68="","",'Aset Tetap'!B68)</f>
        <v/>
      </c>
      <c r="C68" t="str">
        <f>IF('Aset Tetap'!$B68="","",'Aset Tetap'!C68)</f>
        <v/>
      </c>
      <c r="D68" t="str">
        <f>IF('Aset Tetap'!$B68="","",'Aset Tetap'!D68)</f>
        <v/>
      </c>
      <c r="E68" s="22" t="str">
        <f>IF($B68="","",IF(N('Aset Tetap'!$AG68)=0,0,IF(AND((YEAR(E$6)*12+MONTH(E$6))&gt;='Aset Tetap'!$Y68,(YEAR(E$6)*12+MONTH(E$6))&lt;=MIN('Aset Tetap'!$Z68,IF('Aset Tetap'!$S68="Unit Produksi",99999,'Aset Tetap'!$Y68+'Aset Tetap'!$T68*12-1))),'Aset Tetap'!$AQ68/'Aset Tetap'!$AG68,0)))</f>
        <v/>
      </c>
      <c r="F68" s="22" t="str">
        <f>IF($B68="","",IF(N('Aset Tetap'!$AG68)=0,0,IF(AND((YEAR(F$6)*12+MONTH(F$6))&gt;='Aset Tetap'!$Y68,(YEAR(F$6)*12+MONTH(F$6))&lt;=MIN('Aset Tetap'!$Z68,IF('Aset Tetap'!$S68="Unit Produksi",99999,'Aset Tetap'!$Y68+'Aset Tetap'!$T68*12-1))),'Aset Tetap'!$AQ68/'Aset Tetap'!$AG68,0)))</f>
        <v/>
      </c>
      <c r="G68" s="22" t="str">
        <f>IF($B68="","",IF(N('Aset Tetap'!$AG68)=0,0,IF(AND((YEAR(G$6)*12+MONTH(G$6))&gt;='Aset Tetap'!$Y68,(YEAR(G$6)*12+MONTH(G$6))&lt;=MIN('Aset Tetap'!$Z68,IF('Aset Tetap'!$S68="Unit Produksi",99999,'Aset Tetap'!$Y68+'Aset Tetap'!$T68*12-1))),'Aset Tetap'!$AQ68/'Aset Tetap'!$AG68,0)))</f>
        <v/>
      </c>
      <c r="H68" s="22" t="str">
        <f>IF($B68="","",IF(N('Aset Tetap'!$AG68)=0,0,IF(AND((YEAR(H$6)*12+MONTH(H$6))&gt;='Aset Tetap'!$Y68,(YEAR(H$6)*12+MONTH(H$6))&lt;=MIN('Aset Tetap'!$Z68,IF('Aset Tetap'!$S68="Unit Produksi",99999,'Aset Tetap'!$Y68+'Aset Tetap'!$T68*12-1))),'Aset Tetap'!$AQ68/'Aset Tetap'!$AG68,0)))</f>
        <v/>
      </c>
      <c r="I68" s="22" t="str">
        <f>IF($B68="","",IF(N('Aset Tetap'!$AG68)=0,0,IF(AND((YEAR(I$6)*12+MONTH(I$6))&gt;='Aset Tetap'!$Y68,(YEAR(I$6)*12+MONTH(I$6))&lt;=MIN('Aset Tetap'!$Z68,IF('Aset Tetap'!$S68="Unit Produksi",99999,'Aset Tetap'!$Y68+'Aset Tetap'!$T68*12-1))),'Aset Tetap'!$AQ68/'Aset Tetap'!$AG68,0)))</f>
        <v/>
      </c>
      <c r="J68" s="22" t="str">
        <f>IF($B68="","",IF(N('Aset Tetap'!$AG68)=0,0,IF(AND((YEAR(J$6)*12+MONTH(J$6))&gt;='Aset Tetap'!$Y68,(YEAR(J$6)*12+MONTH(J$6))&lt;=MIN('Aset Tetap'!$Z68,IF('Aset Tetap'!$S68="Unit Produksi",99999,'Aset Tetap'!$Y68+'Aset Tetap'!$T68*12-1))),'Aset Tetap'!$AQ68/'Aset Tetap'!$AG68,0)))</f>
        <v/>
      </c>
      <c r="K68" s="22" t="str">
        <f>IF($B68="","",IF(N('Aset Tetap'!$AG68)=0,0,IF(AND((YEAR(K$6)*12+MONTH(K$6))&gt;='Aset Tetap'!$Y68,(YEAR(K$6)*12+MONTH(K$6))&lt;=MIN('Aset Tetap'!$Z68,IF('Aset Tetap'!$S68="Unit Produksi",99999,'Aset Tetap'!$Y68+'Aset Tetap'!$T68*12-1))),'Aset Tetap'!$AQ68/'Aset Tetap'!$AG68,0)))</f>
        <v/>
      </c>
      <c r="L68" s="22" t="str">
        <f>IF($B68="","",IF(N('Aset Tetap'!$AG68)=0,0,IF(AND((YEAR(L$6)*12+MONTH(L$6))&gt;='Aset Tetap'!$Y68,(YEAR(L$6)*12+MONTH(L$6))&lt;=MIN('Aset Tetap'!$Z68,IF('Aset Tetap'!$S68="Unit Produksi",99999,'Aset Tetap'!$Y68+'Aset Tetap'!$T68*12-1))),'Aset Tetap'!$AQ68/'Aset Tetap'!$AG68,0)))</f>
        <v/>
      </c>
      <c r="M68" s="22" t="str">
        <f>IF($B68="","",IF(N('Aset Tetap'!$AG68)=0,0,IF(AND((YEAR(M$6)*12+MONTH(M$6))&gt;='Aset Tetap'!$Y68,(YEAR(M$6)*12+MONTH(M$6))&lt;=MIN('Aset Tetap'!$Z68,IF('Aset Tetap'!$S68="Unit Produksi",99999,'Aset Tetap'!$Y68+'Aset Tetap'!$T68*12-1))),'Aset Tetap'!$AQ68/'Aset Tetap'!$AG68,0)))</f>
        <v/>
      </c>
      <c r="N68" s="22" t="str">
        <f>IF($B68="","",IF(N('Aset Tetap'!$AG68)=0,0,IF(AND((YEAR(N$6)*12+MONTH(N$6))&gt;='Aset Tetap'!$Y68,(YEAR(N$6)*12+MONTH(N$6))&lt;=MIN('Aset Tetap'!$Z68,IF('Aset Tetap'!$S68="Unit Produksi",99999,'Aset Tetap'!$Y68+'Aset Tetap'!$T68*12-1))),'Aset Tetap'!$AQ68/'Aset Tetap'!$AG68,0)))</f>
        <v/>
      </c>
      <c r="O68" s="22" t="str">
        <f>IF($B68="","",IF(N('Aset Tetap'!$AG68)=0,0,IF(AND((YEAR(O$6)*12+MONTH(O$6))&gt;='Aset Tetap'!$Y68,(YEAR(O$6)*12+MONTH(O$6))&lt;=MIN('Aset Tetap'!$Z68,IF('Aset Tetap'!$S68="Unit Produksi",99999,'Aset Tetap'!$Y68+'Aset Tetap'!$T68*12-1))),'Aset Tetap'!$AQ68/'Aset Tetap'!$AG68,0)))</f>
        <v/>
      </c>
      <c r="P68" s="22" t="str">
        <f>IF($B68="","",IF(N('Aset Tetap'!$AG68)=0,0,IF(AND((YEAR(P$6)*12+MONTH(P$6))&gt;='Aset Tetap'!$Y68,(YEAR(P$6)*12+MONTH(P$6))&lt;=MIN('Aset Tetap'!$Z68,IF('Aset Tetap'!$S68="Unit Produksi",99999,'Aset Tetap'!$Y68+'Aset Tetap'!$T68*12-1))),'Aset Tetap'!$AQ68/'Aset Tetap'!$AG68,0)))</f>
        <v/>
      </c>
      <c r="Q68" s="22" t="str">
        <f>IF($B68="","",SUM(E68:P68))</f>
        <v/>
      </c>
      <c r="R68" s="22" t="str">
        <f>IF($B68="","",'Aset Tetap'!AQ68)</f>
        <v/>
      </c>
      <c r="S68" s="22" t="str">
        <f>IF($B68="","",ROUND(Q68-R68,0))</f>
        <v/>
      </c>
    </row>
    <row r="69" spans="1:19" x14ac:dyDescent="0.25">
      <c r="A69" t="str">
        <f>IF('Aset Tetap'!$B69="","",'Aset Tetap'!A69)</f>
        <v/>
      </c>
      <c r="B69" t="str">
        <f>IF('Aset Tetap'!$B69="","",'Aset Tetap'!B69)</f>
        <v/>
      </c>
      <c r="C69" t="str">
        <f>IF('Aset Tetap'!$B69="","",'Aset Tetap'!C69)</f>
        <v/>
      </c>
      <c r="D69" t="str">
        <f>IF('Aset Tetap'!$B69="","",'Aset Tetap'!D69)</f>
        <v/>
      </c>
      <c r="E69" s="22" t="str">
        <f>IF($B69="","",IF(N('Aset Tetap'!$AG69)=0,0,IF(AND((YEAR(E$6)*12+MONTH(E$6))&gt;='Aset Tetap'!$Y69,(YEAR(E$6)*12+MONTH(E$6))&lt;=MIN('Aset Tetap'!$Z69,IF('Aset Tetap'!$S69="Unit Produksi",99999,'Aset Tetap'!$Y69+'Aset Tetap'!$T69*12-1))),'Aset Tetap'!$AQ69/'Aset Tetap'!$AG69,0)))</f>
        <v/>
      </c>
      <c r="F69" s="22" t="str">
        <f>IF($B69="","",IF(N('Aset Tetap'!$AG69)=0,0,IF(AND((YEAR(F$6)*12+MONTH(F$6))&gt;='Aset Tetap'!$Y69,(YEAR(F$6)*12+MONTH(F$6))&lt;=MIN('Aset Tetap'!$Z69,IF('Aset Tetap'!$S69="Unit Produksi",99999,'Aset Tetap'!$Y69+'Aset Tetap'!$T69*12-1))),'Aset Tetap'!$AQ69/'Aset Tetap'!$AG69,0)))</f>
        <v/>
      </c>
      <c r="G69" s="22" t="str">
        <f>IF($B69="","",IF(N('Aset Tetap'!$AG69)=0,0,IF(AND((YEAR(G$6)*12+MONTH(G$6))&gt;='Aset Tetap'!$Y69,(YEAR(G$6)*12+MONTH(G$6))&lt;=MIN('Aset Tetap'!$Z69,IF('Aset Tetap'!$S69="Unit Produksi",99999,'Aset Tetap'!$Y69+'Aset Tetap'!$T69*12-1))),'Aset Tetap'!$AQ69/'Aset Tetap'!$AG69,0)))</f>
        <v/>
      </c>
      <c r="H69" s="22" t="str">
        <f>IF($B69="","",IF(N('Aset Tetap'!$AG69)=0,0,IF(AND((YEAR(H$6)*12+MONTH(H$6))&gt;='Aset Tetap'!$Y69,(YEAR(H$6)*12+MONTH(H$6))&lt;=MIN('Aset Tetap'!$Z69,IF('Aset Tetap'!$S69="Unit Produksi",99999,'Aset Tetap'!$Y69+'Aset Tetap'!$T69*12-1))),'Aset Tetap'!$AQ69/'Aset Tetap'!$AG69,0)))</f>
        <v/>
      </c>
      <c r="I69" s="22" t="str">
        <f>IF($B69="","",IF(N('Aset Tetap'!$AG69)=0,0,IF(AND((YEAR(I$6)*12+MONTH(I$6))&gt;='Aset Tetap'!$Y69,(YEAR(I$6)*12+MONTH(I$6))&lt;=MIN('Aset Tetap'!$Z69,IF('Aset Tetap'!$S69="Unit Produksi",99999,'Aset Tetap'!$Y69+'Aset Tetap'!$T69*12-1))),'Aset Tetap'!$AQ69/'Aset Tetap'!$AG69,0)))</f>
        <v/>
      </c>
      <c r="J69" s="22" t="str">
        <f>IF($B69="","",IF(N('Aset Tetap'!$AG69)=0,0,IF(AND((YEAR(J$6)*12+MONTH(J$6))&gt;='Aset Tetap'!$Y69,(YEAR(J$6)*12+MONTH(J$6))&lt;=MIN('Aset Tetap'!$Z69,IF('Aset Tetap'!$S69="Unit Produksi",99999,'Aset Tetap'!$Y69+'Aset Tetap'!$T69*12-1))),'Aset Tetap'!$AQ69/'Aset Tetap'!$AG69,0)))</f>
        <v/>
      </c>
      <c r="K69" s="22" t="str">
        <f>IF($B69="","",IF(N('Aset Tetap'!$AG69)=0,0,IF(AND((YEAR(K$6)*12+MONTH(K$6))&gt;='Aset Tetap'!$Y69,(YEAR(K$6)*12+MONTH(K$6))&lt;=MIN('Aset Tetap'!$Z69,IF('Aset Tetap'!$S69="Unit Produksi",99999,'Aset Tetap'!$Y69+'Aset Tetap'!$T69*12-1))),'Aset Tetap'!$AQ69/'Aset Tetap'!$AG69,0)))</f>
        <v/>
      </c>
      <c r="L69" s="22" t="str">
        <f>IF($B69="","",IF(N('Aset Tetap'!$AG69)=0,0,IF(AND((YEAR(L$6)*12+MONTH(L$6))&gt;='Aset Tetap'!$Y69,(YEAR(L$6)*12+MONTH(L$6))&lt;=MIN('Aset Tetap'!$Z69,IF('Aset Tetap'!$S69="Unit Produksi",99999,'Aset Tetap'!$Y69+'Aset Tetap'!$T69*12-1))),'Aset Tetap'!$AQ69/'Aset Tetap'!$AG69,0)))</f>
        <v/>
      </c>
      <c r="M69" s="22" t="str">
        <f>IF($B69="","",IF(N('Aset Tetap'!$AG69)=0,0,IF(AND((YEAR(M$6)*12+MONTH(M$6))&gt;='Aset Tetap'!$Y69,(YEAR(M$6)*12+MONTH(M$6))&lt;=MIN('Aset Tetap'!$Z69,IF('Aset Tetap'!$S69="Unit Produksi",99999,'Aset Tetap'!$Y69+'Aset Tetap'!$T69*12-1))),'Aset Tetap'!$AQ69/'Aset Tetap'!$AG69,0)))</f>
        <v/>
      </c>
      <c r="N69" s="22" t="str">
        <f>IF($B69="","",IF(N('Aset Tetap'!$AG69)=0,0,IF(AND((YEAR(N$6)*12+MONTH(N$6))&gt;='Aset Tetap'!$Y69,(YEAR(N$6)*12+MONTH(N$6))&lt;=MIN('Aset Tetap'!$Z69,IF('Aset Tetap'!$S69="Unit Produksi",99999,'Aset Tetap'!$Y69+'Aset Tetap'!$T69*12-1))),'Aset Tetap'!$AQ69/'Aset Tetap'!$AG69,0)))</f>
        <v/>
      </c>
      <c r="O69" s="22" t="str">
        <f>IF($B69="","",IF(N('Aset Tetap'!$AG69)=0,0,IF(AND((YEAR(O$6)*12+MONTH(O$6))&gt;='Aset Tetap'!$Y69,(YEAR(O$6)*12+MONTH(O$6))&lt;=MIN('Aset Tetap'!$Z69,IF('Aset Tetap'!$S69="Unit Produksi",99999,'Aset Tetap'!$Y69+'Aset Tetap'!$T69*12-1))),'Aset Tetap'!$AQ69/'Aset Tetap'!$AG69,0)))</f>
        <v/>
      </c>
      <c r="P69" s="22" t="str">
        <f>IF($B69="","",IF(N('Aset Tetap'!$AG69)=0,0,IF(AND((YEAR(P$6)*12+MONTH(P$6))&gt;='Aset Tetap'!$Y69,(YEAR(P$6)*12+MONTH(P$6))&lt;=MIN('Aset Tetap'!$Z69,IF('Aset Tetap'!$S69="Unit Produksi",99999,'Aset Tetap'!$Y69+'Aset Tetap'!$T69*12-1))),'Aset Tetap'!$AQ69/'Aset Tetap'!$AG69,0)))</f>
        <v/>
      </c>
      <c r="Q69" s="22" t="str">
        <f>IF($B69="","",SUM(E69:P69))</f>
        <v/>
      </c>
      <c r="R69" s="22" t="str">
        <f>IF($B69="","",'Aset Tetap'!AQ69)</f>
        <v/>
      </c>
      <c r="S69" s="22" t="str">
        <f>IF($B69="","",ROUND(Q69-R69,0))</f>
        <v/>
      </c>
    </row>
    <row r="70" spans="1:19" x14ac:dyDescent="0.25">
      <c r="A70" t="str">
        <f>IF('Aset Tetap'!$B70="","",'Aset Tetap'!A70)</f>
        <v/>
      </c>
      <c r="B70" t="str">
        <f>IF('Aset Tetap'!$B70="","",'Aset Tetap'!B70)</f>
        <v/>
      </c>
      <c r="C70" t="str">
        <f>IF('Aset Tetap'!$B70="","",'Aset Tetap'!C70)</f>
        <v/>
      </c>
      <c r="D70" t="str">
        <f>IF('Aset Tetap'!$B70="","",'Aset Tetap'!D70)</f>
        <v/>
      </c>
      <c r="E70" s="22" t="str">
        <f>IF($B70="","",IF(N('Aset Tetap'!$AG70)=0,0,IF(AND((YEAR(E$6)*12+MONTH(E$6))&gt;='Aset Tetap'!$Y70,(YEAR(E$6)*12+MONTH(E$6))&lt;=MIN('Aset Tetap'!$Z70,IF('Aset Tetap'!$S70="Unit Produksi",99999,'Aset Tetap'!$Y70+'Aset Tetap'!$T70*12-1))),'Aset Tetap'!$AQ70/'Aset Tetap'!$AG70,0)))</f>
        <v/>
      </c>
      <c r="F70" s="22" t="str">
        <f>IF($B70="","",IF(N('Aset Tetap'!$AG70)=0,0,IF(AND((YEAR(F$6)*12+MONTH(F$6))&gt;='Aset Tetap'!$Y70,(YEAR(F$6)*12+MONTH(F$6))&lt;=MIN('Aset Tetap'!$Z70,IF('Aset Tetap'!$S70="Unit Produksi",99999,'Aset Tetap'!$Y70+'Aset Tetap'!$T70*12-1))),'Aset Tetap'!$AQ70/'Aset Tetap'!$AG70,0)))</f>
        <v/>
      </c>
      <c r="G70" s="22" t="str">
        <f>IF($B70="","",IF(N('Aset Tetap'!$AG70)=0,0,IF(AND((YEAR(G$6)*12+MONTH(G$6))&gt;='Aset Tetap'!$Y70,(YEAR(G$6)*12+MONTH(G$6))&lt;=MIN('Aset Tetap'!$Z70,IF('Aset Tetap'!$S70="Unit Produksi",99999,'Aset Tetap'!$Y70+'Aset Tetap'!$T70*12-1))),'Aset Tetap'!$AQ70/'Aset Tetap'!$AG70,0)))</f>
        <v/>
      </c>
      <c r="H70" s="22" t="str">
        <f>IF($B70="","",IF(N('Aset Tetap'!$AG70)=0,0,IF(AND((YEAR(H$6)*12+MONTH(H$6))&gt;='Aset Tetap'!$Y70,(YEAR(H$6)*12+MONTH(H$6))&lt;=MIN('Aset Tetap'!$Z70,IF('Aset Tetap'!$S70="Unit Produksi",99999,'Aset Tetap'!$Y70+'Aset Tetap'!$T70*12-1))),'Aset Tetap'!$AQ70/'Aset Tetap'!$AG70,0)))</f>
        <v/>
      </c>
      <c r="I70" s="22" t="str">
        <f>IF($B70="","",IF(N('Aset Tetap'!$AG70)=0,0,IF(AND((YEAR(I$6)*12+MONTH(I$6))&gt;='Aset Tetap'!$Y70,(YEAR(I$6)*12+MONTH(I$6))&lt;=MIN('Aset Tetap'!$Z70,IF('Aset Tetap'!$S70="Unit Produksi",99999,'Aset Tetap'!$Y70+'Aset Tetap'!$T70*12-1))),'Aset Tetap'!$AQ70/'Aset Tetap'!$AG70,0)))</f>
        <v/>
      </c>
      <c r="J70" s="22" t="str">
        <f>IF($B70="","",IF(N('Aset Tetap'!$AG70)=0,0,IF(AND((YEAR(J$6)*12+MONTH(J$6))&gt;='Aset Tetap'!$Y70,(YEAR(J$6)*12+MONTH(J$6))&lt;=MIN('Aset Tetap'!$Z70,IF('Aset Tetap'!$S70="Unit Produksi",99999,'Aset Tetap'!$Y70+'Aset Tetap'!$T70*12-1))),'Aset Tetap'!$AQ70/'Aset Tetap'!$AG70,0)))</f>
        <v/>
      </c>
      <c r="K70" s="22" t="str">
        <f>IF($B70="","",IF(N('Aset Tetap'!$AG70)=0,0,IF(AND((YEAR(K$6)*12+MONTH(K$6))&gt;='Aset Tetap'!$Y70,(YEAR(K$6)*12+MONTH(K$6))&lt;=MIN('Aset Tetap'!$Z70,IF('Aset Tetap'!$S70="Unit Produksi",99999,'Aset Tetap'!$Y70+'Aset Tetap'!$T70*12-1))),'Aset Tetap'!$AQ70/'Aset Tetap'!$AG70,0)))</f>
        <v/>
      </c>
      <c r="L70" s="22" t="str">
        <f>IF($B70="","",IF(N('Aset Tetap'!$AG70)=0,0,IF(AND((YEAR(L$6)*12+MONTH(L$6))&gt;='Aset Tetap'!$Y70,(YEAR(L$6)*12+MONTH(L$6))&lt;=MIN('Aset Tetap'!$Z70,IF('Aset Tetap'!$S70="Unit Produksi",99999,'Aset Tetap'!$Y70+'Aset Tetap'!$T70*12-1))),'Aset Tetap'!$AQ70/'Aset Tetap'!$AG70,0)))</f>
        <v/>
      </c>
      <c r="M70" s="22" t="str">
        <f>IF($B70="","",IF(N('Aset Tetap'!$AG70)=0,0,IF(AND((YEAR(M$6)*12+MONTH(M$6))&gt;='Aset Tetap'!$Y70,(YEAR(M$6)*12+MONTH(M$6))&lt;=MIN('Aset Tetap'!$Z70,IF('Aset Tetap'!$S70="Unit Produksi",99999,'Aset Tetap'!$Y70+'Aset Tetap'!$T70*12-1))),'Aset Tetap'!$AQ70/'Aset Tetap'!$AG70,0)))</f>
        <v/>
      </c>
      <c r="N70" s="22" t="str">
        <f>IF($B70="","",IF(N('Aset Tetap'!$AG70)=0,0,IF(AND((YEAR(N$6)*12+MONTH(N$6))&gt;='Aset Tetap'!$Y70,(YEAR(N$6)*12+MONTH(N$6))&lt;=MIN('Aset Tetap'!$Z70,IF('Aset Tetap'!$S70="Unit Produksi",99999,'Aset Tetap'!$Y70+'Aset Tetap'!$T70*12-1))),'Aset Tetap'!$AQ70/'Aset Tetap'!$AG70,0)))</f>
        <v/>
      </c>
      <c r="O70" s="22" t="str">
        <f>IF($B70="","",IF(N('Aset Tetap'!$AG70)=0,0,IF(AND((YEAR(O$6)*12+MONTH(O$6))&gt;='Aset Tetap'!$Y70,(YEAR(O$6)*12+MONTH(O$6))&lt;=MIN('Aset Tetap'!$Z70,IF('Aset Tetap'!$S70="Unit Produksi",99999,'Aset Tetap'!$Y70+'Aset Tetap'!$T70*12-1))),'Aset Tetap'!$AQ70/'Aset Tetap'!$AG70,0)))</f>
        <v/>
      </c>
      <c r="P70" s="22" t="str">
        <f>IF($B70="","",IF(N('Aset Tetap'!$AG70)=0,0,IF(AND((YEAR(P$6)*12+MONTH(P$6))&gt;='Aset Tetap'!$Y70,(YEAR(P$6)*12+MONTH(P$6))&lt;=MIN('Aset Tetap'!$Z70,IF('Aset Tetap'!$S70="Unit Produksi",99999,'Aset Tetap'!$Y70+'Aset Tetap'!$T70*12-1))),'Aset Tetap'!$AQ70/'Aset Tetap'!$AG70,0)))</f>
        <v/>
      </c>
      <c r="Q70" s="22" t="str">
        <f>IF($B70="","",SUM(E70:P70))</f>
        <v/>
      </c>
      <c r="R70" s="22" t="str">
        <f>IF($B70="","",'Aset Tetap'!AQ70)</f>
        <v/>
      </c>
      <c r="S70" s="22" t="str">
        <f>IF($B70="","",ROUND(Q70-R70,0))</f>
        <v/>
      </c>
    </row>
    <row r="71" spans="1:19" x14ac:dyDescent="0.25">
      <c r="A71" t="str">
        <f>IF('Aset Tetap'!$B71="","",'Aset Tetap'!A71)</f>
        <v/>
      </c>
      <c r="B71" t="str">
        <f>IF('Aset Tetap'!$B71="","",'Aset Tetap'!B71)</f>
        <v/>
      </c>
      <c r="C71" t="str">
        <f>IF('Aset Tetap'!$B71="","",'Aset Tetap'!C71)</f>
        <v/>
      </c>
      <c r="D71" t="str">
        <f>IF('Aset Tetap'!$B71="","",'Aset Tetap'!D71)</f>
        <v/>
      </c>
      <c r="E71" s="22" t="str">
        <f>IF($B71="","",IF(N('Aset Tetap'!$AG71)=0,0,IF(AND((YEAR(E$6)*12+MONTH(E$6))&gt;='Aset Tetap'!$Y71,(YEAR(E$6)*12+MONTH(E$6))&lt;=MIN('Aset Tetap'!$Z71,IF('Aset Tetap'!$S71="Unit Produksi",99999,'Aset Tetap'!$Y71+'Aset Tetap'!$T71*12-1))),'Aset Tetap'!$AQ71/'Aset Tetap'!$AG71,0)))</f>
        <v/>
      </c>
      <c r="F71" s="22" t="str">
        <f>IF($B71="","",IF(N('Aset Tetap'!$AG71)=0,0,IF(AND((YEAR(F$6)*12+MONTH(F$6))&gt;='Aset Tetap'!$Y71,(YEAR(F$6)*12+MONTH(F$6))&lt;=MIN('Aset Tetap'!$Z71,IF('Aset Tetap'!$S71="Unit Produksi",99999,'Aset Tetap'!$Y71+'Aset Tetap'!$T71*12-1))),'Aset Tetap'!$AQ71/'Aset Tetap'!$AG71,0)))</f>
        <v/>
      </c>
      <c r="G71" s="22" t="str">
        <f>IF($B71="","",IF(N('Aset Tetap'!$AG71)=0,0,IF(AND((YEAR(G$6)*12+MONTH(G$6))&gt;='Aset Tetap'!$Y71,(YEAR(G$6)*12+MONTH(G$6))&lt;=MIN('Aset Tetap'!$Z71,IF('Aset Tetap'!$S71="Unit Produksi",99999,'Aset Tetap'!$Y71+'Aset Tetap'!$T71*12-1))),'Aset Tetap'!$AQ71/'Aset Tetap'!$AG71,0)))</f>
        <v/>
      </c>
      <c r="H71" s="22" t="str">
        <f>IF($B71="","",IF(N('Aset Tetap'!$AG71)=0,0,IF(AND((YEAR(H$6)*12+MONTH(H$6))&gt;='Aset Tetap'!$Y71,(YEAR(H$6)*12+MONTH(H$6))&lt;=MIN('Aset Tetap'!$Z71,IF('Aset Tetap'!$S71="Unit Produksi",99999,'Aset Tetap'!$Y71+'Aset Tetap'!$T71*12-1))),'Aset Tetap'!$AQ71/'Aset Tetap'!$AG71,0)))</f>
        <v/>
      </c>
      <c r="I71" s="22" t="str">
        <f>IF($B71="","",IF(N('Aset Tetap'!$AG71)=0,0,IF(AND((YEAR(I$6)*12+MONTH(I$6))&gt;='Aset Tetap'!$Y71,(YEAR(I$6)*12+MONTH(I$6))&lt;=MIN('Aset Tetap'!$Z71,IF('Aset Tetap'!$S71="Unit Produksi",99999,'Aset Tetap'!$Y71+'Aset Tetap'!$T71*12-1))),'Aset Tetap'!$AQ71/'Aset Tetap'!$AG71,0)))</f>
        <v/>
      </c>
      <c r="J71" s="22" t="str">
        <f>IF($B71="","",IF(N('Aset Tetap'!$AG71)=0,0,IF(AND((YEAR(J$6)*12+MONTH(J$6))&gt;='Aset Tetap'!$Y71,(YEAR(J$6)*12+MONTH(J$6))&lt;=MIN('Aset Tetap'!$Z71,IF('Aset Tetap'!$S71="Unit Produksi",99999,'Aset Tetap'!$Y71+'Aset Tetap'!$T71*12-1))),'Aset Tetap'!$AQ71/'Aset Tetap'!$AG71,0)))</f>
        <v/>
      </c>
      <c r="K71" s="22" t="str">
        <f>IF($B71="","",IF(N('Aset Tetap'!$AG71)=0,0,IF(AND((YEAR(K$6)*12+MONTH(K$6))&gt;='Aset Tetap'!$Y71,(YEAR(K$6)*12+MONTH(K$6))&lt;=MIN('Aset Tetap'!$Z71,IF('Aset Tetap'!$S71="Unit Produksi",99999,'Aset Tetap'!$Y71+'Aset Tetap'!$T71*12-1))),'Aset Tetap'!$AQ71/'Aset Tetap'!$AG71,0)))</f>
        <v/>
      </c>
      <c r="L71" s="22" t="str">
        <f>IF($B71="","",IF(N('Aset Tetap'!$AG71)=0,0,IF(AND((YEAR(L$6)*12+MONTH(L$6))&gt;='Aset Tetap'!$Y71,(YEAR(L$6)*12+MONTH(L$6))&lt;=MIN('Aset Tetap'!$Z71,IF('Aset Tetap'!$S71="Unit Produksi",99999,'Aset Tetap'!$Y71+'Aset Tetap'!$T71*12-1))),'Aset Tetap'!$AQ71/'Aset Tetap'!$AG71,0)))</f>
        <v/>
      </c>
      <c r="M71" s="22" t="str">
        <f>IF($B71="","",IF(N('Aset Tetap'!$AG71)=0,0,IF(AND((YEAR(M$6)*12+MONTH(M$6))&gt;='Aset Tetap'!$Y71,(YEAR(M$6)*12+MONTH(M$6))&lt;=MIN('Aset Tetap'!$Z71,IF('Aset Tetap'!$S71="Unit Produksi",99999,'Aset Tetap'!$Y71+'Aset Tetap'!$T71*12-1))),'Aset Tetap'!$AQ71/'Aset Tetap'!$AG71,0)))</f>
        <v/>
      </c>
      <c r="N71" s="22" t="str">
        <f>IF($B71="","",IF(N('Aset Tetap'!$AG71)=0,0,IF(AND((YEAR(N$6)*12+MONTH(N$6))&gt;='Aset Tetap'!$Y71,(YEAR(N$6)*12+MONTH(N$6))&lt;=MIN('Aset Tetap'!$Z71,IF('Aset Tetap'!$S71="Unit Produksi",99999,'Aset Tetap'!$Y71+'Aset Tetap'!$T71*12-1))),'Aset Tetap'!$AQ71/'Aset Tetap'!$AG71,0)))</f>
        <v/>
      </c>
      <c r="O71" s="22" t="str">
        <f>IF($B71="","",IF(N('Aset Tetap'!$AG71)=0,0,IF(AND((YEAR(O$6)*12+MONTH(O$6))&gt;='Aset Tetap'!$Y71,(YEAR(O$6)*12+MONTH(O$6))&lt;=MIN('Aset Tetap'!$Z71,IF('Aset Tetap'!$S71="Unit Produksi",99999,'Aset Tetap'!$Y71+'Aset Tetap'!$T71*12-1))),'Aset Tetap'!$AQ71/'Aset Tetap'!$AG71,0)))</f>
        <v/>
      </c>
      <c r="P71" s="22" t="str">
        <f>IF($B71="","",IF(N('Aset Tetap'!$AG71)=0,0,IF(AND((YEAR(P$6)*12+MONTH(P$6))&gt;='Aset Tetap'!$Y71,(YEAR(P$6)*12+MONTH(P$6))&lt;=MIN('Aset Tetap'!$Z71,IF('Aset Tetap'!$S71="Unit Produksi",99999,'Aset Tetap'!$Y71+'Aset Tetap'!$T71*12-1))),'Aset Tetap'!$AQ71/'Aset Tetap'!$AG71,0)))</f>
        <v/>
      </c>
      <c r="Q71" s="22" t="str">
        <f>IF($B71="","",SUM(E71:P71))</f>
        <v/>
      </c>
      <c r="R71" s="22" t="str">
        <f>IF($B71="","",'Aset Tetap'!AQ71)</f>
        <v/>
      </c>
      <c r="S71" s="22" t="str">
        <f>IF($B71="","",ROUND(Q71-R71,0))</f>
        <v/>
      </c>
    </row>
    <row r="72" spans="1:19" x14ac:dyDescent="0.25">
      <c r="A72" t="str">
        <f>IF('Aset Tetap'!$B72="","",'Aset Tetap'!A72)</f>
        <v/>
      </c>
      <c r="B72" t="str">
        <f>IF('Aset Tetap'!$B72="","",'Aset Tetap'!B72)</f>
        <v/>
      </c>
      <c r="C72" t="str">
        <f>IF('Aset Tetap'!$B72="","",'Aset Tetap'!C72)</f>
        <v/>
      </c>
      <c r="D72" t="str">
        <f>IF('Aset Tetap'!$B72="","",'Aset Tetap'!D72)</f>
        <v/>
      </c>
      <c r="E72" s="22" t="str">
        <f>IF($B72="","",IF(N('Aset Tetap'!$AG72)=0,0,IF(AND((YEAR(E$6)*12+MONTH(E$6))&gt;='Aset Tetap'!$Y72,(YEAR(E$6)*12+MONTH(E$6))&lt;=MIN('Aset Tetap'!$Z72,IF('Aset Tetap'!$S72="Unit Produksi",99999,'Aset Tetap'!$Y72+'Aset Tetap'!$T72*12-1))),'Aset Tetap'!$AQ72/'Aset Tetap'!$AG72,0)))</f>
        <v/>
      </c>
      <c r="F72" s="22" t="str">
        <f>IF($B72="","",IF(N('Aset Tetap'!$AG72)=0,0,IF(AND((YEAR(F$6)*12+MONTH(F$6))&gt;='Aset Tetap'!$Y72,(YEAR(F$6)*12+MONTH(F$6))&lt;=MIN('Aset Tetap'!$Z72,IF('Aset Tetap'!$S72="Unit Produksi",99999,'Aset Tetap'!$Y72+'Aset Tetap'!$T72*12-1))),'Aset Tetap'!$AQ72/'Aset Tetap'!$AG72,0)))</f>
        <v/>
      </c>
      <c r="G72" s="22" t="str">
        <f>IF($B72="","",IF(N('Aset Tetap'!$AG72)=0,0,IF(AND((YEAR(G$6)*12+MONTH(G$6))&gt;='Aset Tetap'!$Y72,(YEAR(G$6)*12+MONTH(G$6))&lt;=MIN('Aset Tetap'!$Z72,IF('Aset Tetap'!$S72="Unit Produksi",99999,'Aset Tetap'!$Y72+'Aset Tetap'!$T72*12-1))),'Aset Tetap'!$AQ72/'Aset Tetap'!$AG72,0)))</f>
        <v/>
      </c>
      <c r="H72" s="22" t="str">
        <f>IF($B72="","",IF(N('Aset Tetap'!$AG72)=0,0,IF(AND((YEAR(H$6)*12+MONTH(H$6))&gt;='Aset Tetap'!$Y72,(YEAR(H$6)*12+MONTH(H$6))&lt;=MIN('Aset Tetap'!$Z72,IF('Aset Tetap'!$S72="Unit Produksi",99999,'Aset Tetap'!$Y72+'Aset Tetap'!$T72*12-1))),'Aset Tetap'!$AQ72/'Aset Tetap'!$AG72,0)))</f>
        <v/>
      </c>
      <c r="I72" s="22" t="str">
        <f>IF($B72="","",IF(N('Aset Tetap'!$AG72)=0,0,IF(AND((YEAR(I$6)*12+MONTH(I$6))&gt;='Aset Tetap'!$Y72,(YEAR(I$6)*12+MONTH(I$6))&lt;=MIN('Aset Tetap'!$Z72,IF('Aset Tetap'!$S72="Unit Produksi",99999,'Aset Tetap'!$Y72+'Aset Tetap'!$T72*12-1))),'Aset Tetap'!$AQ72/'Aset Tetap'!$AG72,0)))</f>
        <v/>
      </c>
      <c r="J72" s="22" t="str">
        <f>IF($B72="","",IF(N('Aset Tetap'!$AG72)=0,0,IF(AND((YEAR(J$6)*12+MONTH(J$6))&gt;='Aset Tetap'!$Y72,(YEAR(J$6)*12+MONTH(J$6))&lt;=MIN('Aset Tetap'!$Z72,IF('Aset Tetap'!$S72="Unit Produksi",99999,'Aset Tetap'!$Y72+'Aset Tetap'!$T72*12-1))),'Aset Tetap'!$AQ72/'Aset Tetap'!$AG72,0)))</f>
        <v/>
      </c>
      <c r="K72" s="22" t="str">
        <f>IF($B72="","",IF(N('Aset Tetap'!$AG72)=0,0,IF(AND((YEAR(K$6)*12+MONTH(K$6))&gt;='Aset Tetap'!$Y72,(YEAR(K$6)*12+MONTH(K$6))&lt;=MIN('Aset Tetap'!$Z72,IF('Aset Tetap'!$S72="Unit Produksi",99999,'Aset Tetap'!$Y72+'Aset Tetap'!$T72*12-1))),'Aset Tetap'!$AQ72/'Aset Tetap'!$AG72,0)))</f>
        <v/>
      </c>
      <c r="L72" s="22" t="str">
        <f>IF($B72="","",IF(N('Aset Tetap'!$AG72)=0,0,IF(AND((YEAR(L$6)*12+MONTH(L$6))&gt;='Aset Tetap'!$Y72,(YEAR(L$6)*12+MONTH(L$6))&lt;=MIN('Aset Tetap'!$Z72,IF('Aset Tetap'!$S72="Unit Produksi",99999,'Aset Tetap'!$Y72+'Aset Tetap'!$T72*12-1))),'Aset Tetap'!$AQ72/'Aset Tetap'!$AG72,0)))</f>
        <v/>
      </c>
      <c r="M72" s="22" t="str">
        <f>IF($B72="","",IF(N('Aset Tetap'!$AG72)=0,0,IF(AND((YEAR(M$6)*12+MONTH(M$6))&gt;='Aset Tetap'!$Y72,(YEAR(M$6)*12+MONTH(M$6))&lt;=MIN('Aset Tetap'!$Z72,IF('Aset Tetap'!$S72="Unit Produksi",99999,'Aset Tetap'!$Y72+'Aset Tetap'!$T72*12-1))),'Aset Tetap'!$AQ72/'Aset Tetap'!$AG72,0)))</f>
        <v/>
      </c>
      <c r="N72" s="22" t="str">
        <f>IF($B72="","",IF(N('Aset Tetap'!$AG72)=0,0,IF(AND((YEAR(N$6)*12+MONTH(N$6))&gt;='Aset Tetap'!$Y72,(YEAR(N$6)*12+MONTH(N$6))&lt;=MIN('Aset Tetap'!$Z72,IF('Aset Tetap'!$S72="Unit Produksi",99999,'Aset Tetap'!$Y72+'Aset Tetap'!$T72*12-1))),'Aset Tetap'!$AQ72/'Aset Tetap'!$AG72,0)))</f>
        <v/>
      </c>
      <c r="O72" s="22" t="str">
        <f>IF($B72="","",IF(N('Aset Tetap'!$AG72)=0,0,IF(AND((YEAR(O$6)*12+MONTH(O$6))&gt;='Aset Tetap'!$Y72,(YEAR(O$6)*12+MONTH(O$6))&lt;=MIN('Aset Tetap'!$Z72,IF('Aset Tetap'!$S72="Unit Produksi",99999,'Aset Tetap'!$Y72+'Aset Tetap'!$T72*12-1))),'Aset Tetap'!$AQ72/'Aset Tetap'!$AG72,0)))</f>
        <v/>
      </c>
      <c r="P72" s="22" t="str">
        <f>IF($B72="","",IF(N('Aset Tetap'!$AG72)=0,0,IF(AND((YEAR(P$6)*12+MONTH(P$6))&gt;='Aset Tetap'!$Y72,(YEAR(P$6)*12+MONTH(P$6))&lt;=MIN('Aset Tetap'!$Z72,IF('Aset Tetap'!$S72="Unit Produksi",99999,'Aset Tetap'!$Y72+'Aset Tetap'!$T72*12-1))),'Aset Tetap'!$AQ72/'Aset Tetap'!$AG72,0)))</f>
        <v/>
      </c>
      <c r="Q72" s="22" t="str">
        <f>IF($B72="","",SUM(E72:P72))</f>
        <v/>
      </c>
      <c r="R72" s="22" t="str">
        <f>IF($B72="","",'Aset Tetap'!AQ72)</f>
        <v/>
      </c>
      <c r="S72" s="22" t="str">
        <f>IF($B72="","",ROUND(Q72-R72,0))</f>
        <v/>
      </c>
    </row>
    <row r="73" spans="1:19" x14ac:dyDescent="0.25">
      <c r="A73" t="str">
        <f>IF('Aset Tetap'!$B73="","",'Aset Tetap'!A73)</f>
        <v/>
      </c>
      <c r="B73" t="str">
        <f>IF('Aset Tetap'!$B73="","",'Aset Tetap'!B73)</f>
        <v/>
      </c>
      <c r="C73" t="str">
        <f>IF('Aset Tetap'!$B73="","",'Aset Tetap'!C73)</f>
        <v/>
      </c>
      <c r="D73" t="str">
        <f>IF('Aset Tetap'!$B73="","",'Aset Tetap'!D73)</f>
        <v/>
      </c>
      <c r="E73" s="22" t="str">
        <f>IF($B73="","",IF(N('Aset Tetap'!$AG73)=0,0,IF(AND((YEAR(E$6)*12+MONTH(E$6))&gt;='Aset Tetap'!$Y73,(YEAR(E$6)*12+MONTH(E$6))&lt;=MIN('Aset Tetap'!$Z73,IF('Aset Tetap'!$S73="Unit Produksi",99999,'Aset Tetap'!$Y73+'Aset Tetap'!$T73*12-1))),'Aset Tetap'!$AQ73/'Aset Tetap'!$AG73,0)))</f>
        <v/>
      </c>
      <c r="F73" s="22" t="str">
        <f>IF($B73="","",IF(N('Aset Tetap'!$AG73)=0,0,IF(AND((YEAR(F$6)*12+MONTH(F$6))&gt;='Aset Tetap'!$Y73,(YEAR(F$6)*12+MONTH(F$6))&lt;=MIN('Aset Tetap'!$Z73,IF('Aset Tetap'!$S73="Unit Produksi",99999,'Aset Tetap'!$Y73+'Aset Tetap'!$T73*12-1))),'Aset Tetap'!$AQ73/'Aset Tetap'!$AG73,0)))</f>
        <v/>
      </c>
      <c r="G73" s="22" t="str">
        <f>IF($B73="","",IF(N('Aset Tetap'!$AG73)=0,0,IF(AND((YEAR(G$6)*12+MONTH(G$6))&gt;='Aset Tetap'!$Y73,(YEAR(G$6)*12+MONTH(G$6))&lt;=MIN('Aset Tetap'!$Z73,IF('Aset Tetap'!$S73="Unit Produksi",99999,'Aset Tetap'!$Y73+'Aset Tetap'!$T73*12-1))),'Aset Tetap'!$AQ73/'Aset Tetap'!$AG73,0)))</f>
        <v/>
      </c>
      <c r="H73" s="22" t="str">
        <f>IF($B73="","",IF(N('Aset Tetap'!$AG73)=0,0,IF(AND((YEAR(H$6)*12+MONTH(H$6))&gt;='Aset Tetap'!$Y73,(YEAR(H$6)*12+MONTH(H$6))&lt;=MIN('Aset Tetap'!$Z73,IF('Aset Tetap'!$S73="Unit Produksi",99999,'Aset Tetap'!$Y73+'Aset Tetap'!$T73*12-1))),'Aset Tetap'!$AQ73/'Aset Tetap'!$AG73,0)))</f>
        <v/>
      </c>
      <c r="I73" s="22" t="str">
        <f>IF($B73="","",IF(N('Aset Tetap'!$AG73)=0,0,IF(AND((YEAR(I$6)*12+MONTH(I$6))&gt;='Aset Tetap'!$Y73,(YEAR(I$6)*12+MONTH(I$6))&lt;=MIN('Aset Tetap'!$Z73,IF('Aset Tetap'!$S73="Unit Produksi",99999,'Aset Tetap'!$Y73+'Aset Tetap'!$T73*12-1))),'Aset Tetap'!$AQ73/'Aset Tetap'!$AG73,0)))</f>
        <v/>
      </c>
      <c r="J73" s="22" t="str">
        <f>IF($B73="","",IF(N('Aset Tetap'!$AG73)=0,0,IF(AND((YEAR(J$6)*12+MONTH(J$6))&gt;='Aset Tetap'!$Y73,(YEAR(J$6)*12+MONTH(J$6))&lt;=MIN('Aset Tetap'!$Z73,IF('Aset Tetap'!$S73="Unit Produksi",99999,'Aset Tetap'!$Y73+'Aset Tetap'!$T73*12-1))),'Aset Tetap'!$AQ73/'Aset Tetap'!$AG73,0)))</f>
        <v/>
      </c>
      <c r="K73" s="22" t="str">
        <f>IF($B73="","",IF(N('Aset Tetap'!$AG73)=0,0,IF(AND((YEAR(K$6)*12+MONTH(K$6))&gt;='Aset Tetap'!$Y73,(YEAR(K$6)*12+MONTH(K$6))&lt;=MIN('Aset Tetap'!$Z73,IF('Aset Tetap'!$S73="Unit Produksi",99999,'Aset Tetap'!$Y73+'Aset Tetap'!$T73*12-1))),'Aset Tetap'!$AQ73/'Aset Tetap'!$AG73,0)))</f>
        <v/>
      </c>
      <c r="L73" s="22" t="str">
        <f>IF($B73="","",IF(N('Aset Tetap'!$AG73)=0,0,IF(AND((YEAR(L$6)*12+MONTH(L$6))&gt;='Aset Tetap'!$Y73,(YEAR(L$6)*12+MONTH(L$6))&lt;=MIN('Aset Tetap'!$Z73,IF('Aset Tetap'!$S73="Unit Produksi",99999,'Aset Tetap'!$Y73+'Aset Tetap'!$T73*12-1))),'Aset Tetap'!$AQ73/'Aset Tetap'!$AG73,0)))</f>
        <v/>
      </c>
      <c r="M73" s="22" t="str">
        <f>IF($B73="","",IF(N('Aset Tetap'!$AG73)=0,0,IF(AND((YEAR(M$6)*12+MONTH(M$6))&gt;='Aset Tetap'!$Y73,(YEAR(M$6)*12+MONTH(M$6))&lt;=MIN('Aset Tetap'!$Z73,IF('Aset Tetap'!$S73="Unit Produksi",99999,'Aset Tetap'!$Y73+'Aset Tetap'!$T73*12-1))),'Aset Tetap'!$AQ73/'Aset Tetap'!$AG73,0)))</f>
        <v/>
      </c>
      <c r="N73" s="22" t="str">
        <f>IF($B73="","",IF(N('Aset Tetap'!$AG73)=0,0,IF(AND((YEAR(N$6)*12+MONTH(N$6))&gt;='Aset Tetap'!$Y73,(YEAR(N$6)*12+MONTH(N$6))&lt;=MIN('Aset Tetap'!$Z73,IF('Aset Tetap'!$S73="Unit Produksi",99999,'Aset Tetap'!$Y73+'Aset Tetap'!$T73*12-1))),'Aset Tetap'!$AQ73/'Aset Tetap'!$AG73,0)))</f>
        <v/>
      </c>
      <c r="O73" s="22" t="str">
        <f>IF($B73="","",IF(N('Aset Tetap'!$AG73)=0,0,IF(AND((YEAR(O$6)*12+MONTH(O$6))&gt;='Aset Tetap'!$Y73,(YEAR(O$6)*12+MONTH(O$6))&lt;=MIN('Aset Tetap'!$Z73,IF('Aset Tetap'!$S73="Unit Produksi",99999,'Aset Tetap'!$Y73+'Aset Tetap'!$T73*12-1))),'Aset Tetap'!$AQ73/'Aset Tetap'!$AG73,0)))</f>
        <v/>
      </c>
      <c r="P73" s="22" t="str">
        <f>IF($B73="","",IF(N('Aset Tetap'!$AG73)=0,0,IF(AND((YEAR(P$6)*12+MONTH(P$6))&gt;='Aset Tetap'!$Y73,(YEAR(P$6)*12+MONTH(P$6))&lt;=MIN('Aset Tetap'!$Z73,IF('Aset Tetap'!$S73="Unit Produksi",99999,'Aset Tetap'!$Y73+'Aset Tetap'!$T73*12-1))),'Aset Tetap'!$AQ73/'Aset Tetap'!$AG73,0)))</f>
        <v/>
      </c>
      <c r="Q73" s="22" t="str">
        <f>IF($B73="","",SUM(E73:P73))</f>
        <v/>
      </c>
      <c r="R73" s="22" t="str">
        <f>IF($B73="","",'Aset Tetap'!AQ73)</f>
        <v/>
      </c>
      <c r="S73" s="22" t="str">
        <f>IF($B73="","",ROUND(Q73-R73,0))</f>
        <v/>
      </c>
    </row>
    <row r="74" spans="1:19" x14ac:dyDescent="0.25">
      <c r="A74" t="str">
        <f>IF('Aset Tetap'!$B74="","",'Aset Tetap'!A74)</f>
        <v/>
      </c>
      <c r="B74" t="str">
        <f>IF('Aset Tetap'!$B74="","",'Aset Tetap'!B74)</f>
        <v/>
      </c>
      <c r="C74" t="str">
        <f>IF('Aset Tetap'!$B74="","",'Aset Tetap'!C74)</f>
        <v/>
      </c>
      <c r="D74" t="str">
        <f>IF('Aset Tetap'!$B74="","",'Aset Tetap'!D74)</f>
        <v/>
      </c>
      <c r="E74" s="22" t="str">
        <f>IF($B74="","",IF(N('Aset Tetap'!$AG74)=0,0,IF(AND((YEAR(E$6)*12+MONTH(E$6))&gt;='Aset Tetap'!$Y74,(YEAR(E$6)*12+MONTH(E$6))&lt;=MIN('Aset Tetap'!$Z74,IF('Aset Tetap'!$S74="Unit Produksi",99999,'Aset Tetap'!$Y74+'Aset Tetap'!$T74*12-1))),'Aset Tetap'!$AQ74/'Aset Tetap'!$AG74,0)))</f>
        <v/>
      </c>
      <c r="F74" s="22" t="str">
        <f>IF($B74="","",IF(N('Aset Tetap'!$AG74)=0,0,IF(AND((YEAR(F$6)*12+MONTH(F$6))&gt;='Aset Tetap'!$Y74,(YEAR(F$6)*12+MONTH(F$6))&lt;=MIN('Aset Tetap'!$Z74,IF('Aset Tetap'!$S74="Unit Produksi",99999,'Aset Tetap'!$Y74+'Aset Tetap'!$T74*12-1))),'Aset Tetap'!$AQ74/'Aset Tetap'!$AG74,0)))</f>
        <v/>
      </c>
      <c r="G74" s="22" t="str">
        <f>IF($B74="","",IF(N('Aset Tetap'!$AG74)=0,0,IF(AND((YEAR(G$6)*12+MONTH(G$6))&gt;='Aset Tetap'!$Y74,(YEAR(G$6)*12+MONTH(G$6))&lt;=MIN('Aset Tetap'!$Z74,IF('Aset Tetap'!$S74="Unit Produksi",99999,'Aset Tetap'!$Y74+'Aset Tetap'!$T74*12-1))),'Aset Tetap'!$AQ74/'Aset Tetap'!$AG74,0)))</f>
        <v/>
      </c>
      <c r="H74" s="22" t="str">
        <f>IF($B74="","",IF(N('Aset Tetap'!$AG74)=0,0,IF(AND((YEAR(H$6)*12+MONTH(H$6))&gt;='Aset Tetap'!$Y74,(YEAR(H$6)*12+MONTH(H$6))&lt;=MIN('Aset Tetap'!$Z74,IF('Aset Tetap'!$S74="Unit Produksi",99999,'Aset Tetap'!$Y74+'Aset Tetap'!$T74*12-1))),'Aset Tetap'!$AQ74/'Aset Tetap'!$AG74,0)))</f>
        <v/>
      </c>
      <c r="I74" s="22" t="str">
        <f>IF($B74="","",IF(N('Aset Tetap'!$AG74)=0,0,IF(AND((YEAR(I$6)*12+MONTH(I$6))&gt;='Aset Tetap'!$Y74,(YEAR(I$6)*12+MONTH(I$6))&lt;=MIN('Aset Tetap'!$Z74,IF('Aset Tetap'!$S74="Unit Produksi",99999,'Aset Tetap'!$Y74+'Aset Tetap'!$T74*12-1))),'Aset Tetap'!$AQ74/'Aset Tetap'!$AG74,0)))</f>
        <v/>
      </c>
      <c r="J74" s="22" t="str">
        <f>IF($B74="","",IF(N('Aset Tetap'!$AG74)=0,0,IF(AND((YEAR(J$6)*12+MONTH(J$6))&gt;='Aset Tetap'!$Y74,(YEAR(J$6)*12+MONTH(J$6))&lt;=MIN('Aset Tetap'!$Z74,IF('Aset Tetap'!$S74="Unit Produksi",99999,'Aset Tetap'!$Y74+'Aset Tetap'!$T74*12-1))),'Aset Tetap'!$AQ74/'Aset Tetap'!$AG74,0)))</f>
        <v/>
      </c>
      <c r="K74" s="22" t="str">
        <f>IF($B74="","",IF(N('Aset Tetap'!$AG74)=0,0,IF(AND((YEAR(K$6)*12+MONTH(K$6))&gt;='Aset Tetap'!$Y74,(YEAR(K$6)*12+MONTH(K$6))&lt;=MIN('Aset Tetap'!$Z74,IF('Aset Tetap'!$S74="Unit Produksi",99999,'Aset Tetap'!$Y74+'Aset Tetap'!$T74*12-1))),'Aset Tetap'!$AQ74/'Aset Tetap'!$AG74,0)))</f>
        <v/>
      </c>
      <c r="L74" s="22" t="str">
        <f>IF($B74="","",IF(N('Aset Tetap'!$AG74)=0,0,IF(AND((YEAR(L$6)*12+MONTH(L$6))&gt;='Aset Tetap'!$Y74,(YEAR(L$6)*12+MONTH(L$6))&lt;=MIN('Aset Tetap'!$Z74,IF('Aset Tetap'!$S74="Unit Produksi",99999,'Aset Tetap'!$Y74+'Aset Tetap'!$T74*12-1))),'Aset Tetap'!$AQ74/'Aset Tetap'!$AG74,0)))</f>
        <v/>
      </c>
      <c r="M74" s="22" t="str">
        <f>IF($B74="","",IF(N('Aset Tetap'!$AG74)=0,0,IF(AND((YEAR(M$6)*12+MONTH(M$6))&gt;='Aset Tetap'!$Y74,(YEAR(M$6)*12+MONTH(M$6))&lt;=MIN('Aset Tetap'!$Z74,IF('Aset Tetap'!$S74="Unit Produksi",99999,'Aset Tetap'!$Y74+'Aset Tetap'!$T74*12-1))),'Aset Tetap'!$AQ74/'Aset Tetap'!$AG74,0)))</f>
        <v/>
      </c>
      <c r="N74" s="22" t="str">
        <f>IF($B74="","",IF(N('Aset Tetap'!$AG74)=0,0,IF(AND((YEAR(N$6)*12+MONTH(N$6))&gt;='Aset Tetap'!$Y74,(YEAR(N$6)*12+MONTH(N$6))&lt;=MIN('Aset Tetap'!$Z74,IF('Aset Tetap'!$S74="Unit Produksi",99999,'Aset Tetap'!$Y74+'Aset Tetap'!$T74*12-1))),'Aset Tetap'!$AQ74/'Aset Tetap'!$AG74,0)))</f>
        <v/>
      </c>
      <c r="O74" s="22" t="str">
        <f>IF($B74="","",IF(N('Aset Tetap'!$AG74)=0,0,IF(AND((YEAR(O$6)*12+MONTH(O$6))&gt;='Aset Tetap'!$Y74,(YEAR(O$6)*12+MONTH(O$6))&lt;=MIN('Aset Tetap'!$Z74,IF('Aset Tetap'!$S74="Unit Produksi",99999,'Aset Tetap'!$Y74+'Aset Tetap'!$T74*12-1))),'Aset Tetap'!$AQ74/'Aset Tetap'!$AG74,0)))</f>
        <v/>
      </c>
      <c r="P74" s="22" t="str">
        <f>IF($B74="","",IF(N('Aset Tetap'!$AG74)=0,0,IF(AND((YEAR(P$6)*12+MONTH(P$6))&gt;='Aset Tetap'!$Y74,(YEAR(P$6)*12+MONTH(P$6))&lt;=MIN('Aset Tetap'!$Z74,IF('Aset Tetap'!$S74="Unit Produksi",99999,'Aset Tetap'!$Y74+'Aset Tetap'!$T74*12-1))),'Aset Tetap'!$AQ74/'Aset Tetap'!$AG74,0)))</f>
        <v/>
      </c>
      <c r="Q74" s="22" t="str">
        <f>IF($B74="","",SUM(E74:P74))</f>
        <v/>
      </c>
      <c r="R74" s="22" t="str">
        <f>IF($B74="","",'Aset Tetap'!AQ74)</f>
        <v/>
      </c>
      <c r="S74" s="22" t="str">
        <f>IF($B74="","",ROUND(Q74-R74,0))</f>
        <v/>
      </c>
    </row>
    <row r="75" spans="1:19" x14ac:dyDescent="0.25">
      <c r="A75" t="str">
        <f>IF('Aset Tetap'!$B75="","",'Aset Tetap'!A75)</f>
        <v/>
      </c>
      <c r="B75" t="str">
        <f>IF('Aset Tetap'!$B75="","",'Aset Tetap'!B75)</f>
        <v/>
      </c>
      <c r="C75" t="str">
        <f>IF('Aset Tetap'!$B75="","",'Aset Tetap'!C75)</f>
        <v/>
      </c>
      <c r="D75" t="str">
        <f>IF('Aset Tetap'!$B75="","",'Aset Tetap'!D75)</f>
        <v/>
      </c>
      <c r="E75" s="22" t="str">
        <f>IF($B75="","",IF(N('Aset Tetap'!$AG75)=0,0,IF(AND((YEAR(E$6)*12+MONTH(E$6))&gt;='Aset Tetap'!$Y75,(YEAR(E$6)*12+MONTH(E$6))&lt;=MIN('Aset Tetap'!$Z75,IF('Aset Tetap'!$S75="Unit Produksi",99999,'Aset Tetap'!$Y75+'Aset Tetap'!$T75*12-1))),'Aset Tetap'!$AQ75/'Aset Tetap'!$AG75,0)))</f>
        <v/>
      </c>
      <c r="F75" s="22" t="str">
        <f>IF($B75="","",IF(N('Aset Tetap'!$AG75)=0,0,IF(AND((YEAR(F$6)*12+MONTH(F$6))&gt;='Aset Tetap'!$Y75,(YEAR(F$6)*12+MONTH(F$6))&lt;=MIN('Aset Tetap'!$Z75,IF('Aset Tetap'!$S75="Unit Produksi",99999,'Aset Tetap'!$Y75+'Aset Tetap'!$T75*12-1))),'Aset Tetap'!$AQ75/'Aset Tetap'!$AG75,0)))</f>
        <v/>
      </c>
      <c r="G75" s="22" t="str">
        <f>IF($B75="","",IF(N('Aset Tetap'!$AG75)=0,0,IF(AND((YEAR(G$6)*12+MONTH(G$6))&gt;='Aset Tetap'!$Y75,(YEAR(G$6)*12+MONTH(G$6))&lt;=MIN('Aset Tetap'!$Z75,IF('Aset Tetap'!$S75="Unit Produksi",99999,'Aset Tetap'!$Y75+'Aset Tetap'!$T75*12-1))),'Aset Tetap'!$AQ75/'Aset Tetap'!$AG75,0)))</f>
        <v/>
      </c>
      <c r="H75" s="22" t="str">
        <f>IF($B75="","",IF(N('Aset Tetap'!$AG75)=0,0,IF(AND((YEAR(H$6)*12+MONTH(H$6))&gt;='Aset Tetap'!$Y75,(YEAR(H$6)*12+MONTH(H$6))&lt;=MIN('Aset Tetap'!$Z75,IF('Aset Tetap'!$S75="Unit Produksi",99999,'Aset Tetap'!$Y75+'Aset Tetap'!$T75*12-1))),'Aset Tetap'!$AQ75/'Aset Tetap'!$AG75,0)))</f>
        <v/>
      </c>
      <c r="I75" s="22" t="str">
        <f>IF($B75="","",IF(N('Aset Tetap'!$AG75)=0,0,IF(AND((YEAR(I$6)*12+MONTH(I$6))&gt;='Aset Tetap'!$Y75,(YEAR(I$6)*12+MONTH(I$6))&lt;=MIN('Aset Tetap'!$Z75,IF('Aset Tetap'!$S75="Unit Produksi",99999,'Aset Tetap'!$Y75+'Aset Tetap'!$T75*12-1))),'Aset Tetap'!$AQ75/'Aset Tetap'!$AG75,0)))</f>
        <v/>
      </c>
      <c r="J75" s="22" t="str">
        <f>IF($B75="","",IF(N('Aset Tetap'!$AG75)=0,0,IF(AND((YEAR(J$6)*12+MONTH(J$6))&gt;='Aset Tetap'!$Y75,(YEAR(J$6)*12+MONTH(J$6))&lt;=MIN('Aset Tetap'!$Z75,IF('Aset Tetap'!$S75="Unit Produksi",99999,'Aset Tetap'!$Y75+'Aset Tetap'!$T75*12-1))),'Aset Tetap'!$AQ75/'Aset Tetap'!$AG75,0)))</f>
        <v/>
      </c>
      <c r="K75" s="22" t="str">
        <f>IF($B75="","",IF(N('Aset Tetap'!$AG75)=0,0,IF(AND((YEAR(K$6)*12+MONTH(K$6))&gt;='Aset Tetap'!$Y75,(YEAR(K$6)*12+MONTH(K$6))&lt;=MIN('Aset Tetap'!$Z75,IF('Aset Tetap'!$S75="Unit Produksi",99999,'Aset Tetap'!$Y75+'Aset Tetap'!$T75*12-1))),'Aset Tetap'!$AQ75/'Aset Tetap'!$AG75,0)))</f>
        <v/>
      </c>
      <c r="L75" s="22" t="str">
        <f>IF($B75="","",IF(N('Aset Tetap'!$AG75)=0,0,IF(AND((YEAR(L$6)*12+MONTH(L$6))&gt;='Aset Tetap'!$Y75,(YEAR(L$6)*12+MONTH(L$6))&lt;=MIN('Aset Tetap'!$Z75,IF('Aset Tetap'!$S75="Unit Produksi",99999,'Aset Tetap'!$Y75+'Aset Tetap'!$T75*12-1))),'Aset Tetap'!$AQ75/'Aset Tetap'!$AG75,0)))</f>
        <v/>
      </c>
      <c r="M75" s="22" t="str">
        <f>IF($B75="","",IF(N('Aset Tetap'!$AG75)=0,0,IF(AND((YEAR(M$6)*12+MONTH(M$6))&gt;='Aset Tetap'!$Y75,(YEAR(M$6)*12+MONTH(M$6))&lt;=MIN('Aset Tetap'!$Z75,IF('Aset Tetap'!$S75="Unit Produksi",99999,'Aset Tetap'!$Y75+'Aset Tetap'!$T75*12-1))),'Aset Tetap'!$AQ75/'Aset Tetap'!$AG75,0)))</f>
        <v/>
      </c>
      <c r="N75" s="22" t="str">
        <f>IF($B75="","",IF(N('Aset Tetap'!$AG75)=0,0,IF(AND((YEAR(N$6)*12+MONTH(N$6))&gt;='Aset Tetap'!$Y75,(YEAR(N$6)*12+MONTH(N$6))&lt;=MIN('Aset Tetap'!$Z75,IF('Aset Tetap'!$S75="Unit Produksi",99999,'Aset Tetap'!$Y75+'Aset Tetap'!$T75*12-1))),'Aset Tetap'!$AQ75/'Aset Tetap'!$AG75,0)))</f>
        <v/>
      </c>
      <c r="O75" s="22" t="str">
        <f>IF($B75="","",IF(N('Aset Tetap'!$AG75)=0,0,IF(AND((YEAR(O$6)*12+MONTH(O$6))&gt;='Aset Tetap'!$Y75,(YEAR(O$6)*12+MONTH(O$6))&lt;=MIN('Aset Tetap'!$Z75,IF('Aset Tetap'!$S75="Unit Produksi",99999,'Aset Tetap'!$Y75+'Aset Tetap'!$T75*12-1))),'Aset Tetap'!$AQ75/'Aset Tetap'!$AG75,0)))</f>
        <v/>
      </c>
      <c r="P75" s="22" t="str">
        <f>IF($B75="","",IF(N('Aset Tetap'!$AG75)=0,0,IF(AND((YEAR(P$6)*12+MONTH(P$6))&gt;='Aset Tetap'!$Y75,(YEAR(P$6)*12+MONTH(P$6))&lt;=MIN('Aset Tetap'!$Z75,IF('Aset Tetap'!$S75="Unit Produksi",99999,'Aset Tetap'!$Y75+'Aset Tetap'!$T75*12-1))),'Aset Tetap'!$AQ75/'Aset Tetap'!$AG75,0)))</f>
        <v/>
      </c>
      <c r="Q75" s="22" t="str">
        <f>IF($B75="","",SUM(E75:P75))</f>
        <v/>
      </c>
      <c r="R75" s="22" t="str">
        <f>IF($B75="","",'Aset Tetap'!AQ75)</f>
        <v/>
      </c>
      <c r="S75" s="22" t="str">
        <f>IF($B75="","",ROUND(Q75-R75,0))</f>
        <v/>
      </c>
    </row>
    <row r="76" spans="1:19" x14ac:dyDescent="0.25">
      <c r="A76" t="str">
        <f>IF('Aset Tetap'!$B76="","",'Aset Tetap'!A76)</f>
        <v/>
      </c>
      <c r="B76" t="str">
        <f>IF('Aset Tetap'!$B76="","",'Aset Tetap'!B76)</f>
        <v/>
      </c>
      <c r="C76" t="str">
        <f>IF('Aset Tetap'!$B76="","",'Aset Tetap'!C76)</f>
        <v/>
      </c>
      <c r="D76" t="str">
        <f>IF('Aset Tetap'!$B76="","",'Aset Tetap'!D76)</f>
        <v/>
      </c>
      <c r="E76" s="22" t="str">
        <f>IF($B76="","",IF(N('Aset Tetap'!$AG76)=0,0,IF(AND((YEAR(E$6)*12+MONTH(E$6))&gt;='Aset Tetap'!$Y76,(YEAR(E$6)*12+MONTH(E$6))&lt;=MIN('Aset Tetap'!$Z76,IF('Aset Tetap'!$S76="Unit Produksi",99999,'Aset Tetap'!$Y76+'Aset Tetap'!$T76*12-1))),'Aset Tetap'!$AQ76/'Aset Tetap'!$AG76,0)))</f>
        <v/>
      </c>
      <c r="F76" s="22" t="str">
        <f>IF($B76="","",IF(N('Aset Tetap'!$AG76)=0,0,IF(AND((YEAR(F$6)*12+MONTH(F$6))&gt;='Aset Tetap'!$Y76,(YEAR(F$6)*12+MONTH(F$6))&lt;=MIN('Aset Tetap'!$Z76,IF('Aset Tetap'!$S76="Unit Produksi",99999,'Aset Tetap'!$Y76+'Aset Tetap'!$T76*12-1))),'Aset Tetap'!$AQ76/'Aset Tetap'!$AG76,0)))</f>
        <v/>
      </c>
      <c r="G76" s="22" t="str">
        <f>IF($B76="","",IF(N('Aset Tetap'!$AG76)=0,0,IF(AND((YEAR(G$6)*12+MONTH(G$6))&gt;='Aset Tetap'!$Y76,(YEAR(G$6)*12+MONTH(G$6))&lt;=MIN('Aset Tetap'!$Z76,IF('Aset Tetap'!$S76="Unit Produksi",99999,'Aset Tetap'!$Y76+'Aset Tetap'!$T76*12-1))),'Aset Tetap'!$AQ76/'Aset Tetap'!$AG76,0)))</f>
        <v/>
      </c>
      <c r="H76" s="22" t="str">
        <f>IF($B76="","",IF(N('Aset Tetap'!$AG76)=0,0,IF(AND((YEAR(H$6)*12+MONTH(H$6))&gt;='Aset Tetap'!$Y76,(YEAR(H$6)*12+MONTH(H$6))&lt;=MIN('Aset Tetap'!$Z76,IF('Aset Tetap'!$S76="Unit Produksi",99999,'Aset Tetap'!$Y76+'Aset Tetap'!$T76*12-1))),'Aset Tetap'!$AQ76/'Aset Tetap'!$AG76,0)))</f>
        <v/>
      </c>
      <c r="I76" s="22" t="str">
        <f>IF($B76="","",IF(N('Aset Tetap'!$AG76)=0,0,IF(AND((YEAR(I$6)*12+MONTH(I$6))&gt;='Aset Tetap'!$Y76,(YEAR(I$6)*12+MONTH(I$6))&lt;=MIN('Aset Tetap'!$Z76,IF('Aset Tetap'!$S76="Unit Produksi",99999,'Aset Tetap'!$Y76+'Aset Tetap'!$T76*12-1))),'Aset Tetap'!$AQ76/'Aset Tetap'!$AG76,0)))</f>
        <v/>
      </c>
      <c r="J76" s="22" t="str">
        <f>IF($B76="","",IF(N('Aset Tetap'!$AG76)=0,0,IF(AND((YEAR(J$6)*12+MONTH(J$6))&gt;='Aset Tetap'!$Y76,(YEAR(J$6)*12+MONTH(J$6))&lt;=MIN('Aset Tetap'!$Z76,IF('Aset Tetap'!$S76="Unit Produksi",99999,'Aset Tetap'!$Y76+'Aset Tetap'!$T76*12-1))),'Aset Tetap'!$AQ76/'Aset Tetap'!$AG76,0)))</f>
        <v/>
      </c>
      <c r="K76" s="22" t="str">
        <f>IF($B76="","",IF(N('Aset Tetap'!$AG76)=0,0,IF(AND((YEAR(K$6)*12+MONTH(K$6))&gt;='Aset Tetap'!$Y76,(YEAR(K$6)*12+MONTH(K$6))&lt;=MIN('Aset Tetap'!$Z76,IF('Aset Tetap'!$S76="Unit Produksi",99999,'Aset Tetap'!$Y76+'Aset Tetap'!$T76*12-1))),'Aset Tetap'!$AQ76/'Aset Tetap'!$AG76,0)))</f>
        <v/>
      </c>
      <c r="L76" s="22" t="str">
        <f>IF($B76="","",IF(N('Aset Tetap'!$AG76)=0,0,IF(AND((YEAR(L$6)*12+MONTH(L$6))&gt;='Aset Tetap'!$Y76,(YEAR(L$6)*12+MONTH(L$6))&lt;=MIN('Aset Tetap'!$Z76,IF('Aset Tetap'!$S76="Unit Produksi",99999,'Aset Tetap'!$Y76+'Aset Tetap'!$T76*12-1))),'Aset Tetap'!$AQ76/'Aset Tetap'!$AG76,0)))</f>
        <v/>
      </c>
      <c r="M76" s="22" t="str">
        <f>IF($B76="","",IF(N('Aset Tetap'!$AG76)=0,0,IF(AND((YEAR(M$6)*12+MONTH(M$6))&gt;='Aset Tetap'!$Y76,(YEAR(M$6)*12+MONTH(M$6))&lt;=MIN('Aset Tetap'!$Z76,IF('Aset Tetap'!$S76="Unit Produksi",99999,'Aset Tetap'!$Y76+'Aset Tetap'!$T76*12-1))),'Aset Tetap'!$AQ76/'Aset Tetap'!$AG76,0)))</f>
        <v/>
      </c>
      <c r="N76" s="22" t="str">
        <f>IF($B76="","",IF(N('Aset Tetap'!$AG76)=0,0,IF(AND((YEAR(N$6)*12+MONTH(N$6))&gt;='Aset Tetap'!$Y76,(YEAR(N$6)*12+MONTH(N$6))&lt;=MIN('Aset Tetap'!$Z76,IF('Aset Tetap'!$S76="Unit Produksi",99999,'Aset Tetap'!$Y76+'Aset Tetap'!$T76*12-1))),'Aset Tetap'!$AQ76/'Aset Tetap'!$AG76,0)))</f>
        <v/>
      </c>
      <c r="O76" s="22" t="str">
        <f>IF($B76="","",IF(N('Aset Tetap'!$AG76)=0,0,IF(AND((YEAR(O$6)*12+MONTH(O$6))&gt;='Aset Tetap'!$Y76,(YEAR(O$6)*12+MONTH(O$6))&lt;=MIN('Aset Tetap'!$Z76,IF('Aset Tetap'!$S76="Unit Produksi",99999,'Aset Tetap'!$Y76+'Aset Tetap'!$T76*12-1))),'Aset Tetap'!$AQ76/'Aset Tetap'!$AG76,0)))</f>
        <v/>
      </c>
      <c r="P76" s="22" t="str">
        <f>IF($B76="","",IF(N('Aset Tetap'!$AG76)=0,0,IF(AND((YEAR(P$6)*12+MONTH(P$6))&gt;='Aset Tetap'!$Y76,(YEAR(P$6)*12+MONTH(P$6))&lt;=MIN('Aset Tetap'!$Z76,IF('Aset Tetap'!$S76="Unit Produksi",99999,'Aset Tetap'!$Y76+'Aset Tetap'!$T76*12-1))),'Aset Tetap'!$AQ76/'Aset Tetap'!$AG76,0)))</f>
        <v/>
      </c>
      <c r="Q76" s="22" t="str">
        <f>IF($B76="","",SUM(E76:P76))</f>
        <v/>
      </c>
      <c r="R76" s="22" t="str">
        <f>IF($B76="","",'Aset Tetap'!AQ76)</f>
        <v/>
      </c>
      <c r="S76" s="22" t="str">
        <f>IF($B76="","",ROUND(Q76-R76,0))</f>
        <v/>
      </c>
    </row>
    <row r="77" spans="1:19" x14ac:dyDescent="0.25">
      <c r="A77" t="str">
        <f>IF('Aset Tetap'!$B77="","",'Aset Tetap'!A77)</f>
        <v/>
      </c>
      <c r="B77" t="str">
        <f>IF('Aset Tetap'!$B77="","",'Aset Tetap'!B77)</f>
        <v/>
      </c>
      <c r="C77" t="str">
        <f>IF('Aset Tetap'!$B77="","",'Aset Tetap'!C77)</f>
        <v/>
      </c>
      <c r="D77" t="str">
        <f>IF('Aset Tetap'!$B77="","",'Aset Tetap'!D77)</f>
        <v/>
      </c>
      <c r="E77" s="22" t="str">
        <f>IF($B77="","",IF(N('Aset Tetap'!$AG77)=0,0,IF(AND((YEAR(E$6)*12+MONTH(E$6))&gt;='Aset Tetap'!$Y77,(YEAR(E$6)*12+MONTH(E$6))&lt;=MIN('Aset Tetap'!$Z77,IF('Aset Tetap'!$S77="Unit Produksi",99999,'Aset Tetap'!$Y77+'Aset Tetap'!$T77*12-1))),'Aset Tetap'!$AQ77/'Aset Tetap'!$AG77,0)))</f>
        <v/>
      </c>
      <c r="F77" s="22" t="str">
        <f>IF($B77="","",IF(N('Aset Tetap'!$AG77)=0,0,IF(AND((YEAR(F$6)*12+MONTH(F$6))&gt;='Aset Tetap'!$Y77,(YEAR(F$6)*12+MONTH(F$6))&lt;=MIN('Aset Tetap'!$Z77,IF('Aset Tetap'!$S77="Unit Produksi",99999,'Aset Tetap'!$Y77+'Aset Tetap'!$T77*12-1))),'Aset Tetap'!$AQ77/'Aset Tetap'!$AG77,0)))</f>
        <v/>
      </c>
      <c r="G77" s="22" t="str">
        <f>IF($B77="","",IF(N('Aset Tetap'!$AG77)=0,0,IF(AND((YEAR(G$6)*12+MONTH(G$6))&gt;='Aset Tetap'!$Y77,(YEAR(G$6)*12+MONTH(G$6))&lt;=MIN('Aset Tetap'!$Z77,IF('Aset Tetap'!$S77="Unit Produksi",99999,'Aset Tetap'!$Y77+'Aset Tetap'!$T77*12-1))),'Aset Tetap'!$AQ77/'Aset Tetap'!$AG77,0)))</f>
        <v/>
      </c>
      <c r="H77" s="22" t="str">
        <f>IF($B77="","",IF(N('Aset Tetap'!$AG77)=0,0,IF(AND((YEAR(H$6)*12+MONTH(H$6))&gt;='Aset Tetap'!$Y77,(YEAR(H$6)*12+MONTH(H$6))&lt;=MIN('Aset Tetap'!$Z77,IF('Aset Tetap'!$S77="Unit Produksi",99999,'Aset Tetap'!$Y77+'Aset Tetap'!$T77*12-1))),'Aset Tetap'!$AQ77/'Aset Tetap'!$AG77,0)))</f>
        <v/>
      </c>
      <c r="I77" s="22" t="str">
        <f>IF($B77="","",IF(N('Aset Tetap'!$AG77)=0,0,IF(AND((YEAR(I$6)*12+MONTH(I$6))&gt;='Aset Tetap'!$Y77,(YEAR(I$6)*12+MONTH(I$6))&lt;=MIN('Aset Tetap'!$Z77,IF('Aset Tetap'!$S77="Unit Produksi",99999,'Aset Tetap'!$Y77+'Aset Tetap'!$T77*12-1))),'Aset Tetap'!$AQ77/'Aset Tetap'!$AG77,0)))</f>
        <v/>
      </c>
      <c r="J77" s="22" t="str">
        <f>IF($B77="","",IF(N('Aset Tetap'!$AG77)=0,0,IF(AND((YEAR(J$6)*12+MONTH(J$6))&gt;='Aset Tetap'!$Y77,(YEAR(J$6)*12+MONTH(J$6))&lt;=MIN('Aset Tetap'!$Z77,IF('Aset Tetap'!$S77="Unit Produksi",99999,'Aset Tetap'!$Y77+'Aset Tetap'!$T77*12-1))),'Aset Tetap'!$AQ77/'Aset Tetap'!$AG77,0)))</f>
        <v/>
      </c>
      <c r="K77" s="22" t="str">
        <f>IF($B77="","",IF(N('Aset Tetap'!$AG77)=0,0,IF(AND((YEAR(K$6)*12+MONTH(K$6))&gt;='Aset Tetap'!$Y77,(YEAR(K$6)*12+MONTH(K$6))&lt;=MIN('Aset Tetap'!$Z77,IF('Aset Tetap'!$S77="Unit Produksi",99999,'Aset Tetap'!$Y77+'Aset Tetap'!$T77*12-1))),'Aset Tetap'!$AQ77/'Aset Tetap'!$AG77,0)))</f>
        <v/>
      </c>
      <c r="L77" s="22" t="str">
        <f>IF($B77="","",IF(N('Aset Tetap'!$AG77)=0,0,IF(AND((YEAR(L$6)*12+MONTH(L$6))&gt;='Aset Tetap'!$Y77,(YEAR(L$6)*12+MONTH(L$6))&lt;=MIN('Aset Tetap'!$Z77,IF('Aset Tetap'!$S77="Unit Produksi",99999,'Aset Tetap'!$Y77+'Aset Tetap'!$T77*12-1))),'Aset Tetap'!$AQ77/'Aset Tetap'!$AG77,0)))</f>
        <v/>
      </c>
      <c r="M77" s="22" t="str">
        <f>IF($B77="","",IF(N('Aset Tetap'!$AG77)=0,0,IF(AND((YEAR(M$6)*12+MONTH(M$6))&gt;='Aset Tetap'!$Y77,(YEAR(M$6)*12+MONTH(M$6))&lt;=MIN('Aset Tetap'!$Z77,IF('Aset Tetap'!$S77="Unit Produksi",99999,'Aset Tetap'!$Y77+'Aset Tetap'!$T77*12-1))),'Aset Tetap'!$AQ77/'Aset Tetap'!$AG77,0)))</f>
        <v/>
      </c>
      <c r="N77" s="22" t="str">
        <f>IF($B77="","",IF(N('Aset Tetap'!$AG77)=0,0,IF(AND((YEAR(N$6)*12+MONTH(N$6))&gt;='Aset Tetap'!$Y77,(YEAR(N$6)*12+MONTH(N$6))&lt;=MIN('Aset Tetap'!$Z77,IF('Aset Tetap'!$S77="Unit Produksi",99999,'Aset Tetap'!$Y77+'Aset Tetap'!$T77*12-1))),'Aset Tetap'!$AQ77/'Aset Tetap'!$AG77,0)))</f>
        <v/>
      </c>
      <c r="O77" s="22" t="str">
        <f>IF($B77="","",IF(N('Aset Tetap'!$AG77)=0,0,IF(AND((YEAR(O$6)*12+MONTH(O$6))&gt;='Aset Tetap'!$Y77,(YEAR(O$6)*12+MONTH(O$6))&lt;=MIN('Aset Tetap'!$Z77,IF('Aset Tetap'!$S77="Unit Produksi",99999,'Aset Tetap'!$Y77+'Aset Tetap'!$T77*12-1))),'Aset Tetap'!$AQ77/'Aset Tetap'!$AG77,0)))</f>
        <v/>
      </c>
      <c r="P77" s="22" t="str">
        <f>IF($B77="","",IF(N('Aset Tetap'!$AG77)=0,0,IF(AND((YEAR(P$6)*12+MONTH(P$6))&gt;='Aset Tetap'!$Y77,(YEAR(P$6)*12+MONTH(P$6))&lt;=MIN('Aset Tetap'!$Z77,IF('Aset Tetap'!$S77="Unit Produksi",99999,'Aset Tetap'!$Y77+'Aset Tetap'!$T77*12-1))),'Aset Tetap'!$AQ77/'Aset Tetap'!$AG77,0)))</f>
        <v/>
      </c>
      <c r="Q77" s="22" t="str">
        <f>IF($B77="","",SUM(E77:P77))</f>
        <v/>
      </c>
      <c r="R77" s="22" t="str">
        <f>IF($B77="","",'Aset Tetap'!AQ77)</f>
        <v/>
      </c>
      <c r="S77" s="22" t="str">
        <f>IF($B77="","",ROUND(Q77-R77,0))</f>
        <v/>
      </c>
    </row>
    <row r="78" spans="1:19" x14ac:dyDescent="0.25">
      <c r="A78" t="str">
        <f>IF('Aset Tetap'!$B78="","",'Aset Tetap'!A78)</f>
        <v/>
      </c>
      <c r="B78" t="str">
        <f>IF('Aset Tetap'!$B78="","",'Aset Tetap'!B78)</f>
        <v/>
      </c>
      <c r="C78" t="str">
        <f>IF('Aset Tetap'!$B78="","",'Aset Tetap'!C78)</f>
        <v/>
      </c>
      <c r="D78" t="str">
        <f>IF('Aset Tetap'!$B78="","",'Aset Tetap'!D78)</f>
        <v/>
      </c>
      <c r="E78" s="22" t="str">
        <f>IF($B78="","",IF(N('Aset Tetap'!$AG78)=0,0,IF(AND((YEAR(E$6)*12+MONTH(E$6))&gt;='Aset Tetap'!$Y78,(YEAR(E$6)*12+MONTH(E$6))&lt;=MIN('Aset Tetap'!$Z78,IF('Aset Tetap'!$S78="Unit Produksi",99999,'Aset Tetap'!$Y78+'Aset Tetap'!$T78*12-1))),'Aset Tetap'!$AQ78/'Aset Tetap'!$AG78,0)))</f>
        <v/>
      </c>
      <c r="F78" s="22" t="str">
        <f>IF($B78="","",IF(N('Aset Tetap'!$AG78)=0,0,IF(AND((YEAR(F$6)*12+MONTH(F$6))&gt;='Aset Tetap'!$Y78,(YEAR(F$6)*12+MONTH(F$6))&lt;=MIN('Aset Tetap'!$Z78,IF('Aset Tetap'!$S78="Unit Produksi",99999,'Aset Tetap'!$Y78+'Aset Tetap'!$T78*12-1))),'Aset Tetap'!$AQ78/'Aset Tetap'!$AG78,0)))</f>
        <v/>
      </c>
      <c r="G78" s="22" t="str">
        <f>IF($B78="","",IF(N('Aset Tetap'!$AG78)=0,0,IF(AND((YEAR(G$6)*12+MONTH(G$6))&gt;='Aset Tetap'!$Y78,(YEAR(G$6)*12+MONTH(G$6))&lt;=MIN('Aset Tetap'!$Z78,IF('Aset Tetap'!$S78="Unit Produksi",99999,'Aset Tetap'!$Y78+'Aset Tetap'!$T78*12-1))),'Aset Tetap'!$AQ78/'Aset Tetap'!$AG78,0)))</f>
        <v/>
      </c>
      <c r="H78" s="22" t="str">
        <f>IF($B78="","",IF(N('Aset Tetap'!$AG78)=0,0,IF(AND((YEAR(H$6)*12+MONTH(H$6))&gt;='Aset Tetap'!$Y78,(YEAR(H$6)*12+MONTH(H$6))&lt;=MIN('Aset Tetap'!$Z78,IF('Aset Tetap'!$S78="Unit Produksi",99999,'Aset Tetap'!$Y78+'Aset Tetap'!$T78*12-1))),'Aset Tetap'!$AQ78/'Aset Tetap'!$AG78,0)))</f>
        <v/>
      </c>
      <c r="I78" s="22" t="str">
        <f>IF($B78="","",IF(N('Aset Tetap'!$AG78)=0,0,IF(AND((YEAR(I$6)*12+MONTH(I$6))&gt;='Aset Tetap'!$Y78,(YEAR(I$6)*12+MONTH(I$6))&lt;=MIN('Aset Tetap'!$Z78,IF('Aset Tetap'!$S78="Unit Produksi",99999,'Aset Tetap'!$Y78+'Aset Tetap'!$T78*12-1))),'Aset Tetap'!$AQ78/'Aset Tetap'!$AG78,0)))</f>
        <v/>
      </c>
      <c r="J78" s="22" t="str">
        <f>IF($B78="","",IF(N('Aset Tetap'!$AG78)=0,0,IF(AND((YEAR(J$6)*12+MONTH(J$6))&gt;='Aset Tetap'!$Y78,(YEAR(J$6)*12+MONTH(J$6))&lt;=MIN('Aset Tetap'!$Z78,IF('Aset Tetap'!$S78="Unit Produksi",99999,'Aset Tetap'!$Y78+'Aset Tetap'!$T78*12-1))),'Aset Tetap'!$AQ78/'Aset Tetap'!$AG78,0)))</f>
        <v/>
      </c>
      <c r="K78" s="22" t="str">
        <f>IF($B78="","",IF(N('Aset Tetap'!$AG78)=0,0,IF(AND((YEAR(K$6)*12+MONTH(K$6))&gt;='Aset Tetap'!$Y78,(YEAR(K$6)*12+MONTH(K$6))&lt;=MIN('Aset Tetap'!$Z78,IF('Aset Tetap'!$S78="Unit Produksi",99999,'Aset Tetap'!$Y78+'Aset Tetap'!$T78*12-1))),'Aset Tetap'!$AQ78/'Aset Tetap'!$AG78,0)))</f>
        <v/>
      </c>
      <c r="L78" s="22" t="str">
        <f>IF($B78="","",IF(N('Aset Tetap'!$AG78)=0,0,IF(AND((YEAR(L$6)*12+MONTH(L$6))&gt;='Aset Tetap'!$Y78,(YEAR(L$6)*12+MONTH(L$6))&lt;=MIN('Aset Tetap'!$Z78,IF('Aset Tetap'!$S78="Unit Produksi",99999,'Aset Tetap'!$Y78+'Aset Tetap'!$T78*12-1))),'Aset Tetap'!$AQ78/'Aset Tetap'!$AG78,0)))</f>
        <v/>
      </c>
      <c r="M78" s="22" t="str">
        <f>IF($B78="","",IF(N('Aset Tetap'!$AG78)=0,0,IF(AND((YEAR(M$6)*12+MONTH(M$6))&gt;='Aset Tetap'!$Y78,(YEAR(M$6)*12+MONTH(M$6))&lt;=MIN('Aset Tetap'!$Z78,IF('Aset Tetap'!$S78="Unit Produksi",99999,'Aset Tetap'!$Y78+'Aset Tetap'!$T78*12-1))),'Aset Tetap'!$AQ78/'Aset Tetap'!$AG78,0)))</f>
        <v/>
      </c>
      <c r="N78" s="22" t="str">
        <f>IF($B78="","",IF(N('Aset Tetap'!$AG78)=0,0,IF(AND((YEAR(N$6)*12+MONTH(N$6))&gt;='Aset Tetap'!$Y78,(YEAR(N$6)*12+MONTH(N$6))&lt;=MIN('Aset Tetap'!$Z78,IF('Aset Tetap'!$S78="Unit Produksi",99999,'Aset Tetap'!$Y78+'Aset Tetap'!$T78*12-1))),'Aset Tetap'!$AQ78/'Aset Tetap'!$AG78,0)))</f>
        <v/>
      </c>
      <c r="O78" s="22" t="str">
        <f>IF($B78="","",IF(N('Aset Tetap'!$AG78)=0,0,IF(AND((YEAR(O$6)*12+MONTH(O$6))&gt;='Aset Tetap'!$Y78,(YEAR(O$6)*12+MONTH(O$6))&lt;=MIN('Aset Tetap'!$Z78,IF('Aset Tetap'!$S78="Unit Produksi",99999,'Aset Tetap'!$Y78+'Aset Tetap'!$T78*12-1))),'Aset Tetap'!$AQ78/'Aset Tetap'!$AG78,0)))</f>
        <v/>
      </c>
      <c r="P78" s="22" t="str">
        <f>IF($B78="","",IF(N('Aset Tetap'!$AG78)=0,0,IF(AND((YEAR(P$6)*12+MONTH(P$6))&gt;='Aset Tetap'!$Y78,(YEAR(P$6)*12+MONTH(P$6))&lt;=MIN('Aset Tetap'!$Z78,IF('Aset Tetap'!$S78="Unit Produksi",99999,'Aset Tetap'!$Y78+'Aset Tetap'!$T78*12-1))),'Aset Tetap'!$AQ78/'Aset Tetap'!$AG78,0)))</f>
        <v/>
      </c>
      <c r="Q78" s="22" t="str">
        <f>IF($B78="","",SUM(E78:P78))</f>
        <v/>
      </c>
      <c r="R78" s="22" t="str">
        <f>IF($B78="","",'Aset Tetap'!AQ78)</f>
        <v/>
      </c>
      <c r="S78" s="22" t="str">
        <f>IF($B78="","",ROUND(Q78-R78,0))</f>
        <v/>
      </c>
    </row>
    <row r="79" spans="1:19" x14ac:dyDescent="0.25">
      <c r="A79" t="str">
        <f>IF('Aset Tetap'!$B79="","",'Aset Tetap'!A79)</f>
        <v/>
      </c>
      <c r="B79" t="str">
        <f>IF('Aset Tetap'!$B79="","",'Aset Tetap'!B79)</f>
        <v/>
      </c>
      <c r="C79" t="str">
        <f>IF('Aset Tetap'!$B79="","",'Aset Tetap'!C79)</f>
        <v/>
      </c>
      <c r="D79" t="str">
        <f>IF('Aset Tetap'!$B79="","",'Aset Tetap'!D79)</f>
        <v/>
      </c>
      <c r="E79" s="22" t="str">
        <f>IF($B79="","",IF(N('Aset Tetap'!$AG79)=0,0,IF(AND((YEAR(E$6)*12+MONTH(E$6))&gt;='Aset Tetap'!$Y79,(YEAR(E$6)*12+MONTH(E$6))&lt;=MIN('Aset Tetap'!$Z79,IF('Aset Tetap'!$S79="Unit Produksi",99999,'Aset Tetap'!$Y79+'Aset Tetap'!$T79*12-1))),'Aset Tetap'!$AQ79/'Aset Tetap'!$AG79,0)))</f>
        <v/>
      </c>
      <c r="F79" s="22" t="str">
        <f>IF($B79="","",IF(N('Aset Tetap'!$AG79)=0,0,IF(AND((YEAR(F$6)*12+MONTH(F$6))&gt;='Aset Tetap'!$Y79,(YEAR(F$6)*12+MONTH(F$6))&lt;=MIN('Aset Tetap'!$Z79,IF('Aset Tetap'!$S79="Unit Produksi",99999,'Aset Tetap'!$Y79+'Aset Tetap'!$T79*12-1))),'Aset Tetap'!$AQ79/'Aset Tetap'!$AG79,0)))</f>
        <v/>
      </c>
      <c r="G79" s="22" t="str">
        <f>IF($B79="","",IF(N('Aset Tetap'!$AG79)=0,0,IF(AND((YEAR(G$6)*12+MONTH(G$6))&gt;='Aset Tetap'!$Y79,(YEAR(G$6)*12+MONTH(G$6))&lt;=MIN('Aset Tetap'!$Z79,IF('Aset Tetap'!$S79="Unit Produksi",99999,'Aset Tetap'!$Y79+'Aset Tetap'!$T79*12-1))),'Aset Tetap'!$AQ79/'Aset Tetap'!$AG79,0)))</f>
        <v/>
      </c>
      <c r="H79" s="22" t="str">
        <f>IF($B79="","",IF(N('Aset Tetap'!$AG79)=0,0,IF(AND((YEAR(H$6)*12+MONTH(H$6))&gt;='Aset Tetap'!$Y79,(YEAR(H$6)*12+MONTH(H$6))&lt;=MIN('Aset Tetap'!$Z79,IF('Aset Tetap'!$S79="Unit Produksi",99999,'Aset Tetap'!$Y79+'Aset Tetap'!$T79*12-1))),'Aset Tetap'!$AQ79/'Aset Tetap'!$AG79,0)))</f>
        <v/>
      </c>
      <c r="I79" s="22" t="str">
        <f>IF($B79="","",IF(N('Aset Tetap'!$AG79)=0,0,IF(AND((YEAR(I$6)*12+MONTH(I$6))&gt;='Aset Tetap'!$Y79,(YEAR(I$6)*12+MONTH(I$6))&lt;=MIN('Aset Tetap'!$Z79,IF('Aset Tetap'!$S79="Unit Produksi",99999,'Aset Tetap'!$Y79+'Aset Tetap'!$T79*12-1))),'Aset Tetap'!$AQ79/'Aset Tetap'!$AG79,0)))</f>
        <v/>
      </c>
      <c r="J79" s="22" t="str">
        <f>IF($B79="","",IF(N('Aset Tetap'!$AG79)=0,0,IF(AND((YEAR(J$6)*12+MONTH(J$6))&gt;='Aset Tetap'!$Y79,(YEAR(J$6)*12+MONTH(J$6))&lt;=MIN('Aset Tetap'!$Z79,IF('Aset Tetap'!$S79="Unit Produksi",99999,'Aset Tetap'!$Y79+'Aset Tetap'!$T79*12-1))),'Aset Tetap'!$AQ79/'Aset Tetap'!$AG79,0)))</f>
        <v/>
      </c>
      <c r="K79" s="22" t="str">
        <f>IF($B79="","",IF(N('Aset Tetap'!$AG79)=0,0,IF(AND((YEAR(K$6)*12+MONTH(K$6))&gt;='Aset Tetap'!$Y79,(YEAR(K$6)*12+MONTH(K$6))&lt;=MIN('Aset Tetap'!$Z79,IF('Aset Tetap'!$S79="Unit Produksi",99999,'Aset Tetap'!$Y79+'Aset Tetap'!$T79*12-1))),'Aset Tetap'!$AQ79/'Aset Tetap'!$AG79,0)))</f>
        <v/>
      </c>
      <c r="L79" s="22" t="str">
        <f>IF($B79="","",IF(N('Aset Tetap'!$AG79)=0,0,IF(AND((YEAR(L$6)*12+MONTH(L$6))&gt;='Aset Tetap'!$Y79,(YEAR(L$6)*12+MONTH(L$6))&lt;=MIN('Aset Tetap'!$Z79,IF('Aset Tetap'!$S79="Unit Produksi",99999,'Aset Tetap'!$Y79+'Aset Tetap'!$T79*12-1))),'Aset Tetap'!$AQ79/'Aset Tetap'!$AG79,0)))</f>
        <v/>
      </c>
      <c r="M79" s="22" t="str">
        <f>IF($B79="","",IF(N('Aset Tetap'!$AG79)=0,0,IF(AND((YEAR(M$6)*12+MONTH(M$6))&gt;='Aset Tetap'!$Y79,(YEAR(M$6)*12+MONTH(M$6))&lt;=MIN('Aset Tetap'!$Z79,IF('Aset Tetap'!$S79="Unit Produksi",99999,'Aset Tetap'!$Y79+'Aset Tetap'!$T79*12-1))),'Aset Tetap'!$AQ79/'Aset Tetap'!$AG79,0)))</f>
        <v/>
      </c>
      <c r="N79" s="22" t="str">
        <f>IF($B79="","",IF(N('Aset Tetap'!$AG79)=0,0,IF(AND((YEAR(N$6)*12+MONTH(N$6))&gt;='Aset Tetap'!$Y79,(YEAR(N$6)*12+MONTH(N$6))&lt;=MIN('Aset Tetap'!$Z79,IF('Aset Tetap'!$S79="Unit Produksi",99999,'Aset Tetap'!$Y79+'Aset Tetap'!$T79*12-1))),'Aset Tetap'!$AQ79/'Aset Tetap'!$AG79,0)))</f>
        <v/>
      </c>
      <c r="O79" s="22" t="str">
        <f>IF($B79="","",IF(N('Aset Tetap'!$AG79)=0,0,IF(AND((YEAR(O$6)*12+MONTH(O$6))&gt;='Aset Tetap'!$Y79,(YEAR(O$6)*12+MONTH(O$6))&lt;=MIN('Aset Tetap'!$Z79,IF('Aset Tetap'!$S79="Unit Produksi",99999,'Aset Tetap'!$Y79+'Aset Tetap'!$T79*12-1))),'Aset Tetap'!$AQ79/'Aset Tetap'!$AG79,0)))</f>
        <v/>
      </c>
      <c r="P79" s="22" t="str">
        <f>IF($B79="","",IF(N('Aset Tetap'!$AG79)=0,0,IF(AND((YEAR(P$6)*12+MONTH(P$6))&gt;='Aset Tetap'!$Y79,(YEAR(P$6)*12+MONTH(P$6))&lt;=MIN('Aset Tetap'!$Z79,IF('Aset Tetap'!$S79="Unit Produksi",99999,'Aset Tetap'!$Y79+'Aset Tetap'!$T79*12-1))),'Aset Tetap'!$AQ79/'Aset Tetap'!$AG79,0)))</f>
        <v/>
      </c>
      <c r="Q79" s="22" t="str">
        <f>IF($B79="","",SUM(E79:P79))</f>
        <v/>
      </c>
      <c r="R79" s="22" t="str">
        <f>IF($B79="","",'Aset Tetap'!AQ79)</f>
        <v/>
      </c>
      <c r="S79" s="22" t="str">
        <f>IF($B79="","",ROUND(Q79-R79,0))</f>
        <v/>
      </c>
    </row>
    <row r="80" spans="1:19" x14ac:dyDescent="0.25">
      <c r="A80" t="str">
        <f>IF('Aset Tetap'!$B80="","",'Aset Tetap'!A80)</f>
        <v/>
      </c>
      <c r="B80" t="str">
        <f>IF('Aset Tetap'!$B80="","",'Aset Tetap'!B80)</f>
        <v/>
      </c>
      <c r="C80" t="str">
        <f>IF('Aset Tetap'!$B80="","",'Aset Tetap'!C80)</f>
        <v/>
      </c>
      <c r="D80" t="str">
        <f>IF('Aset Tetap'!$B80="","",'Aset Tetap'!D80)</f>
        <v/>
      </c>
      <c r="E80" s="22" t="str">
        <f>IF($B80="","",IF(N('Aset Tetap'!$AG80)=0,0,IF(AND((YEAR(E$6)*12+MONTH(E$6))&gt;='Aset Tetap'!$Y80,(YEAR(E$6)*12+MONTH(E$6))&lt;=MIN('Aset Tetap'!$Z80,IF('Aset Tetap'!$S80="Unit Produksi",99999,'Aset Tetap'!$Y80+'Aset Tetap'!$T80*12-1))),'Aset Tetap'!$AQ80/'Aset Tetap'!$AG80,0)))</f>
        <v/>
      </c>
      <c r="F80" s="22" t="str">
        <f>IF($B80="","",IF(N('Aset Tetap'!$AG80)=0,0,IF(AND((YEAR(F$6)*12+MONTH(F$6))&gt;='Aset Tetap'!$Y80,(YEAR(F$6)*12+MONTH(F$6))&lt;=MIN('Aset Tetap'!$Z80,IF('Aset Tetap'!$S80="Unit Produksi",99999,'Aset Tetap'!$Y80+'Aset Tetap'!$T80*12-1))),'Aset Tetap'!$AQ80/'Aset Tetap'!$AG80,0)))</f>
        <v/>
      </c>
      <c r="G80" s="22" t="str">
        <f>IF($B80="","",IF(N('Aset Tetap'!$AG80)=0,0,IF(AND((YEAR(G$6)*12+MONTH(G$6))&gt;='Aset Tetap'!$Y80,(YEAR(G$6)*12+MONTH(G$6))&lt;=MIN('Aset Tetap'!$Z80,IF('Aset Tetap'!$S80="Unit Produksi",99999,'Aset Tetap'!$Y80+'Aset Tetap'!$T80*12-1))),'Aset Tetap'!$AQ80/'Aset Tetap'!$AG80,0)))</f>
        <v/>
      </c>
      <c r="H80" s="22" t="str">
        <f>IF($B80="","",IF(N('Aset Tetap'!$AG80)=0,0,IF(AND((YEAR(H$6)*12+MONTH(H$6))&gt;='Aset Tetap'!$Y80,(YEAR(H$6)*12+MONTH(H$6))&lt;=MIN('Aset Tetap'!$Z80,IF('Aset Tetap'!$S80="Unit Produksi",99999,'Aset Tetap'!$Y80+'Aset Tetap'!$T80*12-1))),'Aset Tetap'!$AQ80/'Aset Tetap'!$AG80,0)))</f>
        <v/>
      </c>
      <c r="I80" s="22" t="str">
        <f>IF($B80="","",IF(N('Aset Tetap'!$AG80)=0,0,IF(AND((YEAR(I$6)*12+MONTH(I$6))&gt;='Aset Tetap'!$Y80,(YEAR(I$6)*12+MONTH(I$6))&lt;=MIN('Aset Tetap'!$Z80,IF('Aset Tetap'!$S80="Unit Produksi",99999,'Aset Tetap'!$Y80+'Aset Tetap'!$T80*12-1))),'Aset Tetap'!$AQ80/'Aset Tetap'!$AG80,0)))</f>
        <v/>
      </c>
      <c r="J80" s="22" t="str">
        <f>IF($B80="","",IF(N('Aset Tetap'!$AG80)=0,0,IF(AND((YEAR(J$6)*12+MONTH(J$6))&gt;='Aset Tetap'!$Y80,(YEAR(J$6)*12+MONTH(J$6))&lt;=MIN('Aset Tetap'!$Z80,IF('Aset Tetap'!$S80="Unit Produksi",99999,'Aset Tetap'!$Y80+'Aset Tetap'!$T80*12-1))),'Aset Tetap'!$AQ80/'Aset Tetap'!$AG80,0)))</f>
        <v/>
      </c>
      <c r="K80" s="22" t="str">
        <f>IF($B80="","",IF(N('Aset Tetap'!$AG80)=0,0,IF(AND((YEAR(K$6)*12+MONTH(K$6))&gt;='Aset Tetap'!$Y80,(YEAR(K$6)*12+MONTH(K$6))&lt;=MIN('Aset Tetap'!$Z80,IF('Aset Tetap'!$S80="Unit Produksi",99999,'Aset Tetap'!$Y80+'Aset Tetap'!$T80*12-1))),'Aset Tetap'!$AQ80/'Aset Tetap'!$AG80,0)))</f>
        <v/>
      </c>
      <c r="L80" s="22" t="str">
        <f>IF($B80="","",IF(N('Aset Tetap'!$AG80)=0,0,IF(AND((YEAR(L$6)*12+MONTH(L$6))&gt;='Aset Tetap'!$Y80,(YEAR(L$6)*12+MONTH(L$6))&lt;=MIN('Aset Tetap'!$Z80,IF('Aset Tetap'!$S80="Unit Produksi",99999,'Aset Tetap'!$Y80+'Aset Tetap'!$T80*12-1))),'Aset Tetap'!$AQ80/'Aset Tetap'!$AG80,0)))</f>
        <v/>
      </c>
      <c r="M80" s="22" t="str">
        <f>IF($B80="","",IF(N('Aset Tetap'!$AG80)=0,0,IF(AND((YEAR(M$6)*12+MONTH(M$6))&gt;='Aset Tetap'!$Y80,(YEAR(M$6)*12+MONTH(M$6))&lt;=MIN('Aset Tetap'!$Z80,IF('Aset Tetap'!$S80="Unit Produksi",99999,'Aset Tetap'!$Y80+'Aset Tetap'!$T80*12-1))),'Aset Tetap'!$AQ80/'Aset Tetap'!$AG80,0)))</f>
        <v/>
      </c>
      <c r="N80" s="22" t="str">
        <f>IF($B80="","",IF(N('Aset Tetap'!$AG80)=0,0,IF(AND((YEAR(N$6)*12+MONTH(N$6))&gt;='Aset Tetap'!$Y80,(YEAR(N$6)*12+MONTH(N$6))&lt;=MIN('Aset Tetap'!$Z80,IF('Aset Tetap'!$S80="Unit Produksi",99999,'Aset Tetap'!$Y80+'Aset Tetap'!$T80*12-1))),'Aset Tetap'!$AQ80/'Aset Tetap'!$AG80,0)))</f>
        <v/>
      </c>
      <c r="O80" s="22" t="str">
        <f>IF($B80="","",IF(N('Aset Tetap'!$AG80)=0,0,IF(AND((YEAR(O$6)*12+MONTH(O$6))&gt;='Aset Tetap'!$Y80,(YEAR(O$6)*12+MONTH(O$6))&lt;=MIN('Aset Tetap'!$Z80,IF('Aset Tetap'!$S80="Unit Produksi",99999,'Aset Tetap'!$Y80+'Aset Tetap'!$T80*12-1))),'Aset Tetap'!$AQ80/'Aset Tetap'!$AG80,0)))</f>
        <v/>
      </c>
      <c r="P80" s="22" t="str">
        <f>IF($B80="","",IF(N('Aset Tetap'!$AG80)=0,0,IF(AND((YEAR(P$6)*12+MONTH(P$6))&gt;='Aset Tetap'!$Y80,(YEAR(P$6)*12+MONTH(P$6))&lt;=MIN('Aset Tetap'!$Z80,IF('Aset Tetap'!$S80="Unit Produksi",99999,'Aset Tetap'!$Y80+'Aset Tetap'!$T80*12-1))),'Aset Tetap'!$AQ80/'Aset Tetap'!$AG80,0)))</f>
        <v/>
      </c>
      <c r="Q80" s="22" t="str">
        <f>IF($B80="","",SUM(E80:P80))</f>
        <v/>
      </c>
      <c r="R80" s="22" t="str">
        <f>IF($B80="","",'Aset Tetap'!AQ80)</f>
        <v/>
      </c>
      <c r="S80" s="22" t="str">
        <f>IF($B80="","",ROUND(Q80-R80,0))</f>
        <v/>
      </c>
    </row>
    <row r="81" spans="1:19" x14ac:dyDescent="0.25">
      <c r="A81" t="str">
        <f>IF('Aset Tetap'!$B81="","",'Aset Tetap'!A81)</f>
        <v/>
      </c>
      <c r="B81" t="str">
        <f>IF('Aset Tetap'!$B81="","",'Aset Tetap'!B81)</f>
        <v/>
      </c>
      <c r="C81" t="str">
        <f>IF('Aset Tetap'!$B81="","",'Aset Tetap'!C81)</f>
        <v/>
      </c>
      <c r="D81" t="str">
        <f>IF('Aset Tetap'!$B81="","",'Aset Tetap'!D81)</f>
        <v/>
      </c>
      <c r="E81" s="22" t="str">
        <f>IF($B81="","",IF(N('Aset Tetap'!$AG81)=0,0,IF(AND((YEAR(E$6)*12+MONTH(E$6))&gt;='Aset Tetap'!$Y81,(YEAR(E$6)*12+MONTH(E$6))&lt;=MIN('Aset Tetap'!$Z81,IF('Aset Tetap'!$S81="Unit Produksi",99999,'Aset Tetap'!$Y81+'Aset Tetap'!$T81*12-1))),'Aset Tetap'!$AQ81/'Aset Tetap'!$AG81,0)))</f>
        <v/>
      </c>
      <c r="F81" s="22" t="str">
        <f>IF($B81="","",IF(N('Aset Tetap'!$AG81)=0,0,IF(AND((YEAR(F$6)*12+MONTH(F$6))&gt;='Aset Tetap'!$Y81,(YEAR(F$6)*12+MONTH(F$6))&lt;=MIN('Aset Tetap'!$Z81,IF('Aset Tetap'!$S81="Unit Produksi",99999,'Aset Tetap'!$Y81+'Aset Tetap'!$T81*12-1))),'Aset Tetap'!$AQ81/'Aset Tetap'!$AG81,0)))</f>
        <v/>
      </c>
      <c r="G81" s="22" t="str">
        <f>IF($B81="","",IF(N('Aset Tetap'!$AG81)=0,0,IF(AND((YEAR(G$6)*12+MONTH(G$6))&gt;='Aset Tetap'!$Y81,(YEAR(G$6)*12+MONTH(G$6))&lt;=MIN('Aset Tetap'!$Z81,IF('Aset Tetap'!$S81="Unit Produksi",99999,'Aset Tetap'!$Y81+'Aset Tetap'!$T81*12-1))),'Aset Tetap'!$AQ81/'Aset Tetap'!$AG81,0)))</f>
        <v/>
      </c>
      <c r="H81" s="22" t="str">
        <f>IF($B81="","",IF(N('Aset Tetap'!$AG81)=0,0,IF(AND((YEAR(H$6)*12+MONTH(H$6))&gt;='Aset Tetap'!$Y81,(YEAR(H$6)*12+MONTH(H$6))&lt;=MIN('Aset Tetap'!$Z81,IF('Aset Tetap'!$S81="Unit Produksi",99999,'Aset Tetap'!$Y81+'Aset Tetap'!$T81*12-1))),'Aset Tetap'!$AQ81/'Aset Tetap'!$AG81,0)))</f>
        <v/>
      </c>
      <c r="I81" s="22" t="str">
        <f>IF($B81="","",IF(N('Aset Tetap'!$AG81)=0,0,IF(AND((YEAR(I$6)*12+MONTH(I$6))&gt;='Aset Tetap'!$Y81,(YEAR(I$6)*12+MONTH(I$6))&lt;=MIN('Aset Tetap'!$Z81,IF('Aset Tetap'!$S81="Unit Produksi",99999,'Aset Tetap'!$Y81+'Aset Tetap'!$T81*12-1))),'Aset Tetap'!$AQ81/'Aset Tetap'!$AG81,0)))</f>
        <v/>
      </c>
      <c r="J81" s="22" t="str">
        <f>IF($B81="","",IF(N('Aset Tetap'!$AG81)=0,0,IF(AND((YEAR(J$6)*12+MONTH(J$6))&gt;='Aset Tetap'!$Y81,(YEAR(J$6)*12+MONTH(J$6))&lt;=MIN('Aset Tetap'!$Z81,IF('Aset Tetap'!$S81="Unit Produksi",99999,'Aset Tetap'!$Y81+'Aset Tetap'!$T81*12-1))),'Aset Tetap'!$AQ81/'Aset Tetap'!$AG81,0)))</f>
        <v/>
      </c>
      <c r="K81" s="22" t="str">
        <f>IF($B81="","",IF(N('Aset Tetap'!$AG81)=0,0,IF(AND((YEAR(K$6)*12+MONTH(K$6))&gt;='Aset Tetap'!$Y81,(YEAR(K$6)*12+MONTH(K$6))&lt;=MIN('Aset Tetap'!$Z81,IF('Aset Tetap'!$S81="Unit Produksi",99999,'Aset Tetap'!$Y81+'Aset Tetap'!$T81*12-1))),'Aset Tetap'!$AQ81/'Aset Tetap'!$AG81,0)))</f>
        <v/>
      </c>
      <c r="L81" s="22" t="str">
        <f>IF($B81="","",IF(N('Aset Tetap'!$AG81)=0,0,IF(AND((YEAR(L$6)*12+MONTH(L$6))&gt;='Aset Tetap'!$Y81,(YEAR(L$6)*12+MONTH(L$6))&lt;=MIN('Aset Tetap'!$Z81,IF('Aset Tetap'!$S81="Unit Produksi",99999,'Aset Tetap'!$Y81+'Aset Tetap'!$T81*12-1))),'Aset Tetap'!$AQ81/'Aset Tetap'!$AG81,0)))</f>
        <v/>
      </c>
      <c r="M81" s="22" t="str">
        <f>IF($B81="","",IF(N('Aset Tetap'!$AG81)=0,0,IF(AND((YEAR(M$6)*12+MONTH(M$6))&gt;='Aset Tetap'!$Y81,(YEAR(M$6)*12+MONTH(M$6))&lt;=MIN('Aset Tetap'!$Z81,IF('Aset Tetap'!$S81="Unit Produksi",99999,'Aset Tetap'!$Y81+'Aset Tetap'!$T81*12-1))),'Aset Tetap'!$AQ81/'Aset Tetap'!$AG81,0)))</f>
        <v/>
      </c>
      <c r="N81" s="22" t="str">
        <f>IF($B81="","",IF(N('Aset Tetap'!$AG81)=0,0,IF(AND((YEAR(N$6)*12+MONTH(N$6))&gt;='Aset Tetap'!$Y81,(YEAR(N$6)*12+MONTH(N$6))&lt;=MIN('Aset Tetap'!$Z81,IF('Aset Tetap'!$S81="Unit Produksi",99999,'Aset Tetap'!$Y81+'Aset Tetap'!$T81*12-1))),'Aset Tetap'!$AQ81/'Aset Tetap'!$AG81,0)))</f>
        <v/>
      </c>
      <c r="O81" s="22" t="str">
        <f>IF($B81="","",IF(N('Aset Tetap'!$AG81)=0,0,IF(AND((YEAR(O$6)*12+MONTH(O$6))&gt;='Aset Tetap'!$Y81,(YEAR(O$6)*12+MONTH(O$6))&lt;=MIN('Aset Tetap'!$Z81,IF('Aset Tetap'!$S81="Unit Produksi",99999,'Aset Tetap'!$Y81+'Aset Tetap'!$T81*12-1))),'Aset Tetap'!$AQ81/'Aset Tetap'!$AG81,0)))</f>
        <v/>
      </c>
      <c r="P81" s="22" t="str">
        <f>IF($B81="","",IF(N('Aset Tetap'!$AG81)=0,0,IF(AND((YEAR(P$6)*12+MONTH(P$6))&gt;='Aset Tetap'!$Y81,(YEAR(P$6)*12+MONTH(P$6))&lt;=MIN('Aset Tetap'!$Z81,IF('Aset Tetap'!$S81="Unit Produksi",99999,'Aset Tetap'!$Y81+'Aset Tetap'!$T81*12-1))),'Aset Tetap'!$AQ81/'Aset Tetap'!$AG81,0)))</f>
        <v/>
      </c>
      <c r="Q81" s="22" t="str">
        <f>IF($B81="","",SUM(E81:P81))</f>
        <v/>
      </c>
      <c r="R81" s="22" t="str">
        <f>IF($B81="","",'Aset Tetap'!AQ81)</f>
        <v/>
      </c>
      <c r="S81" s="22" t="str">
        <f>IF($B81="","",ROUND(Q81-R81,0))</f>
        <v/>
      </c>
    </row>
    <row r="82" spans="1:19" x14ac:dyDescent="0.25">
      <c r="A82" t="str">
        <f>IF('Aset Tetap'!$B82="","",'Aset Tetap'!A82)</f>
        <v/>
      </c>
      <c r="B82" t="str">
        <f>IF('Aset Tetap'!$B82="","",'Aset Tetap'!B82)</f>
        <v/>
      </c>
      <c r="C82" t="str">
        <f>IF('Aset Tetap'!$B82="","",'Aset Tetap'!C82)</f>
        <v/>
      </c>
      <c r="D82" t="str">
        <f>IF('Aset Tetap'!$B82="","",'Aset Tetap'!D82)</f>
        <v/>
      </c>
      <c r="E82" s="22" t="str">
        <f>IF($B82="","",IF(N('Aset Tetap'!$AG82)=0,0,IF(AND((YEAR(E$6)*12+MONTH(E$6))&gt;='Aset Tetap'!$Y82,(YEAR(E$6)*12+MONTH(E$6))&lt;=MIN('Aset Tetap'!$Z82,IF('Aset Tetap'!$S82="Unit Produksi",99999,'Aset Tetap'!$Y82+'Aset Tetap'!$T82*12-1))),'Aset Tetap'!$AQ82/'Aset Tetap'!$AG82,0)))</f>
        <v/>
      </c>
      <c r="F82" s="22" t="str">
        <f>IF($B82="","",IF(N('Aset Tetap'!$AG82)=0,0,IF(AND((YEAR(F$6)*12+MONTH(F$6))&gt;='Aset Tetap'!$Y82,(YEAR(F$6)*12+MONTH(F$6))&lt;=MIN('Aset Tetap'!$Z82,IF('Aset Tetap'!$S82="Unit Produksi",99999,'Aset Tetap'!$Y82+'Aset Tetap'!$T82*12-1))),'Aset Tetap'!$AQ82/'Aset Tetap'!$AG82,0)))</f>
        <v/>
      </c>
      <c r="G82" s="22" t="str">
        <f>IF($B82="","",IF(N('Aset Tetap'!$AG82)=0,0,IF(AND((YEAR(G$6)*12+MONTH(G$6))&gt;='Aset Tetap'!$Y82,(YEAR(G$6)*12+MONTH(G$6))&lt;=MIN('Aset Tetap'!$Z82,IF('Aset Tetap'!$S82="Unit Produksi",99999,'Aset Tetap'!$Y82+'Aset Tetap'!$T82*12-1))),'Aset Tetap'!$AQ82/'Aset Tetap'!$AG82,0)))</f>
        <v/>
      </c>
      <c r="H82" s="22" t="str">
        <f>IF($B82="","",IF(N('Aset Tetap'!$AG82)=0,0,IF(AND((YEAR(H$6)*12+MONTH(H$6))&gt;='Aset Tetap'!$Y82,(YEAR(H$6)*12+MONTH(H$6))&lt;=MIN('Aset Tetap'!$Z82,IF('Aset Tetap'!$S82="Unit Produksi",99999,'Aset Tetap'!$Y82+'Aset Tetap'!$T82*12-1))),'Aset Tetap'!$AQ82/'Aset Tetap'!$AG82,0)))</f>
        <v/>
      </c>
      <c r="I82" s="22" t="str">
        <f>IF($B82="","",IF(N('Aset Tetap'!$AG82)=0,0,IF(AND((YEAR(I$6)*12+MONTH(I$6))&gt;='Aset Tetap'!$Y82,(YEAR(I$6)*12+MONTH(I$6))&lt;=MIN('Aset Tetap'!$Z82,IF('Aset Tetap'!$S82="Unit Produksi",99999,'Aset Tetap'!$Y82+'Aset Tetap'!$T82*12-1))),'Aset Tetap'!$AQ82/'Aset Tetap'!$AG82,0)))</f>
        <v/>
      </c>
      <c r="J82" s="22" t="str">
        <f>IF($B82="","",IF(N('Aset Tetap'!$AG82)=0,0,IF(AND((YEAR(J$6)*12+MONTH(J$6))&gt;='Aset Tetap'!$Y82,(YEAR(J$6)*12+MONTH(J$6))&lt;=MIN('Aset Tetap'!$Z82,IF('Aset Tetap'!$S82="Unit Produksi",99999,'Aset Tetap'!$Y82+'Aset Tetap'!$T82*12-1))),'Aset Tetap'!$AQ82/'Aset Tetap'!$AG82,0)))</f>
        <v/>
      </c>
      <c r="K82" s="22" t="str">
        <f>IF($B82="","",IF(N('Aset Tetap'!$AG82)=0,0,IF(AND((YEAR(K$6)*12+MONTH(K$6))&gt;='Aset Tetap'!$Y82,(YEAR(K$6)*12+MONTH(K$6))&lt;=MIN('Aset Tetap'!$Z82,IF('Aset Tetap'!$S82="Unit Produksi",99999,'Aset Tetap'!$Y82+'Aset Tetap'!$T82*12-1))),'Aset Tetap'!$AQ82/'Aset Tetap'!$AG82,0)))</f>
        <v/>
      </c>
      <c r="L82" s="22" t="str">
        <f>IF($B82="","",IF(N('Aset Tetap'!$AG82)=0,0,IF(AND((YEAR(L$6)*12+MONTH(L$6))&gt;='Aset Tetap'!$Y82,(YEAR(L$6)*12+MONTH(L$6))&lt;=MIN('Aset Tetap'!$Z82,IF('Aset Tetap'!$S82="Unit Produksi",99999,'Aset Tetap'!$Y82+'Aset Tetap'!$T82*12-1))),'Aset Tetap'!$AQ82/'Aset Tetap'!$AG82,0)))</f>
        <v/>
      </c>
      <c r="M82" s="22" t="str">
        <f>IF($B82="","",IF(N('Aset Tetap'!$AG82)=0,0,IF(AND((YEAR(M$6)*12+MONTH(M$6))&gt;='Aset Tetap'!$Y82,(YEAR(M$6)*12+MONTH(M$6))&lt;=MIN('Aset Tetap'!$Z82,IF('Aset Tetap'!$S82="Unit Produksi",99999,'Aset Tetap'!$Y82+'Aset Tetap'!$T82*12-1))),'Aset Tetap'!$AQ82/'Aset Tetap'!$AG82,0)))</f>
        <v/>
      </c>
      <c r="N82" s="22" t="str">
        <f>IF($B82="","",IF(N('Aset Tetap'!$AG82)=0,0,IF(AND((YEAR(N$6)*12+MONTH(N$6))&gt;='Aset Tetap'!$Y82,(YEAR(N$6)*12+MONTH(N$6))&lt;=MIN('Aset Tetap'!$Z82,IF('Aset Tetap'!$S82="Unit Produksi",99999,'Aset Tetap'!$Y82+'Aset Tetap'!$T82*12-1))),'Aset Tetap'!$AQ82/'Aset Tetap'!$AG82,0)))</f>
        <v/>
      </c>
      <c r="O82" s="22" t="str">
        <f>IF($B82="","",IF(N('Aset Tetap'!$AG82)=0,0,IF(AND((YEAR(O$6)*12+MONTH(O$6))&gt;='Aset Tetap'!$Y82,(YEAR(O$6)*12+MONTH(O$6))&lt;=MIN('Aset Tetap'!$Z82,IF('Aset Tetap'!$S82="Unit Produksi",99999,'Aset Tetap'!$Y82+'Aset Tetap'!$T82*12-1))),'Aset Tetap'!$AQ82/'Aset Tetap'!$AG82,0)))</f>
        <v/>
      </c>
      <c r="P82" s="22" t="str">
        <f>IF($B82="","",IF(N('Aset Tetap'!$AG82)=0,0,IF(AND((YEAR(P$6)*12+MONTH(P$6))&gt;='Aset Tetap'!$Y82,(YEAR(P$6)*12+MONTH(P$6))&lt;=MIN('Aset Tetap'!$Z82,IF('Aset Tetap'!$S82="Unit Produksi",99999,'Aset Tetap'!$Y82+'Aset Tetap'!$T82*12-1))),'Aset Tetap'!$AQ82/'Aset Tetap'!$AG82,0)))</f>
        <v/>
      </c>
      <c r="Q82" s="22" t="str">
        <f>IF($B82="","",SUM(E82:P82))</f>
        <v/>
      </c>
      <c r="R82" s="22" t="str">
        <f>IF($B82="","",'Aset Tetap'!AQ82)</f>
        <v/>
      </c>
      <c r="S82" s="22" t="str">
        <f>IF($B82="","",ROUND(Q82-R82,0))</f>
        <v/>
      </c>
    </row>
    <row r="83" spans="1:19" x14ac:dyDescent="0.25">
      <c r="A83" t="str">
        <f>IF('Aset Tetap'!$B83="","",'Aset Tetap'!A83)</f>
        <v/>
      </c>
      <c r="B83" t="str">
        <f>IF('Aset Tetap'!$B83="","",'Aset Tetap'!B83)</f>
        <v/>
      </c>
      <c r="C83" t="str">
        <f>IF('Aset Tetap'!$B83="","",'Aset Tetap'!C83)</f>
        <v/>
      </c>
      <c r="D83" t="str">
        <f>IF('Aset Tetap'!$B83="","",'Aset Tetap'!D83)</f>
        <v/>
      </c>
      <c r="E83" s="22" t="str">
        <f>IF($B83="","",IF(N('Aset Tetap'!$AG83)=0,0,IF(AND((YEAR(E$6)*12+MONTH(E$6))&gt;='Aset Tetap'!$Y83,(YEAR(E$6)*12+MONTH(E$6))&lt;=MIN('Aset Tetap'!$Z83,IF('Aset Tetap'!$S83="Unit Produksi",99999,'Aset Tetap'!$Y83+'Aset Tetap'!$T83*12-1))),'Aset Tetap'!$AQ83/'Aset Tetap'!$AG83,0)))</f>
        <v/>
      </c>
      <c r="F83" s="22" t="str">
        <f>IF($B83="","",IF(N('Aset Tetap'!$AG83)=0,0,IF(AND((YEAR(F$6)*12+MONTH(F$6))&gt;='Aset Tetap'!$Y83,(YEAR(F$6)*12+MONTH(F$6))&lt;=MIN('Aset Tetap'!$Z83,IF('Aset Tetap'!$S83="Unit Produksi",99999,'Aset Tetap'!$Y83+'Aset Tetap'!$T83*12-1))),'Aset Tetap'!$AQ83/'Aset Tetap'!$AG83,0)))</f>
        <v/>
      </c>
      <c r="G83" s="22" t="str">
        <f>IF($B83="","",IF(N('Aset Tetap'!$AG83)=0,0,IF(AND((YEAR(G$6)*12+MONTH(G$6))&gt;='Aset Tetap'!$Y83,(YEAR(G$6)*12+MONTH(G$6))&lt;=MIN('Aset Tetap'!$Z83,IF('Aset Tetap'!$S83="Unit Produksi",99999,'Aset Tetap'!$Y83+'Aset Tetap'!$T83*12-1))),'Aset Tetap'!$AQ83/'Aset Tetap'!$AG83,0)))</f>
        <v/>
      </c>
      <c r="H83" s="22" t="str">
        <f>IF($B83="","",IF(N('Aset Tetap'!$AG83)=0,0,IF(AND((YEAR(H$6)*12+MONTH(H$6))&gt;='Aset Tetap'!$Y83,(YEAR(H$6)*12+MONTH(H$6))&lt;=MIN('Aset Tetap'!$Z83,IF('Aset Tetap'!$S83="Unit Produksi",99999,'Aset Tetap'!$Y83+'Aset Tetap'!$T83*12-1))),'Aset Tetap'!$AQ83/'Aset Tetap'!$AG83,0)))</f>
        <v/>
      </c>
      <c r="I83" s="22" t="str">
        <f>IF($B83="","",IF(N('Aset Tetap'!$AG83)=0,0,IF(AND((YEAR(I$6)*12+MONTH(I$6))&gt;='Aset Tetap'!$Y83,(YEAR(I$6)*12+MONTH(I$6))&lt;=MIN('Aset Tetap'!$Z83,IF('Aset Tetap'!$S83="Unit Produksi",99999,'Aset Tetap'!$Y83+'Aset Tetap'!$T83*12-1))),'Aset Tetap'!$AQ83/'Aset Tetap'!$AG83,0)))</f>
        <v/>
      </c>
      <c r="J83" s="22" t="str">
        <f>IF($B83="","",IF(N('Aset Tetap'!$AG83)=0,0,IF(AND((YEAR(J$6)*12+MONTH(J$6))&gt;='Aset Tetap'!$Y83,(YEAR(J$6)*12+MONTH(J$6))&lt;=MIN('Aset Tetap'!$Z83,IF('Aset Tetap'!$S83="Unit Produksi",99999,'Aset Tetap'!$Y83+'Aset Tetap'!$T83*12-1))),'Aset Tetap'!$AQ83/'Aset Tetap'!$AG83,0)))</f>
        <v/>
      </c>
      <c r="K83" s="22" t="str">
        <f>IF($B83="","",IF(N('Aset Tetap'!$AG83)=0,0,IF(AND((YEAR(K$6)*12+MONTH(K$6))&gt;='Aset Tetap'!$Y83,(YEAR(K$6)*12+MONTH(K$6))&lt;=MIN('Aset Tetap'!$Z83,IF('Aset Tetap'!$S83="Unit Produksi",99999,'Aset Tetap'!$Y83+'Aset Tetap'!$T83*12-1))),'Aset Tetap'!$AQ83/'Aset Tetap'!$AG83,0)))</f>
        <v/>
      </c>
      <c r="L83" s="22" t="str">
        <f>IF($B83="","",IF(N('Aset Tetap'!$AG83)=0,0,IF(AND((YEAR(L$6)*12+MONTH(L$6))&gt;='Aset Tetap'!$Y83,(YEAR(L$6)*12+MONTH(L$6))&lt;=MIN('Aset Tetap'!$Z83,IF('Aset Tetap'!$S83="Unit Produksi",99999,'Aset Tetap'!$Y83+'Aset Tetap'!$T83*12-1))),'Aset Tetap'!$AQ83/'Aset Tetap'!$AG83,0)))</f>
        <v/>
      </c>
      <c r="M83" s="22" t="str">
        <f>IF($B83="","",IF(N('Aset Tetap'!$AG83)=0,0,IF(AND((YEAR(M$6)*12+MONTH(M$6))&gt;='Aset Tetap'!$Y83,(YEAR(M$6)*12+MONTH(M$6))&lt;=MIN('Aset Tetap'!$Z83,IF('Aset Tetap'!$S83="Unit Produksi",99999,'Aset Tetap'!$Y83+'Aset Tetap'!$T83*12-1))),'Aset Tetap'!$AQ83/'Aset Tetap'!$AG83,0)))</f>
        <v/>
      </c>
      <c r="N83" s="22" t="str">
        <f>IF($B83="","",IF(N('Aset Tetap'!$AG83)=0,0,IF(AND((YEAR(N$6)*12+MONTH(N$6))&gt;='Aset Tetap'!$Y83,(YEAR(N$6)*12+MONTH(N$6))&lt;=MIN('Aset Tetap'!$Z83,IF('Aset Tetap'!$S83="Unit Produksi",99999,'Aset Tetap'!$Y83+'Aset Tetap'!$T83*12-1))),'Aset Tetap'!$AQ83/'Aset Tetap'!$AG83,0)))</f>
        <v/>
      </c>
      <c r="O83" s="22" t="str">
        <f>IF($B83="","",IF(N('Aset Tetap'!$AG83)=0,0,IF(AND((YEAR(O$6)*12+MONTH(O$6))&gt;='Aset Tetap'!$Y83,(YEAR(O$6)*12+MONTH(O$6))&lt;=MIN('Aset Tetap'!$Z83,IF('Aset Tetap'!$S83="Unit Produksi",99999,'Aset Tetap'!$Y83+'Aset Tetap'!$T83*12-1))),'Aset Tetap'!$AQ83/'Aset Tetap'!$AG83,0)))</f>
        <v/>
      </c>
      <c r="P83" s="22" t="str">
        <f>IF($B83="","",IF(N('Aset Tetap'!$AG83)=0,0,IF(AND((YEAR(P$6)*12+MONTH(P$6))&gt;='Aset Tetap'!$Y83,(YEAR(P$6)*12+MONTH(P$6))&lt;=MIN('Aset Tetap'!$Z83,IF('Aset Tetap'!$S83="Unit Produksi",99999,'Aset Tetap'!$Y83+'Aset Tetap'!$T83*12-1))),'Aset Tetap'!$AQ83/'Aset Tetap'!$AG83,0)))</f>
        <v/>
      </c>
      <c r="Q83" s="22" t="str">
        <f>IF($B83="","",SUM(E83:P83))</f>
        <v/>
      </c>
      <c r="R83" s="22" t="str">
        <f>IF($B83="","",'Aset Tetap'!AQ83)</f>
        <v/>
      </c>
      <c r="S83" s="22" t="str">
        <f>IF($B83="","",ROUND(Q83-R83,0))</f>
        <v/>
      </c>
    </row>
    <row r="84" spans="1:19" x14ac:dyDescent="0.25">
      <c r="A84" t="str">
        <f>IF('Aset Tetap'!$B84="","",'Aset Tetap'!A84)</f>
        <v/>
      </c>
      <c r="B84" t="str">
        <f>IF('Aset Tetap'!$B84="","",'Aset Tetap'!B84)</f>
        <v/>
      </c>
      <c r="C84" t="str">
        <f>IF('Aset Tetap'!$B84="","",'Aset Tetap'!C84)</f>
        <v/>
      </c>
      <c r="D84" t="str">
        <f>IF('Aset Tetap'!$B84="","",'Aset Tetap'!D84)</f>
        <v/>
      </c>
      <c r="E84" s="22" t="str">
        <f>IF($B84="","",IF(N('Aset Tetap'!$AG84)=0,0,IF(AND((YEAR(E$6)*12+MONTH(E$6))&gt;='Aset Tetap'!$Y84,(YEAR(E$6)*12+MONTH(E$6))&lt;=MIN('Aset Tetap'!$Z84,IF('Aset Tetap'!$S84="Unit Produksi",99999,'Aset Tetap'!$Y84+'Aset Tetap'!$T84*12-1))),'Aset Tetap'!$AQ84/'Aset Tetap'!$AG84,0)))</f>
        <v/>
      </c>
      <c r="F84" s="22" t="str">
        <f>IF($B84="","",IF(N('Aset Tetap'!$AG84)=0,0,IF(AND((YEAR(F$6)*12+MONTH(F$6))&gt;='Aset Tetap'!$Y84,(YEAR(F$6)*12+MONTH(F$6))&lt;=MIN('Aset Tetap'!$Z84,IF('Aset Tetap'!$S84="Unit Produksi",99999,'Aset Tetap'!$Y84+'Aset Tetap'!$T84*12-1))),'Aset Tetap'!$AQ84/'Aset Tetap'!$AG84,0)))</f>
        <v/>
      </c>
      <c r="G84" s="22" t="str">
        <f>IF($B84="","",IF(N('Aset Tetap'!$AG84)=0,0,IF(AND((YEAR(G$6)*12+MONTH(G$6))&gt;='Aset Tetap'!$Y84,(YEAR(G$6)*12+MONTH(G$6))&lt;=MIN('Aset Tetap'!$Z84,IF('Aset Tetap'!$S84="Unit Produksi",99999,'Aset Tetap'!$Y84+'Aset Tetap'!$T84*12-1))),'Aset Tetap'!$AQ84/'Aset Tetap'!$AG84,0)))</f>
        <v/>
      </c>
      <c r="H84" s="22" t="str">
        <f>IF($B84="","",IF(N('Aset Tetap'!$AG84)=0,0,IF(AND((YEAR(H$6)*12+MONTH(H$6))&gt;='Aset Tetap'!$Y84,(YEAR(H$6)*12+MONTH(H$6))&lt;=MIN('Aset Tetap'!$Z84,IF('Aset Tetap'!$S84="Unit Produksi",99999,'Aset Tetap'!$Y84+'Aset Tetap'!$T84*12-1))),'Aset Tetap'!$AQ84/'Aset Tetap'!$AG84,0)))</f>
        <v/>
      </c>
      <c r="I84" s="22" t="str">
        <f>IF($B84="","",IF(N('Aset Tetap'!$AG84)=0,0,IF(AND((YEAR(I$6)*12+MONTH(I$6))&gt;='Aset Tetap'!$Y84,(YEAR(I$6)*12+MONTH(I$6))&lt;=MIN('Aset Tetap'!$Z84,IF('Aset Tetap'!$S84="Unit Produksi",99999,'Aset Tetap'!$Y84+'Aset Tetap'!$T84*12-1))),'Aset Tetap'!$AQ84/'Aset Tetap'!$AG84,0)))</f>
        <v/>
      </c>
      <c r="J84" s="22" t="str">
        <f>IF($B84="","",IF(N('Aset Tetap'!$AG84)=0,0,IF(AND((YEAR(J$6)*12+MONTH(J$6))&gt;='Aset Tetap'!$Y84,(YEAR(J$6)*12+MONTH(J$6))&lt;=MIN('Aset Tetap'!$Z84,IF('Aset Tetap'!$S84="Unit Produksi",99999,'Aset Tetap'!$Y84+'Aset Tetap'!$T84*12-1))),'Aset Tetap'!$AQ84/'Aset Tetap'!$AG84,0)))</f>
        <v/>
      </c>
      <c r="K84" s="22" t="str">
        <f>IF($B84="","",IF(N('Aset Tetap'!$AG84)=0,0,IF(AND((YEAR(K$6)*12+MONTH(K$6))&gt;='Aset Tetap'!$Y84,(YEAR(K$6)*12+MONTH(K$6))&lt;=MIN('Aset Tetap'!$Z84,IF('Aset Tetap'!$S84="Unit Produksi",99999,'Aset Tetap'!$Y84+'Aset Tetap'!$T84*12-1))),'Aset Tetap'!$AQ84/'Aset Tetap'!$AG84,0)))</f>
        <v/>
      </c>
      <c r="L84" s="22" t="str">
        <f>IF($B84="","",IF(N('Aset Tetap'!$AG84)=0,0,IF(AND((YEAR(L$6)*12+MONTH(L$6))&gt;='Aset Tetap'!$Y84,(YEAR(L$6)*12+MONTH(L$6))&lt;=MIN('Aset Tetap'!$Z84,IF('Aset Tetap'!$S84="Unit Produksi",99999,'Aset Tetap'!$Y84+'Aset Tetap'!$T84*12-1))),'Aset Tetap'!$AQ84/'Aset Tetap'!$AG84,0)))</f>
        <v/>
      </c>
      <c r="M84" s="22" t="str">
        <f>IF($B84="","",IF(N('Aset Tetap'!$AG84)=0,0,IF(AND((YEAR(M$6)*12+MONTH(M$6))&gt;='Aset Tetap'!$Y84,(YEAR(M$6)*12+MONTH(M$6))&lt;=MIN('Aset Tetap'!$Z84,IF('Aset Tetap'!$S84="Unit Produksi",99999,'Aset Tetap'!$Y84+'Aset Tetap'!$T84*12-1))),'Aset Tetap'!$AQ84/'Aset Tetap'!$AG84,0)))</f>
        <v/>
      </c>
      <c r="N84" s="22" t="str">
        <f>IF($B84="","",IF(N('Aset Tetap'!$AG84)=0,0,IF(AND((YEAR(N$6)*12+MONTH(N$6))&gt;='Aset Tetap'!$Y84,(YEAR(N$6)*12+MONTH(N$6))&lt;=MIN('Aset Tetap'!$Z84,IF('Aset Tetap'!$S84="Unit Produksi",99999,'Aset Tetap'!$Y84+'Aset Tetap'!$T84*12-1))),'Aset Tetap'!$AQ84/'Aset Tetap'!$AG84,0)))</f>
        <v/>
      </c>
      <c r="O84" s="22" t="str">
        <f>IF($B84="","",IF(N('Aset Tetap'!$AG84)=0,0,IF(AND((YEAR(O$6)*12+MONTH(O$6))&gt;='Aset Tetap'!$Y84,(YEAR(O$6)*12+MONTH(O$6))&lt;=MIN('Aset Tetap'!$Z84,IF('Aset Tetap'!$S84="Unit Produksi",99999,'Aset Tetap'!$Y84+'Aset Tetap'!$T84*12-1))),'Aset Tetap'!$AQ84/'Aset Tetap'!$AG84,0)))</f>
        <v/>
      </c>
      <c r="P84" s="22" t="str">
        <f>IF($B84="","",IF(N('Aset Tetap'!$AG84)=0,0,IF(AND((YEAR(P$6)*12+MONTH(P$6))&gt;='Aset Tetap'!$Y84,(YEAR(P$6)*12+MONTH(P$6))&lt;=MIN('Aset Tetap'!$Z84,IF('Aset Tetap'!$S84="Unit Produksi",99999,'Aset Tetap'!$Y84+'Aset Tetap'!$T84*12-1))),'Aset Tetap'!$AQ84/'Aset Tetap'!$AG84,0)))</f>
        <v/>
      </c>
      <c r="Q84" s="22" t="str">
        <f>IF($B84="","",SUM(E84:P84))</f>
        <v/>
      </c>
      <c r="R84" s="22" t="str">
        <f>IF($B84="","",'Aset Tetap'!AQ84)</f>
        <v/>
      </c>
      <c r="S84" s="22" t="str">
        <f>IF($B84="","",ROUND(Q84-R84,0))</f>
        <v/>
      </c>
    </row>
    <row r="85" spans="1:19" x14ac:dyDescent="0.25">
      <c r="A85" t="str">
        <f>IF('Aset Tetap'!$B85="","",'Aset Tetap'!A85)</f>
        <v/>
      </c>
      <c r="B85" t="str">
        <f>IF('Aset Tetap'!$B85="","",'Aset Tetap'!B85)</f>
        <v/>
      </c>
      <c r="C85" t="str">
        <f>IF('Aset Tetap'!$B85="","",'Aset Tetap'!C85)</f>
        <v/>
      </c>
      <c r="D85" t="str">
        <f>IF('Aset Tetap'!$B85="","",'Aset Tetap'!D85)</f>
        <v/>
      </c>
      <c r="E85" s="22" t="str">
        <f>IF($B85="","",IF(N('Aset Tetap'!$AG85)=0,0,IF(AND((YEAR(E$6)*12+MONTH(E$6))&gt;='Aset Tetap'!$Y85,(YEAR(E$6)*12+MONTH(E$6))&lt;=MIN('Aset Tetap'!$Z85,IF('Aset Tetap'!$S85="Unit Produksi",99999,'Aset Tetap'!$Y85+'Aset Tetap'!$T85*12-1))),'Aset Tetap'!$AQ85/'Aset Tetap'!$AG85,0)))</f>
        <v/>
      </c>
      <c r="F85" s="22" t="str">
        <f>IF($B85="","",IF(N('Aset Tetap'!$AG85)=0,0,IF(AND((YEAR(F$6)*12+MONTH(F$6))&gt;='Aset Tetap'!$Y85,(YEAR(F$6)*12+MONTH(F$6))&lt;=MIN('Aset Tetap'!$Z85,IF('Aset Tetap'!$S85="Unit Produksi",99999,'Aset Tetap'!$Y85+'Aset Tetap'!$T85*12-1))),'Aset Tetap'!$AQ85/'Aset Tetap'!$AG85,0)))</f>
        <v/>
      </c>
      <c r="G85" s="22" t="str">
        <f>IF($B85="","",IF(N('Aset Tetap'!$AG85)=0,0,IF(AND((YEAR(G$6)*12+MONTH(G$6))&gt;='Aset Tetap'!$Y85,(YEAR(G$6)*12+MONTH(G$6))&lt;=MIN('Aset Tetap'!$Z85,IF('Aset Tetap'!$S85="Unit Produksi",99999,'Aset Tetap'!$Y85+'Aset Tetap'!$T85*12-1))),'Aset Tetap'!$AQ85/'Aset Tetap'!$AG85,0)))</f>
        <v/>
      </c>
      <c r="H85" s="22" t="str">
        <f>IF($B85="","",IF(N('Aset Tetap'!$AG85)=0,0,IF(AND((YEAR(H$6)*12+MONTH(H$6))&gt;='Aset Tetap'!$Y85,(YEAR(H$6)*12+MONTH(H$6))&lt;=MIN('Aset Tetap'!$Z85,IF('Aset Tetap'!$S85="Unit Produksi",99999,'Aset Tetap'!$Y85+'Aset Tetap'!$T85*12-1))),'Aset Tetap'!$AQ85/'Aset Tetap'!$AG85,0)))</f>
        <v/>
      </c>
      <c r="I85" s="22" t="str">
        <f>IF($B85="","",IF(N('Aset Tetap'!$AG85)=0,0,IF(AND((YEAR(I$6)*12+MONTH(I$6))&gt;='Aset Tetap'!$Y85,(YEAR(I$6)*12+MONTH(I$6))&lt;=MIN('Aset Tetap'!$Z85,IF('Aset Tetap'!$S85="Unit Produksi",99999,'Aset Tetap'!$Y85+'Aset Tetap'!$T85*12-1))),'Aset Tetap'!$AQ85/'Aset Tetap'!$AG85,0)))</f>
        <v/>
      </c>
      <c r="J85" s="22" t="str">
        <f>IF($B85="","",IF(N('Aset Tetap'!$AG85)=0,0,IF(AND((YEAR(J$6)*12+MONTH(J$6))&gt;='Aset Tetap'!$Y85,(YEAR(J$6)*12+MONTH(J$6))&lt;=MIN('Aset Tetap'!$Z85,IF('Aset Tetap'!$S85="Unit Produksi",99999,'Aset Tetap'!$Y85+'Aset Tetap'!$T85*12-1))),'Aset Tetap'!$AQ85/'Aset Tetap'!$AG85,0)))</f>
        <v/>
      </c>
      <c r="K85" s="22" t="str">
        <f>IF($B85="","",IF(N('Aset Tetap'!$AG85)=0,0,IF(AND((YEAR(K$6)*12+MONTH(K$6))&gt;='Aset Tetap'!$Y85,(YEAR(K$6)*12+MONTH(K$6))&lt;=MIN('Aset Tetap'!$Z85,IF('Aset Tetap'!$S85="Unit Produksi",99999,'Aset Tetap'!$Y85+'Aset Tetap'!$T85*12-1))),'Aset Tetap'!$AQ85/'Aset Tetap'!$AG85,0)))</f>
        <v/>
      </c>
      <c r="L85" s="22" t="str">
        <f>IF($B85="","",IF(N('Aset Tetap'!$AG85)=0,0,IF(AND((YEAR(L$6)*12+MONTH(L$6))&gt;='Aset Tetap'!$Y85,(YEAR(L$6)*12+MONTH(L$6))&lt;=MIN('Aset Tetap'!$Z85,IF('Aset Tetap'!$S85="Unit Produksi",99999,'Aset Tetap'!$Y85+'Aset Tetap'!$T85*12-1))),'Aset Tetap'!$AQ85/'Aset Tetap'!$AG85,0)))</f>
        <v/>
      </c>
      <c r="M85" s="22" t="str">
        <f>IF($B85="","",IF(N('Aset Tetap'!$AG85)=0,0,IF(AND((YEAR(M$6)*12+MONTH(M$6))&gt;='Aset Tetap'!$Y85,(YEAR(M$6)*12+MONTH(M$6))&lt;=MIN('Aset Tetap'!$Z85,IF('Aset Tetap'!$S85="Unit Produksi",99999,'Aset Tetap'!$Y85+'Aset Tetap'!$T85*12-1))),'Aset Tetap'!$AQ85/'Aset Tetap'!$AG85,0)))</f>
        <v/>
      </c>
      <c r="N85" s="22" t="str">
        <f>IF($B85="","",IF(N('Aset Tetap'!$AG85)=0,0,IF(AND((YEAR(N$6)*12+MONTH(N$6))&gt;='Aset Tetap'!$Y85,(YEAR(N$6)*12+MONTH(N$6))&lt;=MIN('Aset Tetap'!$Z85,IF('Aset Tetap'!$S85="Unit Produksi",99999,'Aset Tetap'!$Y85+'Aset Tetap'!$T85*12-1))),'Aset Tetap'!$AQ85/'Aset Tetap'!$AG85,0)))</f>
        <v/>
      </c>
      <c r="O85" s="22" t="str">
        <f>IF($B85="","",IF(N('Aset Tetap'!$AG85)=0,0,IF(AND((YEAR(O$6)*12+MONTH(O$6))&gt;='Aset Tetap'!$Y85,(YEAR(O$6)*12+MONTH(O$6))&lt;=MIN('Aset Tetap'!$Z85,IF('Aset Tetap'!$S85="Unit Produksi",99999,'Aset Tetap'!$Y85+'Aset Tetap'!$T85*12-1))),'Aset Tetap'!$AQ85/'Aset Tetap'!$AG85,0)))</f>
        <v/>
      </c>
      <c r="P85" s="22" t="str">
        <f>IF($B85="","",IF(N('Aset Tetap'!$AG85)=0,0,IF(AND((YEAR(P$6)*12+MONTH(P$6))&gt;='Aset Tetap'!$Y85,(YEAR(P$6)*12+MONTH(P$6))&lt;=MIN('Aset Tetap'!$Z85,IF('Aset Tetap'!$S85="Unit Produksi",99999,'Aset Tetap'!$Y85+'Aset Tetap'!$T85*12-1))),'Aset Tetap'!$AQ85/'Aset Tetap'!$AG85,0)))</f>
        <v/>
      </c>
      <c r="Q85" s="22" t="str">
        <f>IF($B85="","",SUM(E85:P85))</f>
        <v/>
      </c>
      <c r="R85" s="22" t="str">
        <f>IF($B85="","",'Aset Tetap'!AQ85)</f>
        <v/>
      </c>
      <c r="S85" s="22" t="str">
        <f>IF($B85="","",ROUND(Q85-R85,0))</f>
        <v/>
      </c>
    </row>
    <row r="86" spans="1:19" x14ac:dyDescent="0.25">
      <c r="A86" t="str">
        <f>IF('Aset Tetap'!$B86="","",'Aset Tetap'!A86)</f>
        <v/>
      </c>
      <c r="B86" t="str">
        <f>IF('Aset Tetap'!$B86="","",'Aset Tetap'!B86)</f>
        <v/>
      </c>
      <c r="C86" t="str">
        <f>IF('Aset Tetap'!$B86="","",'Aset Tetap'!C86)</f>
        <v/>
      </c>
      <c r="D86" t="str">
        <f>IF('Aset Tetap'!$B86="","",'Aset Tetap'!D86)</f>
        <v/>
      </c>
      <c r="E86" s="22" t="str">
        <f>IF($B86="","",IF(N('Aset Tetap'!$AG86)=0,0,IF(AND((YEAR(E$6)*12+MONTH(E$6))&gt;='Aset Tetap'!$Y86,(YEAR(E$6)*12+MONTH(E$6))&lt;=MIN('Aset Tetap'!$Z86,IF('Aset Tetap'!$S86="Unit Produksi",99999,'Aset Tetap'!$Y86+'Aset Tetap'!$T86*12-1))),'Aset Tetap'!$AQ86/'Aset Tetap'!$AG86,0)))</f>
        <v/>
      </c>
      <c r="F86" s="22" t="str">
        <f>IF($B86="","",IF(N('Aset Tetap'!$AG86)=0,0,IF(AND((YEAR(F$6)*12+MONTH(F$6))&gt;='Aset Tetap'!$Y86,(YEAR(F$6)*12+MONTH(F$6))&lt;=MIN('Aset Tetap'!$Z86,IF('Aset Tetap'!$S86="Unit Produksi",99999,'Aset Tetap'!$Y86+'Aset Tetap'!$T86*12-1))),'Aset Tetap'!$AQ86/'Aset Tetap'!$AG86,0)))</f>
        <v/>
      </c>
      <c r="G86" s="22" t="str">
        <f>IF($B86="","",IF(N('Aset Tetap'!$AG86)=0,0,IF(AND((YEAR(G$6)*12+MONTH(G$6))&gt;='Aset Tetap'!$Y86,(YEAR(G$6)*12+MONTH(G$6))&lt;=MIN('Aset Tetap'!$Z86,IF('Aset Tetap'!$S86="Unit Produksi",99999,'Aset Tetap'!$Y86+'Aset Tetap'!$T86*12-1))),'Aset Tetap'!$AQ86/'Aset Tetap'!$AG86,0)))</f>
        <v/>
      </c>
      <c r="H86" s="22" t="str">
        <f>IF($B86="","",IF(N('Aset Tetap'!$AG86)=0,0,IF(AND((YEAR(H$6)*12+MONTH(H$6))&gt;='Aset Tetap'!$Y86,(YEAR(H$6)*12+MONTH(H$6))&lt;=MIN('Aset Tetap'!$Z86,IF('Aset Tetap'!$S86="Unit Produksi",99999,'Aset Tetap'!$Y86+'Aset Tetap'!$T86*12-1))),'Aset Tetap'!$AQ86/'Aset Tetap'!$AG86,0)))</f>
        <v/>
      </c>
      <c r="I86" s="22" t="str">
        <f>IF($B86="","",IF(N('Aset Tetap'!$AG86)=0,0,IF(AND((YEAR(I$6)*12+MONTH(I$6))&gt;='Aset Tetap'!$Y86,(YEAR(I$6)*12+MONTH(I$6))&lt;=MIN('Aset Tetap'!$Z86,IF('Aset Tetap'!$S86="Unit Produksi",99999,'Aset Tetap'!$Y86+'Aset Tetap'!$T86*12-1))),'Aset Tetap'!$AQ86/'Aset Tetap'!$AG86,0)))</f>
        <v/>
      </c>
      <c r="J86" s="22" t="str">
        <f>IF($B86="","",IF(N('Aset Tetap'!$AG86)=0,0,IF(AND((YEAR(J$6)*12+MONTH(J$6))&gt;='Aset Tetap'!$Y86,(YEAR(J$6)*12+MONTH(J$6))&lt;=MIN('Aset Tetap'!$Z86,IF('Aset Tetap'!$S86="Unit Produksi",99999,'Aset Tetap'!$Y86+'Aset Tetap'!$T86*12-1))),'Aset Tetap'!$AQ86/'Aset Tetap'!$AG86,0)))</f>
        <v/>
      </c>
      <c r="K86" s="22" t="str">
        <f>IF($B86="","",IF(N('Aset Tetap'!$AG86)=0,0,IF(AND((YEAR(K$6)*12+MONTH(K$6))&gt;='Aset Tetap'!$Y86,(YEAR(K$6)*12+MONTH(K$6))&lt;=MIN('Aset Tetap'!$Z86,IF('Aset Tetap'!$S86="Unit Produksi",99999,'Aset Tetap'!$Y86+'Aset Tetap'!$T86*12-1))),'Aset Tetap'!$AQ86/'Aset Tetap'!$AG86,0)))</f>
        <v/>
      </c>
      <c r="L86" s="22" t="str">
        <f>IF($B86="","",IF(N('Aset Tetap'!$AG86)=0,0,IF(AND((YEAR(L$6)*12+MONTH(L$6))&gt;='Aset Tetap'!$Y86,(YEAR(L$6)*12+MONTH(L$6))&lt;=MIN('Aset Tetap'!$Z86,IF('Aset Tetap'!$S86="Unit Produksi",99999,'Aset Tetap'!$Y86+'Aset Tetap'!$T86*12-1))),'Aset Tetap'!$AQ86/'Aset Tetap'!$AG86,0)))</f>
        <v/>
      </c>
      <c r="M86" s="22" t="str">
        <f>IF($B86="","",IF(N('Aset Tetap'!$AG86)=0,0,IF(AND((YEAR(M$6)*12+MONTH(M$6))&gt;='Aset Tetap'!$Y86,(YEAR(M$6)*12+MONTH(M$6))&lt;=MIN('Aset Tetap'!$Z86,IF('Aset Tetap'!$S86="Unit Produksi",99999,'Aset Tetap'!$Y86+'Aset Tetap'!$T86*12-1))),'Aset Tetap'!$AQ86/'Aset Tetap'!$AG86,0)))</f>
        <v/>
      </c>
      <c r="N86" s="22" t="str">
        <f>IF($B86="","",IF(N('Aset Tetap'!$AG86)=0,0,IF(AND((YEAR(N$6)*12+MONTH(N$6))&gt;='Aset Tetap'!$Y86,(YEAR(N$6)*12+MONTH(N$6))&lt;=MIN('Aset Tetap'!$Z86,IF('Aset Tetap'!$S86="Unit Produksi",99999,'Aset Tetap'!$Y86+'Aset Tetap'!$T86*12-1))),'Aset Tetap'!$AQ86/'Aset Tetap'!$AG86,0)))</f>
        <v/>
      </c>
      <c r="O86" s="22" t="str">
        <f>IF($B86="","",IF(N('Aset Tetap'!$AG86)=0,0,IF(AND((YEAR(O$6)*12+MONTH(O$6))&gt;='Aset Tetap'!$Y86,(YEAR(O$6)*12+MONTH(O$6))&lt;=MIN('Aset Tetap'!$Z86,IF('Aset Tetap'!$S86="Unit Produksi",99999,'Aset Tetap'!$Y86+'Aset Tetap'!$T86*12-1))),'Aset Tetap'!$AQ86/'Aset Tetap'!$AG86,0)))</f>
        <v/>
      </c>
      <c r="P86" s="22" t="str">
        <f>IF($B86="","",IF(N('Aset Tetap'!$AG86)=0,0,IF(AND((YEAR(P$6)*12+MONTH(P$6))&gt;='Aset Tetap'!$Y86,(YEAR(P$6)*12+MONTH(P$6))&lt;=MIN('Aset Tetap'!$Z86,IF('Aset Tetap'!$S86="Unit Produksi",99999,'Aset Tetap'!$Y86+'Aset Tetap'!$T86*12-1))),'Aset Tetap'!$AQ86/'Aset Tetap'!$AG86,0)))</f>
        <v/>
      </c>
      <c r="Q86" s="22" t="str">
        <f>IF($B86="","",SUM(E86:P86))</f>
        <v/>
      </c>
      <c r="R86" s="22" t="str">
        <f>IF($B86="","",'Aset Tetap'!AQ86)</f>
        <v/>
      </c>
      <c r="S86" s="22" t="str">
        <f>IF($B86="","",ROUND(Q86-R86,0))</f>
        <v/>
      </c>
    </row>
    <row r="87" spans="1:19" x14ac:dyDescent="0.25">
      <c r="A87" t="str">
        <f>IF('Aset Tetap'!$B87="","",'Aset Tetap'!A87)</f>
        <v/>
      </c>
      <c r="B87" t="str">
        <f>IF('Aset Tetap'!$B87="","",'Aset Tetap'!B87)</f>
        <v/>
      </c>
      <c r="C87" t="str">
        <f>IF('Aset Tetap'!$B87="","",'Aset Tetap'!C87)</f>
        <v/>
      </c>
      <c r="D87" t="str">
        <f>IF('Aset Tetap'!$B87="","",'Aset Tetap'!D87)</f>
        <v/>
      </c>
      <c r="E87" s="22" t="str">
        <f>IF($B87="","",IF(N('Aset Tetap'!$AG87)=0,0,IF(AND((YEAR(E$6)*12+MONTH(E$6))&gt;='Aset Tetap'!$Y87,(YEAR(E$6)*12+MONTH(E$6))&lt;=MIN('Aset Tetap'!$Z87,IF('Aset Tetap'!$S87="Unit Produksi",99999,'Aset Tetap'!$Y87+'Aset Tetap'!$T87*12-1))),'Aset Tetap'!$AQ87/'Aset Tetap'!$AG87,0)))</f>
        <v/>
      </c>
      <c r="F87" s="22" t="str">
        <f>IF($B87="","",IF(N('Aset Tetap'!$AG87)=0,0,IF(AND((YEAR(F$6)*12+MONTH(F$6))&gt;='Aset Tetap'!$Y87,(YEAR(F$6)*12+MONTH(F$6))&lt;=MIN('Aset Tetap'!$Z87,IF('Aset Tetap'!$S87="Unit Produksi",99999,'Aset Tetap'!$Y87+'Aset Tetap'!$T87*12-1))),'Aset Tetap'!$AQ87/'Aset Tetap'!$AG87,0)))</f>
        <v/>
      </c>
      <c r="G87" s="22" t="str">
        <f>IF($B87="","",IF(N('Aset Tetap'!$AG87)=0,0,IF(AND((YEAR(G$6)*12+MONTH(G$6))&gt;='Aset Tetap'!$Y87,(YEAR(G$6)*12+MONTH(G$6))&lt;=MIN('Aset Tetap'!$Z87,IF('Aset Tetap'!$S87="Unit Produksi",99999,'Aset Tetap'!$Y87+'Aset Tetap'!$T87*12-1))),'Aset Tetap'!$AQ87/'Aset Tetap'!$AG87,0)))</f>
        <v/>
      </c>
      <c r="H87" s="22" t="str">
        <f>IF($B87="","",IF(N('Aset Tetap'!$AG87)=0,0,IF(AND((YEAR(H$6)*12+MONTH(H$6))&gt;='Aset Tetap'!$Y87,(YEAR(H$6)*12+MONTH(H$6))&lt;=MIN('Aset Tetap'!$Z87,IF('Aset Tetap'!$S87="Unit Produksi",99999,'Aset Tetap'!$Y87+'Aset Tetap'!$T87*12-1))),'Aset Tetap'!$AQ87/'Aset Tetap'!$AG87,0)))</f>
        <v/>
      </c>
      <c r="I87" s="22" t="str">
        <f>IF($B87="","",IF(N('Aset Tetap'!$AG87)=0,0,IF(AND((YEAR(I$6)*12+MONTH(I$6))&gt;='Aset Tetap'!$Y87,(YEAR(I$6)*12+MONTH(I$6))&lt;=MIN('Aset Tetap'!$Z87,IF('Aset Tetap'!$S87="Unit Produksi",99999,'Aset Tetap'!$Y87+'Aset Tetap'!$T87*12-1))),'Aset Tetap'!$AQ87/'Aset Tetap'!$AG87,0)))</f>
        <v/>
      </c>
      <c r="J87" s="22" t="str">
        <f>IF($B87="","",IF(N('Aset Tetap'!$AG87)=0,0,IF(AND((YEAR(J$6)*12+MONTH(J$6))&gt;='Aset Tetap'!$Y87,(YEAR(J$6)*12+MONTH(J$6))&lt;=MIN('Aset Tetap'!$Z87,IF('Aset Tetap'!$S87="Unit Produksi",99999,'Aset Tetap'!$Y87+'Aset Tetap'!$T87*12-1))),'Aset Tetap'!$AQ87/'Aset Tetap'!$AG87,0)))</f>
        <v/>
      </c>
      <c r="K87" s="22" t="str">
        <f>IF($B87="","",IF(N('Aset Tetap'!$AG87)=0,0,IF(AND((YEAR(K$6)*12+MONTH(K$6))&gt;='Aset Tetap'!$Y87,(YEAR(K$6)*12+MONTH(K$6))&lt;=MIN('Aset Tetap'!$Z87,IF('Aset Tetap'!$S87="Unit Produksi",99999,'Aset Tetap'!$Y87+'Aset Tetap'!$T87*12-1))),'Aset Tetap'!$AQ87/'Aset Tetap'!$AG87,0)))</f>
        <v/>
      </c>
      <c r="L87" s="22" t="str">
        <f>IF($B87="","",IF(N('Aset Tetap'!$AG87)=0,0,IF(AND((YEAR(L$6)*12+MONTH(L$6))&gt;='Aset Tetap'!$Y87,(YEAR(L$6)*12+MONTH(L$6))&lt;=MIN('Aset Tetap'!$Z87,IF('Aset Tetap'!$S87="Unit Produksi",99999,'Aset Tetap'!$Y87+'Aset Tetap'!$T87*12-1))),'Aset Tetap'!$AQ87/'Aset Tetap'!$AG87,0)))</f>
        <v/>
      </c>
      <c r="M87" s="22" t="str">
        <f>IF($B87="","",IF(N('Aset Tetap'!$AG87)=0,0,IF(AND((YEAR(M$6)*12+MONTH(M$6))&gt;='Aset Tetap'!$Y87,(YEAR(M$6)*12+MONTH(M$6))&lt;=MIN('Aset Tetap'!$Z87,IF('Aset Tetap'!$S87="Unit Produksi",99999,'Aset Tetap'!$Y87+'Aset Tetap'!$T87*12-1))),'Aset Tetap'!$AQ87/'Aset Tetap'!$AG87,0)))</f>
        <v/>
      </c>
      <c r="N87" s="22" t="str">
        <f>IF($B87="","",IF(N('Aset Tetap'!$AG87)=0,0,IF(AND((YEAR(N$6)*12+MONTH(N$6))&gt;='Aset Tetap'!$Y87,(YEAR(N$6)*12+MONTH(N$6))&lt;=MIN('Aset Tetap'!$Z87,IF('Aset Tetap'!$S87="Unit Produksi",99999,'Aset Tetap'!$Y87+'Aset Tetap'!$T87*12-1))),'Aset Tetap'!$AQ87/'Aset Tetap'!$AG87,0)))</f>
        <v/>
      </c>
      <c r="O87" s="22" t="str">
        <f>IF($B87="","",IF(N('Aset Tetap'!$AG87)=0,0,IF(AND((YEAR(O$6)*12+MONTH(O$6))&gt;='Aset Tetap'!$Y87,(YEAR(O$6)*12+MONTH(O$6))&lt;=MIN('Aset Tetap'!$Z87,IF('Aset Tetap'!$S87="Unit Produksi",99999,'Aset Tetap'!$Y87+'Aset Tetap'!$T87*12-1))),'Aset Tetap'!$AQ87/'Aset Tetap'!$AG87,0)))</f>
        <v/>
      </c>
      <c r="P87" s="22" t="str">
        <f>IF($B87="","",IF(N('Aset Tetap'!$AG87)=0,0,IF(AND((YEAR(P$6)*12+MONTH(P$6))&gt;='Aset Tetap'!$Y87,(YEAR(P$6)*12+MONTH(P$6))&lt;=MIN('Aset Tetap'!$Z87,IF('Aset Tetap'!$S87="Unit Produksi",99999,'Aset Tetap'!$Y87+'Aset Tetap'!$T87*12-1))),'Aset Tetap'!$AQ87/'Aset Tetap'!$AG87,0)))</f>
        <v/>
      </c>
      <c r="Q87" s="22" t="str">
        <f>IF($B87="","",SUM(E87:P87))</f>
        <v/>
      </c>
      <c r="R87" s="22" t="str">
        <f>IF($B87="","",'Aset Tetap'!AQ87)</f>
        <v/>
      </c>
      <c r="S87" s="22" t="str">
        <f>IF($B87="","",ROUND(Q87-R87,0))</f>
        <v/>
      </c>
    </row>
    <row r="88" spans="1:19" x14ac:dyDescent="0.25">
      <c r="A88" t="str">
        <f>IF('Aset Tetap'!$B88="","",'Aset Tetap'!A88)</f>
        <v/>
      </c>
      <c r="B88" t="str">
        <f>IF('Aset Tetap'!$B88="","",'Aset Tetap'!B88)</f>
        <v/>
      </c>
      <c r="C88" t="str">
        <f>IF('Aset Tetap'!$B88="","",'Aset Tetap'!C88)</f>
        <v/>
      </c>
      <c r="D88" t="str">
        <f>IF('Aset Tetap'!$B88="","",'Aset Tetap'!D88)</f>
        <v/>
      </c>
      <c r="E88" s="22" t="str">
        <f>IF($B88="","",IF(N('Aset Tetap'!$AG88)=0,0,IF(AND((YEAR(E$6)*12+MONTH(E$6))&gt;='Aset Tetap'!$Y88,(YEAR(E$6)*12+MONTH(E$6))&lt;=MIN('Aset Tetap'!$Z88,IF('Aset Tetap'!$S88="Unit Produksi",99999,'Aset Tetap'!$Y88+'Aset Tetap'!$T88*12-1))),'Aset Tetap'!$AQ88/'Aset Tetap'!$AG88,0)))</f>
        <v/>
      </c>
      <c r="F88" s="22" t="str">
        <f>IF($B88="","",IF(N('Aset Tetap'!$AG88)=0,0,IF(AND((YEAR(F$6)*12+MONTH(F$6))&gt;='Aset Tetap'!$Y88,(YEAR(F$6)*12+MONTH(F$6))&lt;=MIN('Aset Tetap'!$Z88,IF('Aset Tetap'!$S88="Unit Produksi",99999,'Aset Tetap'!$Y88+'Aset Tetap'!$T88*12-1))),'Aset Tetap'!$AQ88/'Aset Tetap'!$AG88,0)))</f>
        <v/>
      </c>
      <c r="G88" s="22" t="str">
        <f>IF($B88="","",IF(N('Aset Tetap'!$AG88)=0,0,IF(AND((YEAR(G$6)*12+MONTH(G$6))&gt;='Aset Tetap'!$Y88,(YEAR(G$6)*12+MONTH(G$6))&lt;=MIN('Aset Tetap'!$Z88,IF('Aset Tetap'!$S88="Unit Produksi",99999,'Aset Tetap'!$Y88+'Aset Tetap'!$T88*12-1))),'Aset Tetap'!$AQ88/'Aset Tetap'!$AG88,0)))</f>
        <v/>
      </c>
      <c r="H88" s="22" t="str">
        <f>IF($B88="","",IF(N('Aset Tetap'!$AG88)=0,0,IF(AND((YEAR(H$6)*12+MONTH(H$6))&gt;='Aset Tetap'!$Y88,(YEAR(H$6)*12+MONTH(H$6))&lt;=MIN('Aset Tetap'!$Z88,IF('Aset Tetap'!$S88="Unit Produksi",99999,'Aset Tetap'!$Y88+'Aset Tetap'!$T88*12-1))),'Aset Tetap'!$AQ88/'Aset Tetap'!$AG88,0)))</f>
        <v/>
      </c>
      <c r="I88" s="22" t="str">
        <f>IF($B88="","",IF(N('Aset Tetap'!$AG88)=0,0,IF(AND((YEAR(I$6)*12+MONTH(I$6))&gt;='Aset Tetap'!$Y88,(YEAR(I$6)*12+MONTH(I$6))&lt;=MIN('Aset Tetap'!$Z88,IF('Aset Tetap'!$S88="Unit Produksi",99999,'Aset Tetap'!$Y88+'Aset Tetap'!$T88*12-1))),'Aset Tetap'!$AQ88/'Aset Tetap'!$AG88,0)))</f>
        <v/>
      </c>
      <c r="J88" s="22" t="str">
        <f>IF($B88="","",IF(N('Aset Tetap'!$AG88)=0,0,IF(AND((YEAR(J$6)*12+MONTH(J$6))&gt;='Aset Tetap'!$Y88,(YEAR(J$6)*12+MONTH(J$6))&lt;=MIN('Aset Tetap'!$Z88,IF('Aset Tetap'!$S88="Unit Produksi",99999,'Aset Tetap'!$Y88+'Aset Tetap'!$T88*12-1))),'Aset Tetap'!$AQ88/'Aset Tetap'!$AG88,0)))</f>
        <v/>
      </c>
      <c r="K88" s="22" t="str">
        <f>IF($B88="","",IF(N('Aset Tetap'!$AG88)=0,0,IF(AND((YEAR(K$6)*12+MONTH(K$6))&gt;='Aset Tetap'!$Y88,(YEAR(K$6)*12+MONTH(K$6))&lt;=MIN('Aset Tetap'!$Z88,IF('Aset Tetap'!$S88="Unit Produksi",99999,'Aset Tetap'!$Y88+'Aset Tetap'!$T88*12-1))),'Aset Tetap'!$AQ88/'Aset Tetap'!$AG88,0)))</f>
        <v/>
      </c>
      <c r="L88" s="22" t="str">
        <f>IF($B88="","",IF(N('Aset Tetap'!$AG88)=0,0,IF(AND((YEAR(L$6)*12+MONTH(L$6))&gt;='Aset Tetap'!$Y88,(YEAR(L$6)*12+MONTH(L$6))&lt;=MIN('Aset Tetap'!$Z88,IF('Aset Tetap'!$S88="Unit Produksi",99999,'Aset Tetap'!$Y88+'Aset Tetap'!$T88*12-1))),'Aset Tetap'!$AQ88/'Aset Tetap'!$AG88,0)))</f>
        <v/>
      </c>
      <c r="M88" s="22" t="str">
        <f>IF($B88="","",IF(N('Aset Tetap'!$AG88)=0,0,IF(AND((YEAR(M$6)*12+MONTH(M$6))&gt;='Aset Tetap'!$Y88,(YEAR(M$6)*12+MONTH(M$6))&lt;=MIN('Aset Tetap'!$Z88,IF('Aset Tetap'!$S88="Unit Produksi",99999,'Aset Tetap'!$Y88+'Aset Tetap'!$T88*12-1))),'Aset Tetap'!$AQ88/'Aset Tetap'!$AG88,0)))</f>
        <v/>
      </c>
      <c r="N88" s="22" t="str">
        <f>IF($B88="","",IF(N('Aset Tetap'!$AG88)=0,0,IF(AND((YEAR(N$6)*12+MONTH(N$6))&gt;='Aset Tetap'!$Y88,(YEAR(N$6)*12+MONTH(N$6))&lt;=MIN('Aset Tetap'!$Z88,IF('Aset Tetap'!$S88="Unit Produksi",99999,'Aset Tetap'!$Y88+'Aset Tetap'!$T88*12-1))),'Aset Tetap'!$AQ88/'Aset Tetap'!$AG88,0)))</f>
        <v/>
      </c>
      <c r="O88" s="22" t="str">
        <f>IF($B88="","",IF(N('Aset Tetap'!$AG88)=0,0,IF(AND((YEAR(O$6)*12+MONTH(O$6))&gt;='Aset Tetap'!$Y88,(YEAR(O$6)*12+MONTH(O$6))&lt;=MIN('Aset Tetap'!$Z88,IF('Aset Tetap'!$S88="Unit Produksi",99999,'Aset Tetap'!$Y88+'Aset Tetap'!$T88*12-1))),'Aset Tetap'!$AQ88/'Aset Tetap'!$AG88,0)))</f>
        <v/>
      </c>
      <c r="P88" s="22" t="str">
        <f>IF($B88="","",IF(N('Aset Tetap'!$AG88)=0,0,IF(AND((YEAR(P$6)*12+MONTH(P$6))&gt;='Aset Tetap'!$Y88,(YEAR(P$6)*12+MONTH(P$6))&lt;=MIN('Aset Tetap'!$Z88,IF('Aset Tetap'!$S88="Unit Produksi",99999,'Aset Tetap'!$Y88+'Aset Tetap'!$T88*12-1))),'Aset Tetap'!$AQ88/'Aset Tetap'!$AG88,0)))</f>
        <v/>
      </c>
      <c r="Q88" s="22" t="str">
        <f>IF($B88="","",SUM(E88:P88))</f>
        <v/>
      </c>
      <c r="R88" s="22" t="str">
        <f>IF($B88="","",'Aset Tetap'!AQ88)</f>
        <v/>
      </c>
      <c r="S88" s="22" t="str">
        <f>IF($B88="","",ROUND(Q88-R88,0))</f>
        <v/>
      </c>
    </row>
    <row r="89" spans="1:19" x14ac:dyDescent="0.25">
      <c r="A89" t="str">
        <f>IF('Aset Tetap'!$B89="","",'Aset Tetap'!A89)</f>
        <v/>
      </c>
      <c r="B89" t="str">
        <f>IF('Aset Tetap'!$B89="","",'Aset Tetap'!B89)</f>
        <v/>
      </c>
      <c r="C89" t="str">
        <f>IF('Aset Tetap'!$B89="","",'Aset Tetap'!C89)</f>
        <v/>
      </c>
      <c r="D89" t="str">
        <f>IF('Aset Tetap'!$B89="","",'Aset Tetap'!D89)</f>
        <v/>
      </c>
      <c r="E89" s="22" t="str">
        <f>IF($B89="","",IF(N('Aset Tetap'!$AG89)=0,0,IF(AND((YEAR(E$6)*12+MONTH(E$6))&gt;='Aset Tetap'!$Y89,(YEAR(E$6)*12+MONTH(E$6))&lt;=MIN('Aset Tetap'!$Z89,IF('Aset Tetap'!$S89="Unit Produksi",99999,'Aset Tetap'!$Y89+'Aset Tetap'!$T89*12-1))),'Aset Tetap'!$AQ89/'Aset Tetap'!$AG89,0)))</f>
        <v/>
      </c>
      <c r="F89" s="22" t="str">
        <f>IF($B89="","",IF(N('Aset Tetap'!$AG89)=0,0,IF(AND((YEAR(F$6)*12+MONTH(F$6))&gt;='Aset Tetap'!$Y89,(YEAR(F$6)*12+MONTH(F$6))&lt;=MIN('Aset Tetap'!$Z89,IF('Aset Tetap'!$S89="Unit Produksi",99999,'Aset Tetap'!$Y89+'Aset Tetap'!$T89*12-1))),'Aset Tetap'!$AQ89/'Aset Tetap'!$AG89,0)))</f>
        <v/>
      </c>
      <c r="G89" s="22" t="str">
        <f>IF($B89="","",IF(N('Aset Tetap'!$AG89)=0,0,IF(AND((YEAR(G$6)*12+MONTH(G$6))&gt;='Aset Tetap'!$Y89,(YEAR(G$6)*12+MONTH(G$6))&lt;=MIN('Aset Tetap'!$Z89,IF('Aset Tetap'!$S89="Unit Produksi",99999,'Aset Tetap'!$Y89+'Aset Tetap'!$T89*12-1))),'Aset Tetap'!$AQ89/'Aset Tetap'!$AG89,0)))</f>
        <v/>
      </c>
      <c r="H89" s="22" t="str">
        <f>IF($B89="","",IF(N('Aset Tetap'!$AG89)=0,0,IF(AND((YEAR(H$6)*12+MONTH(H$6))&gt;='Aset Tetap'!$Y89,(YEAR(H$6)*12+MONTH(H$6))&lt;=MIN('Aset Tetap'!$Z89,IF('Aset Tetap'!$S89="Unit Produksi",99999,'Aset Tetap'!$Y89+'Aset Tetap'!$T89*12-1))),'Aset Tetap'!$AQ89/'Aset Tetap'!$AG89,0)))</f>
        <v/>
      </c>
      <c r="I89" s="22" t="str">
        <f>IF($B89="","",IF(N('Aset Tetap'!$AG89)=0,0,IF(AND((YEAR(I$6)*12+MONTH(I$6))&gt;='Aset Tetap'!$Y89,(YEAR(I$6)*12+MONTH(I$6))&lt;=MIN('Aset Tetap'!$Z89,IF('Aset Tetap'!$S89="Unit Produksi",99999,'Aset Tetap'!$Y89+'Aset Tetap'!$T89*12-1))),'Aset Tetap'!$AQ89/'Aset Tetap'!$AG89,0)))</f>
        <v/>
      </c>
      <c r="J89" s="22" t="str">
        <f>IF($B89="","",IF(N('Aset Tetap'!$AG89)=0,0,IF(AND((YEAR(J$6)*12+MONTH(J$6))&gt;='Aset Tetap'!$Y89,(YEAR(J$6)*12+MONTH(J$6))&lt;=MIN('Aset Tetap'!$Z89,IF('Aset Tetap'!$S89="Unit Produksi",99999,'Aset Tetap'!$Y89+'Aset Tetap'!$T89*12-1))),'Aset Tetap'!$AQ89/'Aset Tetap'!$AG89,0)))</f>
        <v/>
      </c>
      <c r="K89" s="22" t="str">
        <f>IF($B89="","",IF(N('Aset Tetap'!$AG89)=0,0,IF(AND((YEAR(K$6)*12+MONTH(K$6))&gt;='Aset Tetap'!$Y89,(YEAR(K$6)*12+MONTH(K$6))&lt;=MIN('Aset Tetap'!$Z89,IF('Aset Tetap'!$S89="Unit Produksi",99999,'Aset Tetap'!$Y89+'Aset Tetap'!$T89*12-1))),'Aset Tetap'!$AQ89/'Aset Tetap'!$AG89,0)))</f>
        <v/>
      </c>
      <c r="L89" s="22" t="str">
        <f>IF($B89="","",IF(N('Aset Tetap'!$AG89)=0,0,IF(AND((YEAR(L$6)*12+MONTH(L$6))&gt;='Aset Tetap'!$Y89,(YEAR(L$6)*12+MONTH(L$6))&lt;=MIN('Aset Tetap'!$Z89,IF('Aset Tetap'!$S89="Unit Produksi",99999,'Aset Tetap'!$Y89+'Aset Tetap'!$T89*12-1))),'Aset Tetap'!$AQ89/'Aset Tetap'!$AG89,0)))</f>
        <v/>
      </c>
      <c r="M89" s="22" t="str">
        <f>IF($B89="","",IF(N('Aset Tetap'!$AG89)=0,0,IF(AND((YEAR(M$6)*12+MONTH(M$6))&gt;='Aset Tetap'!$Y89,(YEAR(M$6)*12+MONTH(M$6))&lt;=MIN('Aset Tetap'!$Z89,IF('Aset Tetap'!$S89="Unit Produksi",99999,'Aset Tetap'!$Y89+'Aset Tetap'!$T89*12-1))),'Aset Tetap'!$AQ89/'Aset Tetap'!$AG89,0)))</f>
        <v/>
      </c>
      <c r="N89" s="22" t="str">
        <f>IF($B89="","",IF(N('Aset Tetap'!$AG89)=0,0,IF(AND((YEAR(N$6)*12+MONTH(N$6))&gt;='Aset Tetap'!$Y89,(YEAR(N$6)*12+MONTH(N$6))&lt;=MIN('Aset Tetap'!$Z89,IF('Aset Tetap'!$S89="Unit Produksi",99999,'Aset Tetap'!$Y89+'Aset Tetap'!$T89*12-1))),'Aset Tetap'!$AQ89/'Aset Tetap'!$AG89,0)))</f>
        <v/>
      </c>
      <c r="O89" s="22" t="str">
        <f>IF($B89="","",IF(N('Aset Tetap'!$AG89)=0,0,IF(AND((YEAR(O$6)*12+MONTH(O$6))&gt;='Aset Tetap'!$Y89,(YEAR(O$6)*12+MONTH(O$6))&lt;=MIN('Aset Tetap'!$Z89,IF('Aset Tetap'!$S89="Unit Produksi",99999,'Aset Tetap'!$Y89+'Aset Tetap'!$T89*12-1))),'Aset Tetap'!$AQ89/'Aset Tetap'!$AG89,0)))</f>
        <v/>
      </c>
      <c r="P89" s="22" t="str">
        <f>IF($B89="","",IF(N('Aset Tetap'!$AG89)=0,0,IF(AND((YEAR(P$6)*12+MONTH(P$6))&gt;='Aset Tetap'!$Y89,(YEAR(P$6)*12+MONTH(P$6))&lt;=MIN('Aset Tetap'!$Z89,IF('Aset Tetap'!$S89="Unit Produksi",99999,'Aset Tetap'!$Y89+'Aset Tetap'!$T89*12-1))),'Aset Tetap'!$AQ89/'Aset Tetap'!$AG89,0)))</f>
        <v/>
      </c>
      <c r="Q89" s="22" t="str">
        <f>IF($B89="","",SUM(E89:P89))</f>
        <v/>
      </c>
      <c r="R89" s="22" t="str">
        <f>IF($B89="","",'Aset Tetap'!AQ89)</f>
        <v/>
      </c>
      <c r="S89" s="22" t="str">
        <f>IF($B89="","",ROUND(Q89-R89,0))</f>
        <v/>
      </c>
    </row>
    <row r="90" spans="1:19" x14ac:dyDescent="0.25">
      <c r="A90" t="str">
        <f>IF('Aset Tetap'!$B90="","",'Aset Tetap'!A90)</f>
        <v/>
      </c>
      <c r="B90" t="str">
        <f>IF('Aset Tetap'!$B90="","",'Aset Tetap'!B90)</f>
        <v/>
      </c>
      <c r="C90" t="str">
        <f>IF('Aset Tetap'!$B90="","",'Aset Tetap'!C90)</f>
        <v/>
      </c>
      <c r="D90" t="str">
        <f>IF('Aset Tetap'!$B90="","",'Aset Tetap'!D90)</f>
        <v/>
      </c>
      <c r="E90" s="22" t="str">
        <f>IF($B90="","",IF(N('Aset Tetap'!$AG90)=0,0,IF(AND((YEAR(E$6)*12+MONTH(E$6))&gt;='Aset Tetap'!$Y90,(YEAR(E$6)*12+MONTH(E$6))&lt;=MIN('Aset Tetap'!$Z90,IF('Aset Tetap'!$S90="Unit Produksi",99999,'Aset Tetap'!$Y90+'Aset Tetap'!$T90*12-1))),'Aset Tetap'!$AQ90/'Aset Tetap'!$AG90,0)))</f>
        <v/>
      </c>
      <c r="F90" s="22" t="str">
        <f>IF($B90="","",IF(N('Aset Tetap'!$AG90)=0,0,IF(AND((YEAR(F$6)*12+MONTH(F$6))&gt;='Aset Tetap'!$Y90,(YEAR(F$6)*12+MONTH(F$6))&lt;=MIN('Aset Tetap'!$Z90,IF('Aset Tetap'!$S90="Unit Produksi",99999,'Aset Tetap'!$Y90+'Aset Tetap'!$T90*12-1))),'Aset Tetap'!$AQ90/'Aset Tetap'!$AG90,0)))</f>
        <v/>
      </c>
      <c r="G90" s="22" t="str">
        <f>IF($B90="","",IF(N('Aset Tetap'!$AG90)=0,0,IF(AND((YEAR(G$6)*12+MONTH(G$6))&gt;='Aset Tetap'!$Y90,(YEAR(G$6)*12+MONTH(G$6))&lt;=MIN('Aset Tetap'!$Z90,IF('Aset Tetap'!$S90="Unit Produksi",99999,'Aset Tetap'!$Y90+'Aset Tetap'!$T90*12-1))),'Aset Tetap'!$AQ90/'Aset Tetap'!$AG90,0)))</f>
        <v/>
      </c>
      <c r="H90" s="22" t="str">
        <f>IF($B90="","",IF(N('Aset Tetap'!$AG90)=0,0,IF(AND((YEAR(H$6)*12+MONTH(H$6))&gt;='Aset Tetap'!$Y90,(YEAR(H$6)*12+MONTH(H$6))&lt;=MIN('Aset Tetap'!$Z90,IF('Aset Tetap'!$S90="Unit Produksi",99999,'Aset Tetap'!$Y90+'Aset Tetap'!$T90*12-1))),'Aset Tetap'!$AQ90/'Aset Tetap'!$AG90,0)))</f>
        <v/>
      </c>
      <c r="I90" s="22" t="str">
        <f>IF($B90="","",IF(N('Aset Tetap'!$AG90)=0,0,IF(AND((YEAR(I$6)*12+MONTH(I$6))&gt;='Aset Tetap'!$Y90,(YEAR(I$6)*12+MONTH(I$6))&lt;=MIN('Aset Tetap'!$Z90,IF('Aset Tetap'!$S90="Unit Produksi",99999,'Aset Tetap'!$Y90+'Aset Tetap'!$T90*12-1))),'Aset Tetap'!$AQ90/'Aset Tetap'!$AG90,0)))</f>
        <v/>
      </c>
      <c r="J90" s="22" t="str">
        <f>IF($B90="","",IF(N('Aset Tetap'!$AG90)=0,0,IF(AND((YEAR(J$6)*12+MONTH(J$6))&gt;='Aset Tetap'!$Y90,(YEAR(J$6)*12+MONTH(J$6))&lt;=MIN('Aset Tetap'!$Z90,IF('Aset Tetap'!$S90="Unit Produksi",99999,'Aset Tetap'!$Y90+'Aset Tetap'!$T90*12-1))),'Aset Tetap'!$AQ90/'Aset Tetap'!$AG90,0)))</f>
        <v/>
      </c>
      <c r="K90" s="22" t="str">
        <f>IF($B90="","",IF(N('Aset Tetap'!$AG90)=0,0,IF(AND((YEAR(K$6)*12+MONTH(K$6))&gt;='Aset Tetap'!$Y90,(YEAR(K$6)*12+MONTH(K$6))&lt;=MIN('Aset Tetap'!$Z90,IF('Aset Tetap'!$S90="Unit Produksi",99999,'Aset Tetap'!$Y90+'Aset Tetap'!$T90*12-1))),'Aset Tetap'!$AQ90/'Aset Tetap'!$AG90,0)))</f>
        <v/>
      </c>
      <c r="L90" s="22" t="str">
        <f>IF($B90="","",IF(N('Aset Tetap'!$AG90)=0,0,IF(AND((YEAR(L$6)*12+MONTH(L$6))&gt;='Aset Tetap'!$Y90,(YEAR(L$6)*12+MONTH(L$6))&lt;=MIN('Aset Tetap'!$Z90,IF('Aset Tetap'!$S90="Unit Produksi",99999,'Aset Tetap'!$Y90+'Aset Tetap'!$T90*12-1))),'Aset Tetap'!$AQ90/'Aset Tetap'!$AG90,0)))</f>
        <v/>
      </c>
      <c r="M90" s="22" t="str">
        <f>IF($B90="","",IF(N('Aset Tetap'!$AG90)=0,0,IF(AND((YEAR(M$6)*12+MONTH(M$6))&gt;='Aset Tetap'!$Y90,(YEAR(M$6)*12+MONTH(M$6))&lt;=MIN('Aset Tetap'!$Z90,IF('Aset Tetap'!$S90="Unit Produksi",99999,'Aset Tetap'!$Y90+'Aset Tetap'!$T90*12-1))),'Aset Tetap'!$AQ90/'Aset Tetap'!$AG90,0)))</f>
        <v/>
      </c>
      <c r="N90" s="22" t="str">
        <f>IF($B90="","",IF(N('Aset Tetap'!$AG90)=0,0,IF(AND((YEAR(N$6)*12+MONTH(N$6))&gt;='Aset Tetap'!$Y90,(YEAR(N$6)*12+MONTH(N$6))&lt;=MIN('Aset Tetap'!$Z90,IF('Aset Tetap'!$S90="Unit Produksi",99999,'Aset Tetap'!$Y90+'Aset Tetap'!$T90*12-1))),'Aset Tetap'!$AQ90/'Aset Tetap'!$AG90,0)))</f>
        <v/>
      </c>
      <c r="O90" s="22" t="str">
        <f>IF($B90="","",IF(N('Aset Tetap'!$AG90)=0,0,IF(AND((YEAR(O$6)*12+MONTH(O$6))&gt;='Aset Tetap'!$Y90,(YEAR(O$6)*12+MONTH(O$6))&lt;=MIN('Aset Tetap'!$Z90,IF('Aset Tetap'!$S90="Unit Produksi",99999,'Aset Tetap'!$Y90+'Aset Tetap'!$T90*12-1))),'Aset Tetap'!$AQ90/'Aset Tetap'!$AG90,0)))</f>
        <v/>
      </c>
      <c r="P90" s="22" t="str">
        <f>IF($B90="","",IF(N('Aset Tetap'!$AG90)=0,0,IF(AND((YEAR(P$6)*12+MONTH(P$6))&gt;='Aset Tetap'!$Y90,(YEAR(P$6)*12+MONTH(P$6))&lt;=MIN('Aset Tetap'!$Z90,IF('Aset Tetap'!$S90="Unit Produksi",99999,'Aset Tetap'!$Y90+'Aset Tetap'!$T90*12-1))),'Aset Tetap'!$AQ90/'Aset Tetap'!$AG90,0)))</f>
        <v/>
      </c>
      <c r="Q90" s="22" t="str">
        <f>IF($B90="","",SUM(E90:P90))</f>
        <v/>
      </c>
      <c r="R90" s="22" t="str">
        <f>IF($B90="","",'Aset Tetap'!AQ90)</f>
        <v/>
      </c>
      <c r="S90" s="22" t="str">
        <f>IF($B90="","",ROUND(Q90-R90,0))</f>
        <v/>
      </c>
    </row>
    <row r="91" spans="1:19" x14ac:dyDescent="0.25">
      <c r="A91" t="str">
        <f>IF('Aset Tetap'!$B91="","",'Aset Tetap'!A91)</f>
        <v/>
      </c>
      <c r="B91" t="str">
        <f>IF('Aset Tetap'!$B91="","",'Aset Tetap'!B91)</f>
        <v/>
      </c>
      <c r="C91" t="str">
        <f>IF('Aset Tetap'!$B91="","",'Aset Tetap'!C91)</f>
        <v/>
      </c>
      <c r="D91" t="str">
        <f>IF('Aset Tetap'!$B91="","",'Aset Tetap'!D91)</f>
        <v/>
      </c>
      <c r="E91" s="22" t="str">
        <f>IF($B91="","",IF(N('Aset Tetap'!$AG91)=0,0,IF(AND((YEAR(E$6)*12+MONTH(E$6))&gt;='Aset Tetap'!$Y91,(YEAR(E$6)*12+MONTH(E$6))&lt;=MIN('Aset Tetap'!$Z91,IF('Aset Tetap'!$S91="Unit Produksi",99999,'Aset Tetap'!$Y91+'Aset Tetap'!$T91*12-1))),'Aset Tetap'!$AQ91/'Aset Tetap'!$AG91,0)))</f>
        <v/>
      </c>
      <c r="F91" s="22" t="str">
        <f>IF($B91="","",IF(N('Aset Tetap'!$AG91)=0,0,IF(AND((YEAR(F$6)*12+MONTH(F$6))&gt;='Aset Tetap'!$Y91,(YEAR(F$6)*12+MONTH(F$6))&lt;=MIN('Aset Tetap'!$Z91,IF('Aset Tetap'!$S91="Unit Produksi",99999,'Aset Tetap'!$Y91+'Aset Tetap'!$T91*12-1))),'Aset Tetap'!$AQ91/'Aset Tetap'!$AG91,0)))</f>
        <v/>
      </c>
      <c r="G91" s="22" t="str">
        <f>IF($B91="","",IF(N('Aset Tetap'!$AG91)=0,0,IF(AND((YEAR(G$6)*12+MONTH(G$6))&gt;='Aset Tetap'!$Y91,(YEAR(G$6)*12+MONTH(G$6))&lt;=MIN('Aset Tetap'!$Z91,IF('Aset Tetap'!$S91="Unit Produksi",99999,'Aset Tetap'!$Y91+'Aset Tetap'!$T91*12-1))),'Aset Tetap'!$AQ91/'Aset Tetap'!$AG91,0)))</f>
        <v/>
      </c>
      <c r="H91" s="22" t="str">
        <f>IF($B91="","",IF(N('Aset Tetap'!$AG91)=0,0,IF(AND((YEAR(H$6)*12+MONTH(H$6))&gt;='Aset Tetap'!$Y91,(YEAR(H$6)*12+MONTH(H$6))&lt;=MIN('Aset Tetap'!$Z91,IF('Aset Tetap'!$S91="Unit Produksi",99999,'Aset Tetap'!$Y91+'Aset Tetap'!$T91*12-1))),'Aset Tetap'!$AQ91/'Aset Tetap'!$AG91,0)))</f>
        <v/>
      </c>
      <c r="I91" s="22" t="str">
        <f>IF($B91="","",IF(N('Aset Tetap'!$AG91)=0,0,IF(AND((YEAR(I$6)*12+MONTH(I$6))&gt;='Aset Tetap'!$Y91,(YEAR(I$6)*12+MONTH(I$6))&lt;=MIN('Aset Tetap'!$Z91,IF('Aset Tetap'!$S91="Unit Produksi",99999,'Aset Tetap'!$Y91+'Aset Tetap'!$T91*12-1))),'Aset Tetap'!$AQ91/'Aset Tetap'!$AG91,0)))</f>
        <v/>
      </c>
      <c r="J91" s="22" t="str">
        <f>IF($B91="","",IF(N('Aset Tetap'!$AG91)=0,0,IF(AND((YEAR(J$6)*12+MONTH(J$6))&gt;='Aset Tetap'!$Y91,(YEAR(J$6)*12+MONTH(J$6))&lt;=MIN('Aset Tetap'!$Z91,IF('Aset Tetap'!$S91="Unit Produksi",99999,'Aset Tetap'!$Y91+'Aset Tetap'!$T91*12-1))),'Aset Tetap'!$AQ91/'Aset Tetap'!$AG91,0)))</f>
        <v/>
      </c>
      <c r="K91" s="22" t="str">
        <f>IF($B91="","",IF(N('Aset Tetap'!$AG91)=0,0,IF(AND((YEAR(K$6)*12+MONTH(K$6))&gt;='Aset Tetap'!$Y91,(YEAR(K$6)*12+MONTH(K$6))&lt;=MIN('Aset Tetap'!$Z91,IF('Aset Tetap'!$S91="Unit Produksi",99999,'Aset Tetap'!$Y91+'Aset Tetap'!$T91*12-1))),'Aset Tetap'!$AQ91/'Aset Tetap'!$AG91,0)))</f>
        <v/>
      </c>
      <c r="L91" s="22" t="str">
        <f>IF($B91="","",IF(N('Aset Tetap'!$AG91)=0,0,IF(AND((YEAR(L$6)*12+MONTH(L$6))&gt;='Aset Tetap'!$Y91,(YEAR(L$6)*12+MONTH(L$6))&lt;=MIN('Aset Tetap'!$Z91,IF('Aset Tetap'!$S91="Unit Produksi",99999,'Aset Tetap'!$Y91+'Aset Tetap'!$T91*12-1))),'Aset Tetap'!$AQ91/'Aset Tetap'!$AG91,0)))</f>
        <v/>
      </c>
      <c r="M91" s="22" t="str">
        <f>IF($B91="","",IF(N('Aset Tetap'!$AG91)=0,0,IF(AND((YEAR(M$6)*12+MONTH(M$6))&gt;='Aset Tetap'!$Y91,(YEAR(M$6)*12+MONTH(M$6))&lt;=MIN('Aset Tetap'!$Z91,IF('Aset Tetap'!$S91="Unit Produksi",99999,'Aset Tetap'!$Y91+'Aset Tetap'!$T91*12-1))),'Aset Tetap'!$AQ91/'Aset Tetap'!$AG91,0)))</f>
        <v/>
      </c>
      <c r="N91" s="22" t="str">
        <f>IF($B91="","",IF(N('Aset Tetap'!$AG91)=0,0,IF(AND((YEAR(N$6)*12+MONTH(N$6))&gt;='Aset Tetap'!$Y91,(YEAR(N$6)*12+MONTH(N$6))&lt;=MIN('Aset Tetap'!$Z91,IF('Aset Tetap'!$S91="Unit Produksi",99999,'Aset Tetap'!$Y91+'Aset Tetap'!$T91*12-1))),'Aset Tetap'!$AQ91/'Aset Tetap'!$AG91,0)))</f>
        <v/>
      </c>
      <c r="O91" s="22" t="str">
        <f>IF($B91="","",IF(N('Aset Tetap'!$AG91)=0,0,IF(AND((YEAR(O$6)*12+MONTH(O$6))&gt;='Aset Tetap'!$Y91,(YEAR(O$6)*12+MONTH(O$6))&lt;=MIN('Aset Tetap'!$Z91,IF('Aset Tetap'!$S91="Unit Produksi",99999,'Aset Tetap'!$Y91+'Aset Tetap'!$T91*12-1))),'Aset Tetap'!$AQ91/'Aset Tetap'!$AG91,0)))</f>
        <v/>
      </c>
      <c r="P91" s="22" t="str">
        <f>IF($B91="","",IF(N('Aset Tetap'!$AG91)=0,0,IF(AND((YEAR(P$6)*12+MONTH(P$6))&gt;='Aset Tetap'!$Y91,(YEAR(P$6)*12+MONTH(P$6))&lt;=MIN('Aset Tetap'!$Z91,IF('Aset Tetap'!$S91="Unit Produksi",99999,'Aset Tetap'!$Y91+'Aset Tetap'!$T91*12-1))),'Aset Tetap'!$AQ91/'Aset Tetap'!$AG91,0)))</f>
        <v/>
      </c>
      <c r="Q91" s="22" t="str">
        <f>IF($B91="","",SUM(E91:P91))</f>
        <v/>
      </c>
      <c r="R91" s="22" t="str">
        <f>IF($B91="","",'Aset Tetap'!AQ91)</f>
        <v/>
      </c>
      <c r="S91" s="22" t="str">
        <f>IF($B91="","",ROUND(Q91-R91,0))</f>
        <v/>
      </c>
    </row>
    <row r="92" spans="1:19" x14ac:dyDescent="0.25">
      <c r="A92" t="str">
        <f>IF('Aset Tetap'!$B92="","",'Aset Tetap'!A92)</f>
        <v/>
      </c>
      <c r="B92" t="str">
        <f>IF('Aset Tetap'!$B92="","",'Aset Tetap'!B92)</f>
        <v/>
      </c>
      <c r="C92" t="str">
        <f>IF('Aset Tetap'!$B92="","",'Aset Tetap'!C92)</f>
        <v/>
      </c>
      <c r="D92" t="str">
        <f>IF('Aset Tetap'!$B92="","",'Aset Tetap'!D92)</f>
        <v/>
      </c>
      <c r="E92" s="22" t="str">
        <f>IF($B92="","",IF(N('Aset Tetap'!$AG92)=0,0,IF(AND((YEAR(E$6)*12+MONTH(E$6))&gt;='Aset Tetap'!$Y92,(YEAR(E$6)*12+MONTH(E$6))&lt;=MIN('Aset Tetap'!$Z92,IF('Aset Tetap'!$S92="Unit Produksi",99999,'Aset Tetap'!$Y92+'Aset Tetap'!$T92*12-1))),'Aset Tetap'!$AQ92/'Aset Tetap'!$AG92,0)))</f>
        <v/>
      </c>
      <c r="F92" s="22" t="str">
        <f>IF($B92="","",IF(N('Aset Tetap'!$AG92)=0,0,IF(AND((YEAR(F$6)*12+MONTH(F$6))&gt;='Aset Tetap'!$Y92,(YEAR(F$6)*12+MONTH(F$6))&lt;=MIN('Aset Tetap'!$Z92,IF('Aset Tetap'!$S92="Unit Produksi",99999,'Aset Tetap'!$Y92+'Aset Tetap'!$T92*12-1))),'Aset Tetap'!$AQ92/'Aset Tetap'!$AG92,0)))</f>
        <v/>
      </c>
      <c r="G92" s="22" t="str">
        <f>IF($B92="","",IF(N('Aset Tetap'!$AG92)=0,0,IF(AND((YEAR(G$6)*12+MONTH(G$6))&gt;='Aset Tetap'!$Y92,(YEAR(G$6)*12+MONTH(G$6))&lt;=MIN('Aset Tetap'!$Z92,IF('Aset Tetap'!$S92="Unit Produksi",99999,'Aset Tetap'!$Y92+'Aset Tetap'!$T92*12-1))),'Aset Tetap'!$AQ92/'Aset Tetap'!$AG92,0)))</f>
        <v/>
      </c>
      <c r="H92" s="22" t="str">
        <f>IF($B92="","",IF(N('Aset Tetap'!$AG92)=0,0,IF(AND((YEAR(H$6)*12+MONTH(H$6))&gt;='Aset Tetap'!$Y92,(YEAR(H$6)*12+MONTH(H$6))&lt;=MIN('Aset Tetap'!$Z92,IF('Aset Tetap'!$S92="Unit Produksi",99999,'Aset Tetap'!$Y92+'Aset Tetap'!$T92*12-1))),'Aset Tetap'!$AQ92/'Aset Tetap'!$AG92,0)))</f>
        <v/>
      </c>
      <c r="I92" s="22" t="str">
        <f>IF($B92="","",IF(N('Aset Tetap'!$AG92)=0,0,IF(AND((YEAR(I$6)*12+MONTH(I$6))&gt;='Aset Tetap'!$Y92,(YEAR(I$6)*12+MONTH(I$6))&lt;=MIN('Aset Tetap'!$Z92,IF('Aset Tetap'!$S92="Unit Produksi",99999,'Aset Tetap'!$Y92+'Aset Tetap'!$T92*12-1))),'Aset Tetap'!$AQ92/'Aset Tetap'!$AG92,0)))</f>
        <v/>
      </c>
      <c r="J92" s="22" t="str">
        <f>IF($B92="","",IF(N('Aset Tetap'!$AG92)=0,0,IF(AND((YEAR(J$6)*12+MONTH(J$6))&gt;='Aset Tetap'!$Y92,(YEAR(J$6)*12+MONTH(J$6))&lt;=MIN('Aset Tetap'!$Z92,IF('Aset Tetap'!$S92="Unit Produksi",99999,'Aset Tetap'!$Y92+'Aset Tetap'!$T92*12-1))),'Aset Tetap'!$AQ92/'Aset Tetap'!$AG92,0)))</f>
        <v/>
      </c>
      <c r="K92" s="22" t="str">
        <f>IF($B92="","",IF(N('Aset Tetap'!$AG92)=0,0,IF(AND((YEAR(K$6)*12+MONTH(K$6))&gt;='Aset Tetap'!$Y92,(YEAR(K$6)*12+MONTH(K$6))&lt;=MIN('Aset Tetap'!$Z92,IF('Aset Tetap'!$S92="Unit Produksi",99999,'Aset Tetap'!$Y92+'Aset Tetap'!$T92*12-1))),'Aset Tetap'!$AQ92/'Aset Tetap'!$AG92,0)))</f>
        <v/>
      </c>
      <c r="L92" s="22" t="str">
        <f>IF($B92="","",IF(N('Aset Tetap'!$AG92)=0,0,IF(AND((YEAR(L$6)*12+MONTH(L$6))&gt;='Aset Tetap'!$Y92,(YEAR(L$6)*12+MONTH(L$6))&lt;=MIN('Aset Tetap'!$Z92,IF('Aset Tetap'!$S92="Unit Produksi",99999,'Aset Tetap'!$Y92+'Aset Tetap'!$T92*12-1))),'Aset Tetap'!$AQ92/'Aset Tetap'!$AG92,0)))</f>
        <v/>
      </c>
      <c r="M92" s="22" t="str">
        <f>IF($B92="","",IF(N('Aset Tetap'!$AG92)=0,0,IF(AND((YEAR(M$6)*12+MONTH(M$6))&gt;='Aset Tetap'!$Y92,(YEAR(M$6)*12+MONTH(M$6))&lt;=MIN('Aset Tetap'!$Z92,IF('Aset Tetap'!$S92="Unit Produksi",99999,'Aset Tetap'!$Y92+'Aset Tetap'!$T92*12-1))),'Aset Tetap'!$AQ92/'Aset Tetap'!$AG92,0)))</f>
        <v/>
      </c>
      <c r="N92" s="22" t="str">
        <f>IF($B92="","",IF(N('Aset Tetap'!$AG92)=0,0,IF(AND((YEAR(N$6)*12+MONTH(N$6))&gt;='Aset Tetap'!$Y92,(YEAR(N$6)*12+MONTH(N$6))&lt;=MIN('Aset Tetap'!$Z92,IF('Aset Tetap'!$S92="Unit Produksi",99999,'Aset Tetap'!$Y92+'Aset Tetap'!$T92*12-1))),'Aset Tetap'!$AQ92/'Aset Tetap'!$AG92,0)))</f>
        <v/>
      </c>
      <c r="O92" s="22" t="str">
        <f>IF($B92="","",IF(N('Aset Tetap'!$AG92)=0,0,IF(AND((YEAR(O$6)*12+MONTH(O$6))&gt;='Aset Tetap'!$Y92,(YEAR(O$6)*12+MONTH(O$6))&lt;=MIN('Aset Tetap'!$Z92,IF('Aset Tetap'!$S92="Unit Produksi",99999,'Aset Tetap'!$Y92+'Aset Tetap'!$T92*12-1))),'Aset Tetap'!$AQ92/'Aset Tetap'!$AG92,0)))</f>
        <v/>
      </c>
      <c r="P92" s="22" t="str">
        <f>IF($B92="","",IF(N('Aset Tetap'!$AG92)=0,0,IF(AND((YEAR(P$6)*12+MONTH(P$6))&gt;='Aset Tetap'!$Y92,(YEAR(P$6)*12+MONTH(P$6))&lt;=MIN('Aset Tetap'!$Z92,IF('Aset Tetap'!$S92="Unit Produksi",99999,'Aset Tetap'!$Y92+'Aset Tetap'!$T92*12-1))),'Aset Tetap'!$AQ92/'Aset Tetap'!$AG92,0)))</f>
        <v/>
      </c>
      <c r="Q92" s="22" t="str">
        <f>IF($B92="","",SUM(E92:P92))</f>
        <v/>
      </c>
      <c r="R92" s="22" t="str">
        <f>IF($B92="","",'Aset Tetap'!AQ92)</f>
        <v/>
      </c>
      <c r="S92" s="22" t="str">
        <f>IF($B92="","",ROUND(Q92-R92,0))</f>
        <v/>
      </c>
    </row>
    <row r="93" spans="1:19" x14ac:dyDescent="0.25">
      <c r="A93" t="str">
        <f>IF('Aset Tetap'!$B93="","",'Aset Tetap'!A93)</f>
        <v/>
      </c>
      <c r="B93" t="str">
        <f>IF('Aset Tetap'!$B93="","",'Aset Tetap'!B93)</f>
        <v/>
      </c>
      <c r="C93" t="str">
        <f>IF('Aset Tetap'!$B93="","",'Aset Tetap'!C93)</f>
        <v/>
      </c>
      <c r="D93" t="str">
        <f>IF('Aset Tetap'!$B93="","",'Aset Tetap'!D93)</f>
        <v/>
      </c>
      <c r="E93" s="22" t="str">
        <f>IF($B93="","",IF(N('Aset Tetap'!$AG93)=0,0,IF(AND((YEAR(E$6)*12+MONTH(E$6))&gt;='Aset Tetap'!$Y93,(YEAR(E$6)*12+MONTH(E$6))&lt;=MIN('Aset Tetap'!$Z93,IF('Aset Tetap'!$S93="Unit Produksi",99999,'Aset Tetap'!$Y93+'Aset Tetap'!$T93*12-1))),'Aset Tetap'!$AQ93/'Aset Tetap'!$AG93,0)))</f>
        <v/>
      </c>
      <c r="F93" s="22" t="str">
        <f>IF($B93="","",IF(N('Aset Tetap'!$AG93)=0,0,IF(AND((YEAR(F$6)*12+MONTH(F$6))&gt;='Aset Tetap'!$Y93,(YEAR(F$6)*12+MONTH(F$6))&lt;=MIN('Aset Tetap'!$Z93,IF('Aset Tetap'!$S93="Unit Produksi",99999,'Aset Tetap'!$Y93+'Aset Tetap'!$T93*12-1))),'Aset Tetap'!$AQ93/'Aset Tetap'!$AG93,0)))</f>
        <v/>
      </c>
      <c r="G93" s="22" t="str">
        <f>IF($B93="","",IF(N('Aset Tetap'!$AG93)=0,0,IF(AND((YEAR(G$6)*12+MONTH(G$6))&gt;='Aset Tetap'!$Y93,(YEAR(G$6)*12+MONTH(G$6))&lt;=MIN('Aset Tetap'!$Z93,IF('Aset Tetap'!$S93="Unit Produksi",99999,'Aset Tetap'!$Y93+'Aset Tetap'!$T93*12-1))),'Aset Tetap'!$AQ93/'Aset Tetap'!$AG93,0)))</f>
        <v/>
      </c>
      <c r="H93" s="22" t="str">
        <f>IF($B93="","",IF(N('Aset Tetap'!$AG93)=0,0,IF(AND((YEAR(H$6)*12+MONTH(H$6))&gt;='Aset Tetap'!$Y93,(YEAR(H$6)*12+MONTH(H$6))&lt;=MIN('Aset Tetap'!$Z93,IF('Aset Tetap'!$S93="Unit Produksi",99999,'Aset Tetap'!$Y93+'Aset Tetap'!$T93*12-1))),'Aset Tetap'!$AQ93/'Aset Tetap'!$AG93,0)))</f>
        <v/>
      </c>
      <c r="I93" s="22" t="str">
        <f>IF($B93="","",IF(N('Aset Tetap'!$AG93)=0,0,IF(AND((YEAR(I$6)*12+MONTH(I$6))&gt;='Aset Tetap'!$Y93,(YEAR(I$6)*12+MONTH(I$6))&lt;=MIN('Aset Tetap'!$Z93,IF('Aset Tetap'!$S93="Unit Produksi",99999,'Aset Tetap'!$Y93+'Aset Tetap'!$T93*12-1))),'Aset Tetap'!$AQ93/'Aset Tetap'!$AG93,0)))</f>
        <v/>
      </c>
      <c r="J93" s="22" t="str">
        <f>IF($B93="","",IF(N('Aset Tetap'!$AG93)=0,0,IF(AND((YEAR(J$6)*12+MONTH(J$6))&gt;='Aset Tetap'!$Y93,(YEAR(J$6)*12+MONTH(J$6))&lt;=MIN('Aset Tetap'!$Z93,IF('Aset Tetap'!$S93="Unit Produksi",99999,'Aset Tetap'!$Y93+'Aset Tetap'!$T93*12-1))),'Aset Tetap'!$AQ93/'Aset Tetap'!$AG93,0)))</f>
        <v/>
      </c>
      <c r="K93" s="22" t="str">
        <f>IF($B93="","",IF(N('Aset Tetap'!$AG93)=0,0,IF(AND((YEAR(K$6)*12+MONTH(K$6))&gt;='Aset Tetap'!$Y93,(YEAR(K$6)*12+MONTH(K$6))&lt;=MIN('Aset Tetap'!$Z93,IF('Aset Tetap'!$S93="Unit Produksi",99999,'Aset Tetap'!$Y93+'Aset Tetap'!$T93*12-1))),'Aset Tetap'!$AQ93/'Aset Tetap'!$AG93,0)))</f>
        <v/>
      </c>
      <c r="L93" s="22" t="str">
        <f>IF($B93="","",IF(N('Aset Tetap'!$AG93)=0,0,IF(AND((YEAR(L$6)*12+MONTH(L$6))&gt;='Aset Tetap'!$Y93,(YEAR(L$6)*12+MONTH(L$6))&lt;=MIN('Aset Tetap'!$Z93,IF('Aset Tetap'!$S93="Unit Produksi",99999,'Aset Tetap'!$Y93+'Aset Tetap'!$T93*12-1))),'Aset Tetap'!$AQ93/'Aset Tetap'!$AG93,0)))</f>
        <v/>
      </c>
      <c r="M93" s="22" t="str">
        <f>IF($B93="","",IF(N('Aset Tetap'!$AG93)=0,0,IF(AND((YEAR(M$6)*12+MONTH(M$6))&gt;='Aset Tetap'!$Y93,(YEAR(M$6)*12+MONTH(M$6))&lt;=MIN('Aset Tetap'!$Z93,IF('Aset Tetap'!$S93="Unit Produksi",99999,'Aset Tetap'!$Y93+'Aset Tetap'!$T93*12-1))),'Aset Tetap'!$AQ93/'Aset Tetap'!$AG93,0)))</f>
        <v/>
      </c>
      <c r="N93" s="22" t="str">
        <f>IF($B93="","",IF(N('Aset Tetap'!$AG93)=0,0,IF(AND((YEAR(N$6)*12+MONTH(N$6))&gt;='Aset Tetap'!$Y93,(YEAR(N$6)*12+MONTH(N$6))&lt;=MIN('Aset Tetap'!$Z93,IF('Aset Tetap'!$S93="Unit Produksi",99999,'Aset Tetap'!$Y93+'Aset Tetap'!$T93*12-1))),'Aset Tetap'!$AQ93/'Aset Tetap'!$AG93,0)))</f>
        <v/>
      </c>
      <c r="O93" s="22" t="str">
        <f>IF($B93="","",IF(N('Aset Tetap'!$AG93)=0,0,IF(AND((YEAR(O$6)*12+MONTH(O$6))&gt;='Aset Tetap'!$Y93,(YEAR(O$6)*12+MONTH(O$6))&lt;=MIN('Aset Tetap'!$Z93,IF('Aset Tetap'!$S93="Unit Produksi",99999,'Aset Tetap'!$Y93+'Aset Tetap'!$T93*12-1))),'Aset Tetap'!$AQ93/'Aset Tetap'!$AG93,0)))</f>
        <v/>
      </c>
      <c r="P93" s="22" t="str">
        <f>IF($B93="","",IF(N('Aset Tetap'!$AG93)=0,0,IF(AND((YEAR(P$6)*12+MONTH(P$6))&gt;='Aset Tetap'!$Y93,(YEAR(P$6)*12+MONTH(P$6))&lt;=MIN('Aset Tetap'!$Z93,IF('Aset Tetap'!$S93="Unit Produksi",99999,'Aset Tetap'!$Y93+'Aset Tetap'!$T93*12-1))),'Aset Tetap'!$AQ93/'Aset Tetap'!$AG93,0)))</f>
        <v/>
      </c>
      <c r="Q93" s="22" t="str">
        <f>IF($B93="","",SUM(E93:P93))</f>
        <v/>
      </c>
      <c r="R93" s="22" t="str">
        <f>IF($B93="","",'Aset Tetap'!AQ93)</f>
        <v/>
      </c>
      <c r="S93" s="22" t="str">
        <f>IF($B93="","",ROUND(Q93-R93,0))</f>
        <v/>
      </c>
    </row>
    <row r="94" spans="1:19" x14ac:dyDescent="0.25">
      <c r="A94" t="str">
        <f>IF('Aset Tetap'!$B94="","",'Aset Tetap'!A94)</f>
        <v/>
      </c>
      <c r="B94" t="str">
        <f>IF('Aset Tetap'!$B94="","",'Aset Tetap'!B94)</f>
        <v/>
      </c>
      <c r="C94" t="str">
        <f>IF('Aset Tetap'!$B94="","",'Aset Tetap'!C94)</f>
        <v/>
      </c>
      <c r="D94" t="str">
        <f>IF('Aset Tetap'!$B94="","",'Aset Tetap'!D94)</f>
        <v/>
      </c>
      <c r="E94" s="22" t="str">
        <f>IF($B94="","",IF(N('Aset Tetap'!$AG94)=0,0,IF(AND((YEAR(E$6)*12+MONTH(E$6))&gt;='Aset Tetap'!$Y94,(YEAR(E$6)*12+MONTH(E$6))&lt;=MIN('Aset Tetap'!$Z94,IF('Aset Tetap'!$S94="Unit Produksi",99999,'Aset Tetap'!$Y94+'Aset Tetap'!$T94*12-1))),'Aset Tetap'!$AQ94/'Aset Tetap'!$AG94,0)))</f>
        <v/>
      </c>
      <c r="F94" s="22" t="str">
        <f>IF($B94="","",IF(N('Aset Tetap'!$AG94)=0,0,IF(AND((YEAR(F$6)*12+MONTH(F$6))&gt;='Aset Tetap'!$Y94,(YEAR(F$6)*12+MONTH(F$6))&lt;=MIN('Aset Tetap'!$Z94,IF('Aset Tetap'!$S94="Unit Produksi",99999,'Aset Tetap'!$Y94+'Aset Tetap'!$T94*12-1))),'Aset Tetap'!$AQ94/'Aset Tetap'!$AG94,0)))</f>
        <v/>
      </c>
      <c r="G94" s="22" t="str">
        <f>IF($B94="","",IF(N('Aset Tetap'!$AG94)=0,0,IF(AND((YEAR(G$6)*12+MONTH(G$6))&gt;='Aset Tetap'!$Y94,(YEAR(G$6)*12+MONTH(G$6))&lt;=MIN('Aset Tetap'!$Z94,IF('Aset Tetap'!$S94="Unit Produksi",99999,'Aset Tetap'!$Y94+'Aset Tetap'!$T94*12-1))),'Aset Tetap'!$AQ94/'Aset Tetap'!$AG94,0)))</f>
        <v/>
      </c>
      <c r="H94" s="22" t="str">
        <f>IF($B94="","",IF(N('Aset Tetap'!$AG94)=0,0,IF(AND((YEAR(H$6)*12+MONTH(H$6))&gt;='Aset Tetap'!$Y94,(YEAR(H$6)*12+MONTH(H$6))&lt;=MIN('Aset Tetap'!$Z94,IF('Aset Tetap'!$S94="Unit Produksi",99999,'Aset Tetap'!$Y94+'Aset Tetap'!$T94*12-1))),'Aset Tetap'!$AQ94/'Aset Tetap'!$AG94,0)))</f>
        <v/>
      </c>
      <c r="I94" s="22" t="str">
        <f>IF($B94="","",IF(N('Aset Tetap'!$AG94)=0,0,IF(AND((YEAR(I$6)*12+MONTH(I$6))&gt;='Aset Tetap'!$Y94,(YEAR(I$6)*12+MONTH(I$6))&lt;=MIN('Aset Tetap'!$Z94,IF('Aset Tetap'!$S94="Unit Produksi",99999,'Aset Tetap'!$Y94+'Aset Tetap'!$T94*12-1))),'Aset Tetap'!$AQ94/'Aset Tetap'!$AG94,0)))</f>
        <v/>
      </c>
      <c r="J94" s="22" t="str">
        <f>IF($B94="","",IF(N('Aset Tetap'!$AG94)=0,0,IF(AND((YEAR(J$6)*12+MONTH(J$6))&gt;='Aset Tetap'!$Y94,(YEAR(J$6)*12+MONTH(J$6))&lt;=MIN('Aset Tetap'!$Z94,IF('Aset Tetap'!$S94="Unit Produksi",99999,'Aset Tetap'!$Y94+'Aset Tetap'!$T94*12-1))),'Aset Tetap'!$AQ94/'Aset Tetap'!$AG94,0)))</f>
        <v/>
      </c>
      <c r="K94" s="22" t="str">
        <f>IF($B94="","",IF(N('Aset Tetap'!$AG94)=0,0,IF(AND((YEAR(K$6)*12+MONTH(K$6))&gt;='Aset Tetap'!$Y94,(YEAR(K$6)*12+MONTH(K$6))&lt;=MIN('Aset Tetap'!$Z94,IF('Aset Tetap'!$S94="Unit Produksi",99999,'Aset Tetap'!$Y94+'Aset Tetap'!$T94*12-1))),'Aset Tetap'!$AQ94/'Aset Tetap'!$AG94,0)))</f>
        <v/>
      </c>
      <c r="L94" s="22" t="str">
        <f>IF($B94="","",IF(N('Aset Tetap'!$AG94)=0,0,IF(AND((YEAR(L$6)*12+MONTH(L$6))&gt;='Aset Tetap'!$Y94,(YEAR(L$6)*12+MONTH(L$6))&lt;=MIN('Aset Tetap'!$Z94,IF('Aset Tetap'!$S94="Unit Produksi",99999,'Aset Tetap'!$Y94+'Aset Tetap'!$T94*12-1))),'Aset Tetap'!$AQ94/'Aset Tetap'!$AG94,0)))</f>
        <v/>
      </c>
      <c r="M94" s="22" t="str">
        <f>IF($B94="","",IF(N('Aset Tetap'!$AG94)=0,0,IF(AND((YEAR(M$6)*12+MONTH(M$6))&gt;='Aset Tetap'!$Y94,(YEAR(M$6)*12+MONTH(M$6))&lt;=MIN('Aset Tetap'!$Z94,IF('Aset Tetap'!$S94="Unit Produksi",99999,'Aset Tetap'!$Y94+'Aset Tetap'!$T94*12-1))),'Aset Tetap'!$AQ94/'Aset Tetap'!$AG94,0)))</f>
        <v/>
      </c>
      <c r="N94" s="22" t="str">
        <f>IF($B94="","",IF(N('Aset Tetap'!$AG94)=0,0,IF(AND((YEAR(N$6)*12+MONTH(N$6))&gt;='Aset Tetap'!$Y94,(YEAR(N$6)*12+MONTH(N$6))&lt;=MIN('Aset Tetap'!$Z94,IF('Aset Tetap'!$S94="Unit Produksi",99999,'Aset Tetap'!$Y94+'Aset Tetap'!$T94*12-1))),'Aset Tetap'!$AQ94/'Aset Tetap'!$AG94,0)))</f>
        <v/>
      </c>
      <c r="O94" s="22" t="str">
        <f>IF($B94="","",IF(N('Aset Tetap'!$AG94)=0,0,IF(AND((YEAR(O$6)*12+MONTH(O$6))&gt;='Aset Tetap'!$Y94,(YEAR(O$6)*12+MONTH(O$6))&lt;=MIN('Aset Tetap'!$Z94,IF('Aset Tetap'!$S94="Unit Produksi",99999,'Aset Tetap'!$Y94+'Aset Tetap'!$T94*12-1))),'Aset Tetap'!$AQ94/'Aset Tetap'!$AG94,0)))</f>
        <v/>
      </c>
      <c r="P94" s="22" t="str">
        <f>IF($B94="","",IF(N('Aset Tetap'!$AG94)=0,0,IF(AND((YEAR(P$6)*12+MONTH(P$6))&gt;='Aset Tetap'!$Y94,(YEAR(P$6)*12+MONTH(P$6))&lt;=MIN('Aset Tetap'!$Z94,IF('Aset Tetap'!$S94="Unit Produksi",99999,'Aset Tetap'!$Y94+'Aset Tetap'!$T94*12-1))),'Aset Tetap'!$AQ94/'Aset Tetap'!$AG94,0)))</f>
        <v/>
      </c>
      <c r="Q94" s="22" t="str">
        <f>IF($B94="","",SUM(E94:P94))</f>
        <v/>
      </c>
      <c r="R94" s="22" t="str">
        <f>IF($B94="","",'Aset Tetap'!AQ94)</f>
        <v/>
      </c>
      <c r="S94" s="22" t="str">
        <f>IF($B94="","",ROUND(Q94-R94,0))</f>
        <v/>
      </c>
    </row>
    <row r="95" spans="1:19" x14ac:dyDescent="0.25">
      <c r="A95" t="str">
        <f>IF('Aset Tetap'!$B95="","",'Aset Tetap'!A95)</f>
        <v/>
      </c>
      <c r="B95" t="str">
        <f>IF('Aset Tetap'!$B95="","",'Aset Tetap'!B95)</f>
        <v/>
      </c>
      <c r="C95" t="str">
        <f>IF('Aset Tetap'!$B95="","",'Aset Tetap'!C95)</f>
        <v/>
      </c>
      <c r="D95" t="str">
        <f>IF('Aset Tetap'!$B95="","",'Aset Tetap'!D95)</f>
        <v/>
      </c>
      <c r="E95" s="22" t="str">
        <f>IF($B95="","",IF(N('Aset Tetap'!$AG95)=0,0,IF(AND((YEAR(E$6)*12+MONTH(E$6))&gt;='Aset Tetap'!$Y95,(YEAR(E$6)*12+MONTH(E$6))&lt;=MIN('Aset Tetap'!$Z95,IF('Aset Tetap'!$S95="Unit Produksi",99999,'Aset Tetap'!$Y95+'Aset Tetap'!$T95*12-1))),'Aset Tetap'!$AQ95/'Aset Tetap'!$AG95,0)))</f>
        <v/>
      </c>
      <c r="F95" s="22" t="str">
        <f>IF($B95="","",IF(N('Aset Tetap'!$AG95)=0,0,IF(AND((YEAR(F$6)*12+MONTH(F$6))&gt;='Aset Tetap'!$Y95,(YEAR(F$6)*12+MONTH(F$6))&lt;=MIN('Aset Tetap'!$Z95,IF('Aset Tetap'!$S95="Unit Produksi",99999,'Aset Tetap'!$Y95+'Aset Tetap'!$T95*12-1))),'Aset Tetap'!$AQ95/'Aset Tetap'!$AG95,0)))</f>
        <v/>
      </c>
      <c r="G95" s="22" t="str">
        <f>IF($B95="","",IF(N('Aset Tetap'!$AG95)=0,0,IF(AND((YEAR(G$6)*12+MONTH(G$6))&gt;='Aset Tetap'!$Y95,(YEAR(G$6)*12+MONTH(G$6))&lt;=MIN('Aset Tetap'!$Z95,IF('Aset Tetap'!$S95="Unit Produksi",99999,'Aset Tetap'!$Y95+'Aset Tetap'!$T95*12-1))),'Aset Tetap'!$AQ95/'Aset Tetap'!$AG95,0)))</f>
        <v/>
      </c>
      <c r="H95" s="22" t="str">
        <f>IF($B95="","",IF(N('Aset Tetap'!$AG95)=0,0,IF(AND((YEAR(H$6)*12+MONTH(H$6))&gt;='Aset Tetap'!$Y95,(YEAR(H$6)*12+MONTH(H$6))&lt;=MIN('Aset Tetap'!$Z95,IF('Aset Tetap'!$S95="Unit Produksi",99999,'Aset Tetap'!$Y95+'Aset Tetap'!$T95*12-1))),'Aset Tetap'!$AQ95/'Aset Tetap'!$AG95,0)))</f>
        <v/>
      </c>
      <c r="I95" s="22" t="str">
        <f>IF($B95="","",IF(N('Aset Tetap'!$AG95)=0,0,IF(AND((YEAR(I$6)*12+MONTH(I$6))&gt;='Aset Tetap'!$Y95,(YEAR(I$6)*12+MONTH(I$6))&lt;=MIN('Aset Tetap'!$Z95,IF('Aset Tetap'!$S95="Unit Produksi",99999,'Aset Tetap'!$Y95+'Aset Tetap'!$T95*12-1))),'Aset Tetap'!$AQ95/'Aset Tetap'!$AG95,0)))</f>
        <v/>
      </c>
      <c r="J95" s="22" t="str">
        <f>IF($B95="","",IF(N('Aset Tetap'!$AG95)=0,0,IF(AND((YEAR(J$6)*12+MONTH(J$6))&gt;='Aset Tetap'!$Y95,(YEAR(J$6)*12+MONTH(J$6))&lt;=MIN('Aset Tetap'!$Z95,IF('Aset Tetap'!$S95="Unit Produksi",99999,'Aset Tetap'!$Y95+'Aset Tetap'!$T95*12-1))),'Aset Tetap'!$AQ95/'Aset Tetap'!$AG95,0)))</f>
        <v/>
      </c>
      <c r="K95" s="22" t="str">
        <f>IF($B95="","",IF(N('Aset Tetap'!$AG95)=0,0,IF(AND((YEAR(K$6)*12+MONTH(K$6))&gt;='Aset Tetap'!$Y95,(YEAR(K$6)*12+MONTH(K$6))&lt;=MIN('Aset Tetap'!$Z95,IF('Aset Tetap'!$S95="Unit Produksi",99999,'Aset Tetap'!$Y95+'Aset Tetap'!$T95*12-1))),'Aset Tetap'!$AQ95/'Aset Tetap'!$AG95,0)))</f>
        <v/>
      </c>
      <c r="L95" s="22" t="str">
        <f>IF($B95="","",IF(N('Aset Tetap'!$AG95)=0,0,IF(AND((YEAR(L$6)*12+MONTH(L$6))&gt;='Aset Tetap'!$Y95,(YEAR(L$6)*12+MONTH(L$6))&lt;=MIN('Aset Tetap'!$Z95,IF('Aset Tetap'!$S95="Unit Produksi",99999,'Aset Tetap'!$Y95+'Aset Tetap'!$T95*12-1))),'Aset Tetap'!$AQ95/'Aset Tetap'!$AG95,0)))</f>
        <v/>
      </c>
      <c r="M95" s="22" t="str">
        <f>IF($B95="","",IF(N('Aset Tetap'!$AG95)=0,0,IF(AND((YEAR(M$6)*12+MONTH(M$6))&gt;='Aset Tetap'!$Y95,(YEAR(M$6)*12+MONTH(M$6))&lt;=MIN('Aset Tetap'!$Z95,IF('Aset Tetap'!$S95="Unit Produksi",99999,'Aset Tetap'!$Y95+'Aset Tetap'!$T95*12-1))),'Aset Tetap'!$AQ95/'Aset Tetap'!$AG95,0)))</f>
        <v/>
      </c>
      <c r="N95" s="22" t="str">
        <f>IF($B95="","",IF(N('Aset Tetap'!$AG95)=0,0,IF(AND((YEAR(N$6)*12+MONTH(N$6))&gt;='Aset Tetap'!$Y95,(YEAR(N$6)*12+MONTH(N$6))&lt;=MIN('Aset Tetap'!$Z95,IF('Aset Tetap'!$S95="Unit Produksi",99999,'Aset Tetap'!$Y95+'Aset Tetap'!$T95*12-1))),'Aset Tetap'!$AQ95/'Aset Tetap'!$AG95,0)))</f>
        <v/>
      </c>
      <c r="O95" s="22" t="str">
        <f>IF($B95="","",IF(N('Aset Tetap'!$AG95)=0,0,IF(AND((YEAR(O$6)*12+MONTH(O$6))&gt;='Aset Tetap'!$Y95,(YEAR(O$6)*12+MONTH(O$6))&lt;=MIN('Aset Tetap'!$Z95,IF('Aset Tetap'!$S95="Unit Produksi",99999,'Aset Tetap'!$Y95+'Aset Tetap'!$T95*12-1))),'Aset Tetap'!$AQ95/'Aset Tetap'!$AG95,0)))</f>
        <v/>
      </c>
      <c r="P95" s="22" t="str">
        <f>IF($B95="","",IF(N('Aset Tetap'!$AG95)=0,0,IF(AND((YEAR(P$6)*12+MONTH(P$6))&gt;='Aset Tetap'!$Y95,(YEAR(P$6)*12+MONTH(P$6))&lt;=MIN('Aset Tetap'!$Z95,IF('Aset Tetap'!$S95="Unit Produksi",99999,'Aset Tetap'!$Y95+'Aset Tetap'!$T95*12-1))),'Aset Tetap'!$AQ95/'Aset Tetap'!$AG95,0)))</f>
        <v/>
      </c>
      <c r="Q95" s="22" t="str">
        <f>IF($B95="","",SUM(E95:P95))</f>
        <v/>
      </c>
      <c r="R95" s="22" t="str">
        <f>IF($B95="","",'Aset Tetap'!AQ95)</f>
        <v/>
      </c>
      <c r="S95" s="22" t="str">
        <f>IF($B95="","",ROUND(Q95-R95,0))</f>
        <v/>
      </c>
    </row>
    <row r="96" spans="1:19" x14ac:dyDescent="0.25">
      <c r="A96" t="str">
        <f>IF('Aset Tetap'!$B96="","",'Aset Tetap'!A96)</f>
        <v/>
      </c>
      <c r="B96" t="str">
        <f>IF('Aset Tetap'!$B96="","",'Aset Tetap'!B96)</f>
        <v/>
      </c>
      <c r="C96" t="str">
        <f>IF('Aset Tetap'!$B96="","",'Aset Tetap'!C96)</f>
        <v/>
      </c>
      <c r="D96" t="str">
        <f>IF('Aset Tetap'!$B96="","",'Aset Tetap'!D96)</f>
        <v/>
      </c>
      <c r="E96" s="22" t="str">
        <f>IF($B96="","",IF(N('Aset Tetap'!$AG96)=0,0,IF(AND((YEAR(E$6)*12+MONTH(E$6))&gt;='Aset Tetap'!$Y96,(YEAR(E$6)*12+MONTH(E$6))&lt;=MIN('Aset Tetap'!$Z96,IF('Aset Tetap'!$S96="Unit Produksi",99999,'Aset Tetap'!$Y96+'Aset Tetap'!$T96*12-1))),'Aset Tetap'!$AQ96/'Aset Tetap'!$AG96,0)))</f>
        <v/>
      </c>
      <c r="F96" s="22" t="str">
        <f>IF($B96="","",IF(N('Aset Tetap'!$AG96)=0,0,IF(AND((YEAR(F$6)*12+MONTH(F$6))&gt;='Aset Tetap'!$Y96,(YEAR(F$6)*12+MONTH(F$6))&lt;=MIN('Aset Tetap'!$Z96,IF('Aset Tetap'!$S96="Unit Produksi",99999,'Aset Tetap'!$Y96+'Aset Tetap'!$T96*12-1))),'Aset Tetap'!$AQ96/'Aset Tetap'!$AG96,0)))</f>
        <v/>
      </c>
      <c r="G96" s="22" t="str">
        <f>IF($B96="","",IF(N('Aset Tetap'!$AG96)=0,0,IF(AND((YEAR(G$6)*12+MONTH(G$6))&gt;='Aset Tetap'!$Y96,(YEAR(G$6)*12+MONTH(G$6))&lt;=MIN('Aset Tetap'!$Z96,IF('Aset Tetap'!$S96="Unit Produksi",99999,'Aset Tetap'!$Y96+'Aset Tetap'!$T96*12-1))),'Aset Tetap'!$AQ96/'Aset Tetap'!$AG96,0)))</f>
        <v/>
      </c>
      <c r="H96" s="22" t="str">
        <f>IF($B96="","",IF(N('Aset Tetap'!$AG96)=0,0,IF(AND((YEAR(H$6)*12+MONTH(H$6))&gt;='Aset Tetap'!$Y96,(YEAR(H$6)*12+MONTH(H$6))&lt;=MIN('Aset Tetap'!$Z96,IF('Aset Tetap'!$S96="Unit Produksi",99999,'Aset Tetap'!$Y96+'Aset Tetap'!$T96*12-1))),'Aset Tetap'!$AQ96/'Aset Tetap'!$AG96,0)))</f>
        <v/>
      </c>
      <c r="I96" s="22" t="str">
        <f>IF($B96="","",IF(N('Aset Tetap'!$AG96)=0,0,IF(AND((YEAR(I$6)*12+MONTH(I$6))&gt;='Aset Tetap'!$Y96,(YEAR(I$6)*12+MONTH(I$6))&lt;=MIN('Aset Tetap'!$Z96,IF('Aset Tetap'!$S96="Unit Produksi",99999,'Aset Tetap'!$Y96+'Aset Tetap'!$T96*12-1))),'Aset Tetap'!$AQ96/'Aset Tetap'!$AG96,0)))</f>
        <v/>
      </c>
      <c r="J96" s="22" t="str">
        <f>IF($B96="","",IF(N('Aset Tetap'!$AG96)=0,0,IF(AND((YEAR(J$6)*12+MONTH(J$6))&gt;='Aset Tetap'!$Y96,(YEAR(J$6)*12+MONTH(J$6))&lt;=MIN('Aset Tetap'!$Z96,IF('Aset Tetap'!$S96="Unit Produksi",99999,'Aset Tetap'!$Y96+'Aset Tetap'!$T96*12-1))),'Aset Tetap'!$AQ96/'Aset Tetap'!$AG96,0)))</f>
        <v/>
      </c>
      <c r="K96" s="22" t="str">
        <f>IF($B96="","",IF(N('Aset Tetap'!$AG96)=0,0,IF(AND((YEAR(K$6)*12+MONTH(K$6))&gt;='Aset Tetap'!$Y96,(YEAR(K$6)*12+MONTH(K$6))&lt;=MIN('Aset Tetap'!$Z96,IF('Aset Tetap'!$S96="Unit Produksi",99999,'Aset Tetap'!$Y96+'Aset Tetap'!$T96*12-1))),'Aset Tetap'!$AQ96/'Aset Tetap'!$AG96,0)))</f>
        <v/>
      </c>
      <c r="L96" s="22" t="str">
        <f>IF($B96="","",IF(N('Aset Tetap'!$AG96)=0,0,IF(AND((YEAR(L$6)*12+MONTH(L$6))&gt;='Aset Tetap'!$Y96,(YEAR(L$6)*12+MONTH(L$6))&lt;=MIN('Aset Tetap'!$Z96,IF('Aset Tetap'!$S96="Unit Produksi",99999,'Aset Tetap'!$Y96+'Aset Tetap'!$T96*12-1))),'Aset Tetap'!$AQ96/'Aset Tetap'!$AG96,0)))</f>
        <v/>
      </c>
      <c r="M96" s="22" t="str">
        <f>IF($B96="","",IF(N('Aset Tetap'!$AG96)=0,0,IF(AND((YEAR(M$6)*12+MONTH(M$6))&gt;='Aset Tetap'!$Y96,(YEAR(M$6)*12+MONTH(M$6))&lt;=MIN('Aset Tetap'!$Z96,IF('Aset Tetap'!$S96="Unit Produksi",99999,'Aset Tetap'!$Y96+'Aset Tetap'!$T96*12-1))),'Aset Tetap'!$AQ96/'Aset Tetap'!$AG96,0)))</f>
        <v/>
      </c>
      <c r="N96" s="22" t="str">
        <f>IF($B96="","",IF(N('Aset Tetap'!$AG96)=0,0,IF(AND((YEAR(N$6)*12+MONTH(N$6))&gt;='Aset Tetap'!$Y96,(YEAR(N$6)*12+MONTH(N$6))&lt;=MIN('Aset Tetap'!$Z96,IF('Aset Tetap'!$S96="Unit Produksi",99999,'Aset Tetap'!$Y96+'Aset Tetap'!$T96*12-1))),'Aset Tetap'!$AQ96/'Aset Tetap'!$AG96,0)))</f>
        <v/>
      </c>
      <c r="O96" s="22" t="str">
        <f>IF($B96="","",IF(N('Aset Tetap'!$AG96)=0,0,IF(AND((YEAR(O$6)*12+MONTH(O$6))&gt;='Aset Tetap'!$Y96,(YEAR(O$6)*12+MONTH(O$6))&lt;=MIN('Aset Tetap'!$Z96,IF('Aset Tetap'!$S96="Unit Produksi",99999,'Aset Tetap'!$Y96+'Aset Tetap'!$T96*12-1))),'Aset Tetap'!$AQ96/'Aset Tetap'!$AG96,0)))</f>
        <v/>
      </c>
      <c r="P96" s="22" t="str">
        <f>IF($B96="","",IF(N('Aset Tetap'!$AG96)=0,0,IF(AND((YEAR(P$6)*12+MONTH(P$6))&gt;='Aset Tetap'!$Y96,(YEAR(P$6)*12+MONTH(P$6))&lt;=MIN('Aset Tetap'!$Z96,IF('Aset Tetap'!$S96="Unit Produksi",99999,'Aset Tetap'!$Y96+'Aset Tetap'!$T96*12-1))),'Aset Tetap'!$AQ96/'Aset Tetap'!$AG96,0)))</f>
        <v/>
      </c>
      <c r="Q96" s="22" t="str">
        <f>IF($B96="","",SUM(E96:P96))</f>
        <v/>
      </c>
      <c r="R96" s="22" t="str">
        <f>IF($B96="","",'Aset Tetap'!AQ96)</f>
        <v/>
      </c>
      <c r="S96" s="22" t="str">
        <f>IF($B96="","",ROUND(Q96-R96,0))</f>
        <v/>
      </c>
    </row>
    <row r="97" spans="1:19" x14ac:dyDescent="0.25">
      <c r="A97" t="str">
        <f>IF('Aset Tetap'!$B97="","",'Aset Tetap'!A97)</f>
        <v/>
      </c>
      <c r="B97" t="str">
        <f>IF('Aset Tetap'!$B97="","",'Aset Tetap'!B97)</f>
        <v/>
      </c>
      <c r="C97" t="str">
        <f>IF('Aset Tetap'!$B97="","",'Aset Tetap'!C97)</f>
        <v/>
      </c>
      <c r="D97" t="str">
        <f>IF('Aset Tetap'!$B97="","",'Aset Tetap'!D97)</f>
        <v/>
      </c>
      <c r="E97" s="22" t="str">
        <f>IF($B97="","",IF(N('Aset Tetap'!$AG97)=0,0,IF(AND((YEAR(E$6)*12+MONTH(E$6))&gt;='Aset Tetap'!$Y97,(YEAR(E$6)*12+MONTH(E$6))&lt;=MIN('Aset Tetap'!$Z97,IF('Aset Tetap'!$S97="Unit Produksi",99999,'Aset Tetap'!$Y97+'Aset Tetap'!$T97*12-1))),'Aset Tetap'!$AQ97/'Aset Tetap'!$AG97,0)))</f>
        <v/>
      </c>
      <c r="F97" s="22" t="str">
        <f>IF($B97="","",IF(N('Aset Tetap'!$AG97)=0,0,IF(AND((YEAR(F$6)*12+MONTH(F$6))&gt;='Aset Tetap'!$Y97,(YEAR(F$6)*12+MONTH(F$6))&lt;=MIN('Aset Tetap'!$Z97,IF('Aset Tetap'!$S97="Unit Produksi",99999,'Aset Tetap'!$Y97+'Aset Tetap'!$T97*12-1))),'Aset Tetap'!$AQ97/'Aset Tetap'!$AG97,0)))</f>
        <v/>
      </c>
      <c r="G97" s="22" t="str">
        <f>IF($B97="","",IF(N('Aset Tetap'!$AG97)=0,0,IF(AND((YEAR(G$6)*12+MONTH(G$6))&gt;='Aset Tetap'!$Y97,(YEAR(G$6)*12+MONTH(G$6))&lt;=MIN('Aset Tetap'!$Z97,IF('Aset Tetap'!$S97="Unit Produksi",99999,'Aset Tetap'!$Y97+'Aset Tetap'!$T97*12-1))),'Aset Tetap'!$AQ97/'Aset Tetap'!$AG97,0)))</f>
        <v/>
      </c>
      <c r="H97" s="22" t="str">
        <f>IF($B97="","",IF(N('Aset Tetap'!$AG97)=0,0,IF(AND((YEAR(H$6)*12+MONTH(H$6))&gt;='Aset Tetap'!$Y97,(YEAR(H$6)*12+MONTH(H$6))&lt;=MIN('Aset Tetap'!$Z97,IF('Aset Tetap'!$S97="Unit Produksi",99999,'Aset Tetap'!$Y97+'Aset Tetap'!$T97*12-1))),'Aset Tetap'!$AQ97/'Aset Tetap'!$AG97,0)))</f>
        <v/>
      </c>
      <c r="I97" s="22" t="str">
        <f>IF($B97="","",IF(N('Aset Tetap'!$AG97)=0,0,IF(AND((YEAR(I$6)*12+MONTH(I$6))&gt;='Aset Tetap'!$Y97,(YEAR(I$6)*12+MONTH(I$6))&lt;=MIN('Aset Tetap'!$Z97,IF('Aset Tetap'!$S97="Unit Produksi",99999,'Aset Tetap'!$Y97+'Aset Tetap'!$T97*12-1))),'Aset Tetap'!$AQ97/'Aset Tetap'!$AG97,0)))</f>
        <v/>
      </c>
      <c r="J97" s="22" t="str">
        <f>IF($B97="","",IF(N('Aset Tetap'!$AG97)=0,0,IF(AND((YEAR(J$6)*12+MONTH(J$6))&gt;='Aset Tetap'!$Y97,(YEAR(J$6)*12+MONTH(J$6))&lt;=MIN('Aset Tetap'!$Z97,IF('Aset Tetap'!$S97="Unit Produksi",99999,'Aset Tetap'!$Y97+'Aset Tetap'!$T97*12-1))),'Aset Tetap'!$AQ97/'Aset Tetap'!$AG97,0)))</f>
        <v/>
      </c>
      <c r="K97" s="22" t="str">
        <f>IF($B97="","",IF(N('Aset Tetap'!$AG97)=0,0,IF(AND((YEAR(K$6)*12+MONTH(K$6))&gt;='Aset Tetap'!$Y97,(YEAR(K$6)*12+MONTH(K$6))&lt;=MIN('Aset Tetap'!$Z97,IF('Aset Tetap'!$S97="Unit Produksi",99999,'Aset Tetap'!$Y97+'Aset Tetap'!$T97*12-1))),'Aset Tetap'!$AQ97/'Aset Tetap'!$AG97,0)))</f>
        <v/>
      </c>
      <c r="L97" s="22" t="str">
        <f>IF($B97="","",IF(N('Aset Tetap'!$AG97)=0,0,IF(AND((YEAR(L$6)*12+MONTH(L$6))&gt;='Aset Tetap'!$Y97,(YEAR(L$6)*12+MONTH(L$6))&lt;=MIN('Aset Tetap'!$Z97,IF('Aset Tetap'!$S97="Unit Produksi",99999,'Aset Tetap'!$Y97+'Aset Tetap'!$T97*12-1))),'Aset Tetap'!$AQ97/'Aset Tetap'!$AG97,0)))</f>
        <v/>
      </c>
      <c r="M97" s="22" t="str">
        <f>IF($B97="","",IF(N('Aset Tetap'!$AG97)=0,0,IF(AND((YEAR(M$6)*12+MONTH(M$6))&gt;='Aset Tetap'!$Y97,(YEAR(M$6)*12+MONTH(M$6))&lt;=MIN('Aset Tetap'!$Z97,IF('Aset Tetap'!$S97="Unit Produksi",99999,'Aset Tetap'!$Y97+'Aset Tetap'!$T97*12-1))),'Aset Tetap'!$AQ97/'Aset Tetap'!$AG97,0)))</f>
        <v/>
      </c>
      <c r="N97" s="22" t="str">
        <f>IF($B97="","",IF(N('Aset Tetap'!$AG97)=0,0,IF(AND((YEAR(N$6)*12+MONTH(N$6))&gt;='Aset Tetap'!$Y97,(YEAR(N$6)*12+MONTH(N$6))&lt;=MIN('Aset Tetap'!$Z97,IF('Aset Tetap'!$S97="Unit Produksi",99999,'Aset Tetap'!$Y97+'Aset Tetap'!$T97*12-1))),'Aset Tetap'!$AQ97/'Aset Tetap'!$AG97,0)))</f>
        <v/>
      </c>
      <c r="O97" s="22" t="str">
        <f>IF($B97="","",IF(N('Aset Tetap'!$AG97)=0,0,IF(AND((YEAR(O$6)*12+MONTH(O$6))&gt;='Aset Tetap'!$Y97,(YEAR(O$6)*12+MONTH(O$6))&lt;=MIN('Aset Tetap'!$Z97,IF('Aset Tetap'!$S97="Unit Produksi",99999,'Aset Tetap'!$Y97+'Aset Tetap'!$T97*12-1))),'Aset Tetap'!$AQ97/'Aset Tetap'!$AG97,0)))</f>
        <v/>
      </c>
      <c r="P97" s="22" t="str">
        <f>IF($B97="","",IF(N('Aset Tetap'!$AG97)=0,0,IF(AND((YEAR(P$6)*12+MONTH(P$6))&gt;='Aset Tetap'!$Y97,(YEAR(P$6)*12+MONTH(P$6))&lt;=MIN('Aset Tetap'!$Z97,IF('Aset Tetap'!$S97="Unit Produksi",99999,'Aset Tetap'!$Y97+'Aset Tetap'!$T97*12-1))),'Aset Tetap'!$AQ97/'Aset Tetap'!$AG97,0)))</f>
        <v/>
      </c>
      <c r="Q97" s="22" t="str">
        <f>IF($B97="","",SUM(E97:P97))</f>
        <v/>
      </c>
      <c r="R97" s="22" t="str">
        <f>IF($B97="","",'Aset Tetap'!AQ97)</f>
        <v/>
      </c>
      <c r="S97" s="22" t="str">
        <f>IF($B97="","",ROUND(Q97-R97,0))</f>
        <v/>
      </c>
    </row>
    <row r="98" spans="1:19" x14ac:dyDescent="0.25">
      <c r="A98" t="str">
        <f>IF('Aset Tetap'!$B98="","",'Aset Tetap'!A98)</f>
        <v/>
      </c>
      <c r="B98" t="str">
        <f>IF('Aset Tetap'!$B98="","",'Aset Tetap'!B98)</f>
        <v/>
      </c>
      <c r="C98" t="str">
        <f>IF('Aset Tetap'!$B98="","",'Aset Tetap'!C98)</f>
        <v/>
      </c>
      <c r="D98" t="str">
        <f>IF('Aset Tetap'!$B98="","",'Aset Tetap'!D98)</f>
        <v/>
      </c>
      <c r="E98" s="22" t="str">
        <f>IF($B98="","",IF(N('Aset Tetap'!$AG98)=0,0,IF(AND((YEAR(E$6)*12+MONTH(E$6))&gt;='Aset Tetap'!$Y98,(YEAR(E$6)*12+MONTH(E$6))&lt;=MIN('Aset Tetap'!$Z98,IF('Aset Tetap'!$S98="Unit Produksi",99999,'Aset Tetap'!$Y98+'Aset Tetap'!$T98*12-1))),'Aset Tetap'!$AQ98/'Aset Tetap'!$AG98,0)))</f>
        <v/>
      </c>
      <c r="F98" s="22" t="str">
        <f>IF($B98="","",IF(N('Aset Tetap'!$AG98)=0,0,IF(AND((YEAR(F$6)*12+MONTH(F$6))&gt;='Aset Tetap'!$Y98,(YEAR(F$6)*12+MONTH(F$6))&lt;=MIN('Aset Tetap'!$Z98,IF('Aset Tetap'!$S98="Unit Produksi",99999,'Aset Tetap'!$Y98+'Aset Tetap'!$T98*12-1))),'Aset Tetap'!$AQ98/'Aset Tetap'!$AG98,0)))</f>
        <v/>
      </c>
      <c r="G98" s="22" t="str">
        <f>IF($B98="","",IF(N('Aset Tetap'!$AG98)=0,0,IF(AND((YEAR(G$6)*12+MONTH(G$6))&gt;='Aset Tetap'!$Y98,(YEAR(G$6)*12+MONTH(G$6))&lt;=MIN('Aset Tetap'!$Z98,IF('Aset Tetap'!$S98="Unit Produksi",99999,'Aset Tetap'!$Y98+'Aset Tetap'!$T98*12-1))),'Aset Tetap'!$AQ98/'Aset Tetap'!$AG98,0)))</f>
        <v/>
      </c>
      <c r="H98" s="22" t="str">
        <f>IF($B98="","",IF(N('Aset Tetap'!$AG98)=0,0,IF(AND((YEAR(H$6)*12+MONTH(H$6))&gt;='Aset Tetap'!$Y98,(YEAR(H$6)*12+MONTH(H$6))&lt;=MIN('Aset Tetap'!$Z98,IF('Aset Tetap'!$S98="Unit Produksi",99999,'Aset Tetap'!$Y98+'Aset Tetap'!$T98*12-1))),'Aset Tetap'!$AQ98/'Aset Tetap'!$AG98,0)))</f>
        <v/>
      </c>
      <c r="I98" s="22" t="str">
        <f>IF($B98="","",IF(N('Aset Tetap'!$AG98)=0,0,IF(AND((YEAR(I$6)*12+MONTH(I$6))&gt;='Aset Tetap'!$Y98,(YEAR(I$6)*12+MONTH(I$6))&lt;=MIN('Aset Tetap'!$Z98,IF('Aset Tetap'!$S98="Unit Produksi",99999,'Aset Tetap'!$Y98+'Aset Tetap'!$T98*12-1))),'Aset Tetap'!$AQ98/'Aset Tetap'!$AG98,0)))</f>
        <v/>
      </c>
      <c r="J98" s="22" t="str">
        <f>IF($B98="","",IF(N('Aset Tetap'!$AG98)=0,0,IF(AND((YEAR(J$6)*12+MONTH(J$6))&gt;='Aset Tetap'!$Y98,(YEAR(J$6)*12+MONTH(J$6))&lt;=MIN('Aset Tetap'!$Z98,IF('Aset Tetap'!$S98="Unit Produksi",99999,'Aset Tetap'!$Y98+'Aset Tetap'!$T98*12-1))),'Aset Tetap'!$AQ98/'Aset Tetap'!$AG98,0)))</f>
        <v/>
      </c>
      <c r="K98" s="22" t="str">
        <f>IF($B98="","",IF(N('Aset Tetap'!$AG98)=0,0,IF(AND((YEAR(K$6)*12+MONTH(K$6))&gt;='Aset Tetap'!$Y98,(YEAR(K$6)*12+MONTH(K$6))&lt;=MIN('Aset Tetap'!$Z98,IF('Aset Tetap'!$S98="Unit Produksi",99999,'Aset Tetap'!$Y98+'Aset Tetap'!$T98*12-1))),'Aset Tetap'!$AQ98/'Aset Tetap'!$AG98,0)))</f>
        <v/>
      </c>
      <c r="L98" s="22" t="str">
        <f>IF($B98="","",IF(N('Aset Tetap'!$AG98)=0,0,IF(AND((YEAR(L$6)*12+MONTH(L$6))&gt;='Aset Tetap'!$Y98,(YEAR(L$6)*12+MONTH(L$6))&lt;=MIN('Aset Tetap'!$Z98,IF('Aset Tetap'!$S98="Unit Produksi",99999,'Aset Tetap'!$Y98+'Aset Tetap'!$T98*12-1))),'Aset Tetap'!$AQ98/'Aset Tetap'!$AG98,0)))</f>
        <v/>
      </c>
      <c r="M98" s="22" t="str">
        <f>IF($B98="","",IF(N('Aset Tetap'!$AG98)=0,0,IF(AND((YEAR(M$6)*12+MONTH(M$6))&gt;='Aset Tetap'!$Y98,(YEAR(M$6)*12+MONTH(M$6))&lt;=MIN('Aset Tetap'!$Z98,IF('Aset Tetap'!$S98="Unit Produksi",99999,'Aset Tetap'!$Y98+'Aset Tetap'!$T98*12-1))),'Aset Tetap'!$AQ98/'Aset Tetap'!$AG98,0)))</f>
        <v/>
      </c>
      <c r="N98" s="22" t="str">
        <f>IF($B98="","",IF(N('Aset Tetap'!$AG98)=0,0,IF(AND((YEAR(N$6)*12+MONTH(N$6))&gt;='Aset Tetap'!$Y98,(YEAR(N$6)*12+MONTH(N$6))&lt;=MIN('Aset Tetap'!$Z98,IF('Aset Tetap'!$S98="Unit Produksi",99999,'Aset Tetap'!$Y98+'Aset Tetap'!$T98*12-1))),'Aset Tetap'!$AQ98/'Aset Tetap'!$AG98,0)))</f>
        <v/>
      </c>
      <c r="O98" s="22" t="str">
        <f>IF($B98="","",IF(N('Aset Tetap'!$AG98)=0,0,IF(AND((YEAR(O$6)*12+MONTH(O$6))&gt;='Aset Tetap'!$Y98,(YEAR(O$6)*12+MONTH(O$6))&lt;=MIN('Aset Tetap'!$Z98,IF('Aset Tetap'!$S98="Unit Produksi",99999,'Aset Tetap'!$Y98+'Aset Tetap'!$T98*12-1))),'Aset Tetap'!$AQ98/'Aset Tetap'!$AG98,0)))</f>
        <v/>
      </c>
      <c r="P98" s="22" t="str">
        <f>IF($B98="","",IF(N('Aset Tetap'!$AG98)=0,0,IF(AND((YEAR(P$6)*12+MONTH(P$6))&gt;='Aset Tetap'!$Y98,(YEAR(P$6)*12+MONTH(P$6))&lt;=MIN('Aset Tetap'!$Z98,IF('Aset Tetap'!$S98="Unit Produksi",99999,'Aset Tetap'!$Y98+'Aset Tetap'!$T98*12-1))),'Aset Tetap'!$AQ98/'Aset Tetap'!$AG98,0)))</f>
        <v/>
      </c>
      <c r="Q98" s="22" t="str">
        <f>IF($B98="","",SUM(E98:P98))</f>
        <v/>
      </c>
      <c r="R98" s="22" t="str">
        <f>IF($B98="","",'Aset Tetap'!AQ98)</f>
        <v/>
      </c>
      <c r="S98" s="22" t="str">
        <f>IF($B98="","",ROUND(Q98-R98,0))</f>
        <v/>
      </c>
    </row>
    <row r="99" spans="1:19" x14ac:dyDescent="0.25">
      <c r="A99" t="str">
        <f>IF('Aset Tetap'!$B99="","",'Aset Tetap'!A99)</f>
        <v/>
      </c>
      <c r="B99" t="str">
        <f>IF('Aset Tetap'!$B99="","",'Aset Tetap'!B99)</f>
        <v/>
      </c>
      <c r="C99" t="str">
        <f>IF('Aset Tetap'!$B99="","",'Aset Tetap'!C99)</f>
        <v/>
      </c>
      <c r="D99" t="str">
        <f>IF('Aset Tetap'!$B99="","",'Aset Tetap'!D99)</f>
        <v/>
      </c>
      <c r="E99" s="22" t="str">
        <f>IF($B99="","",IF(N('Aset Tetap'!$AG99)=0,0,IF(AND((YEAR(E$6)*12+MONTH(E$6))&gt;='Aset Tetap'!$Y99,(YEAR(E$6)*12+MONTH(E$6))&lt;=MIN('Aset Tetap'!$Z99,IF('Aset Tetap'!$S99="Unit Produksi",99999,'Aset Tetap'!$Y99+'Aset Tetap'!$T99*12-1))),'Aset Tetap'!$AQ99/'Aset Tetap'!$AG99,0)))</f>
        <v/>
      </c>
      <c r="F99" s="22" t="str">
        <f>IF($B99="","",IF(N('Aset Tetap'!$AG99)=0,0,IF(AND((YEAR(F$6)*12+MONTH(F$6))&gt;='Aset Tetap'!$Y99,(YEAR(F$6)*12+MONTH(F$6))&lt;=MIN('Aset Tetap'!$Z99,IF('Aset Tetap'!$S99="Unit Produksi",99999,'Aset Tetap'!$Y99+'Aset Tetap'!$T99*12-1))),'Aset Tetap'!$AQ99/'Aset Tetap'!$AG99,0)))</f>
        <v/>
      </c>
      <c r="G99" s="22" t="str">
        <f>IF($B99="","",IF(N('Aset Tetap'!$AG99)=0,0,IF(AND((YEAR(G$6)*12+MONTH(G$6))&gt;='Aset Tetap'!$Y99,(YEAR(G$6)*12+MONTH(G$6))&lt;=MIN('Aset Tetap'!$Z99,IF('Aset Tetap'!$S99="Unit Produksi",99999,'Aset Tetap'!$Y99+'Aset Tetap'!$T99*12-1))),'Aset Tetap'!$AQ99/'Aset Tetap'!$AG99,0)))</f>
        <v/>
      </c>
      <c r="H99" s="22" t="str">
        <f>IF($B99="","",IF(N('Aset Tetap'!$AG99)=0,0,IF(AND((YEAR(H$6)*12+MONTH(H$6))&gt;='Aset Tetap'!$Y99,(YEAR(H$6)*12+MONTH(H$6))&lt;=MIN('Aset Tetap'!$Z99,IF('Aset Tetap'!$S99="Unit Produksi",99999,'Aset Tetap'!$Y99+'Aset Tetap'!$T99*12-1))),'Aset Tetap'!$AQ99/'Aset Tetap'!$AG99,0)))</f>
        <v/>
      </c>
      <c r="I99" s="22" t="str">
        <f>IF($B99="","",IF(N('Aset Tetap'!$AG99)=0,0,IF(AND((YEAR(I$6)*12+MONTH(I$6))&gt;='Aset Tetap'!$Y99,(YEAR(I$6)*12+MONTH(I$6))&lt;=MIN('Aset Tetap'!$Z99,IF('Aset Tetap'!$S99="Unit Produksi",99999,'Aset Tetap'!$Y99+'Aset Tetap'!$T99*12-1))),'Aset Tetap'!$AQ99/'Aset Tetap'!$AG99,0)))</f>
        <v/>
      </c>
      <c r="J99" s="22" t="str">
        <f>IF($B99="","",IF(N('Aset Tetap'!$AG99)=0,0,IF(AND((YEAR(J$6)*12+MONTH(J$6))&gt;='Aset Tetap'!$Y99,(YEAR(J$6)*12+MONTH(J$6))&lt;=MIN('Aset Tetap'!$Z99,IF('Aset Tetap'!$S99="Unit Produksi",99999,'Aset Tetap'!$Y99+'Aset Tetap'!$T99*12-1))),'Aset Tetap'!$AQ99/'Aset Tetap'!$AG99,0)))</f>
        <v/>
      </c>
      <c r="K99" s="22" t="str">
        <f>IF($B99="","",IF(N('Aset Tetap'!$AG99)=0,0,IF(AND((YEAR(K$6)*12+MONTH(K$6))&gt;='Aset Tetap'!$Y99,(YEAR(K$6)*12+MONTH(K$6))&lt;=MIN('Aset Tetap'!$Z99,IF('Aset Tetap'!$S99="Unit Produksi",99999,'Aset Tetap'!$Y99+'Aset Tetap'!$T99*12-1))),'Aset Tetap'!$AQ99/'Aset Tetap'!$AG99,0)))</f>
        <v/>
      </c>
      <c r="L99" s="22" t="str">
        <f>IF($B99="","",IF(N('Aset Tetap'!$AG99)=0,0,IF(AND((YEAR(L$6)*12+MONTH(L$6))&gt;='Aset Tetap'!$Y99,(YEAR(L$6)*12+MONTH(L$6))&lt;=MIN('Aset Tetap'!$Z99,IF('Aset Tetap'!$S99="Unit Produksi",99999,'Aset Tetap'!$Y99+'Aset Tetap'!$T99*12-1))),'Aset Tetap'!$AQ99/'Aset Tetap'!$AG99,0)))</f>
        <v/>
      </c>
      <c r="M99" s="22" t="str">
        <f>IF($B99="","",IF(N('Aset Tetap'!$AG99)=0,0,IF(AND((YEAR(M$6)*12+MONTH(M$6))&gt;='Aset Tetap'!$Y99,(YEAR(M$6)*12+MONTH(M$6))&lt;=MIN('Aset Tetap'!$Z99,IF('Aset Tetap'!$S99="Unit Produksi",99999,'Aset Tetap'!$Y99+'Aset Tetap'!$T99*12-1))),'Aset Tetap'!$AQ99/'Aset Tetap'!$AG99,0)))</f>
        <v/>
      </c>
      <c r="N99" s="22" t="str">
        <f>IF($B99="","",IF(N('Aset Tetap'!$AG99)=0,0,IF(AND((YEAR(N$6)*12+MONTH(N$6))&gt;='Aset Tetap'!$Y99,(YEAR(N$6)*12+MONTH(N$6))&lt;=MIN('Aset Tetap'!$Z99,IF('Aset Tetap'!$S99="Unit Produksi",99999,'Aset Tetap'!$Y99+'Aset Tetap'!$T99*12-1))),'Aset Tetap'!$AQ99/'Aset Tetap'!$AG99,0)))</f>
        <v/>
      </c>
      <c r="O99" s="22" t="str">
        <f>IF($B99="","",IF(N('Aset Tetap'!$AG99)=0,0,IF(AND((YEAR(O$6)*12+MONTH(O$6))&gt;='Aset Tetap'!$Y99,(YEAR(O$6)*12+MONTH(O$6))&lt;=MIN('Aset Tetap'!$Z99,IF('Aset Tetap'!$S99="Unit Produksi",99999,'Aset Tetap'!$Y99+'Aset Tetap'!$T99*12-1))),'Aset Tetap'!$AQ99/'Aset Tetap'!$AG99,0)))</f>
        <v/>
      </c>
      <c r="P99" s="22" t="str">
        <f>IF($B99="","",IF(N('Aset Tetap'!$AG99)=0,0,IF(AND((YEAR(P$6)*12+MONTH(P$6))&gt;='Aset Tetap'!$Y99,(YEAR(P$6)*12+MONTH(P$6))&lt;=MIN('Aset Tetap'!$Z99,IF('Aset Tetap'!$S99="Unit Produksi",99999,'Aset Tetap'!$Y99+'Aset Tetap'!$T99*12-1))),'Aset Tetap'!$AQ99/'Aset Tetap'!$AG99,0)))</f>
        <v/>
      </c>
      <c r="Q99" s="22" t="str">
        <f>IF($B99="","",SUM(E99:P99))</f>
        <v/>
      </c>
      <c r="R99" s="22" t="str">
        <f>IF($B99="","",'Aset Tetap'!AQ99)</f>
        <v/>
      </c>
      <c r="S99" s="22" t="str">
        <f>IF($B99="","",ROUND(Q99-R99,0))</f>
        <v/>
      </c>
    </row>
    <row r="100" spans="1:19" x14ac:dyDescent="0.25">
      <c r="A100" t="str">
        <f>IF('Aset Tetap'!$B100="","",'Aset Tetap'!A100)</f>
        <v/>
      </c>
      <c r="B100" t="str">
        <f>IF('Aset Tetap'!$B100="","",'Aset Tetap'!B100)</f>
        <v/>
      </c>
      <c r="C100" t="str">
        <f>IF('Aset Tetap'!$B100="","",'Aset Tetap'!C100)</f>
        <v/>
      </c>
      <c r="D100" t="str">
        <f>IF('Aset Tetap'!$B100="","",'Aset Tetap'!D100)</f>
        <v/>
      </c>
      <c r="E100" s="22" t="str">
        <f>IF($B100="","",IF(N('Aset Tetap'!$AG100)=0,0,IF(AND((YEAR(E$6)*12+MONTH(E$6))&gt;='Aset Tetap'!$Y100,(YEAR(E$6)*12+MONTH(E$6))&lt;=MIN('Aset Tetap'!$Z100,IF('Aset Tetap'!$S100="Unit Produksi",99999,'Aset Tetap'!$Y100+'Aset Tetap'!$T100*12-1))),'Aset Tetap'!$AQ100/'Aset Tetap'!$AG100,0)))</f>
        <v/>
      </c>
      <c r="F100" s="22" t="str">
        <f>IF($B100="","",IF(N('Aset Tetap'!$AG100)=0,0,IF(AND((YEAR(F$6)*12+MONTH(F$6))&gt;='Aset Tetap'!$Y100,(YEAR(F$6)*12+MONTH(F$6))&lt;=MIN('Aset Tetap'!$Z100,IF('Aset Tetap'!$S100="Unit Produksi",99999,'Aset Tetap'!$Y100+'Aset Tetap'!$T100*12-1))),'Aset Tetap'!$AQ100/'Aset Tetap'!$AG100,0)))</f>
        <v/>
      </c>
      <c r="G100" s="22" t="str">
        <f>IF($B100="","",IF(N('Aset Tetap'!$AG100)=0,0,IF(AND((YEAR(G$6)*12+MONTH(G$6))&gt;='Aset Tetap'!$Y100,(YEAR(G$6)*12+MONTH(G$6))&lt;=MIN('Aset Tetap'!$Z100,IF('Aset Tetap'!$S100="Unit Produksi",99999,'Aset Tetap'!$Y100+'Aset Tetap'!$T100*12-1))),'Aset Tetap'!$AQ100/'Aset Tetap'!$AG100,0)))</f>
        <v/>
      </c>
      <c r="H100" s="22" t="str">
        <f>IF($B100="","",IF(N('Aset Tetap'!$AG100)=0,0,IF(AND((YEAR(H$6)*12+MONTH(H$6))&gt;='Aset Tetap'!$Y100,(YEAR(H$6)*12+MONTH(H$6))&lt;=MIN('Aset Tetap'!$Z100,IF('Aset Tetap'!$S100="Unit Produksi",99999,'Aset Tetap'!$Y100+'Aset Tetap'!$T100*12-1))),'Aset Tetap'!$AQ100/'Aset Tetap'!$AG100,0)))</f>
        <v/>
      </c>
      <c r="I100" s="22" t="str">
        <f>IF($B100="","",IF(N('Aset Tetap'!$AG100)=0,0,IF(AND((YEAR(I$6)*12+MONTH(I$6))&gt;='Aset Tetap'!$Y100,(YEAR(I$6)*12+MONTH(I$6))&lt;=MIN('Aset Tetap'!$Z100,IF('Aset Tetap'!$S100="Unit Produksi",99999,'Aset Tetap'!$Y100+'Aset Tetap'!$T100*12-1))),'Aset Tetap'!$AQ100/'Aset Tetap'!$AG100,0)))</f>
        <v/>
      </c>
      <c r="J100" s="22" t="str">
        <f>IF($B100="","",IF(N('Aset Tetap'!$AG100)=0,0,IF(AND((YEAR(J$6)*12+MONTH(J$6))&gt;='Aset Tetap'!$Y100,(YEAR(J$6)*12+MONTH(J$6))&lt;=MIN('Aset Tetap'!$Z100,IF('Aset Tetap'!$S100="Unit Produksi",99999,'Aset Tetap'!$Y100+'Aset Tetap'!$T100*12-1))),'Aset Tetap'!$AQ100/'Aset Tetap'!$AG100,0)))</f>
        <v/>
      </c>
      <c r="K100" s="22" t="str">
        <f>IF($B100="","",IF(N('Aset Tetap'!$AG100)=0,0,IF(AND((YEAR(K$6)*12+MONTH(K$6))&gt;='Aset Tetap'!$Y100,(YEAR(K$6)*12+MONTH(K$6))&lt;=MIN('Aset Tetap'!$Z100,IF('Aset Tetap'!$S100="Unit Produksi",99999,'Aset Tetap'!$Y100+'Aset Tetap'!$T100*12-1))),'Aset Tetap'!$AQ100/'Aset Tetap'!$AG100,0)))</f>
        <v/>
      </c>
      <c r="L100" s="22" t="str">
        <f>IF($B100="","",IF(N('Aset Tetap'!$AG100)=0,0,IF(AND((YEAR(L$6)*12+MONTH(L$6))&gt;='Aset Tetap'!$Y100,(YEAR(L$6)*12+MONTH(L$6))&lt;=MIN('Aset Tetap'!$Z100,IF('Aset Tetap'!$S100="Unit Produksi",99999,'Aset Tetap'!$Y100+'Aset Tetap'!$T100*12-1))),'Aset Tetap'!$AQ100/'Aset Tetap'!$AG100,0)))</f>
        <v/>
      </c>
      <c r="M100" s="22" t="str">
        <f>IF($B100="","",IF(N('Aset Tetap'!$AG100)=0,0,IF(AND((YEAR(M$6)*12+MONTH(M$6))&gt;='Aset Tetap'!$Y100,(YEAR(M$6)*12+MONTH(M$6))&lt;=MIN('Aset Tetap'!$Z100,IF('Aset Tetap'!$S100="Unit Produksi",99999,'Aset Tetap'!$Y100+'Aset Tetap'!$T100*12-1))),'Aset Tetap'!$AQ100/'Aset Tetap'!$AG100,0)))</f>
        <v/>
      </c>
      <c r="N100" s="22" t="str">
        <f>IF($B100="","",IF(N('Aset Tetap'!$AG100)=0,0,IF(AND((YEAR(N$6)*12+MONTH(N$6))&gt;='Aset Tetap'!$Y100,(YEAR(N$6)*12+MONTH(N$6))&lt;=MIN('Aset Tetap'!$Z100,IF('Aset Tetap'!$S100="Unit Produksi",99999,'Aset Tetap'!$Y100+'Aset Tetap'!$T100*12-1))),'Aset Tetap'!$AQ100/'Aset Tetap'!$AG100,0)))</f>
        <v/>
      </c>
      <c r="O100" s="22" t="str">
        <f>IF($B100="","",IF(N('Aset Tetap'!$AG100)=0,0,IF(AND((YEAR(O$6)*12+MONTH(O$6))&gt;='Aset Tetap'!$Y100,(YEAR(O$6)*12+MONTH(O$6))&lt;=MIN('Aset Tetap'!$Z100,IF('Aset Tetap'!$S100="Unit Produksi",99999,'Aset Tetap'!$Y100+'Aset Tetap'!$T100*12-1))),'Aset Tetap'!$AQ100/'Aset Tetap'!$AG100,0)))</f>
        <v/>
      </c>
      <c r="P100" s="22" t="str">
        <f>IF($B100="","",IF(N('Aset Tetap'!$AG100)=0,0,IF(AND((YEAR(P$6)*12+MONTH(P$6))&gt;='Aset Tetap'!$Y100,(YEAR(P$6)*12+MONTH(P$6))&lt;=MIN('Aset Tetap'!$Z100,IF('Aset Tetap'!$S100="Unit Produksi",99999,'Aset Tetap'!$Y100+'Aset Tetap'!$T100*12-1))),'Aset Tetap'!$AQ100/'Aset Tetap'!$AG100,0)))</f>
        <v/>
      </c>
      <c r="Q100" s="22" t="str">
        <f>IF($B100="","",SUM(E100:P100))</f>
        <v/>
      </c>
      <c r="R100" s="22" t="str">
        <f>IF($B100="","",'Aset Tetap'!AQ100)</f>
        <v/>
      </c>
      <c r="S100" s="22" t="str">
        <f>IF($B100="","",ROUND(Q100-R100,0))</f>
        <v/>
      </c>
    </row>
    <row r="101" spans="1:19" x14ac:dyDescent="0.25">
      <c r="A101" t="str">
        <f>IF('Aset Tetap'!$B101="","",'Aset Tetap'!A101)</f>
        <v/>
      </c>
      <c r="B101" t="str">
        <f>IF('Aset Tetap'!$B101="","",'Aset Tetap'!B101)</f>
        <v/>
      </c>
      <c r="C101" t="str">
        <f>IF('Aset Tetap'!$B101="","",'Aset Tetap'!C101)</f>
        <v/>
      </c>
      <c r="D101" t="str">
        <f>IF('Aset Tetap'!$B101="","",'Aset Tetap'!D101)</f>
        <v/>
      </c>
      <c r="E101" s="22" t="str">
        <f>IF($B101="","",IF(N('Aset Tetap'!$AG101)=0,0,IF(AND((YEAR(E$6)*12+MONTH(E$6))&gt;='Aset Tetap'!$Y101,(YEAR(E$6)*12+MONTH(E$6))&lt;=MIN('Aset Tetap'!$Z101,IF('Aset Tetap'!$S101="Unit Produksi",99999,'Aset Tetap'!$Y101+'Aset Tetap'!$T101*12-1))),'Aset Tetap'!$AQ101/'Aset Tetap'!$AG101,0)))</f>
        <v/>
      </c>
      <c r="F101" s="22" t="str">
        <f>IF($B101="","",IF(N('Aset Tetap'!$AG101)=0,0,IF(AND((YEAR(F$6)*12+MONTH(F$6))&gt;='Aset Tetap'!$Y101,(YEAR(F$6)*12+MONTH(F$6))&lt;=MIN('Aset Tetap'!$Z101,IF('Aset Tetap'!$S101="Unit Produksi",99999,'Aset Tetap'!$Y101+'Aset Tetap'!$T101*12-1))),'Aset Tetap'!$AQ101/'Aset Tetap'!$AG101,0)))</f>
        <v/>
      </c>
      <c r="G101" s="22" t="str">
        <f>IF($B101="","",IF(N('Aset Tetap'!$AG101)=0,0,IF(AND((YEAR(G$6)*12+MONTH(G$6))&gt;='Aset Tetap'!$Y101,(YEAR(G$6)*12+MONTH(G$6))&lt;=MIN('Aset Tetap'!$Z101,IF('Aset Tetap'!$S101="Unit Produksi",99999,'Aset Tetap'!$Y101+'Aset Tetap'!$T101*12-1))),'Aset Tetap'!$AQ101/'Aset Tetap'!$AG101,0)))</f>
        <v/>
      </c>
      <c r="H101" s="22" t="str">
        <f>IF($B101="","",IF(N('Aset Tetap'!$AG101)=0,0,IF(AND((YEAR(H$6)*12+MONTH(H$6))&gt;='Aset Tetap'!$Y101,(YEAR(H$6)*12+MONTH(H$6))&lt;=MIN('Aset Tetap'!$Z101,IF('Aset Tetap'!$S101="Unit Produksi",99999,'Aset Tetap'!$Y101+'Aset Tetap'!$T101*12-1))),'Aset Tetap'!$AQ101/'Aset Tetap'!$AG101,0)))</f>
        <v/>
      </c>
      <c r="I101" s="22" t="str">
        <f>IF($B101="","",IF(N('Aset Tetap'!$AG101)=0,0,IF(AND((YEAR(I$6)*12+MONTH(I$6))&gt;='Aset Tetap'!$Y101,(YEAR(I$6)*12+MONTH(I$6))&lt;=MIN('Aset Tetap'!$Z101,IF('Aset Tetap'!$S101="Unit Produksi",99999,'Aset Tetap'!$Y101+'Aset Tetap'!$T101*12-1))),'Aset Tetap'!$AQ101/'Aset Tetap'!$AG101,0)))</f>
        <v/>
      </c>
      <c r="J101" s="22" t="str">
        <f>IF($B101="","",IF(N('Aset Tetap'!$AG101)=0,0,IF(AND((YEAR(J$6)*12+MONTH(J$6))&gt;='Aset Tetap'!$Y101,(YEAR(J$6)*12+MONTH(J$6))&lt;=MIN('Aset Tetap'!$Z101,IF('Aset Tetap'!$S101="Unit Produksi",99999,'Aset Tetap'!$Y101+'Aset Tetap'!$T101*12-1))),'Aset Tetap'!$AQ101/'Aset Tetap'!$AG101,0)))</f>
        <v/>
      </c>
      <c r="K101" s="22" t="str">
        <f>IF($B101="","",IF(N('Aset Tetap'!$AG101)=0,0,IF(AND((YEAR(K$6)*12+MONTH(K$6))&gt;='Aset Tetap'!$Y101,(YEAR(K$6)*12+MONTH(K$6))&lt;=MIN('Aset Tetap'!$Z101,IF('Aset Tetap'!$S101="Unit Produksi",99999,'Aset Tetap'!$Y101+'Aset Tetap'!$T101*12-1))),'Aset Tetap'!$AQ101/'Aset Tetap'!$AG101,0)))</f>
        <v/>
      </c>
      <c r="L101" s="22" t="str">
        <f>IF($B101="","",IF(N('Aset Tetap'!$AG101)=0,0,IF(AND((YEAR(L$6)*12+MONTH(L$6))&gt;='Aset Tetap'!$Y101,(YEAR(L$6)*12+MONTH(L$6))&lt;=MIN('Aset Tetap'!$Z101,IF('Aset Tetap'!$S101="Unit Produksi",99999,'Aset Tetap'!$Y101+'Aset Tetap'!$T101*12-1))),'Aset Tetap'!$AQ101/'Aset Tetap'!$AG101,0)))</f>
        <v/>
      </c>
      <c r="M101" s="22" t="str">
        <f>IF($B101="","",IF(N('Aset Tetap'!$AG101)=0,0,IF(AND((YEAR(M$6)*12+MONTH(M$6))&gt;='Aset Tetap'!$Y101,(YEAR(M$6)*12+MONTH(M$6))&lt;=MIN('Aset Tetap'!$Z101,IF('Aset Tetap'!$S101="Unit Produksi",99999,'Aset Tetap'!$Y101+'Aset Tetap'!$T101*12-1))),'Aset Tetap'!$AQ101/'Aset Tetap'!$AG101,0)))</f>
        <v/>
      </c>
      <c r="N101" s="22" t="str">
        <f>IF($B101="","",IF(N('Aset Tetap'!$AG101)=0,0,IF(AND((YEAR(N$6)*12+MONTH(N$6))&gt;='Aset Tetap'!$Y101,(YEAR(N$6)*12+MONTH(N$6))&lt;=MIN('Aset Tetap'!$Z101,IF('Aset Tetap'!$S101="Unit Produksi",99999,'Aset Tetap'!$Y101+'Aset Tetap'!$T101*12-1))),'Aset Tetap'!$AQ101/'Aset Tetap'!$AG101,0)))</f>
        <v/>
      </c>
      <c r="O101" s="22" t="str">
        <f>IF($B101="","",IF(N('Aset Tetap'!$AG101)=0,0,IF(AND((YEAR(O$6)*12+MONTH(O$6))&gt;='Aset Tetap'!$Y101,(YEAR(O$6)*12+MONTH(O$6))&lt;=MIN('Aset Tetap'!$Z101,IF('Aset Tetap'!$S101="Unit Produksi",99999,'Aset Tetap'!$Y101+'Aset Tetap'!$T101*12-1))),'Aset Tetap'!$AQ101/'Aset Tetap'!$AG101,0)))</f>
        <v/>
      </c>
      <c r="P101" s="22" t="str">
        <f>IF($B101="","",IF(N('Aset Tetap'!$AG101)=0,0,IF(AND((YEAR(P$6)*12+MONTH(P$6))&gt;='Aset Tetap'!$Y101,(YEAR(P$6)*12+MONTH(P$6))&lt;=MIN('Aset Tetap'!$Z101,IF('Aset Tetap'!$S101="Unit Produksi",99999,'Aset Tetap'!$Y101+'Aset Tetap'!$T101*12-1))),'Aset Tetap'!$AQ101/'Aset Tetap'!$AG101,0)))</f>
        <v/>
      </c>
      <c r="Q101" s="22" t="str">
        <f>IF($B101="","",SUM(E101:P101))</f>
        <v/>
      </c>
      <c r="R101" s="22" t="str">
        <f>IF($B101="","",'Aset Tetap'!AQ101)</f>
        <v/>
      </c>
      <c r="S101" s="22" t="str">
        <f>IF($B101="","",ROUND(Q101-R101,0))</f>
        <v/>
      </c>
    </row>
    <row r="102" spans="1:19" x14ac:dyDescent="0.25">
      <c r="A102" t="str">
        <f>IF('Aset Tetap'!$B102="","",'Aset Tetap'!A102)</f>
        <v/>
      </c>
      <c r="B102" t="str">
        <f>IF('Aset Tetap'!$B102="","",'Aset Tetap'!B102)</f>
        <v/>
      </c>
      <c r="C102" t="str">
        <f>IF('Aset Tetap'!$B102="","",'Aset Tetap'!C102)</f>
        <v/>
      </c>
      <c r="D102" t="str">
        <f>IF('Aset Tetap'!$B102="","",'Aset Tetap'!D102)</f>
        <v/>
      </c>
      <c r="E102" s="22" t="str">
        <f>IF($B102="","",IF(N('Aset Tetap'!$AG102)=0,0,IF(AND((YEAR(E$6)*12+MONTH(E$6))&gt;='Aset Tetap'!$Y102,(YEAR(E$6)*12+MONTH(E$6))&lt;=MIN('Aset Tetap'!$Z102,IF('Aset Tetap'!$S102="Unit Produksi",99999,'Aset Tetap'!$Y102+'Aset Tetap'!$T102*12-1))),'Aset Tetap'!$AQ102/'Aset Tetap'!$AG102,0)))</f>
        <v/>
      </c>
      <c r="F102" s="22" t="str">
        <f>IF($B102="","",IF(N('Aset Tetap'!$AG102)=0,0,IF(AND((YEAR(F$6)*12+MONTH(F$6))&gt;='Aset Tetap'!$Y102,(YEAR(F$6)*12+MONTH(F$6))&lt;=MIN('Aset Tetap'!$Z102,IF('Aset Tetap'!$S102="Unit Produksi",99999,'Aset Tetap'!$Y102+'Aset Tetap'!$T102*12-1))),'Aset Tetap'!$AQ102/'Aset Tetap'!$AG102,0)))</f>
        <v/>
      </c>
      <c r="G102" s="22" t="str">
        <f>IF($B102="","",IF(N('Aset Tetap'!$AG102)=0,0,IF(AND((YEAR(G$6)*12+MONTH(G$6))&gt;='Aset Tetap'!$Y102,(YEAR(G$6)*12+MONTH(G$6))&lt;=MIN('Aset Tetap'!$Z102,IF('Aset Tetap'!$S102="Unit Produksi",99999,'Aset Tetap'!$Y102+'Aset Tetap'!$T102*12-1))),'Aset Tetap'!$AQ102/'Aset Tetap'!$AG102,0)))</f>
        <v/>
      </c>
      <c r="H102" s="22" t="str">
        <f>IF($B102="","",IF(N('Aset Tetap'!$AG102)=0,0,IF(AND((YEAR(H$6)*12+MONTH(H$6))&gt;='Aset Tetap'!$Y102,(YEAR(H$6)*12+MONTH(H$6))&lt;=MIN('Aset Tetap'!$Z102,IF('Aset Tetap'!$S102="Unit Produksi",99999,'Aset Tetap'!$Y102+'Aset Tetap'!$T102*12-1))),'Aset Tetap'!$AQ102/'Aset Tetap'!$AG102,0)))</f>
        <v/>
      </c>
      <c r="I102" s="22" t="str">
        <f>IF($B102="","",IF(N('Aset Tetap'!$AG102)=0,0,IF(AND((YEAR(I$6)*12+MONTH(I$6))&gt;='Aset Tetap'!$Y102,(YEAR(I$6)*12+MONTH(I$6))&lt;=MIN('Aset Tetap'!$Z102,IF('Aset Tetap'!$S102="Unit Produksi",99999,'Aset Tetap'!$Y102+'Aset Tetap'!$T102*12-1))),'Aset Tetap'!$AQ102/'Aset Tetap'!$AG102,0)))</f>
        <v/>
      </c>
      <c r="J102" s="22" t="str">
        <f>IF($B102="","",IF(N('Aset Tetap'!$AG102)=0,0,IF(AND((YEAR(J$6)*12+MONTH(J$6))&gt;='Aset Tetap'!$Y102,(YEAR(J$6)*12+MONTH(J$6))&lt;=MIN('Aset Tetap'!$Z102,IF('Aset Tetap'!$S102="Unit Produksi",99999,'Aset Tetap'!$Y102+'Aset Tetap'!$T102*12-1))),'Aset Tetap'!$AQ102/'Aset Tetap'!$AG102,0)))</f>
        <v/>
      </c>
      <c r="K102" s="22" t="str">
        <f>IF($B102="","",IF(N('Aset Tetap'!$AG102)=0,0,IF(AND((YEAR(K$6)*12+MONTH(K$6))&gt;='Aset Tetap'!$Y102,(YEAR(K$6)*12+MONTH(K$6))&lt;=MIN('Aset Tetap'!$Z102,IF('Aset Tetap'!$S102="Unit Produksi",99999,'Aset Tetap'!$Y102+'Aset Tetap'!$T102*12-1))),'Aset Tetap'!$AQ102/'Aset Tetap'!$AG102,0)))</f>
        <v/>
      </c>
      <c r="L102" s="22" t="str">
        <f>IF($B102="","",IF(N('Aset Tetap'!$AG102)=0,0,IF(AND((YEAR(L$6)*12+MONTH(L$6))&gt;='Aset Tetap'!$Y102,(YEAR(L$6)*12+MONTH(L$6))&lt;=MIN('Aset Tetap'!$Z102,IF('Aset Tetap'!$S102="Unit Produksi",99999,'Aset Tetap'!$Y102+'Aset Tetap'!$T102*12-1))),'Aset Tetap'!$AQ102/'Aset Tetap'!$AG102,0)))</f>
        <v/>
      </c>
      <c r="M102" s="22" t="str">
        <f>IF($B102="","",IF(N('Aset Tetap'!$AG102)=0,0,IF(AND((YEAR(M$6)*12+MONTH(M$6))&gt;='Aset Tetap'!$Y102,(YEAR(M$6)*12+MONTH(M$6))&lt;=MIN('Aset Tetap'!$Z102,IF('Aset Tetap'!$S102="Unit Produksi",99999,'Aset Tetap'!$Y102+'Aset Tetap'!$T102*12-1))),'Aset Tetap'!$AQ102/'Aset Tetap'!$AG102,0)))</f>
        <v/>
      </c>
      <c r="N102" s="22" t="str">
        <f>IF($B102="","",IF(N('Aset Tetap'!$AG102)=0,0,IF(AND((YEAR(N$6)*12+MONTH(N$6))&gt;='Aset Tetap'!$Y102,(YEAR(N$6)*12+MONTH(N$6))&lt;=MIN('Aset Tetap'!$Z102,IF('Aset Tetap'!$S102="Unit Produksi",99999,'Aset Tetap'!$Y102+'Aset Tetap'!$T102*12-1))),'Aset Tetap'!$AQ102/'Aset Tetap'!$AG102,0)))</f>
        <v/>
      </c>
      <c r="O102" s="22" t="str">
        <f>IF($B102="","",IF(N('Aset Tetap'!$AG102)=0,0,IF(AND((YEAR(O$6)*12+MONTH(O$6))&gt;='Aset Tetap'!$Y102,(YEAR(O$6)*12+MONTH(O$6))&lt;=MIN('Aset Tetap'!$Z102,IF('Aset Tetap'!$S102="Unit Produksi",99999,'Aset Tetap'!$Y102+'Aset Tetap'!$T102*12-1))),'Aset Tetap'!$AQ102/'Aset Tetap'!$AG102,0)))</f>
        <v/>
      </c>
      <c r="P102" s="22" t="str">
        <f>IF($B102="","",IF(N('Aset Tetap'!$AG102)=0,0,IF(AND((YEAR(P$6)*12+MONTH(P$6))&gt;='Aset Tetap'!$Y102,(YEAR(P$6)*12+MONTH(P$6))&lt;=MIN('Aset Tetap'!$Z102,IF('Aset Tetap'!$S102="Unit Produksi",99999,'Aset Tetap'!$Y102+'Aset Tetap'!$T102*12-1))),'Aset Tetap'!$AQ102/'Aset Tetap'!$AG102,0)))</f>
        <v/>
      </c>
      <c r="Q102" s="22" t="str">
        <f>IF($B102="","",SUM(E102:P102))</f>
        <v/>
      </c>
      <c r="R102" s="22" t="str">
        <f>IF($B102="","",'Aset Tetap'!AQ102)</f>
        <v/>
      </c>
      <c r="S102" s="22" t="str">
        <f>IF($B102="","",ROUND(Q102-R102,0))</f>
        <v/>
      </c>
    </row>
    <row r="103" spans="1:19" x14ac:dyDescent="0.25">
      <c r="A103" t="str">
        <f>IF('Aset Tetap'!$B103="","",'Aset Tetap'!A103)</f>
        <v/>
      </c>
      <c r="B103" t="str">
        <f>IF('Aset Tetap'!$B103="","",'Aset Tetap'!B103)</f>
        <v/>
      </c>
      <c r="C103" t="str">
        <f>IF('Aset Tetap'!$B103="","",'Aset Tetap'!C103)</f>
        <v/>
      </c>
      <c r="D103" t="str">
        <f>IF('Aset Tetap'!$B103="","",'Aset Tetap'!D103)</f>
        <v/>
      </c>
      <c r="E103" s="22" t="str">
        <f>IF($B103="","",IF(N('Aset Tetap'!$AG103)=0,0,IF(AND((YEAR(E$6)*12+MONTH(E$6))&gt;='Aset Tetap'!$Y103,(YEAR(E$6)*12+MONTH(E$6))&lt;=MIN('Aset Tetap'!$Z103,IF('Aset Tetap'!$S103="Unit Produksi",99999,'Aset Tetap'!$Y103+'Aset Tetap'!$T103*12-1))),'Aset Tetap'!$AQ103/'Aset Tetap'!$AG103,0)))</f>
        <v/>
      </c>
      <c r="F103" s="22" t="str">
        <f>IF($B103="","",IF(N('Aset Tetap'!$AG103)=0,0,IF(AND((YEAR(F$6)*12+MONTH(F$6))&gt;='Aset Tetap'!$Y103,(YEAR(F$6)*12+MONTH(F$6))&lt;=MIN('Aset Tetap'!$Z103,IF('Aset Tetap'!$S103="Unit Produksi",99999,'Aset Tetap'!$Y103+'Aset Tetap'!$T103*12-1))),'Aset Tetap'!$AQ103/'Aset Tetap'!$AG103,0)))</f>
        <v/>
      </c>
      <c r="G103" s="22" t="str">
        <f>IF($B103="","",IF(N('Aset Tetap'!$AG103)=0,0,IF(AND((YEAR(G$6)*12+MONTH(G$6))&gt;='Aset Tetap'!$Y103,(YEAR(G$6)*12+MONTH(G$6))&lt;=MIN('Aset Tetap'!$Z103,IF('Aset Tetap'!$S103="Unit Produksi",99999,'Aset Tetap'!$Y103+'Aset Tetap'!$T103*12-1))),'Aset Tetap'!$AQ103/'Aset Tetap'!$AG103,0)))</f>
        <v/>
      </c>
      <c r="H103" s="22" t="str">
        <f>IF($B103="","",IF(N('Aset Tetap'!$AG103)=0,0,IF(AND((YEAR(H$6)*12+MONTH(H$6))&gt;='Aset Tetap'!$Y103,(YEAR(H$6)*12+MONTH(H$6))&lt;=MIN('Aset Tetap'!$Z103,IF('Aset Tetap'!$S103="Unit Produksi",99999,'Aset Tetap'!$Y103+'Aset Tetap'!$T103*12-1))),'Aset Tetap'!$AQ103/'Aset Tetap'!$AG103,0)))</f>
        <v/>
      </c>
      <c r="I103" s="22" t="str">
        <f>IF($B103="","",IF(N('Aset Tetap'!$AG103)=0,0,IF(AND((YEAR(I$6)*12+MONTH(I$6))&gt;='Aset Tetap'!$Y103,(YEAR(I$6)*12+MONTH(I$6))&lt;=MIN('Aset Tetap'!$Z103,IF('Aset Tetap'!$S103="Unit Produksi",99999,'Aset Tetap'!$Y103+'Aset Tetap'!$T103*12-1))),'Aset Tetap'!$AQ103/'Aset Tetap'!$AG103,0)))</f>
        <v/>
      </c>
      <c r="J103" s="22" t="str">
        <f>IF($B103="","",IF(N('Aset Tetap'!$AG103)=0,0,IF(AND((YEAR(J$6)*12+MONTH(J$6))&gt;='Aset Tetap'!$Y103,(YEAR(J$6)*12+MONTH(J$6))&lt;=MIN('Aset Tetap'!$Z103,IF('Aset Tetap'!$S103="Unit Produksi",99999,'Aset Tetap'!$Y103+'Aset Tetap'!$T103*12-1))),'Aset Tetap'!$AQ103/'Aset Tetap'!$AG103,0)))</f>
        <v/>
      </c>
      <c r="K103" s="22" t="str">
        <f>IF($B103="","",IF(N('Aset Tetap'!$AG103)=0,0,IF(AND((YEAR(K$6)*12+MONTH(K$6))&gt;='Aset Tetap'!$Y103,(YEAR(K$6)*12+MONTH(K$6))&lt;=MIN('Aset Tetap'!$Z103,IF('Aset Tetap'!$S103="Unit Produksi",99999,'Aset Tetap'!$Y103+'Aset Tetap'!$T103*12-1))),'Aset Tetap'!$AQ103/'Aset Tetap'!$AG103,0)))</f>
        <v/>
      </c>
      <c r="L103" s="22" t="str">
        <f>IF($B103="","",IF(N('Aset Tetap'!$AG103)=0,0,IF(AND((YEAR(L$6)*12+MONTH(L$6))&gt;='Aset Tetap'!$Y103,(YEAR(L$6)*12+MONTH(L$6))&lt;=MIN('Aset Tetap'!$Z103,IF('Aset Tetap'!$S103="Unit Produksi",99999,'Aset Tetap'!$Y103+'Aset Tetap'!$T103*12-1))),'Aset Tetap'!$AQ103/'Aset Tetap'!$AG103,0)))</f>
        <v/>
      </c>
      <c r="M103" s="22" t="str">
        <f>IF($B103="","",IF(N('Aset Tetap'!$AG103)=0,0,IF(AND((YEAR(M$6)*12+MONTH(M$6))&gt;='Aset Tetap'!$Y103,(YEAR(M$6)*12+MONTH(M$6))&lt;=MIN('Aset Tetap'!$Z103,IF('Aset Tetap'!$S103="Unit Produksi",99999,'Aset Tetap'!$Y103+'Aset Tetap'!$T103*12-1))),'Aset Tetap'!$AQ103/'Aset Tetap'!$AG103,0)))</f>
        <v/>
      </c>
      <c r="N103" s="22" t="str">
        <f>IF($B103="","",IF(N('Aset Tetap'!$AG103)=0,0,IF(AND((YEAR(N$6)*12+MONTH(N$6))&gt;='Aset Tetap'!$Y103,(YEAR(N$6)*12+MONTH(N$6))&lt;=MIN('Aset Tetap'!$Z103,IF('Aset Tetap'!$S103="Unit Produksi",99999,'Aset Tetap'!$Y103+'Aset Tetap'!$T103*12-1))),'Aset Tetap'!$AQ103/'Aset Tetap'!$AG103,0)))</f>
        <v/>
      </c>
      <c r="O103" s="22" t="str">
        <f>IF($B103="","",IF(N('Aset Tetap'!$AG103)=0,0,IF(AND((YEAR(O$6)*12+MONTH(O$6))&gt;='Aset Tetap'!$Y103,(YEAR(O$6)*12+MONTH(O$6))&lt;=MIN('Aset Tetap'!$Z103,IF('Aset Tetap'!$S103="Unit Produksi",99999,'Aset Tetap'!$Y103+'Aset Tetap'!$T103*12-1))),'Aset Tetap'!$AQ103/'Aset Tetap'!$AG103,0)))</f>
        <v/>
      </c>
      <c r="P103" s="22" t="str">
        <f>IF($B103="","",IF(N('Aset Tetap'!$AG103)=0,0,IF(AND((YEAR(P$6)*12+MONTH(P$6))&gt;='Aset Tetap'!$Y103,(YEAR(P$6)*12+MONTH(P$6))&lt;=MIN('Aset Tetap'!$Z103,IF('Aset Tetap'!$S103="Unit Produksi",99999,'Aset Tetap'!$Y103+'Aset Tetap'!$T103*12-1))),'Aset Tetap'!$AQ103/'Aset Tetap'!$AG103,0)))</f>
        <v/>
      </c>
      <c r="Q103" s="22" t="str">
        <f>IF($B103="","",SUM(E103:P103))</f>
        <v/>
      </c>
      <c r="R103" s="22" t="str">
        <f>IF($B103="","",'Aset Tetap'!AQ103)</f>
        <v/>
      </c>
      <c r="S103" s="22" t="str">
        <f>IF($B103="","",ROUND(Q103-R103,0))</f>
        <v/>
      </c>
    </row>
    <row r="104" spans="1:19" x14ac:dyDescent="0.25">
      <c r="A104" t="str">
        <f>IF('Aset Tetap'!$B104="","",'Aset Tetap'!A104)</f>
        <v/>
      </c>
      <c r="B104" t="str">
        <f>IF('Aset Tetap'!$B104="","",'Aset Tetap'!B104)</f>
        <v/>
      </c>
      <c r="C104" t="str">
        <f>IF('Aset Tetap'!$B104="","",'Aset Tetap'!C104)</f>
        <v/>
      </c>
      <c r="D104" t="str">
        <f>IF('Aset Tetap'!$B104="","",'Aset Tetap'!D104)</f>
        <v/>
      </c>
      <c r="E104" s="22" t="str">
        <f>IF($B104="","",IF(N('Aset Tetap'!$AG104)=0,0,IF(AND((YEAR(E$6)*12+MONTH(E$6))&gt;='Aset Tetap'!$Y104,(YEAR(E$6)*12+MONTH(E$6))&lt;=MIN('Aset Tetap'!$Z104,IF('Aset Tetap'!$S104="Unit Produksi",99999,'Aset Tetap'!$Y104+'Aset Tetap'!$T104*12-1))),'Aset Tetap'!$AQ104/'Aset Tetap'!$AG104,0)))</f>
        <v/>
      </c>
      <c r="F104" s="22" t="str">
        <f>IF($B104="","",IF(N('Aset Tetap'!$AG104)=0,0,IF(AND((YEAR(F$6)*12+MONTH(F$6))&gt;='Aset Tetap'!$Y104,(YEAR(F$6)*12+MONTH(F$6))&lt;=MIN('Aset Tetap'!$Z104,IF('Aset Tetap'!$S104="Unit Produksi",99999,'Aset Tetap'!$Y104+'Aset Tetap'!$T104*12-1))),'Aset Tetap'!$AQ104/'Aset Tetap'!$AG104,0)))</f>
        <v/>
      </c>
      <c r="G104" s="22" t="str">
        <f>IF($B104="","",IF(N('Aset Tetap'!$AG104)=0,0,IF(AND((YEAR(G$6)*12+MONTH(G$6))&gt;='Aset Tetap'!$Y104,(YEAR(G$6)*12+MONTH(G$6))&lt;=MIN('Aset Tetap'!$Z104,IF('Aset Tetap'!$S104="Unit Produksi",99999,'Aset Tetap'!$Y104+'Aset Tetap'!$T104*12-1))),'Aset Tetap'!$AQ104/'Aset Tetap'!$AG104,0)))</f>
        <v/>
      </c>
      <c r="H104" s="22" t="str">
        <f>IF($B104="","",IF(N('Aset Tetap'!$AG104)=0,0,IF(AND((YEAR(H$6)*12+MONTH(H$6))&gt;='Aset Tetap'!$Y104,(YEAR(H$6)*12+MONTH(H$6))&lt;=MIN('Aset Tetap'!$Z104,IF('Aset Tetap'!$S104="Unit Produksi",99999,'Aset Tetap'!$Y104+'Aset Tetap'!$T104*12-1))),'Aset Tetap'!$AQ104/'Aset Tetap'!$AG104,0)))</f>
        <v/>
      </c>
      <c r="I104" s="22" t="str">
        <f>IF($B104="","",IF(N('Aset Tetap'!$AG104)=0,0,IF(AND((YEAR(I$6)*12+MONTH(I$6))&gt;='Aset Tetap'!$Y104,(YEAR(I$6)*12+MONTH(I$6))&lt;=MIN('Aset Tetap'!$Z104,IF('Aset Tetap'!$S104="Unit Produksi",99999,'Aset Tetap'!$Y104+'Aset Tetap'!$T104*12-1))),'Aset Tetap'!$AQ104/'Aset Tetap'!$AG104,0)))</f>
        <v/>
      </c>
      <c r="J104" s="22" t="str">
        <f>IF($B104="","",IF(N('Aset Tetap'!$AG104)=0,0,IF(AND((YEAR(J$6)*12+MONTH(J$6))&gt;='Aset Tetap'!$Y104,(YEAR(J$6)*12+MONTH(J$6))&lt;=MIN('Aset Tetap'!$Z104,IF('Aset Tetap'!$S104="Unit Produksi",99999,'Aset Tetap'!$Y104+'Aset Tetap'!$T104*12-1))),'Aset Tetap'!$AQ104/'Aset Tetap'!$AG104,0)))</f>
        <v/>
      </c>
      <c r="K104" s="22" t="str">
        <f>IF($B104="","",IF(N('Aset Tetap'!$AG104)=0,0,IF(AND((YEAR(K$6)*12+MONTH(K$6))&gt;='Aset Tetap'!$Y104,(YEAR(K$6)*12+MONTH(K$6))&lt;=MIN('Aset Tetap'!$Z104,IF('Aset Tetap'!$S104="Unit Produksi",99999,'Aset Tetap'!$Y104+'Aset Tetap'!$T104*12-1))),'Aset Tetap'!$AQ104/'Aset Tetap'!$AG104,0)))</f>
        <v/>
      </c>
      <c r="L104" s="22" t="str">
        <f>IF($B104="","",IF(N('Aset Tetap'!$AG104)=0,0,IF(AND((YEAR(L$6)*12+MONTH(L$6))&gt;='Aset Tetap'!$Y104,(YEAR(L$6)*12+MONTH(L$6))&lt;=MIN('Aset Tetap'!$Z104,IF('Aset Tetap'!$S104="Unit Produksi",99999,'Aset Tetap'!$Y104+'Aset Tetap'!$T104*12-1))),'Aset Tetap'!$AQ104/'Aset Tetap'!$AG104,0)))</f>
        <v/>
      </c>
      <c r="M104" s="22" t="str">
        <f>IF($B104="","",IF(N('Aset Tetap'!$AG104)=0,0,IF(AND((YEAR(M$6)*12+MONTH(M$6))&gt;='Aset Tetap'!$Y104,(YEAR(M$6)*12+MONTH(M$6))&lt;=MIN('Aset Tetap'!$Z104,IF('Aset Tetap'!$S104="Unit Produksi",99999,'Aset Tetap'!$Y104+'Aset Tetap'!$T104*12-1))),'Aset Tetap'!$AQ104/'Aset Tetap'!$AG104,0)))</f>
        <v/>
      </c>
      <c r="N104" s="22" t="str">
        <f>IF($B104="","",IF(N('Aset Tetap'!$AG104)=0,0,IF(AND((YEAR(N$6)*12+MONTH(N$6))&gt;='Aset Tetap'!$Y104,(YEAR(N$6)*12+MONTH(N$6))&lt;=MIN('Aset Tetap'!$Z104,IF('Aset Tetap'!$S104="Unit Produksi",99999,'Aset Tetap'!$Y104+'Aset Tetap'!$T104*12-1))),'Aset Tetap'!$AQ104/'Aset Tetap'!$AG104,0)))</f>
        <v/>
      </c>
      <c r="O104" s="22" t="str">
        <f>IF($B104="","",IF(N('Aset Tetap'!$AG104)=0,0,IF(AND((YEAR(O$6)*12+MONTH(O$6))&gt;='Aset Tetap'!$Y104,(YEAR(O$6)*12+MONTH(O$6))&lt;=MIN('Aset Tetap'!$Z104,IF('Aset Tetap'!$S104="Unit Produksi",99999,'Aset Tetap'!$Y104+'Aset Tetap'!$T104*12-1))),'Aset Tetap'!$AQ104/'Aset Tetap'!$AG104,0)))</f>
        <v/>
      </c>
      <c r="P104" s="22" t="str">
        <f>IF($B104="","",IF(N('Aset Tetap'!$AG104)=0,0,IF(AND((YEAR(P$6)*12+MONTH(P$6))&gt;='Aset Tetap'!$Y104,(YEAR(P$6)*12+MONTH(P$6))&lt;=MIN('Aset Tetap'!$Z104,IF('Aset Tetap'!$S104="Unit Produksi",99999,'Aset Tetap'!$Y104+'Aset Tetap'!$T104*12-1))),'Aset Tetap'!$AQ104/'Aset Tetap'!$AG104,0)))</f>
        <v/>
      </c>
      <c r="Q104" s="22" t="str">
        <f>IF($B104="","",SUM(E104:P104))</f>
        <v/>
      </c>
      <c r="R104" s="22" t="str">
        <f>IF($B104="","",'Aset Tetap'!AQ104)</f>
        <v/>
      </c>
      <c r="S104" s="22" t="str">
        <f>IF($B104="","",ROUND(Q104-R104,0))</f>
        <v/>
      </c>
    </row>
    <row r="105" spans="1:19" x14ac:dyDescent="0.25">
      <c r="A105" t="str">
        <f>IF('Aset Tetap'!$B105="","",'Aset Tetap'!A105)</f>
        <v/>
      </c>
      <c r="B105" t="str">
        <f>IF('Aset Tetap'!$B105="","",'Aset Tetap'!B105)</f>
        <v/>
      </c>
      <c r="C105" t="str">
        <f>IF('Aset Tetap'!$B105="","",'Aset Tetap'!C105)</f>
        <v/>
      </c>
      <c r="D105" t="str">
        <f>IF('Aset Tetap'!$B105="","",'Aset Tetap'!D105)</f>
        <v/>
      </c>
      <c r="E105" s="22" t="str">
        <f>IF($B105="","",IF(N('Aset Tetap'!$AG105)=0,0,IF(AND((YEAR(E$6)*12+MONTH(E$6))&gt;='Aset Tetap'!$Y105,(YEAR(E$6)*12+MONTH(E$6))&lt;=MIN('Aset Tetap'!$Z105,IF('Aset Tetap'!$S105="Unit Produksi",99999,'Aset Tetap'!$Y105+'Aset Tetap'!$T105*12-1))),'Aset Tetap'!$AQ105/'Aset Tetap'!$AG105,0)))</f>
        <v/>
      </c>
      <c r="F105" s="22" t="str">
        <f>IF($B105="","",IF(N('Aset Tetap'!$AG105)=0,0,IF(AND((YEAR(F$6)*12+MONTH(F$6))&gt;='Aset Tetap'!$Y105,(YEAR(F$6)*12+MONTH(F$6))&lt;=MIN('Aset Tetap'!$Z105,IF('Aset Tetap'!$S105="Unit Produksi",99999,'Aset Tetap'!$Y105+'Aset Tetap'!$T105*12-1))),'Aset Tetap'!$AQ105/'Aset Tetap'!$AG105,0)))</f>
        <v/>
      </c>
      <c r="G105" s="22" t="str">
        <f>IF($B105="","",IF(N('Aset Tetap'!$AG105)=0,0,IF(AND((YEAR(G$6)*12+MONTH(G$6))&gt;='Aset Tetap'!$Y105,(YEAR(G$6)*12+MONTH(G$6))&lt;=MIN('Aset Tetap'!$Z105,IF('Aset Tetap'!$S105="Unit Produksi",99999,'Aset Tetap'!$Y105+'Aset Tetap'!$T105*12-1))),'Aset Tetap'!$AQ105/'Aset Tetap'!$AG105,0)))</f>
        <v/>
      </c>
      <c r="H105" s="22" t="str">
        <f>IF($B105="","",IF(N('Aset Tetap'!$AG105)=0,0,IF(AND((YEAR(H$6)*12+MONTH(H$6))&gt;='Aset Tetap'!$Y105,(YEAR(H$6)*12+MONTH(H$6))&lt;=MIN('Aset Tetap'!$Z105,IF('Aset Tetap'!$S105="Unit Produksi",99999,'Aset Tetap'!$Y105+'Aset Tetap'!$T105*12-1))),'Aset Tetap'!$AQ105/'Aset Tetap'!$AG105,0)))</f>
        <v/>
      </c>
      <c r="I105" s="22" t="str">
        <f>IF($B105="","",IF(N('Aset Tetap'!$AG105)=0,0,IF(AND((YEAR(I$6)*12+MONTH(I$6))&gt;='Aset Tetap'!$Y105,(YEAR(I$6)*12+MONTH(I$6))&lt;=MIN('Aset Tetap'!$Z105,IF('Aset Tetap'!$S105="Unit Produksi",99999,'Aset Tetap'!$Y105+'Aset Tetap'!$T105*12-1))),'Aset Tetap'!$AQ105/'Aset Tetap'!$AG105,0)))</f>
        <v/>
      </c>
      <c r="J105" s="22" t="str">
        <f>IF($B105="","",IF(N('Aset Tetap'!$AG105)=0,0,IF(AND((YEAR(J$6)*12+MONTH(J$6))&gt;='Aset Tetap'!$Y105,(YEAR(J$6)*12+MONTH(J$6))&lt;=MIN('Aset Tetap'!$Z105,IF('Aset Tetap'!$S105="Unit Produksi",99999,'Aset Tetap'!$Y105+'Aset Tetap'!$T105*12-1))),'Aset Tetap'!$AQ105/'Aset Tetap'!$AG105,0)))</f>
        <v/>
      </c>
      <c r="K105" s="22" t="str">
        <f>IF($B105="","",IF(N('Aset Tetap'!$AG105)=0,0,IF(AND((YEAR(K$6)*12+MONTH(K$6))&gt;='Aset Tetap'!$Y105,(YEAR(K$6)*12+MONTH(K$6))&lt;=MIN('Aset Tetap'!$Z105,IF('Aset Tetap'!$S105="Unit Produksi",99999,'Aset Tetap'!$Y105+'Aset Tetap'!$T105*12-1))),'Aset Tetap'!$AQ105/'Aset Tetap'!$AG105,0)))</f>
        <v/>
      </c>
      <c r="L105" s="22" t="str">
        <f>IF($B105="","",IF(N('Aset Tetap'!$AG105)=0,0,IF(AND((YEAR(L$6)*12+MONTH(L$6))&gt;='Aset Tetap'!$Y105,(YEAR(L$6)*12+MONTH(L$6))&lt;=MIN('Aset Tetap'!$Z105,IF('Aset Tetap'!$S105="Unit Produksi",99999,'Aset Tetap'!$Y105+'Aset Tetap'!$T105*12-1))),'Aset Tetap'!$AQ105/'Aset Tetap'!$AG105,0)))</f>
        <v/>
      </c>
      <c r="M105" s="22" t="str">
        <f>IF($B105="","",IF(N('Aset Tetap'!$AG105)=0,0,IF(AND((YEAR(M$6)*12+MONTH(M$6))&gt;='Aset Tetap'!$Y105,(YEAR(M$6)*12+MONTH(M$6))&lt;=MIN('Aset Tetap'!$Z105,IF('Aset Tetap'!$S105="Unit Produksi",99999,'Aset Tetap'!$Y105+'Aset Tetap'!$T105*12-1))),'Aset Tetap'!$AQ105/'Aset Tetap'!$AG105,0)))</f>
        <v/>
      </c>
      <c r="N105" s="22" t="str">
        <f>IF($B105="","",IF(N('Aset Tetap'!$AG105)=0,0,IF(AND((YEAR(N$6)*12+MONTH(N$6))&gt;='Aset Tetap'!$Y105,(YEAR(N$6)*12+MONTH(N$6))&lt;=MIN('Aset Tetap'!$Z105,IF('Aset Tetap'!$S105="Unit Produksi",99999,'Aset Tetap'!$Y105+'Aset Tetap'!$T105*12-1))),'Aset Tetap'!$AQ105/'Aset Tetap'!$AG105,0)))</f>
        <v/>
      </c>
      <c r="O105" s="22" t="str">
        <f>IF($B105="","",IF(N('Aset Tetap'!$AG105)=0,0,IF(AND((YEAR(O$6)*12+MONTH(O$6))&gt;='Aset Tetap'!$Y105,(YEAR(O$6)*12+MONTH(O$6))&lt;=MIN('Aset Tetap'!$Z105,IF('Aset Tetap'!$S105="Unit Produksi",99999,'Aset Tetap'!$Y105+'Aset Tetap'!$T105*12-1))),'Aset Tetap'!$AQ105/'Aset Tetap'!$AG105,0)))</f>
        <v/>
      </c>
      <c r="P105" s="22" t="str">
        <f>IF($B105="","",IF(N('Aset Tetap'!$AG105)=0,0,IF(AND((YEAR(P$6)*12+MONTH(P$6))&gt;='Aset Tetap'!$Y105,(YEAR(P$6)*12+MONTH(P$6))&lt;=MIN('Aset Tetap'!$Z105,IF('Aset Tetap'!$S105="Unit Produksi",99999,'Aset Tetap'!$Y105+'Aset Tetap'!$T105*12-1))),'Aset Tetap'!$AQ105/'Aset Tetap'!$AG105,0)))</f>
        <v/>
      </c>
      <c r="Q105" s="22" t="str">
        <f>IF($B105="","",SUM(E105:P105))</f>
        <v/>
      </c>
      <c r="R105" s="22" t="str">
        <f>IF($B105="","",'Aset Tetap'!AQ105)</f>
        <v/>
      </c>
      <c r="S105" s="22" t="str">
        <f>IF($B105="","",ROUND(Q105-R105,0))</f>
        <v/>
      </c>
    </row>
    <row r="106" spans="1:19" x14ac:dyDescent="0.25">
      <c r="A106" t="str">
        <f>IF('Aset Tetap'!$B106="","",'Aset Tetap'!A106)</f>
        <v/>
      </c>
      <c r="B106" t="str">
        <f>IF('Aset Tetap'!$B106="","",'Aset Tetap'!B106)</f>
        <v/>
      </c>
      <c r="C106" t="str">
        <f>IF('Aset Tetap'!$B106="","",'Aset Tetap'!C106)</f>
        <v/>
      </c>
      <c r="D106" t="str">
        <f>IF('Aset Tetap'!$B106="","",'Aset Tetap'!D106)</f>
        <v/>
      </c>
      <c r="E106" s="22" t="str">
        <f>IF($B106="","",IF(N('Aset Tetap'!$AG106)=0,0,IF(AND((YEAR(E$6)*12+MONTH(E$6))&gt;='Aset Tetap'!$Y106,(YEAR(E$6)*12+MONTH(E$6))&lt;=MIN('Aset Tetap'!$Z106,IF('Aset Tetap'!$S106="Unit Produksi",99999,'Aset Tetap'!$Y106+'Aset Tetap'!$T106*12-1))),'Aset Tetap'!$AQ106/'Aset Tetap'!$AG106,0)))</f>
        <v/>
      </c>
      <c r="F106" s="22" t="str">
        <f>IF($B106="","",IF(N('Aset Tetap'!$AG106)=0,0,IF(AND((YEAR(F$6)*12+MONTH(F$6))&gt;='Aset Tetap'!$Y106,(YEAR(F$6)*12+MONTH(F$6))&lt;=MIN('Aset Tetap'!$Z106,IF('Aset Tetap'!$S106="Unit Produksi",99999,'Aset Tetap'!$Y106+'Aset Tetap'!$T106*12-1))),'Aset Tetap'!$AQ106/'Aset Tetap'!$AG106,0)))</f>
        <v/>
      </c>
      <c r="G106" s="22" t="str">
        <f>IF($B106="","",IF(N('Aset Tetap'!$AG106)=0,0,IF(AND((YEAR(G$6)*12+MONTH(G$6))&gt;='Aset Tetap'!$Y106,(YEAR(G$6)*12+MONTH(G$6))&lt;=MIN('Aset Tetap'!$Z106,IF('Aset Tetap'!$S106="Unit Produksi",99999,'Aset Tetap'!$Y106+'Aset Tetap'!$T106*12-1))),'Aset Tetap'!$AQ106/'Aset Tetap'!$AG106,0)))</f>
        <v/>
      </c>
      <c r="H106" s="22" t="str">
        <f>IF($B106="","",IF(N('Aset Tetap'!$AG106)=0,0,IF(AND((YEAR(H$6)*12+MONTH(H$6))&gt;='Aset Tetap'!$Y106,(YEAR(H$6)*12+MONTH(H$6))&lt;=MIN('Aset Tetap'!$Z106,IF('Aset Tetap'!$S106="Unit Produksi",99999,'Aset Tetap'!$Y106+'Aset Tetap'!$T106*12-1))),'Aset Tetap'!$AQ106/'Aset Tetap'!$AG106,0)))</f>
        <v/>
      </c>
      <c r="I106" s="22" t="str">
        <f>IF($B106="","",IF(N('Aset Tetap'!$AG106)=0,0,IF(AND((YEAR(I$6)*12+MONTH(I$6))&gt;='Aset Tetap'!$Y106,(YEAR(I$6)*12+MONTH(I$6))&lt;=MIN('Aset Tetap'!$Z106,IF('Aset Tetap'!$S106="Unit Produksi",99999,'Aset Tetap'!$Y106+'Aset Tetap'!$T106*12-1))),'Aset Tetap'!$AQ106/'Aset Tetap'!$AG106,0)))</f>
        <v/>
      </c>
      <c r="J106" s="22" t="str">
        <f>IF($B106="","",IF(N('Aset Tetap'!$AG106)=0,0,IF(AND((YEAR(J$6)*12+MONTH(J$6))&gt;='Aset Tetap'!$Y106,(YEAR(J$6)*12+MONTH(J$6))&lt;=MIN('Aset Tetap'!$Z106,IF('Aset Tetap'!$S106="Unit Produksi",99999,'Aset Tetap'!$Y106+'Aset Tetap'!$T106*12-1))),'Aset Tetap'!$AQ106/'Aset Tetap'!$AG106,0)))</f>
        <v/>
      </c>
      <c r="K106" s="22" t="str">
        <f>IF($B106="","",IF(N('Aset Tetap'!$AG106)=0,0,IF(AND((YEAR(K$6)*12+MONTH(K$6))&gt;='Aset Tetap'!$Y106,(YEAR(K$6)*12+MONTH(K$6))&lt;=MIN('Aset Tetap'!$Z106,IF('Aset Tetap'!$S106="Unit Produksi",99999,'Aset Tetap'!$Y106+'Aset Tetap'!$T106*12-1))),'Aset Tetap'!$AQ106/'Aset Tetap'!$AG106,0)))</f>
        <v/>
      </c>
      <c r="L106" s="22" t="str">
        <f>IF($B106="","",IF(N('Aset Tetap'!$AG106)=0,0,IF(AND((YEAR(L$6)*12+MONTH(L$6))&gt;='Aset Tetap'!$Y106,(YEAR(L$6)*12+MONTH(L$6))&lt;=MIN('Aset Tetap'!$Z106,IF('Aset Tetap'!$S106="Unit Produksi",99999,'Aset Tetap'!$Y106+'Aset Tetap'!$T106*12-1))),'Aset Tetap'!$AQ106/'Aset Tetap'!$AG106,0)))</f>
        <v/>
      </c>
      <c r="M106" s="22" t="str">
        <f>IF($B106="","",IF(N('Aset Tetap'!$AG106)=0,0,IF(AND((YEAR(M$6)*12+MONTH(M$6))&gt;='Aset Tetap'!$Y106,(YEAR(M$6)*12+MONTH(M$6))&lt;=MIN('Aset Tetap'!$Z106,IF('Aset Tetap'!$S106="Unit Produksi",99999,'Aset Tetap'!$Y106+'Aset Tetap'!$T106*12-1))),'Aset Tetap'!$AQ106/'Aset Tetap'!$AG106,0)))</f>
        <v/>
      </c>
      <c r="N106" s="22" t="str">
        <f>IF($B106="","",IF(N('Aset Tetap'!$AG106)=0,0,IF(AND((YEAR(N$6)*12+MONTH(N$6))&gt;='Aset Tetap'!$Y106,(YEAR(N$6)*12+MONTH(N$6))&lt;=MIN('Aset Tetap'!$Z106,IF('Aset Tetap'!$S106="Unit Produksi",99999,'Aset Tetap'!$Y106+'Aset Tetap'!$T106*12-1))),'Aset Tetap'!$AQ106/'Aset Tetap'!$AG106,0)))</f>
        <v/>
      </c>
      <c r="O106" s="22" t="str">
        <f>IF($B106="","",IF(N('Aset Tetap'!$AG106)=0,0,IF(AND((YEAR(O$6)*12+MONTH(O$6))&gt;='Aset Tetap'!$Y106,(YEAR(O$6)*12+MONTH(O$6))&lt;=MIN('Aset Tetap'!$Z106,IF('Aset Tetap'!$S106="Unit Produksi",99999,'Aset Tetap'!$Y106+'Aset Tetap'!$T106*12-1))),'Aset Tetap'!$AQ106/'Aset Tetap'!$AG106,0)))</f>
        <v/>
      </c>
      <c r="P106" s="22" t="str">
        <f>IF($B106="","",IF(N('Aset Tetap'!$AG106)=0,0,IF(AND((YEAR(P$6)*12+MONTH(P$6))&gt;='Aset Tetap'!$Y106,(YEAR(P$6)*12+MONTH(P$6))&lt;=MIN('Aset Tetap'!$Z106,IF('Aset Tetap'!$S106="Unit Produksi",99999,'Aset Tetap'!$Y106+'Aset Tetap'!$T106*12-1))),'Aset Tetap'!$AQ106/'Aset Tetap'!$AG106,0)))</f>
        <v/>
      </c>
      <c r="Q106" s="22" t="str">
        <f>IF($B106="","",SUM(E106:P106))</f>
        <v/>
      </c>
      <c r="R106" s="22" t="str">
        <f>IF($B106="","",'Aset Tetap'!AQ106)</f>
        <v/>
      </c>
      <c r="S106" s="22" t="str">
        <f>IF($B106="","",ROUND(Q106-R106,0))</f>
        <v/>
      </c>
    </row>
    <row r="107" spans="1:19" x14ac:dyDescent="0.25">
      <c r="A107" t="str">
        <f>IF('Aset Tetap'!$B107="","",'Aset Tetap'!A107)</f>
        <v/>
      </c>
      <c r="B107" t="str">
        <f>IF('Aset Tetap'!$B107="","",'Aset Tetap'!B107)</f>
        <v/>
      </c>
      <c r="C107" t="str">
        <f>IF('Aset Tetap'!$B107="","",'Aset Tetap'!C107)</f>
        <v/>
      </c>
      <c r="D107" t="str">
        <f>IF('Aset Tetap'!$B107="","",'Aset Tetap'!D107)</f>
        <v/>
      </c>
      <c r="E107" s="22" t="str">
        <f>IF($B107="","",IF(N('Aset Tetap'!$AG107)=0,0,IF(AND((YEAR(E$6)*12+MONTH(E$6))&gt;='Aset Tetap'!$Y107,(YEAR(E$6)*12+MONTH(E$6))&lt;=MIN('Aset Tetap'!$Z107,IF('Aset Tetap'!$S107="Unit Produksi",99999,'Aset Tetap'!$Y107+'Aset Tetap'!$T107*12-1))),'Aset Tetap'!$AQ107/'Aset Tetap'!$AG107,0)))</f>
        <v/>
      </c>
      <c r="F107" s="22" t="str">
        <f>IF($B107="","",IF(N('Aset Tetap'!$AG107)=0,0,IF(AND((YEAR(F$6)*12+MONTH(F$6))&gt;='Aset Tetap'!$Y107,(YEAR(F$6)*12+MONTH(F$6))&lt;=MIN('Aset Tetap'!$Z107,IF('Aset Tetap'!$S107="Unit Produksi",99999,'Aset Tetap'!$Y107+'Aset Tetap'!$T107*12-1))),'Aset Tetap'!$AQ107/'Aset Tetap'!$AG107,0)))</f>
        <v/>
      </c>
      <c r="G107" s="22" t="str">
        <f>IF($B107="","",IF(N('Aset Tetap'!$AG107)=0,0,IF(AND((YEAR(G$6)*12+MONTH(G$6))&gt;='Aset Tetap'!$Y107,(YEAR(G$6)*12+MONTH(G$6))&lt;=MIN('Aset Tetap'!$Z107,IF('Aset Tetap'!$S107="Unit Produksi",99999,'Aset Tetap'!$Y107+'Aset Tetap'!$T107*12-1))),'Aset Tetap'!$AQ107/'Aset Tetap'!$AG107,0)))</f>
        <v/>
      </c>
      <c r="H107" s="22" t="str">
        <f>IF($B107="","",IF(N('Aset Tetap'!$AG107)=0,0,IF(AND((YEAR(H$6)*12+MONTH(H$6))&gt;='Aset Tetap'!$Y107,(YEAR(H$6)*12+MONTH(H$6))&lt;=MIN('Aset Tetap'!$Z107,IF('Aset Tetap'!$S107="Unit Produksi",99999,'Aset Tetap'!$Y107+'Aset Tetap'!$T107*12-1))),'Aset Tetap'!$AQ107/'Aset Tetap'!$AG107,0)))</f>
        <v/>
      </c>
      <c r="I107" s="22" t="str">
        <f>IF($B107="","",IF(N('Aset Tetap'!$AG107)=0,0,IF(AND((YEAR(I$6)*12+MONTH(I$6))&gt;='Aset Tetap'!$Y107,(YEAR(I$6)*12+MONTH(I$6))&lt;=MIN('Aset Tetap'!$Z107,IF('Aset Tetap'!$S107="Unit Produksi",99999,'Aset Tetap'!$Y107+'Aset Tetap'!$T107*12-1))),'Aset Tetap'!$AQ107/'Aset Tetap'!$AG107,0)))</f>
        <v/>
      </c>
      <c r="J107" s="22" t="str">
        <f>IF($B107="","",IF(N('Aset Tetap'!$AG107)=0,0,IF(AND((YEAR(J$6)*12+MONTH(J$6))&gt;='Aset Tetap'!$Y107,(YEAR(J$6)*12+MONTH(J$6))&lt;=MIN('Aset Tetap'!$Z107,IF('Aset Tetap'!$S107="Unit Produksi",99999,'Aset Tetap'!$Y107+'Aset Tetap'!$T107*12-1))),'Aset Tetap'!$AQ107/'Aset Tetap'!$AG107,0)))</f>
        <v/>
      </c>
      <c r="K107" s="22" t="str">
        <f>IF($B107="","",IF(N('Aset Tetap'!$AG107)=0,0,IF(AND((YEAR(K$6)*12+MONTH(K$6))&gt;='Aset Tetap'!$Y107,(YEAR(K$6)*12+MONTH(K$6))&lt;=MIN('Aset Tetap'!$Z107,IF('Aset Tetap'!$S107="Unit Produksi",99999,'Aset Tetap'!$Y107+'Aset Tetap'!$T107*12-1))),'Aset Tetap'!$AQ107/'Aset Tetap'!$AG107,0)))</f>
        <v/>
      </c>
      <c r="L107" s="22" t="str">
        <f>IF($B107="","",IF(N('Aset Tetap'!$AG107)=0,0,IF(AND((YEAR(L$6)*12+MONTH(L$6))&gt;='Aset Tetap'!$Y107,(YEAR(L$6)*12+MONTH(L$6))&lt;=MIN('Aset Tetap'!$Z107,IF('Aset Tetap'!$S107="Unit Produksi",99999,'Aset Tetap'!$Y107+'Aset Tetap'!$T107*12-1))),'Aset Tetap'!$AQ107/'Aset Tetap'!$AG107,0)))</f>
        <v/>
      </c>
      <c r="M107" s="22" t="str">
        <f>IF($B107="","",IF(N('Aset Tetap'!$AG107)=0,0,IF(AND((YEAR(M$6)*12+MONTH(M$6))&gt;='Aset Tetap'!$Y107,(YEAR(M$6)*12+MONTH(M$6))&lt;=MIN('Aset Tetap'!$Z107,IF('Aset Tetap'!$S107="Unit Produksi",99999,'Aset Tetap'!$Y107+'Aset Tetap'!$T107*12-1))),'Aset Tetap'!$AQ107/'Aset Tetap'!$AG107,0)))</f>
        <v/>
      </c>
      <c r="N107" s="22" t="str">
        <f>IF($B107="","",IF(N('Aset Tetap'!$AG107)=0,0,IF(AND((YEAR(N$6)*12+MONTH(N$6))&gt;='Aset Tetap'!$Y107,(YEAR(N$6)*12+MONTH(N$6))&lt;=MIN('Aset Tetap'!$Z107,IF('Aset Tetap'!$S107="Unit Produksi",99999,'Aset Tetap'!$Y107+'Aset Tetap'!$T107*12-1))),'Aset Tetap'!$AQ107/'Aset Tetap'!$AG107,0)))</f>
        <v/>
      </c>
      <c r="O107" s="22" t="str">
        <f>IF($B107="","",IF(N('Aset Tetap'!$AG107)=0,0,IF(AND((YEAR(O$6)*12+MONTH(O$6))&gt;='Aset Tetap'!$Y107,(YEAR(O$6)*12+MONTH(O$6))&lt;=MIN('Aset Tetap'!$Z107,IF('Aset Tetap'!$S107="Unit Produksi",99999,'Aset Tetap'!$Y107+'Aset Tetap'!$T107*12-1))),'Aset Tetap'!$AQ107/'Aset Tetap'!$AG107,0)))</f>
        <v/>
      </c>
      <c r="P107" s="22" t="str">
        <f>IF($B107="","",IF(N('Aset Tetap'!$AG107)=0,0,IF(AND((YEAR(P$6)*12+MONTH(P$6))&gt;='Aset Tetap'!$Y107,(YEAR(P$6)*12+MONTH(P$6))&lt;=MIN('Aset Tetap'!$Z107,IF('Aset Tetap'!$S107="Unit Produksi",99999,'Aset Tetap'!$Y107+'Aset Tetap'!$T107*12-1))),'Aset Tetap'!$AQ107/'Aset Tetap'!$AG107,0)))</f>
        <v/>
      </c>
      <c r="Q107" s="22" t="str">
        <f>IF($B107="","",SUM(E107:P107))</f>
        <v/>
      </c>
      <c r="R107" s="22" t="str">
        <f>IF($B107="","",'Aset Tetap'!AQ107)</f>
        <v/>
      </c>
      <c r="S107" s="22" t="str">
        <f>IF($B107="","",ROUND(Q107-R107,0))</f>
        <v/>
      </c>
    </row>
    <row r="108" spans="1:19" x14ac:dyDescent="0.25">
      <c r="A108" t="str">
        <f>IF('Aset Tetap'!$B108="","",'Aset Tetap'!A108)</f>
        <v/>
      </c>
      <c r="B108" t="str">
        <f>IF('Aset Tetap'!$B108="","",'Aset Tetap'!B108)</f>
        <v/>
      </c>
      <c r="C108" t="str">
        <f>IF('Aset Tetap'!$B108="","",'Aset Tetap'!C108)</f>
        <v/>
      </c>
      <c r="D108" t="str">
        <f>IF('Aset Tetap'!$B108="","",'Aset Tetap'!D108)</f>
        <v/>
      </c>
      <c r="E108" s="22" t="str">
        <f>IF($B108="","",IF(N('Aset Tetap'!$AG108)=0,0,IF(AND((YEAR(E$6)*12+MONTH(E$6))&gt;='Aset Tetap'!$Y108,(YEAR(E$6)*12+MONTH(E$6))&lt;=MIN('Aset Tetap'!$Z108,IF('Aset Tetap'!$S108="Unit Produksi",99999,'Aset Tetap'!$Y108+'Aset Tetap'!$T108*12-1))),'Aset Tetap'!$AQ108/'Aset Tetap'!$AG108,0)))</f>
        <v/>
      </c>
      <c r="F108" s="22" t="str">
        <f>IF($B108="","",IF(N('Aset Tetap'!$AG108)=0,0,IF(AND((YEAR(F$6)*12+MONTH(F$6))&gt;='Aset Tetap'!$Y108,(YEAR(F$6)*12+MONTH(F$6))&lt;=MIN('Aset Tetap'!$Z108,IF('Aset Tetap'!$S108="Unit Produksi",99999,'Aset Tetap'!$Y108+'Aset Tetap'!$T108*12-1))),'Aset Tetap'!$AQ108/'Aset Tetap'!$AG108,0)))</f>
        <v/>
      </c>
      <c r="G108" s="22" t="str">
        <f>IF($B108="","",IF(N('Aset Tetap'!$AG108)=0,0,IF(AND((YEAR(G$6)*12+MONTH(G$6))&gt;='Aset Tetap'!$Y108,(YEAR(G$6)*12+MONTH(G$6))&lt;=MIN('Aset Tetap'!$Z108,IF('Aset Tetap'!$S108="Unit Produksi",99999,'Aset Tetap'!$Y108+'Aset Tetap'!$T108*12-1))),'Aset Tetap'!$AQ108/'Aset Tetap'!$AG108,0)))</f>
        <v/>
      </c>
      <c r="H108" s="22" t="str">
        <f>IF($B108="","",IF(N('Aset Tetap'!$AG108)=0,0,IF(AND((YEAR(H$6)*12+MONTH(H$6))&gt;='Aset Tetap'!$Y108,(YEAR(H$6)*12+MONTH(H$6))&lt;=MIN('Aset Tetap'!$Z108,IF('Aset Tetap'!$S108="Unit Produksi",99999,'Aset Tetap'!$Y108+'Aset Tetap'!$T108*12-1))),'Aset Tetap'!$AQ108/'Aset Tetap'!$AG108,0)))</f>
        <v/>
      </c>
      <c r="I108" s="22" t="str">
        <f>IF($B108="","",IF(N('Aset Tetap'!$AG108)=0,0,IF(AND((YEAR(I$6)*12+MONTH(I$6))&gt;='Aset Tetap'!$Y108,(YEAR(I$6)*12+MONTH(I$6))&lt;=MIN('Aset Tetap'!$Z108,IF('Aset Tetap'!$S108="Unit Produksi",99999,'Aset Tetap'!$Y108+'Aset Tetap'!$T108*12-1))),'Aset Tetap'!$AQ108/'Aset Tetap'!$AG108,0)))</f>
        <v/>
      </c>
      <c r="J108" s="22" t="str">
        <f>IF($B108="","",IF(N('Aset Tetap'!$AG108)=0,0,IF(AND((YEAR(J$6)*12+MONTH(J$6))&gt;='Aset Tetap'!$Y108,(YEAR(J$6)*12+MONTH(J$6))&lt;=MIN('Aset Tetap'!$Z108,IF('Aset Tetap'!$S108="Unit Produksi",99999,'Aset Tetap'!$Y108+'Aset Tetap'!$T108*12-1))),'Aset Tetap'!$AQ108/'Aset Tetap'!$AG108,0)))</f>
        <v/>
      </c>
      <c r="K108" s="22" t="str">
        <f>IF($B108="","",IF(N('Aset Tetap'!$AG108)=0,0,IF(AND((YEAR(K$6)*12+MONTH(K$6))&gt;='Aset Tetap'!$Y108,(YEAR(K$6)*12+MONTH(K$6))&lt;=MIN('Aset Tetap'!$Z108,IF('Aset Tetap'!$S108="Unit Produksi",99999,'Aset Tetap'!$Y108+'Aset Tetap'!$T108*12-1))),'Aset Tetap'!$AQ108/'Aset Tetap'!$AG108,0)))</f>
        <v/>
      </c>
      <c r="L108" s="22" t="str">
        <f>IF($B108="","",IF(N('Aset Tetap'!$AG108)=0,0,IF(AND((YEAR(L$6)*12+MONTH(L$6))&gt;='Aset Tetap'!$Y108,(YEAR(L$6)*12+MONTH(L$6))&lt;=MIN('Aset Tetap'!$Z108,IF('Aset Tetap'!$S108="Unit Produksi",99999,'Aset Tetap'!$Y108+'Aset Tetap'!$T108*12-1))),'Aset Tetap'!$AQ108/'Aset Tetap'!$AG108,0)))</f>
        <v/>
      </c>
      <c r="M108" s="22" t="str">
        <f>IF($B108="","",IF(N('Aset Tetap'!$AG108)=0,0,IF(AND((YEAR(M$6)*12+MONTH(M$6))&gt;='Aset Tetap'!$Y108,(YEAR(M$6)*12+MONTH(M$6))&lt;=MIN('Aset Tetap'!$Z108,IF('Aset Tetap'!$S108="Unit Produksi",99999,'Aset Tetap'!$Y108+'Aset Tetap'!$T108*12-1))),'Aset Tetap'!$AQ108/'Aset Tetap'!$AG108,0)))</f>
        <v/>
      </c>
      <c r="N108" s="22" t="str">
        <f>IF($B108="","",IF(N('Aset Tetap'!$AG108)=0,0,IF(AND((YEAR(N$6)*12+MONTH(N$6))&gt;='Aset Tetap'!$Y108,(YEAR(N$6)*12+MONTH(N$6))&lt;=MIN('Aset Tetap'!$Z108,IF('Aset Tetap'!$S108="Unit Produksi",99999,'Aset Tetap'!$Y108+'Aset Tetap'!$T108*12-1))),'Aset Tetap'!$AQ108/'Aset Tetap'!$AG108,0)))</f>
        <v/>
      </c>
      <c r="O108" s="22" t="str">
        <f>IF($B108="","",IF(N('Aset Tetap'!$AG108)=0,0,IF(AND((YEAR(O$6)*12+MONTH(O$6))&gt;='Aset Tetap'!$Y108,(YEAR(O$6)*12+MONTH(O$6))&lt;=MIN('Aset Tetap'!$Z108,IF('Aset Tetap'!$S108="Unit Produksi",99999,'Aset Tetap'!$Y108+'Aset Tetap'!$T108*12-1))),'Aset Tetap'!$AQ108/'Aset Tetap'!$AG108,0)))</f>
        <v/>
      </c>
      <c r="P108" s="22" t="str">
        <f>IF($B108="","",IF(N('Aset Tetap'!$AG108)=0,0,IF(AND((YEAR(P$6)*12+MONTH(P$6))&gt;='Aset Tetap'!$Y108,(YEAR(P$6)*12+MONTH(P$6))&lt;=MIN('Aset Tetap'!$Z108,IF('Aset Tetap'!$S108="Unit Produksi",99999,'Aset Tetap'!$Y108+'Aset Tetap'!$T108*12-1))),'Aset Tetap'!$AQ108/'Aset Tetap'!$AG108,0)))</f>
        <v/>
      </c>
      <c r="Q108" s="22" t="str">
        <f>IF($B108="","",SUM(E108:P108))</f>
        <v/>
      </c>
      <c r="R108" s="22" t="str">
        <f>IF($B108="","",'Aset Tetap'!AQ108)</f>
        <v/>
      </c>
      <c r="S108" s="22" t="str">
        <f>IF($B108="","",ROUND(Q108-R108,0))</f>
        <v/>
      </c>
    </row>
    <row r="109" spans="1:19" x14ac:dyDescent="0.25">
      <c r="A109" t="str">
        <f>IF('Aset Tetap'!$B109="","",'Aset Tetap'!A109)</f>
        <v/>
      </c>
      <c r="B109" t="str">
        <f>IF('Aset Tetap'!$B109="","",'Aset Tetap'!B109)</f>
        <v/>
      </c>
      <c r="C109" t="str">
        <f>IF('Aset Tetap'!$B109="","",'Aset Tetap'!C109)</f>
        <v/>
      </c>
      <c r="D109" t="str">
        <f>IF('Aset Tetap'!$B109="","",'Aset Tetap'!D109)</f>
        <v/>
      </c>
      <c r="E109" s="22" t="str">
        <f>IF($B109="","",IF(N('Aset Tetap'!$AG109)=0,0,IF(AND((YEAR(E$6)*12+MONTH(E$6))&gt;='Aset Tetap'!$Y109,(YEAR(E$6)*12+MONTH(E$6))&lt;=MIN('Aset Tetap'!$Z109,IF('Aset Tetap'!$S109="Unit Produksi",99999,'Aset Tetap'!$Y109+'Aset Tetap'!$T109*12-1))),'Aset Tetap'!$AQ109/'Aset Tetap'!$AG109,0)))</f>
        <v/>
      </c>
      <c r="F109" s="22" t="str">
        <f>IF($B109="","",IF(N('Aset Tetap'!$AG109)=0,0,IF(AND((YEAR(F$6)*12+MONTH(F$6))&gt;='Aset Tetap'!$Y109,(YEAR(F$6)*12+MONTH(F$6))&lt;=MIN('Aset Tetap'!$Z109,IF('Aset Tetap'!$S109="Unit Produksi",99999,'Aset Tetap'!$Y109+'Aset Tetap'!$T109*12-1))),'Aset Tetap'!$AQ109/'Aset Tetap'!$AG109,0)))</f>
        <v/>
      </c>
      <c r="G109" s="22" t="str">
        <f>IF($B109="","",IF(N('Aset Tetap'!$AG109)=0,0,IF(AND((YEAR(G$6)*12+MONTH(G$6))&gt;='Aset Tetap'!$Y109,(YEAR(G$6)*12+MONTH(G$6))&lt;=MIN('Aset Tetap'!$Z109,IF('Aset Tetap'!$S109="Unit Produksi",99999,'Aset Tetap'!$Y109+'Aset Tetap'!$T109*12-1))),'Aset Tetap'!$AQ109/'Aset Tetap'!$AG109,0)))</f>
        <v/>
      </c>
      <c r="H109" s="22" t="str">
        <f>IF($B109="","",IF(N('Aset Tetap'!$AG109)=0,0,IF(AND((YEAR(H$6)*12+MONTH(H$6))&gt;='Aset Tetap'!$Y109,(YEAR(H$6)*12+MONTH(H$6))&lt;=MIN('Aset Tetap'!$Z109,IF('Aset Tetap'!$S109="Unit Produksi",99999,'Aset Tetap'!$Y109+'Aset Tetap'!$T109*12-1))),'Aset Tetap'!$AQ109/'Aset Tetap'!$AG109,0)))</f>
        <v/>
      </c>
      <c r="I109" s="22" t="str">
        <f>IF($B109="","",IF(N('Aset Tetap'!$AG109)=0,0,IF(AND((YEAR(I$6)*12+MONTH(I$6))&gt;='Aset Tetap'!$Y109,(YEAR(I$6)*12+MONTH(I$6))&lt;=MIN('Aset Tetap'!$Z109,IF('Aset Tetap'!$S109="Unit Produksi",99999,'Aset Tetap'!$Y109+'Aset Tetap'!$T109*12-1))),'Aset Tetap'!$AQ109/'Aset Tetap'!$AG109,0)))</f>
        <v/>
      </c>
      <c r="J109" s="22" t="str">
        <f>IF($B109="","",IF(N('Aset Tetap'!$AG109)=0,0,IF(AND((YEAR(J$6)*12+MONTH(J$6))&gt;='Aset Tetap'!$Y109,(YEAR(J$6)*12+MONTH(J$6))&lt;=MIN('Aset Tetap'!$Z109,IF('Aset Tetap'!$S109="Unit Produksi",99999,'Aset Tetap'!$Y109+'Aset Tetap'!$T109*12-1))),'Aset Tetap'!$AQ109/'Aset Tetap'!$AG109,0)))</f>
        <v/>
      </c>
      <c r="K109" s="22" t="str">
        <f>IF($B109="","",IF(N('Aset Tetap'!$AG109)=0,0,IF(AND((YEAR(K$6)*12+MONTH(K$6))&gt;='Aset Tetap'!$Y109,(YEAR(K$6)*12+MONTH(K$6))&lt;=MIN('Aset Tetap'!$Z109,IF('Aset Tetap'!$S109="Unit Produksi",99999,'Aset Tetap'!$Y109+'Aset Tetap'!$T109*12-1))),'Aset Tetap'!$AQ109/'Aset Tetap'!$AG109,0)))</f>
        <v/>
      </c>
      <c r="L109" s="22" t="str">
        <f>IF($B109="","",IF(N('Aset Tetap'!$AG109)=0,0,IF(AND((YEAR(L$6)*12+MONTH(L$6))&gt;='Aset Tetap'!$Y109,(YEAR(L$6)*12+MONTH(L$6))&lt;=MIN('Aset Tetap'!$Z109,IF('Aset Tetap'!$S109="Unit Produksi",99999,'Aset Tetap'!$Y109+'Aset Tetap'!$T109*12-1))),'Aset Tetap'!$AQ109/'Aset Tetap'!$AG109,0)))</f>
        <v/>
      </c>
      <c r="M109" s="22" t="str">
        <f>IF($B109="","",IF(N('Aset Tetap'!$AG109)=0,0,IF(AND((YEAR(M$6)*12+MONTH(M$6))&gt;='Aset Tetap'!$Y109,(YEAR(M$6)*12+MONTH(M$6))&lt;=MIN('Aset Tetap'!$Z109,IF('Aset Tetap'!$S109="Unit Produksi",99999,'Aset Tetap'!$Y109+'Aset Tetap'!$T109*12-1))),'Aset Tetap'!$AQ109/'Aset Tetap'!$AG109,0)))</f>
        <v/>
      </c>
      <c r="N109" s="22" t="str">
        <f>IF($B109="","",IF(N('Aset Tetap'!$AG109)=0,0,IF(AND((YEAR(N$6)*12+MONTH(N$6))&gt;='Aset Tetap'!$Y109,(YEAR(N$6)*12+MONTH(N$6))&lt;=MIN('Aset Tetap'!$Z109,IF('Aset Tetap'!$S109="Unit Produksi",99999,'Aset Tetap'!$Y109+'Aset Tetap'!$T109*12-1))),'Aset Tetap'!$AQ109/'Aset Tetap'!$AG109,0)))</f>
        <v/>
      </c>
      <c r="O109" s="22" t="str">
        <f>IF($B109="","",IF(N('Aset Tetap'!$AG109)=0,0,IF(AND((YEAR(O$6)*12+MONTH(O$6))&gt;='Aset Tetap'!$Y109,(YEAR(O$6)*12+MONTH(O$6))&lt;=MIN('Aset Tetap'!$Z109,IF('Aset Tetap'!$S109="Unit Produksi",99999,'Aset Tetap'!$Y109+'Aset Tetap'!$T109*12-1))),'Aset Tetap'!$AQ109/'Aset Tetap'!$AG109,0)))</f>
        <v/>
      </c>
      <c r="P109" s="22" t="str">
        <f>IF($B109="","",IF(N('Aset Tetap'!$AG109)=0,0,IF(AND((YEAR(P$6)*12+MONTH(P$6))&gt;='Aset Tetap'!$Y109,(YEAR(P$6)*12+MONTH(P$6))&lt;=MIN('Aset Tetap'!$Z109,IF('Aset Tetap'!$S109="Unit Produksi",99999,'Aset Tetap'!$Y109+'Aset Tetap'!$T109*12-1))),'Aset Tetap'!$AQ109/'Aset Tetap'!$AG109,0)))</f>
        <v/>
      </c>
      <c r="Q109" s="22" t="str">
        <f>IF($B109="","",SUM(E109:P109))</f>
        <v/>
      </c>
      <c r="R109" s="22" t="str">
        <f>IF($B109="","",'Aset Tetap'!AQ109)</f>
        <v/>
      </c>
      <c r="S109" s="22" t="str">
        <f>IF($B109="","",ROUND(Q109-R109,0))</f>
        <v/>
      </c>
    </row>
    <row r="110" spans="1:19" x14ac:dyDescent="0.25">
      <c r="A110" t="str">
        <f>IF('Aset Tetap'!$B110="","",'Aset Tetap'!A110)</f>
        <v/>
      </c>
      <c r="B110" t="str">
        <f>IF('Aset Tetap'!$B110="","",'Aset Tetap'!B110)</f>
        <v/>
      </c>
      <c r="C110" t="str">
        <f>IF('Aset Tetap'!$B110="","",'Aset Tetap'!C110)</f>
        <v/>
      </c>
      <c r="D110" t="str">
        <f>IF('Aset Tetap'!$B110="","",'Aset Tetap'!D110)</f>
        <v/>
      </c>
      <c r="E110" s="22" t="str">
        <f>IF($B110="","",IF(N('Aset Tetap'!$AG110)=0,0,IF(AND((YEAR(E$6)*12+MONTH(E$6))&gt;='Aset Tetap'!$Y110,(YEAR(E$6)*12+MONTH(E$6))&lt;=MIN('Aset Tetap'!$Z110,IF('Aset Tetap'!$S110="Unit Produksi",99999,'Aset Tetap'!$Y110+'Aset Tetap'!$T110*12-1))),'Aset Tetap'!$AQ110/'Aset Tetap'!$AG110,0)))</f>
        <v/>
      </c>
      <c r="F110" s="22" t="str">
        <f>IF($B110="","",IF(N('Aset Tetap'!$AG110)=0,0,IF(AND((YEAR(F$6)*12+MONTH(F$6))&gt;='Aset Tetap'!$Y110,(YEAR(F$6)*12+MONTH(F$6))&lt;=MIN('Aset Tetap'!$Z110,IF('Aset Tetap'!$S110="Unit Produksi",99999,'Aset Tetap'!$Y110+'Aset Tetap'!$T110*12-1))),'Aset Tetap'!$AQ110/'Aset Tetap'!$AG110,0)))</f>
        <v/>
      </c>
      <c r="G110" s="22" t="str">
        <f>IF($B110="","",IF(N('Aset Tetap'!$AG110)=0,0,IF(AND((YEAR(G$6)*12+MONTH(G$6))&gt;='Aset Tetap'!$Y110,(YEAR(G$6)*12+MONTH(G$6))&lt;=MIN('Aset Tetap'!$Z110,IF('Aset Tetap'!$S110="Unit Produksi",99999,'Aset Tetap'!$Y110+'Aset Tetap'!$T110*12-1))),'Aset Tetap'!$AQ110/'Aset Tetap'!$AG110,0)))</f>
        <v/>
      </c>
      <c r="H110" s="22" t="str">
        <f>IF($B110="","",IF(N('Aset Tetap'!$AG110)=0,0,IF(AND((YEAR(H$6)*12+MONTH(H$6))&gt;='Aset Tetap'!$Y110,(YEAR(H$6)*12+MONTH(H$6))&lt;=MIN('Aset Tetap'!$Z110,IF('Aset Tetap'!$S110="Unit Produksi",99999,'Aset Tetap'!$Y110+'Aset Tetap'!$T110*12-1))),'Aset Tetap'!$AQ110/'Aset Tetap'!$AG110,0)))</f>
        <v/>
      </c>
      <c r="I110" s="22" t="str">
        <f>IF($B110="","",IF(N('Aset Tetap'!$AG110)=0,0,IF(AND((YEAR(I$6)*12+MONTH(I$6))&gt;='Aset Tetap'!$Y110,(YEAR(I$6)*12+MONTH(I$6))&lt;=MIN('Aset Tetap'!$Z110,IF('Aset Tetap'!$S110="Unit Produksi",99999,'Aset Tetap'!$Y110+'Aset Tetap'!$T110*12-1))),'Aset Tetap'!$AQ110/'Aset Tetap'!$AG110,0)))</f>
        <v/>
      </c>
      <c r="J110" s="22" t="str">
        <f>IF($B110="","",IF(N('Aset Tetap'!$AG110)=0,0,IF(AND((YEAR(J$6)*12+MONTH(J$6))&gt;='Aset Tetap'!$Y110,(YEAR(J$6)*12+MONTH(J$6))&lt;=MIN('Aset Tetap'!$Z110,IF('Aset Tetap'!$S110="Unit Produksi",99999,'Aset Tetap'!$Y110+'Aset Tetap'!$T110*12-1))),'Aset Tetap'!$AQ110/'Aset Tetap'!$AG110,0)))</f>
        <v/>
      </c>
      <c r="K110" s="22" t="str">
        <f>IF($B110="","",IF(N('Aset Tetap'!$AG110)=0,0,IF(AND((YEAR(K$6)*12+MONTH(K$6))&gt;='Aset Tetap'!$Y110,(YEAR(K$6)*12+MONTH(K$6))&lt;=MIN('Aset Tetap'!$Z110,IF('Aset Tetap'!$S110="Unit Produksi",99999,'Aset Tetap'!$Y110+'Aset Tetap'!$T110*12-1))),'Aset Tetap'!$AQ110/'Aset Tetap'!$AG110,0)))</f>
        <v/>
      </c>
      <c r="L110" s="22" t="str">
        <f>IF($B110="","",IF(N('Aset Tetap'!$AG110)=0,0,IF(AND((YEAR(L$6)*12+MONTH(L$6))&gt;='Aset Tetap'!$Y110,(YEAR(L$6)*12+MONTH(L$6))&lt;=MIN('Aset Tetap'!$Z110,IF('Aset Tetap'!$S110="Unit Produksi",99999,'Aset Tetap'!$Y110+'Aset Tetap'!$T110*12-1))),'Aset Tetap'!$AQ110/'Aset Tetap'!$AG110,0)))</f>
        <v/>
      </c>
      <c r="M110" s="22" t="str">
        <f>IF($B110="","",IF(N('Aset Tetap'!$AG110)=0,0,IF(AND((YEAR(M$6)*12+MONTH(M$6))&gt;='Aset Tetap'!$Y110,(YEAR(M$6)*12+MONTH(M$6))&lt;=MIN('Aset Tetap'!$Z110,IF('Aset Tetap'!$S110="Unit Produksi",99999,'Aset Tetap'!$Y110+'Aset Tetap'!$T110*12-1))),'Aset Tetap'!$AQ110/'Aset Tetap'!$AG110,0)))</f>
        <v/>
      </c>
      <c r="N110" s="22" t="str">
        <f>IF($B110="","",IF(N('Aset Tetap'!$AG110)=0,0,IF(AND((YEAR(N$6)*12+MONTH(N$6))&gt;='Aset Tetap'!$Y110,(YEAR(N$6)*12+MONTH(N$6))&lt;=MIN('Aset Tetap'!$Z110,IF('Aset Tetap'!$S110="Unit Produksi",99999,'Aset Tetap'!$Y110+'Aset Tetap'!$T110*12-1))),'Aset Tetap'!$AQ110/'Aset Tetap'!$AG110,0)))</f>
        <v/>
      </c>
      <c r="O110" s="22" t="str">
        <f>IF($B110="","",IF(N('Aset Tetap'!$AG110)=0,0,IF(AND((YEAR(O$6)*12+MONTH(O$6))&gt;='Aset Tetap'!$Y110,(YEAR(O$6)*12+MONTH(O$6))&lt;=MIN('Aset Tetap'!$Z110,IF('Aset Tetap'!$S110="Unit Produksi",99999,'Aset Tetap'!$Y110+'Aset Tetap'!$T110*12-1))),'Aset Tetap'!$AQ110/'Aset Tetap'!$AG110,0)))</f>
        <v/>
      </c>
      <c r="P110" s="22" t="str">
        <f>IF($B110="","",IF(N('Aset Tetap'!$AG110)=0,0,IF(AND((YEAR(P$6)*12+MONTH(P$6))&gt;='Aset Tetap'!$Y110,(YEAR(P$6)*12+MONTH(P$6))&lt;=MIN('Aset Tetap'!$Z110,IF('Aset Tetap'!$S110="Unit Produksi",99999,'Aset Tetap'!$Y110+'Aset Tetap'!$T110*12-1))),'Aset Tetap'!$AQ110/'Aset Tetap'!$AG110,0)))</f>
        <v/>
      </c>
      <c r="Q110" s="22" t="str">
        <f>IF($B110="","",SUM(E110:P110))</f>
        <v/>
      </c>
      <c r="R110" s="22" t="str">
        <f>IF($B110="","",'Aset Tetap'!AQ110)</f>
        <v/>
      </c>
      <c r="S110" s="22" t="str">
        <f>IF($B110="","",ROUND(Q110-R110,0))</f>
        <v/>
      </c>
    </row>
    <row r="111" spans="1:19" x14ac:dyDescent="0.25">
      <c r="A111" t="str">
        <f>IF('Aset Tetap'!$B111="","",'Aset Tetap'!A111)</f>
        <v/>
      </c>
      <c r="B111" t="str">
        <f>IF('Aset Tetap'!$B111="","",'Aset Tetap'!B111)</f>
        <v/>
      </c>
      <c r="C111" t="str">
        <f>IF('Aset Tetap'!$B111="","",'Aset Tetap'!C111)</f>
        <v/>
      </c>
      <c r="D111" t="str">
        <f>IF('Aset Tetap'!$B111="","",'Aset Tetap'!D111)</f>
        <v/>
      </c>
      <c r="E111" s="22" t="str">
        <f>IF($B111="","",IF(N('Aset Tetap'!$AG111)=0,0,IF(AND((YEAR(E$6)*12+MONTH(E$6))&gt;='Aset Tetap'!$Y111,(YEAR(E$6)*12+MONTH(E$6))&lt;=MIN('Aset Tetap'!$Z111,IF('Aset Tetap'!$S111="Unit Produksi",99999,'Aset Tetap'!$Y111+'Aset Tetap'!$T111*12-1))),'Aset Tetap'!$AQ111/'Aset Tetap'!$AG111,0)))</f>
        <v/>
      </c>
      <c r="F111" s="22" t="str">
        <f>IF($B111="","",IF(N('Aset Tetap'!$AG111)=0,0,IF(AND((YEAR(F$6)*12+MONTH(F$6))&gt;='Aset Tetap'!$Y111,(YEAR(F$6)*12+MONTH(F$6))&lt;=MIN('Aset Tetap'!$Z111,IF('Aset Tetap'!$S111="Unit Produksi",99999,'Aset Tetap'!$Y111+'Aset Tetap'!$T111*12-1))),'Aset Tetap'!$AQ111/'Aset Tetap'!$AG111,0)))</f>
        <v/>
      </c>
      <c r="G111" s="22" t="str">
        <f>IF($B111="","",IF(N('Aset Tetap'!$AG111)=0,0,IF(AND((YEAR(G$6)*12+MONTH(G$6))&gt;='Aset Tetap'!$Y111,(YEAR(G$6)*12+MONTH(G$6))&lt;=MIN('Aset Tetap'!$Z111,IF('Aset Tetap'!$S111="Unit Produksi",99999,'Aset Tetap'!$Y111+'Aset Tetap'!$T111*12-1))),'Aset Tetap'!$AQ111/'Aset Tetap'!$AG111,0)))</f>
        <v/>
      </c>
      <c r="H111" s="22" t="str">
        <f>IF($B111="","",IF(N('Aset Tetap'!$AG111)=0,0,IF(AND((YEAR(H$6)*12+MONTH(H$6))&gt;='Aset Tetap'!$Y111,(YEAR(H$6)*12+MONTH(H$6))&lt;=MIN('Aset Tetap'!$Z111,IF('Aset Tetap'!$S111="Unit Produksi",99999,'Aset Tetap'!$Y111+'Aset Tetap'!$T111*12-1))),'Aset Tetap'!$AQ111/'Aset Tetap'!$AG111,0)))</f>
        <v/>
      </c>
      <c r="I111" s="22" t="str">
        <f>IF($B111="","",IF(N('Aset Tetap'!$AG111)=0,0,IF(AND((YEAR(I$6)*12+MONTH(I$6))&gt;='Aset Tetap'!$Y111,(YEAR(I$6)*12+MONTH(I$6))&lt;=MIN('Aset Tetap'!$Z111,IF('Aset Tetap'!$S111="Unit Produksi",99999,'Aset Tetap'!$Y111+'Aset Tetap'!$T111*12-1))),'Aset Tetap'!$AQ111/'Aset Tetap'!$AG111,0)))</f>
        <v/>
      </c>
      <c r="J111" s="22" t="str">
        <f>IF($B111="","",IF(N('Aset Tetap'!$AG111)=0,0,IF(AND((YEAR(J$6)*12+MONTH(J$6))&gt;='Aset Tetap'!$Y111,(YEAR(J$6)*12+MONTH(J$6))&lt;=MIN('Aset Tetap'!$Z111,IF('Aset Tetap'!$S111="Unit Produksi",99999,'Aset Tetap'!$Y111+'Aset Tetap'!$T111*12-1))),'Aset Tetap'!$AQ111/'Aset Tetap'!$AG111,0)))</f>
        <v/>
      </c>
      <c r="K111" s="22" t="str">
        <f>IF($B111="","",IF(N('Aset Tetap'!$AG111)=0,0,IF(AND((YEAR(K$6)*12+MONTH(K$6))&gt;='Aset Tetap'!$Y111,(YEAR(K$6)*12+MONTH(K$6))&lt;=MIN('Aset Tetap'!$Z111,IF('Aset Tetap'!$S111="Unit Produksi",99999,'Aset Tetap'!$Y111+'Aset Tetap'!$T111*12-1))),'Aset Tetap'!$AQ111/'Aset Tetap'!$AG111,0)))</f>
        <v/>
      </c>
      <c r="L111" s="22" t="str">
        <f>IF($B111="","",IF(N('Aset Tetap'!$AG111)=0,0,IF(AND((YEAR(L$6)*12+MONTH(L$6))&gt;='Aset Tetap'!$Y111,(YEAR(L$6)*12+MONTH(L$6))&lt;=MIN('Aset Tetap'!$Z111,IF('Aset Tetap'!$S111="Unit Produksi",99999,'Aset Tetap'!$Y111+'Aset Tetap'!$T111*12-1))),'Aset Tetap'!$AQ111/'Aset Tetap'!$AG111,0)))</f>
        <v/>
      </c>
      <c r="M111" s="22" t="str">
        <f>IF($B111="","",IF(N('Aset Tetap'!$AG111)=0,0,IF(AND((YEAR(M$6)*12+MONTH(M$6))&gt;='Aset Tetap'!$Y111,(YEAR(M$6)*12+MONTH(M$6))&lt;=MIN('Aset Tetap'!$Z111,IF('Aset Tetap'!$S111="Unit Produksi",99999,'Aset Tetap'!$Y111+'Aset Tetap'!$T111*12-1))),'Aset Tetap'!$AQ111/'Aset Tetap'!$AG111,0)))</f>
        <v/>
      </c>
      <c r="N111" s="22" t="str">
        <f>IF($B111="","",IF(N('Aset Tetap'!$AG111)=0,0,IF(AND((YEAR(N$6)*12+MONTH(N$6))&gt;='Aset Tetap'!$Y111,(YEAR(N$6)*12+MONTH(N$6))&lt;=MIN('Aset Tetap'!$Z111,IF('Aset Tetap'!$S111="Unit Produksi",99999,'Aset Tetap'!$Y111+'Aset Tetap'!$T111*12-1))),'Aset Tetap'!$AQ111/'Aset Tetap'!$AG111,0)))</f>
        <v/>
      </c>
      <c r="O111" s="22" t="str">
        <f>IF($B111="","",IF(N('Aset Tetap'!$AG111)=0,0,IF(AND((YEAR(O$6)*12+MONTH(O$6))&gt;='Aset Tetap'!$Y111,(YEAR(O$6)*12+MONTH(O$6))&lt;=MIN('Aset Tetap'!$Z111,IF('Aset Tetap'!$S111="Unit Produksi",99999,'Aset Tetap'!$Y111+'Aset Tetap'!$T111*12-1))),'Aset Tetap'!$AQ111/'Aset Tetap'!$AG111,0)))</f>
        <v/>
      </c>
      <c r="P111" s="22" t="str">
        <f>IF($B111="","",IF(N('Aset Tetap'!$AG111)=0,0,IF(AND((YEAR(P$6)*12+MONTH(P$6))&gt;='Aset Tetap'!$Y111,(YEAR(P$6)*12+MONTH(P$6))&lt;=MIN('Aset Tetap'!$Z111,IF('Aset Tetap'!$S111="Unit Produksi",99999,'Aset Tetap'!$Y111+'Aset Tetap'!$T111*12-1))),'Aset Tetap'!$AQ111/'Aset Tetap'!$AG111,0)))</f>
        <v/>
      </c>
      <c r="Q111" s="22" t="str">
        <f>IF($B111="","",SUM(E111:P111))</f>
        <v/>
      </c>
      <c r="R111" s="22" t="str">
        <f>IF($B111="","",'Aset Tetap'!AQ111)</f>
        <v/>
      </c>
      <c r="S111" s="22" t="str">
        <f>IF($B111="","",ROUND(Q111-R111,0))</f>
        <v/>
      </c>
    </row>
    <row r="112" spans="1:19" x14ac:dyDescent="0.25">
      <c r="A112" t="str">
        <f>IF('Aset Tetap'!$B112="","",'Aset Tetap'!A112)</f>
        <v/>
      </c>
      <c r="B112" t="str">
        <f>IF('Aset Tetap'!$B112="","",'Aset Tetap'!B112)</f>
        <v/>
      </c>
      <c r="C112" t="str">
        <f>IF('Aset Tetap'!$B112="","",'Aset Tetap'!C112)</f>
        <v/>
      </c>
      <c r="D112" t="str">
        <f>IF('Aset Tetap'!$B112="","",'Aset Tetap'!D112)</f>
        <v/>
      </c>
      <c r="E112" s="22" t="str">
        <f>IF($B112="","",IF(N('Aset Tetap'!$AG112)=0,0,IF(AND((YEAR(E$6)*12+MONTH(E$6))&gt;='Aset Tetap'!$Y112,(YEAR(E$6)*12+MONTH(E$6))&lt;=MIN('Aset Tetap'!$Z112,IF('Aset Tetap'!$S112="Unit Produksi",99999,'Aset Tetap'!$Y112+'Aset Tetap'!$T112*12-1))),'Aset Tetap'!$AQ112/'Aset Tetap'!$AG112,0)))</f>
        <v/>
      </c>
      <c r="F112" s="22" t="str">
        <f>IF($B112="","",IF(N('Aset Tetap'!$AG112)=0,0,IF(AND((YEAR(F$6)*12+MONTH(F$6))&gt;='Aset Tetap'!$Y112,(YEAR(F$6)*12+MONTH(F$6))&lt;=MIN('Aset Tetap'!$Z112,IF('Aset Tetap'!$S112="Unit Produksi",99999,'Aset Tetap'!$Y112+'Aset Tetap'!$T112*12-1))),'Aset Tetap'!$AQ112/'Aset Tetap'!$AG112,0)))</f>
        <v/>
      </c>
      <c r="G112" s="22" t="str">
        <f>IF($B112="","",IF(N('Aset Tetap'!$AG112)=0,0,IF(AND((YEAR(G$6)*12+MONTH(G$6))&gt;='Aset Tetap'!$Y112,(YEAR(G$6)*12+MONTH(G$6))&lt;=MIN('Aset Tetap'!$Z112,IF('Aset Tetap'!$S112="Unit Produksi",99999,'Aset Tetap'!$Y112+'Aset Tetap'!$T112*12-1))),'Aset Tetap'!$AQ112/'Aset Tetap'!$AG112,0)))</f>
        <v/>
      </c>
      <c r="H112" s="22" t="str">
        <f>IF($B112="","",IF(N('Aset Tetap'!$AG112)=0,0,IF(AND((YEAR(H$6)*12+MONTH(H$6))&gt;='Aset Tetap'!$Y112,(YEAR(H$6)*12+MONTH(H$6))&lt;=MIN('Aset Tetap'!$Z112,IF('Aset Tetap'!$S112="Unit Produksi",99999,'Aset Tetap'!$Y112+'Aset Tetap'!$T112*12-1))),'Aset Tetap'!$AQ112/'Aset Tetap'!$AG112,0)))</f>
        <v/>
      </c>
      <c r="I112" s="22" t="str">
        <f>IF($B112="","",IF(N('Aset Tetap'!$AG112)=0,0,IF(AND((YEAR(I$6)*12+MONTH(I$6))&gt;='Aset Tetap'!$Y112,(YEAR(I$6)*12+MONTH(I$6))&lt;=MIN('Aset Tetap'!$Z112,IF('Aset Tetap'!$S112="Unit Produksi",99999,'Aset Tetap'!$Y112+'Aset Tetap'!$T112*12-1))),'Aset Tetap'!$AQ112/'Aset Tetap'!$AG112,0)))</f>
        <v/>
      </c>
      <c r="J112" s="22" t="str">
        <f>IF($B112="","",IF(N('Aset Tetap'!$AG112)=0,0,IF(AND((YEAR(J$6)*12+MONTH(J$6))&gt;='Aset Tetap'!$Y112,(YEAR(J$6)*12+MONTH(J$6))&lt;=MIN('Aset Tetap'!$Z112,IF('Aset Tetap'!$S112="Unit Produksi",99999,'Aset Tetap'!$Y112+'Aset Tetap'!$T112*12-1))),'Aset Tetap'!$AQ112/'Aset Tetap'!$AG112,0)))</f>
        <v/>
      </c>
      <c r="K112" s="22" t="str">
        <f>IF($B112="","",IF(N('Aset Tetap'!$AG112)=0,0,IF(AND((YEAR(K$6)*12+MONTH(K$6))&gt;='Aset Tetap'!$Y112,(YEAR(K$6)*12+MONTH(K$6))&lt;=MIN('Aset Tetap'!$Z112,IF('Aset Tetap'!$S112="Unit Produksi",99999,'Aset Tetap'!$Y112+'Aset Tetap'!$T112*12-1))),'Aset Tetap'!$AQ112/'Aset Tetap'!$AG112,0)))</f>
        <v/>
      </c>
      <c r="L112" s="22" t="str">
        <f>IF($B112="","",IF(N('Aset Tetap'!$AG112)=0,0,IF(AND((YEAR(L$6)*12+MONTH(L$6))&gt;='Aset Tetap'!$Y112,(YEAR(L$6)*12+MONTH(L$6))&lt;=MIN('Aset Tetap'!$Z112,IF('Aset Tetap'!$S112="Unit Produksi",99999,'Aset Tetap'!$Y112+'Aset Tetap'!$T112*12-1))),'Aset Tetap'!$AQ112/'Aset Tetap'!$AG112,0)))</f>
        <v/>
      </c>
      <c r="M112" s="22" t="str">
        <f>IF($B112="","",IF(N('Aset Tetap'!$AG112)=0,0,IF(AND((YEAR(M$6)*12+MONTH(M$6))&gt;='Aset Tetap'!$Y112,(YEAR(M$6)*12+MONTH(M$6))&lt;=MIN('Aset Tetap'!$Z112,IF('Aset Tetap'!$S112="Unit Produksi",99999,'Aset Tetap'!$Y112+'Aset Tetap'!$T112*12-1))),'Aset Tetap'!$AQ112/'Aset Tetap'!$AG112,0)))</f>
        <v/>
      </c>
      <c r="N112" s="22" t="str">
        <f>IF($B112="","",IF(N('Aset Tetap'!$AG112)=0,0,IF(AND((YEAR(N$6)*12+MONTH(N$6))&gt;='Aset Tetap'!$Y112,(YEAR(N$6)*12+MONTH(N$6))&lt;=MIN('Aset Tetap'!$Z112,IF('Aset Tetap'!$S112="Unit Produksi",99999,'Aset Tetap'!$Y112+'Aset Tetap'!$T112*12-1))),'Aset Tetap'!$AQ112/'Aset Tetap'!$AG112,0)))</f>
        <v/>
      </c>
      <c r="O112" s="22" t="str">
        <f>IF($B112="","",IF(N('Aset Tetap'!$AG112)=0,0,IF(AND((YEAR(O$6)*12+MONTH(O$6))&gt;='Aset Tetap'!$Y112,(YEAR(O$6)*12+MONTH(O$6))&lt;=MIN('Aset Tetap'!$Z112,IF('Aset Tetap'!$S112="Unit Produksi",99999,'Aset Tetap'!$Y112+'Aset Tetap'!$T112*12-1))),'Aset Tetap'!$AQ112/'Aset Tetap'!$AG112,0)))</f>
        <v/>
      </c>
      <c r="P112" s="22" t="str">
        <f>IF($B112="","",IF(N('Aset Tetap'!$AG112)=0,0,IF(AND((YEAR(P$6)*12+MONTH(P$6))&gt;='Aset Tetap'!$Y112,(YEAR(P$6)*12+MONTH(P$6))&lt;=MIN('Aset Tetap'!$Z112,IF('Aset Tetap'!$S112="Unit Produksi",99999,'Aset Tetap'!$Y112+'Aset Tetap'!$T112*12-1))),'Aset Tetap'!$AQ112/'Aset Tetap'!$AG112,0)))</f>
        <v/>
      </c>
      <c r="Q112" s="22" t="str">
        <f>IF($B112="","",SUM(E112:P112))</f>
        <v/>
      </c>
      <c r="R112" s="22" t="str">
        <f>IF($B112="","",'Aset Tetap'!AQ112)</f>
        <v/>
      </c>
      <c r="S112" s="22" t="str">
        <f>IF($B112="","",ROUND(Q112-R112,0))</f>
        <v/>
      </c>
    </row>
    <row r="113" spans="1:19" x14ac:dyDescent="0.25">
      <c r="A113" t="str">
        <f>IF('Aset Tetap'!$B113="","",'Aset Tetap'!A113)</f>
        <v/>
      </c>
      <c r="B113" t="str">
        <f>IF('Aset Tetap'!$B113="","",'Aset Tetap'!B113)</f>
        <v/>
      </c>
      <c r="C113" t="str">
        <f>IF('Aset Tetap'!$B113="","",'Aset Tetap'!C113)</f>
        <v/>
      </c>
      <c r="D113" t="str">
        <f>IF('Aset Tetap'!$B113="","",'Aset Tetap'!D113)</f>
        <v/>
      </c>
      <c r="E113" s="22" t="str">
        <f>IF($B113="","",IF(N('Aset Tetap'!$AG113)=0,0,IF(AND((YEAR(E$6)*12+MONTH(E$6))&gt;='Aset Tetap'!$Y113,(YEAR(E$6)*12+MONTH(E$6))&lt;=MIN('Aset Tetap'!$Z113,IF('Aset Tetap'!$S113="Unit Produksi",99999,'Aset Tetap'!$Y113+'Aset Tetap'!$T113*12-1))),'Aset Tetap'!$AQ113/'Aset Tetap'!$AG113,0)))</f>
        <v/>
      </c>
      <c r="F113" s="22" t="str">
        <f>IF($B113="","",IF(N('Aset Tetap'!$AG113)=0,0,IF(AND((YEAR(F$6)*12+MONTH(F$6))&gt;='Aset Tetap'!$Y113,(YEAR(F$6)*12+MONTH(F$6))&lt;=MIN('Aset Tetap'!$Z113,IF('Aset Tetap'!$S113="Unit Produksi",99999,'Aset Tetap'!$Y113+'Aset Tetap'!$T113*12-1))),'Aset Tetap'!$AQ113/'Aset Tetap'!$AG113,0)))</f>
        <v/>
      </c>
      <c r="G113" s="22" t="str">
        <f>IF($B113="","",IF(N('Aset Tetap'!$AG113)=0,0,IF(AND((YEAR(G$6)*12+MONTH(G$6))&gt;='Aset Tetap'!$Y113,(YEAR(G$6)*12+MONTH(G$6))&lt;=MIN('Aset Tetap'!$Z113,IF('Aset Tetap'!$S113="Unit Produksi",99999,'Aset Tetap'!$Y113+'Aset Tetap'!$T113*12-1))),'Aset Tetap'!$AQ113/'Aset Tetap'!$AG113,0)))</f>
        <v/>
      </c>
      <c r="H113" s="22" t="str">
        <f>IF($B113="","",IF(N('Aset Tetap'!$AG113)=0,0,IF(AND((YEAR(H$6)*12+MONTH(H$6))&gt;='Aset Tetap'!$Y113,(YEAR(H$6)*12+MONTH(H$6))&lt;=MIN('Aset Tetap'!$Z113,IF('Aset Tetap'!$S113="Unit Produksi",99999,'Aset Tetap'!$Y113+'Aset Tetap'!$T113*12-1))),'Aset Tetap'!$AQ113/'Aset Tetap'!$AG113,0)))</f>
        <v/>
      </c>
      <c r="I113" s="22" t="str">
        <f>IF($B113="","",IF(N('Aset Tetap'!$AG113)=0,0,IF(AND((YEAR(I$6)*12+MONTH(I$6))&gt;='Aset Tetap'!$Y113,(YEAR(I$6)*12+MONTH(I$6))&lt;=MIN('Aset Tetap'!$Z113,IF('Aset Tetap'!$S113="Unit Produksi",99999,'Aset Tetap'!$Y113+'Aset Tetap'!$T113*12-1))),'Aset Tetap'!$AQ113/'Aset Tetap'!$AG113,0)))</f>
        <v/>
      </c>
      <c r="J113" s="22" t="str">
        <f>IF($B113="","",IF(N('Aset Tetap'!$AG113)=0,0,IF(AND((YEAR(J$6)*12+MONTH(J$6))&gt;='Aset Tetap'!$Y113,(YEAR(J$6)*12+MONTH(J$6))&lt;=MIN('Aset Tetap'!$Z113,IF('Aset Tetap'!$S113="Unit Produksi",99999,'Aset Tetap'!$Y113+'Aset Tetap'!$T113*12-1))),'Aset Tetap'!$AQ113/'Aset Tetap'!$AG113,0)))</f>
        <v/>
      </c>
      <c r="K113" s="22" t="str">
        <f>IF($B113="","",IF(N('Aset Tetap'!$AG113)=0,0,IF(AND((YEAR(K$6)*12+MONTH(K$6))&gt;='Aset Tetap'!$Y113,(YEAR(K$6)*12+MONTH(K$6))&lt;=MIN('Aset Tetap'!$Z113,IF('Aset Tetap'!$S113="Unit Produksi",99999,'Aset Tetap'!$Y113+'Aset Tetap'!$T113*12-1))),'Aset Tetap'!$AQ113/'Aset Tetap'!$AG113,0)))</f>
        <v/>
      </c>
      <c r="L113" s="22" t="str">
        <f>IF($B113="","",IF(N('Aset Tetap'!$AG113)=0,0,IF(AND((YEAR(L$6)*12+MONTH(L$6))&gt;='Aset Tetap'!$Y113,(YEAR(L$6)*12+MONTH(L$6))&lt;=MIN('Aset Tetap'!$Z113,IF('Aset Tetap'!$S113="Unit Produksi",99999,'Aset Tetap'!$Y113+'Aset Tetap'!$T113*12-1))),'Aset Tetap'!$AQ113/'Aset Tetap'!$AG113,0)))</f>
        <v/>
      </c>
      <c r="M113" s="22" t="str">
        <f>IF($B113="","",IF(N('Aset Tetap'!$AG113)=0,0,IF(AND((YEAR(M$6)*12+MONTH(M$6))&gt;='Aset Tetap'!$Y113,(YEAR(M$6)*12+MONTH(M$6))&lt;=MIN('Aset Tetap'!$Z113,IF('Aset Tetap'!$S113="Unit Produksi",99999,'Aset Tetap'!$Y113+'Aset Tetap'!$T113*12-1))),'Aset Tetap'!$AQ113/'Aset Tetap'!$AG113,0)))</f>
        <v/>
      </c>
      <c r="N113" s="22" t="str">
        <f>IF($B113="","",IF(N('Aset Tetap'!$AG113)=0,0,IF(AND((YEAR(N$6)*12+MONTH(N$6))&gt;='Aset Tetap'!$Y113,(YEAR(N$6)*12+MONTH(N$6))&lt;=MIN('Aset Tetap'!$Z113,IF('Aset Tetap'!$S113="Unit Produksi",99999,'Aset Tetap'!$Y113+'Aset Tetap'!$T113*12-1))),'Aset Tetap'!$AQ113/'Aset Tetap'!$AG113,0)))</f>
        <v/>
      </c>
      <c r="O113" s="22" t="str">
        <f>IF($B113="","",IF(N('Aset Tetap'!$AG113)=0,0,IF(AND((YEAR(O$6)*12+MONTH(O$6))&gt;='Aset Tetap'!$Y113,(YEAR(O$6)*12+MONTH(O$6))&lt;=MIN('Aset Tetap'!$Z113,IF('Aset Tetap'!$S113="Unit Produksi",99999,'Aset Tetap'!$Y113+'Aset Tetap'!$T113*12-1))),'Aset Tetap'!$AQ113/'Aset Tetap'!$AG113,0)))</f>
        <v/>
      </c>
      <c r="P113" s="22" t="str">
        <f>IF($B113="","",IF(N('Aset Tetap'!$AG113)=0,0,IF(AND((YEAR(P$6)*12+MONTH(P$6))&gt;='Aset Tetap'!$Y113,(YEAR(P$6)*12+MONTH(P$6))&lt;=MIN('Aset Tetap'!$Z113,IF('Aset Tetap'!$S113="Unit Produksi",99999,'Aset Tetap'!$Y113+'Aset Tetap'!$T113*12-1))),'Aset Tetap'!$AQ113/'Aset Tetap'!$AG113,0)))</f>
        <v/>
      </c>
      <c r="Q113" s="22" t="str">
        <f>IF($B113="","",SUM(E113:P113))</f>
        <v/>
      </c>
      <c r="R113" s="22" t="str">
        <f>IF($B113="","",'Aset Tetap'!AQ113)</f>
        <v/>
      </c>
      <c r="S113" s="22" t="str">
        <f>IF($B113="","",ROUND(Q113-R113,0))</f>
        <v/>
      </c>
    </row>
    <row r="114" spans="1:19" x14ac:dyDescent="0.25">
      <c r="A114" t="str">
        <f>IF('Aset Tetap'!$B114="","",'Aset Tetap'!A114)</f>
        <v/>
      </c>
      <c r="B114" t="str">
        <f>IF('Aset Tetap'!$B114="","",'Aset Tetap'!B114)</f>
        <v/>
      </c>
      <c r="C114" t="str">
        <f>IF('Aset Tetap'!$B114="","",'Aset Tetap'!C114)</f>
        <v/>
      </c>
      <c r="D114" t="str">
        <f>IF('Aset Tetap'!$B114="","",'Aset Tetap'!D114)</f>
        <v/>
      </c>
      <c r="E114" s="22" t="str">
        <f>IF($B114="","",IF(N('Aset Tetap'!$AG114)=0,0,IF(AND((YEAR(E$6)*12+MONTH(E$6))&gt;='Aset Tetap'!$Y114,(YEAR(E$6)*12+MONTH(E$6))&lt;=MIN('Aset Tetap'!$Z114,IF('Aset Tetap'!$S114="Unit Produksi",99999,'Aset Tetap'!$Y114+'Aset Tetap'!$T114*12-1))),'Aset Tetap'!$AQ114/'Aset Tetap'!$AG114,0)))</f>
        <v/>
      </c>
      <c r="F114" s="22" t="str">
        <f>IF($B114="","",IF(N('Aset Tetap'!$AG114)=0,0,IF(AND((YEAR(F$6)*12+MONTH(F$6))&gt;='Aset Tetap'!$Y114,(YEAR(F$6)*12+MONTH(F$6))&lt;=MIN('Aset Tetap'!$Z114,IF('Aset Tetap'!$S114="Unit Produksi",99999,'Aset Tetap'!$Y114+'Aset Tetap'!$T114*12-1))),'Aset Tetap'!$AQ114/'Aset Tetap'!$AG114,0)))</f>
        <v/>
      </c>
      <c r="G114" s="22" t="str">
        <f>IF($B114="","",IF(N('Aset Tetap'!$AG114)=0,0,IF(AND((YEAR(G$6)*12+MONTH(G$6))&gt;='Aset Tetap'!$Y114,(YEAR(G$6)*12+MONTH(G$6))&lt;=MIN('Aset Tetap'!$Z114,IF('Aset Tetap'!$S114="Unit Produksi",99999,'Aset Tetap'!$Y114+'Aset Tetap'!$T114*12-1))),'Aset Tetap'!$AQ114/'Aset Tetap'!$AG114,0)))</f>
        <v/>
      </c>
      <c r="H114" s="22" t="str">
        <f>IF($B114="","",IF(N('Aset Tetap'!$AG114)=0,0,IF(AND((YEAR(H$6)*12+MONTH(H$6))&gt;='Aset Tetap'!$Y114,(YEAR(H$6)*12+MONTH(H$6))&lt;=MIN('Aset Tetap'!$Z114,IF('Aset Tetap'!$S114="Unit Produksi",99999,'Aset Tetap'!$Y114+'Aset Tetap'!$T114*12-1))),'Aset Tetap'!$AQ114/'Aset Tetap'!$AG114,0)))</f>
        <v/>
      </c>
      <c r="I114" s="22" t="str">
        <f>IF($B114="","",IF(N('Aset Tetap'!$AG114)=0,0,IF(AND((YEAR(I$6)*12+MONTH(I$6))&gt;='Aset Tetap'!$Y114,(YEAR(I$6)*12+MONTH(I$6))&lt;=MIN('Aset Tetap'!$Z114,IF('Aset Tetap'!$S114="Unit Produksi",99999,'Aset Tetap'!$Y114+'Aset Tetap'!$T114*12-1))),'Aset Tetap'!$AQ114/'Aset Tetap'!$AG114,0)))</f>
        <v/>
      </c>
      <c r="J114" s="22" t="str">
        <f>IF($B114="","",IF(N('Aset Tetap'!$AG114)=0,0,IF(AND((YEAR(J$6)*12+MONTH(J$6))&gt;='Aset Tetap'!$Y114,(YEAR(J$6)*12+MONTH(J$6))&lt;=MIN('Aset Tetap'!$Z114,IF('Aset Tetap'!$S114="Unit Produksi",99999,'Aset Tetap'!$Y114+'Aset Tetap'!$T114*12-1))),'Aset Tetap'!$AQ114/'Aset Tetap'!$AG114,0)))</f>
        <v/>
      </c>
      <c r="K114" s="22" t="str">
        <f>IF($B114="","",IF(N('Aset Tetap'!$AG114)=0,0,IF(AND((YEAR(K$6)*12+MONTH(K$6))&gt;='Aset Tetap'!$Y114,(YEAR(K$6)*12+MONTH(K$6))&lt;=MIN('Aset Tetap'!$Z114,IF('Aset Tetap'!$S114="Unit Produksi",99999,'Aset Tetap'!$Y114+'Aset Tetap'!$T114*12-1))),'Aset Tetap'!$AQ114/'Aset Tetap'!$AG114,0)))</f>
        <v/>
      </c>
      <c r="L114" s="22" t="str">
        <f>IF($B114="","",IF(N('Aset Tetap'!$AG114)=0,0,IF(AND((YEAR(L$6)*12+MONTH(L$6))&gt;='Aset Tetap'!$Y114,(YEAR(L$6)*12+MONTH(L$6))&lt;=MIN('Aset Tetap'!$Z114,IF('Aset Tetap'!$S114="Unit Produksi",99999,'Aset Tetap'!$Y114+'Aset Tetap'!$T114*12-1))),'Aset Tetap'!$AQ114/'Aset Tetap'!$AG114,0)))</f>
        <v/>
      </c>
      <c r="M114" s="22" t="str">
        <f>IF($B114="","",IF(N('Aset Tetap'!$AG114)=0,0,IF(AND((YEAR(M$6)*12+MONTH(M$6))&gt;='Aset Tetap'!$Y114,(YEAR(M$6)*12+MONTH(M$6))&lt;=MIN('Aset Tetap'!$Z114,IF('Aset Tetap'!$S114="Unit Produksi",99999,'Aset Tetap'!$Y114+'Aset Tetap'!$T114*12-1))),'Aset Tetap'!$AQ114/'Aset Tetap'!$AG114,0)))</f>
        <v/>
      </c>
      <c r="N114" s="22" t="str">
        <f>IF($B114="","",IF(N('Aset Tetap'!$AG114)=0,0,IF(AND((YEAR(N$6)*12+MONTH(N$6))&gt;='Aset Tetap'!$Y114,(YEAR(N$6)*12+MONTH(N$6))&lt;=MIN('Aset Tetap'!$Z114,IF('Aset Tetap'!$S114="Unit Produksi",99999,'Aset Tetap'!$Y114+'Aset Tetap'!$T114*12-1))),'Aset Tetap'!$AQ114/'Aset Tetap'!$AG114,0)))</f>
        <v/>
      </c>
      <c r="O114" s="22" t="str">
        <f>IF($B114="","",IF(N('Aset Tetap'!$AG114)=0,0,IF(AND((YEAR(O$6)*12+MONTH(O$6))&gt;='Aset Tetap'!$Y114,(YEAR(O$6)*12+MONTH(O$6))&lt;=MIN('Aset Tetap'!$Z114,IF('Aset Tetap'!$S114="Unit Produksi",99999,'Aset Tetap'!$Y114+'Aset Tetap'!$T114*12-1))),'Aset Tetap'!$AQ114/'Aset Tetap'!$AG114,0)))</f>
        <v/>
      </c>
      <c r="P114" s="22" t="str">
        <f>IF($B114="","",IF(N('Aset Tetap'!$AG114)=0,0,IF(AND((YEAR(P$6)*12+MONTH(P$6))&gt;='Aset Tetap'!$Y114,(YEAR(P$6)*12+MONTH(P$6))&lt;=MIN('Aset Tetap'!$Z114,IF('Aset Tetap'!$S114="Unit Produksi",99999,'Aset Tetap'!$Y114+'Aset Tetap'!$T114*12-1))),'Aset Tetap'!$AQ114/'Aset Tetap'!$AG114,0)))</f>
        <v/>
      </c>
      <c r="Q114" s="22" t="str">
        <f>IF($B114="","",SUM(E114:P114))</f>
        <v/>
      </c>
      <c r="R114" s="22" t="str">
        <f>IF($B114="","",'Aset Tetap'!AQ114)</f>
        <v/>
      </c>
      <c r="S114" s="22" t="str">
        <f>IF($B114="","",ROUND(Q114-R114,0))</f>
        <v/>
      </c>
    </row>
    <row r="115" spans="1:19" x14ac:dyDescent="0.25">
      <c r="A115" t="str">
        <f>IF('Aset Tetap'!$B115="","",'Aset Tetap'!A115)</f>
        <v/>
      </c>
      <c r="B115" t="str">
        <f>IF('Aset Tetap'!$B115="","",'Aset Tetap'!B115)</f>
        <v/>
      </c>
      <c r="C115" t="str">
        <f>IF('Aset Tetap'!$B115="","",'Aset Tetap'!C115)</f>
        <v/>
      </c>
      <c r="D115" t="str">
        <f>IF('Aset Tetap'!$B115="","",'Aset Tetap'!D115)</f>
        <v/>
      </c>
      <c r="E115" s="22" t="str">
        <f>IF($B115="","",IF(N('Aset Tetap'!$AG115)=0,0,IF(AND((YEAR(E$6)*12+MONTH(E$6))&gt;='Aset Tetap'!$Y115,(YEAR(E$6)*12+MONTH(E$6))&lt;=MIN('Aset Tetap'!$Z115,IF('Aset Tetap'!$S115="Unit Produksi",99999,'Aset Tetap'!$Y115+'Aset Tetap'!$T115*12-1))),'Aset Tetap'!$AQ115/'Aset Tetap'!$AG115,0)))</f>
        <v/>
      </c>
      <c r="F115" s="22" t="str">
        <f>IF($B115="","",IF(N('Aset Tetap'!$AG115)=0,0,IF(AND((YEAR(F$6)*12+MONTH(F$6))&gt;='Aset Tetap'!$Y115,(YEAR(F$6)*12+MONTH(F$6))&lt;=MIN('Aset Tetap'!$Z115,IF('Aset Tetap'!$S115="Unit Produksi",99999,'Aset Tetap'!$Y115+'Aset Tetap'!$T115*12-1))),'Aset Tetap'!$AQ115/'Aset Tetap'!$AG115,0)))</f>
        <v/>
      </c>
      <c r="G115" s="22" t="str">
        <f>IF($B115="","",IF(N('Aset Tetap'!$AG115)=0,0,IF(AND((YEAR(G$6)*12+MONTH(G$6))&gt;='Aset Tetap'!$Y115,(YEAR(G$6)*12+MONTH(G$6))&lt;=MIN('Aset Tetap'!$Z115,IF('Aset Tetap'!$S115="Unit Produksi",99999,'Aset Tetap'!$Y115+'Aset Tetap'!$T115*12-1))),'Aset Tetap'!$AQ115/'Aset Tetap'!$AG115,0)))</f>
        <v/>
      </c>
      <c r="H115" s="22" t="str">
        <f>IF($B115="","",IF(N('Aset Tetap'!$AG115)=0,0,IF(AND((YEAR(H$6)*12+MONTH(H$6))&gt;='Aset Tetap'!$Y115,(YEAR(H$6)*12+MONTH(H$6))&lt;=MIN('Aset Tetap'!$Z115,IF('Aset Tetap'!$S115="Unit Produksi",99999,'Aset Tetap'!$Y115+'Aset Tetap'!$T115*12-1))),'Aset Tetap'!$AQ115/'Aset Tetap'!$AG115,0)))</f>
        <v/>
      </c>
      <c r="I115" s="22" t="str">
        <f>IF($B115="","",IF(N('Aset Tetap'!$AG115)=0,0,IF(AND((YEAR(I$6)*12+MONTH(I$6))&gt;='Aset Tetap'!$Y115,(YEAR(I$6)*12+MONTH(I$6))&lt;=MIN('Aset Tetap'!$Z115,IF('Aset Tetap'!$S115="Unit Produksi",99999,'Aset Tetap'!$Y115+'Aset Tetap'!$T115*12-1))),'Aset Tetap'!$AQ115/'Aset Tetap'!$AG115,0)))</f>
        <v/>
      </c>
      <c r="J115" s="22" t="str">
        <f>IF($B115="","",IF(N('Aset Tetap'!$AG115)=0,0,IF(AND((YEAR(J$6)*12+MONTH(J$6))&gt;='Aset Tetap'!$Y115,(YEAR(J$6)*12+MONTH(J$6))&lt;=MIN('Aset Tetap'!$Z115,IF('Aset Tetap'!$S115="Unit Produksi",99999,'Aset Tetap'!$Y115+'Aset Tetap'!$T115*12-1))),'Aset Tetap'!$AQ115/'Aset Tetap'!$AG115,0)))</f>
        <v/>
      </c>
      <c r="K115" s="22" t="str">
        <f>IF($B115="","",IF(N('Aset Tetap'!$AG115)=0,0,IF(AND((YEAR(K$6)*12+MONTH(K$6))&gt;='Aset Tetap'!$Y115,(YEAR(K$6)*12+MONTH(K$6))&lt;=MIN('Aset Tetap'!$Z115,IF('Aset Tetap'!$S115="Unit Produksi",99999,'Aset Tetap'!$Y115+'Aset Tetap'!$T115*12-1))),'Aset Tetap'!$AQ115/'Aset Tetap'!$AG115,0)))</f>
        <v/>
      </c>
      <c r="L115" s="22" t="str">
        <f>IF($B115="","",IF(N('Aset Tetap'!$AG115)=0,0,IF(AND((YEAR(L$6)*12+MONTH(L$6))&gt;='Aset Tetap'!$Y115,(YEAR(L$6)*12+MONTH(L$6))&lt;=MIN('Aset Tetap'!$Z115,IF('Aset Tetap'!$S115="Unit Produksi",99999,'Aset Tetap'!$Y115+'Aset Tetap'!$T115*12-1))),'Aset Tetap'!$AQ115/'Aset Tetap'!$AG115,0)))</f>
        <v/>
      </c>
      <c r="M115" s="22" t="str">
        <f>IF($B115="","",IF(N('Aset Tetap'!$AG115)=0,0,IF(AND((YEAR(M$6)*12+MONTH(M$6))&gt;='Aset Tetap'!$Y115,(YEAR(M$6)*12+MONTH(M$6))&lt;=MIN('Aset Tetap'!$Z115,IF('Aset Tetap'!$S115="Unit Produksi",99999,'Aset Tetap'!$Y115+'Aset Tetap'!$T115*12-1))),'Aset Tetap'!$AQ115/'Aset Tetap'!$AG115,0)))</f>
        <v/>
      </c>
      <c r="N115" s="22" t="str">
        <f>IF($B115="","",IF(N('Aset Tetap'!$AG115)=0,0,IF(AND((YEAR(N$6)*12+MONTH(N$6))&gt;='Aset Tetap'!$Y115,(YEAR(N$6)*12+MONTH(N$6))&lt;=MIN('Aset Tetap'!$Z115,IF('Aset Tetap'!$S115="Unit Produksi",99999,'Aset Tetap'!$Y115+'Aset Tetap'!$T115*12-1))),'Aset Tetap'!$AQ115/'Aset Tetap'!$AG115,0)))</f>
        <v/>
      </c>
      <c r="O115" s="22" t="str">
        <f>IF($B115="","",IF(N('Aset Tetap'!$AG115)=0,0,IF(AND((YEAR(O$6)*12+MONTH(O$6))&gt;='Aset Tetap'!$Y115,(YEAR(O$6)*12+MONTH(O$6))&lt;=MIN('Aset Tetap'!$Z115,IF('Aset Tetap'!$S115="Unit Produksi",99999,'Aset Tetap'!$Y115+'Aset Tetap'!$T115*12-1))),'Aset Tetap'!$AQ115/'Aset Tetap'!$AG115,0)))</f>
        <v/>
      </c>
      <c r="P115" s="22" t="str">
        <f>IF($B115="","",IF(N('Aset Tetap'!$AG115)=0,0,IF(AND((YEAR(P$6)*12+MONTH(P$6))&gt;='Aset Tetap'!$Y115,(YEAR(P$6)*12+MONTH(P$6))&lt;=MIN('Aset Tetap'!$Z115,IF('Aset Tetap'!$S115="Unit Produksi",99999,'Aset Tetap'!$Y115+'Aset Tetap'!$T115*12-1))),'Aset Tetap'!$AQ115/'Aset Tetap'!$AG115,0)))</f>
        <v/>
      </c>
      <c r="Q115" s="22" t="str">
        <f>IF($B115="","",SUM(E115:P115))</f>
        <v/>
      </c>
      <c r="R115" s="22" t="str">
        <f>IF($B115="","",'Aset Tetap'!AQ115)</f>
        <v/>
      </c>
      <c r="S115" s="22" t="str">
        <f>IF($B115="","",ROUND(Q115-R115,0))</f>
        <v/>
      </c>
    </row>
    <row r="116" spans="1:19" x14ac:dyDescent="0.25">
      <c r="A116" t="str">
        <f>IF('Aset Tetap'!$B116="","",'Aset Tetap'!A116)</f>
        <v/>
      </c>
      <c r="B116" t="str">
        <f>IF('Aset Tetap'!$B116="","",'Aset Tetap'!B116)</f>
        <v/>
      </c>
      <c r="C116" t="str">
        <f>IF('Aset Tetap'!$B116="","",'Aset Tetap'!C116)</f>
        <v/>
      </c>
      <c r="D116" t="str">
        <f>IF('Aset Tetap'!$B116="","",'Aset Tetap'!D116)</f>
        <v/>
      </c>
      <c r="E116" s="22" t="str">
        <f>IF($B116="","",IF(N('Aset Tetap'!$AG116)=0,0,IF(AND((YEAR(E$6)*12+MONTH(E$6))&gt;='Aset Tetap'!$Y116,(YEAR(E$6)*12+MONTH(E$6))&lt;=MIN('Aset Tetap'!$Z116,IF('Aset Tetap'!$S116="Unit Produksi",99999,'Aset Tetap'!$Y116+'Aset Tetap'!$T116*12-1))),'Aset Tetap'!$AQ116/'Aset Tetap'!$AG116,0)))</f>
        <v/>
      </c>
      <c r="F116" s="22" t="str">
        <f>IF($B116="","",IF(N('Aset Tetap'!$AG116)=0,0,IF(AND((YEAR(F$6)*12+MONTH(F$6))&gt;='Aset Tetap'!$Y116,(YEAR(F$6)*12+MONTH(F$6))&lt;=MIN('Aset Tetap'!$Z116,IF('Aset Tetap'!$S116="Unit Produksi",99999,'Aset Tetap'!$Y116+'Aset Tetap'!$T116*12-1))),'Aset Tetap'!$AQ116/'Aset Tetap'!$AG116,0)))</f>
        <v/>
      </c>
      <c r="G116" s="22" t="str">
        <f>IF($B116="","",IF(N('Aset Tetap'!$AG116)=0,0,IF(AND((YEAR(G$6)*12+MONTH(G$6))&gt;='Aset Tetap'!$Y116,(YEAR(G$6)*12+MONTH(G$6))&lt;=MIN('Aset Tetap'!$Z116,IF('Aset Tetap'!$S116="Unit Produksi",99999,'Aset Tetap'!$Y116+'Aset Tetap'!$T116*12-1))),'Aset Tetap'!$AQ116/'Aset Tetap'!$AG116,0)))</f>
        <v/>
      </c>
      <c r="H116" s="22" t="str">
        <f>IF($B116="","",IF(N('Aset Tetap'!$AG116)=0,0,IF(AND((YEAR(H$6)*12+MONTH(H$6))&gt;='Aset Tetap'!$Y116,(YEAR(H$6)*12+MONTH(H$6))&lt;=MIN('Aset Tetap'!$Z116,IF('Aset Tetap'!$S116="Unit Produksi",99999,'Aset Tetap'!$Y116+'Aset Tetap'!$T116*12-1))),'Aset Tetap'!$AQ116/'Aset Tetap'!$AG116,0)))</f>
        <v/>
      </c>
      <c r="I116" s="22" t="str">
        <f>IF($B116="","",IF(N('Aset Tetap'!$AG116)=0,0,IF(AND((YEAR(I$6)*12+MONTH(I$6))&gt;='Aset Tetap'!$Y116,(YEAR(I$6)*12+MONTH(I$6))&lt;=MIN('Aset Tetap'!$Z116,IF('Aset Tetap'!$S116="Unit Produksi",99999,'Aset Tetap'!$Y116+'Aset Tetap'!$T116*12-1))),'Aset Tetap'!$AQ116/'Aset Tetap'!$AG116,0)))</f>
        <v/>
      </c>
      <c r="J116" s="22" t="str">
        <f>IF($B116="","",IF(N('Aset Tetap'!$AG116)=0,0,IF(AND((YEAR(J$6)*12+MONTH(J$6))&gt;='Aset Tetap'!$Y116,(YEAR(J$6)*12+MONTH(J$6))&lt;=MIN('Aset Tetap'!$Z116,IF('Aset Tetap'!$S116="Unit Produksi",99999,'Aset Tetap'!$Y116+'Aset Tetap'!$T116*12-1))),'Aset Tetap'!$AQ116/'Aset Tetap'!$AG116,0)))</f>
        <v/>
      </c>
      <c r="K116" s="22" t="str">
        <f>IF($B116="","",IF(N('Aset Tetap'!$AG116)=0,0,IF(AND((YEAR(K$6)*12+MONTH(K$6))&gt;='Aset Tetap'!$Y116,(YEAR(K$6)*12+MONTH(K$6))&lt;=MIN('Aset Tetap'!$Z116,IF('Aset Tetap'!$S116="Unit Produksi",99999,'Aset Tetap'!$Y116+'Aset Tetap'!$T116*12-1))),'Aset Tetap'!$AQ116/'Aset Tetap'!$AG116,0)))</f>
        <v/>
      </c>
      <c r="L116" s="22" t="str">
        <f>IF($B116="","",IF(N('Aset Tetap'!$AG116)=0,0,IF(AND((YEAR(L$6)*12+MONTH(L$6))&gt;='Aset Tetap'!$Y116,(YEAR(L$6)*12+MONTH(L$6))&lt;=MIN('Aset Tetap'!$Z116,IF('Aset Tetap'!$S116="Unit Produksi",99999,'Aset Tetap'!$Y116+'Aset Tetap'!$T116*12-1))),'Aset Tetap'!$AQ116/'Aset Tetap'!$AG116,0)))</f>
        <v/>
      </c>
      <c r="M116" s="22" t="str">
        <f>IF($B116="","",IF(N('Aset Tetap'!$AG116)=0,0,IF(AND((YEAR(M$6)*12+MONTH(M$6))&gt;='Aset Tetap'!$Y116,(YEAR(M$6)*12+MONTH(M$6))&lt;=MIN('Aset Tetap'!$Z116,IF('Aset Tetap'!$S116="Unit Produksi",99999,'Aset Tetap'!$Y116+'Aset Tetap'!$T116*12-1))),'Aset Tetap'!$AQ116/'Aset Tetap'!$AG116,0)))</f>
        <v/>
      </c>
      <c r="N116" s="22" t="str">
        <f>IF($B116="","",IF(N('Aset Tetap'!$AG116)=0,0,IF(AND((YEAR(N$6)*12+MONTH(N$6))&gt;='Aset Tetap'!$Y116,(YEAR(N$6)*12+MONTH(N$6))&lt;=MIN('Aset Tetap'!$Z116,IF('Aset Tetap'!$S116="Unit Produksi",99999,'Aset Tetap'!$Y116+'Aset Tetap'!$T116*12-1))),'Aset Tetap'!$AQ116/'Aset Tetap'!$AG116,0)))</f>
        <v/>
      </c>
      <c r="O116" s="22" t="str">
        <f>IF($B116="","",IF(N('Aset Tetap'!$AG116)=0,0,IF(AND((YEAR(O$6)*12+MONTH(O$6))&gt;='Aset Tetap'!$Y116,(YEAR(O$6)*12+MONTH(O$6))&lt;=MIN('Aset Tetap'!$Z116,IF('Aset Tetap'!$S116="Unit Produksi",99999,'Aset Tetap'!$Y116+'Aset Tetap'!$T116*12-1))),'Aset Tetap'!$AQ116/'Aset Tetap'!$AG116,0)))</f>
        <v/>
      </c>
      <c r="P116" s="22" t="str">
        <f>IF($B116="","",IF(N('Aset Tetap'!$AG116)=0,0,IF(AND((YEAR(P$6)*12+MONTH(P$6))&gt;='Aset Tetap'!$Y116,(YEAR(P$6)*12+MONTH(P$6))&lt;=MIN('Aset Tetap'!$Z116,IF('Aset Tetap'!$S116="Unit Produksi",99999,'Aset Tetap'!$Y116+'Aset Tetap'!$T116*12-1))),'Aset Tetap'!$AQ116/'Aset Tetap'!$AG116,0)))</f>
        <v/>
      </c>
      <c r="Q116" s="22" t="str">
        <f>IF($B116="","",SUM(E116:P116))</f>
        <v/>
      </c>
      <c r="R116" s="22" t="str">
        <f>IF($B116="","",'Aset Tetap'!AQ116)</f>
        <v/>
      </c>
      <c r="S116" s="22" t="str">
        <f>IF($B116="","",ROUND(Q116-R116,0))</f>
        <v/>
      </c>
    </row>
    <row r="117" spans="1:19" x14ac:dyDescent="0.25">
      <c r="A117" t="str">
        <f>IF('Aset Tetap'!$B117="","",'Aset Tetap'!A117)</f>
        <v/>
      </c>
      <c r="B117" t="str">
        <f>IF('Aset Tetap'!$B117="","",'Aset Tetap'!B117)</f>
        <v/>
      </c>
      <c r="C117" t="str">
        <f>IF('Aset Tetap'!$B117="","",'Aset Tetap'!C117)</f>
        <v/>
      </c>
      <c r="D117" t="str">
        <f>IF('Aset Tetap'!$B117="","",'Aset Tetap'!D117)</f>
        <v/>
      </c>
      <c r="E117" s="22" t="str">
        <f>IF($B117="","",IF(N('Aset Tetap'!$AG117)=0,0,IF(AND((YEAR(E$6)*12+MONTH(E$6))&gt;='Aset Tetap'!$Y117,(YEAR(E$6)*12+MONTH(E$6))&lt;=MIN('Aset Tetap'!$Z117,IF('Aset Tetap'!$S117="Unit Produksi",99999,'Aset Tetap'!$Y117+'Aset Tetap'!$T117*12-1))),'Aset Tetap'!$AQ117/'Aset Tetap'!$AG117,0)))</f>
        <v/>
      </c>
      <c r="F117" s="22" t="str">
        <f>IF($B117="","",IF(N('Aset Tetap'!$AG117)=0,0,IF(AND((YEAR(F$6)*12+MONTH(F$6))&gt;='Aset Tetap'!$Y117,(YEAR(F$6)*12+MONTH(F$6))&lt;=MIN('Aset Tetap'!$Z117,IF('Aset Tetap'!$S117="Unit Produksi",99999,'Aset Tetap'!$Y117+'Aset Tetap'!$T117*12-1))),'Aset Tetap'!$AQ117/'Aset Tetap'!$AG117,0)))</f>
        <v/>
      </c>
      <c r="G117" s="22" t="str">
        <f>IF($B117="","",IF(N('Aset Tetap'!$AG117)=0,0,IF(AND((YEAR(G$6)*12+MONTH(G$6))&gt;='Aset Tetap'!$Y117,(YEAR(G$6)*12+MONTH(G$6))&lt;=MIN('Aset Tetap'!$Z117,IF('Aset Tetap'!$S117="Unit Produksi",99999,'Aset Tetap'!$Y117+'Aset Tetap'!$T117*12-1))),'Aset Tetap'!$AQ117/'Aset Tetap'!$AG117,0)))</f>
        <v/>
      </c>
      <c r="H117" s="22" t="str">
        <f>IF($B117="","",IF(N('Aset Tetap'!$AG117)=0,0,IF(AND((YEAR(H$6)*12+MONTH(H$6))&gt;='Aset Tetap'!$Y117,(YEAR(H$6)*12+MONTH(H$6))&lt;=MIN('Aset Tetap'!$Z117,IF('Aset Tetap'!$S117="Unit Produksi",99999,'Aset Tetap'!$Y117+'Aset Tetap'!$T117*12-1))),'Aset Tetap'!$AQ117/'Aset Tetap'!$AG117,0)))</f>
        <v/>
      </c>
      <c r="I117" s="22" t="str">
        <f>IF($B117="","",IF(N('Aset Tetap'!$AG117)=0,0,IF(AND((YEAR(I$6)*12+MONTH(I$6))&gt;='Aset Tetap'!$Y117,(YEAR(I$6)*12+MONTH(I$6))&lt;=MIN('Aset Tetap'!$Z117,IF('Aset Tetap'!$S117="Unit Produksi",99999,'Aset Tetap'!$Y117+'Aset Tetap'!$T117*12-1))),'Aset Tetap'!$AQ117/'Aset Tetap'!$AG117,0)))</f>
        <v/>
      </c>
      <c r="J117" s="22" t="str">
        <f>IF($B117="","",IF(N('Aset Tetap'!$AG117)=0,0,IF(AND((YEAR(J$6)*12+MONTH(J$6))&gt;='Aset Tetap'!$Y117,(YEAR(J$6)*12+MONTH(J$6))&lt;=MIN('Aset Tetap'!$Z117,IF('Aset Tetap'!$S117="Unit Produksi",99999,'Aset Tetap'!$Y117+'Aset Tetap'!$T117*12-1))),'Aset Tetap'!$AQ117/'Aset Tetap'!$AG117,0)))</f>
        <v/>
      </c>
      <c r="K117" s="22" t="str">
        <f>IF($B117="","",IF(N('Aset Tetap'!$AG117)=0,0,IF(AND((YEAR(K$6)*12+MONTH(K$6))&gt;='Aset Tetap'!$Y117,(YEAR(K$6)*12+MONTH(K$6))&lt;=MIN('Aset Tetap'!$Z117,IF('Aset Tetap'!$S117="Unit Produksi",99999,'Aset Tetap'!$Y117+'Aset Tetap'!$T117*12-1))),'Aset Tetap'!$AQ117/'Aset Tetap'!$AG117,0)))</f>
        <v/>
      </c>
      <c r="L117" s="22" t="str">
        <f>IF($B117="","",IF(N('Aset Tetap'!$AG117)=0,0,IF(AND((YEAR(L$6)*12+MONTH(L$6))&gt;='Aset Tetap'!$Y117,(YEAR(L$6)*12+MONTH(L$6))&lt;=MIN('Aset Tetap'!$Z117,IF('Aset Tetap'!$S117="Unit Produksi",99999,'Aset Tetap'!$Y117+'Aset Tetap'!$T117*12-1))),'Aset Tetap'!$AQ117/'Aset Tetap'!$AG117,0)))</f>
        <v/>
      </c>
      <c r="M117" s="22" t="str">
        <f>IF($B117="","",IF(N('Aset Tetap'!$AG117)=0,0,IF(AND((YEAR(M$6)*12+MONTH(M$6))&gt;='Aset Tetap'!$Y117,(YEAR(M$6)*12+MONTH(M$6))&lt;=MIN('Aset Tetap'!$Z117,IF('Aset Tetap'!$S117="Unit Produksi",99999,'Aset Tetap'!$Y117+'Aset Tetap'!$T117*12-1))),'Aset Tetap'!$AQ117/'Aset Tetap'!$AG117,0)))</f>
        <v/>
      </c>
      <c r="N117" s="22" t="str">
        <f>IF($B117="","",IF(N('Aset Tetap'!$AG117)=0,0,IF(AND((YEAR(N$6)*12+MONTH(N$6))&gt;='Aset Tetap'!$Y117,(YEAR(N$6)*12+MONTH(N$6))&lt;=MIN('Aset Tetap'!$Z117,IF('Aset Tetap'!$S117="Unit Produksi",99999,'Aset Tetap'!$Y117+'Aset Tetap'!$T117*12-1))),'Aset Tetap'!$AQ117/'Aset Tetap'!$AG117,0)))</f>
        <v/>
      </c>
      <c r="O117" s="22" t="str">
        <f>IF($B117="","",IF(N('Aset Tetap'!$AG117)=0,0,IF(AND((YEAR(O$6)*12+MONTH(O$6))&gt;='Aset Tetap'!$Y117,(YEAR(O$6)*12+MONTH(O$6))&lt;=MIN('Aset Tetap'!$Z117,IF('Aset Tetap'!$S117="Unit Produksi",99999,'Aset Tetap'!$Y117+'Aset Tetap'!$T117*12-1))),'Aset Tetap'!$AQ117/'Aset Tetap'!$AG117,0)))</f>
        <v/>
      </c>
      <c r="P117" s="22" t="str">
        <f>IF($B117="","",IF(N('Aset Tetap'!$AG117)=0,0,IF(AND((YEAR(P$6)*12+MONTH(P$6))&gt;='Aset Tetap'!$Y117,(YEAR(P$6)*12+MONTH(P$6))&lt;=MIN('Aset Tetap'!$Z117,IF('Aset Tetap'!$S117="Unit Produksi",99999,'Aset Tetap'!$Y117+'Aset Tetap'!$T117*12-1))),'Aset Tetap'!$AQ117/'Aset Tetap'!$AG117,0)))</f>
        <v/>
      </c>
      <c r="Q117" s="22" t="str">
        <f>IF($B117="","",SUM(E117:P117))</f>
        <v/>
      </c>
      <c r="R117" s="22" t="str">
        <f>IF($B117="","",'Aset Tetap'!AQ117)</f>
        <v/>
      </c>
      <c r="S117" s="22" t="str">
        <f>IF($B117="","",ROUND(Q117-R117,0))</f>
        <v/>
      </c>
    </row>
    <row r="118" spans="1:19" x14ac:dyDescent="0.25">
      <c r="A118" t="str">
        <f>IF('Aset Tetap'!$B118="","",'Aset Tetap'!A118)</f>
        <v/>
      </c>
      <c r="B118" t="str">
        <f>IF('Aset Tetap'!$B118="","",'Aset Tetap'!B118)</f>
        <v/>
      </c>
      <c r="C118" t="str">
        <f>IF('Aset Tetap'!$B118="","",'Aset Tetap'!C118)</f>
        <v/>
      </c>
      <c r="D118" t="str">
        <f>IF('Aset Tetap'!$B118="","",'Aset Tetap'!D118)</f>
        <v/>
      </c>
      <c r="E118" s="22" t="str">
        <f>IF($B118="","",IF(N('Aset Tetap'!$AG118)=0,0,IF(AND((YEAR(E$6)*12+MONTH(E$6))&gt;='Aset Tetap'!$Y118,(YEAR(E$6)*12+MONTH(E$6))&lt;=MIN('Aset Tetap'!$Z118,IF('Aset Tetap'!$S118="Unit Produksi",99999,'Aset Tetap'!$Y118+'Aset Tetap'!$T118*12-1))),'Aset Tetap'!$AQ118/'Aset Tetap'!$AG118,0)))</f>
        <v/>
      </c>
      <c r="F118" s="22" t="str">
        <f>IF($B118="","",IF(N('Aset Tetap'!$AG118)=0,0,IF(AND((YEAR(F$6)*12+MONTH(F$6))&gt;='Aset Tetap'!$Y118,(YEAR(F$6)*12+MONTH(F$6))&lt;=MIN('Aset Tetap'!$Z118,IF('Aset Tetap'!$S118="Unit Produksi",99999,'Aset Tetap'!$Y118+'Aset Tetap'!$T118*12-1))),'Aset Tetap'!$AQ118/'Aset Tetap'!$AG118,0)))</f>
        <v/>
      </c>
      <c r="G118" s="22" t="str">
        <f>IF($B118="","",IF(N('Aset Tetap'!$AG118)=0,0,IF(AND((YEAR(G$6)*12+MONTH(G$6))&gt;='Aset Tetap'!$Y118,(YEAR(G$6)*12+MONTH(G$6))&lt;=MIN('Aset Tetap'!$Z118,IF('Aset Tetap'!$S118="Unit Produksi",99999,'Aset Tetap'!$Y118+'Aset Tetap'!$T118*12-1))),'Aset Tetap'!$AQ118/'Aset Tetap'!$AG118,0)))</f>
        <v/>
      </c>
      <c r="H118" s="22" t="str">
        <f>IF($B118="","",IF(N('Aset Tetap'!$AG118)=0,0,IF(AND((YEAR(H$6)*12+MONTH(H$6))&gt;='Aset Tetap'!$Y118,(YEAR(H$6)*12+MONTH(H$6))&lt;=MIN('Aset Tetap'!$Z118,IF('Aset Tetap'!$S118="Unit Produksi",99999,'Aset Tetap'!$Y118+'Aset Tetap'!$T118*12-1))),'Aset Tetap'!$AQ118/'Aset Tetap'!$AG118,0)))</f>
        <v/>
      </c>
      <c r="I118" s="22" t="str">
        <f>IF($B118="","",IF(N('Aset Tetap'!$AG118)=0,0,IF(AND((YEAR(I$6)*12+MONTH(I$6))&gt;='Aset Tetap'!$Y118,(YEAR(I$6)*12+MONTH(I$6))&lt;=MIN('Aset Tetap'!$Z118,IF('Aset Tetap'!$S118="Unit Produksi",99999,'Aset Tetap'!$Y118+'Aset Tetap'!$T118*12-1))),'Aset Tetap'!$AQ118/'Aset Tetap'!$AG118,0)))</f>
        <v/>
      </c>
      <c r="J118" s="22" t="str">
        <f>IF($B118="","",IF(N('Aset Tetap'!$AG118)=0,0,IF(AND((YEAR(J$6)*12+MONTH(J$6))&gt;='Aset Tetap'!$Y118,(YEAR(J$6)*12+MONTH(J$6))&lt;=MIN('Aset Tetap'!$Z118,IF('Aset Tetap'!$S118="Unit Produksi",99999,'Aset Tetap'!$Y118+'Aset Tetap'!$T118*12-1))),'Aset Tetap'!$AQ118/'Aset Tetap'!$AG118,0)))</f>
        <v/>
      </c>
      <c r="K118" s="22" t="str">
        <f>IF($B118="","",IF(N('Aset Tetap'!$AG118)=0,0,IF(AND((YEAR(K$6)*12+MONTH(K$6))&gt;='Aset Tetap'!$Y118,(YEAR(K$6)*12+MONTH(K$6))&lt;=MIN('Aset Tetap'!$Z118,IF('Aset Tetap'!$S118="Unit Produksi",99999,'Aset Tetap'!$Y118+'Aset Tetap'!$T118*12-1))),'Aset Tetap'!$AQ118/'Aset Tetap'!$AG118,0)))</f>
        <v/>
      </c>
      <c r="L118" s="22" t="str">
        <f>IF($B118="","",IF(N('Aset Tetap'!$AG118)=0,0,IF(AND((YEAR(L$6)*12+MONTH(L$6))&gt;='Aset Tetap'!$Y118,(YEAR(L$6)*12+MONTH(L$6))&lt;=MIN('Aset Tetap'!$Z118,IF('Aset Tetap'!$S118="Unit Produksi",99999,'Aset Tetap'!$Y118+'Aset Tetap'!$T118*12-1))),'Aset Tetap'!$AQ118/'Aset Tetap'!$AG118,0)))</f>
        <v/>
      </c>
      <c r="M118" s="22" t="str">
        <f>IF($B118="","",IF(N('Aset Tetap'!$AG118)=0,0,IF(AND((YEAR(M$6)*12+MONTH(M$6))&gt;='Aset Tetap'!$Y118,(YEAR(M$6)*12+MONTH(M$6))&lt;=MIN('Aset Tetap'!$Z118,IF('Aset Tetap'!$S118="Unit Produksi",99999,'Aset Tetap'!$Y118+'Aset Tetap'!$T118*12-1))),'Aset Tetap'!$AQ118/'Aset Tetap'!$AG118,0)))</f>
        <v/>
      </c>
      <c r="N118" s="22" t="str">
        <f>IF($B118="","",IF(N('Aset Tetap'!$AG118)=0,0,IF(AND((YEAR(N$6)*12+MONTH(N$6))&gt;='Aset Tetap'!$Y118,(YEAR(N$6)*12+MONTH(N$6))&lt;=MIN('Aset Tetap'!$Z118,IF('Aset Tetap'!$S118="Unit Produksi",99999,'Aset Tetap'!$Y118+'Aset Tetap'!$T118*12-1))),'Aset Tetap'!$AQ118/'Aset Tetap'!$AG118,0)))</f>
        <v/>
      </c>
      <c r="O118" s="22" t="str">
        <f>IF($B118="","",IF(N('Aset Tetap'!$AG118)=0,0,IF(AND((YEAR(O$6)*12+MONTH(O$6))&gt;='Aset Tetap'!$Y118,(YEAR(O$6)*12+MONTH(O$6))&lt;=MIN('Aset Tetap'!$Z118,IF('Aset Tetap'!$S118="Unit Produksi",99999,'Aset Tetap'!$Y118+'Aset Tetap'!$T118*12-1))),'Aset Tetap'!$AQ118/'Aset Tetap'!$AG118,0)))</f>
        <v/>
      </c>
      <c r="P118" s="22" t="str">
        <f>IF($B118="","",IF(N('Aset Tetap'!$AG118)=0,0,IF(AND((YEAR(P$6)*12+MONTH(P$6))&gt;='Aset Tetap'!$Y118,(YEAR(P$6)*12+MONTH(P$6))&lt;=MIN('Aset Tetap'!$Z118,IF('Aset Tetap'!$S118="Unit Produksi",99999,'Aset Tetap'!$Y118+'Aset Tetap'!$T118*12-1))),'Aset Tetap'!$AQ118/'Aset Tetap'!$AG118,0)))</f>
        <v/>
      </c>
      <c r="Q118" s="22" t="str">
        <f>IF($B118="","",SUM(E118:P118))</f>
        <v/>
      </c>
      <c r="R118" s="22" t="str">
        <f>IF($B118="","",'Aset Tetap'!AQ118)</f>
        <v/>
      </c>
      <c r="S118" s="22" t="str">
        <f>IF($B118="","",ROUND(Q118-R118,0))</f>
        <v/>
      </c>
    </row>
    <row r="119" spans="1:19" x14ac:dyDescent="0.25">
      <c r="A119" t="str">
        <f>IF('Aset Tetap'!$B119="","",'Aset Tetap'!A119)</f>
        <v/>
      </c>
      <c r="B119" t="str">
        <f>IF('Aset Tetap'!$B119="","",'Aset Tetap'!B119)</f>
        <v/>
      </c>
      <c r="C119" t="str">
        <f>IF('Aset Tetap'!$B119="","",'Aset Tetap'!C119)</f>
        <v/>
      </c>
      <c r="D119" t="str">
        <f>IF('Aset Tetap'!$B119="","",'Aset Tetap'!D119)</f>
        <v/>
      </c>
      <c r="E119" s="22" t="str">
        <f>IF($B119="","",IF(N('Aset Tetap'!$AG119)=0,0,IF(AND((YEAR(E$6)*12+MONTH(E$6))&gt;='Aset Tetap'!$Y119,(YEAR(E$6)*12+MONTH(E$6))&lt;=MIN('Aset Tetap'!$Z119,IF('Aset Tetap'!$S119="Unit Produksi",99999,'Aset Tetap'!$Y119+'Aset Tetap'!$T119*12-1))),'Aset Tetap'!$AQ119/'Aset Tetap'!$AG119,0)))</f>
        <v/>
      </c>
      <c r="F119" s="22" t="str">
        <f>IF($B119="","",IF(N('Aset Tetap'!$AG119)=0,0,IF(AND((YEAR(F$6)*12+MONTH(F$6))&gt;='Aset Tetap'!$Y119,(YEAR(F$6)*12+MONTH(F$6))&lt;=MIN('Aset Tetap'!$Z119,IF('Aset Tetap'!$S119="Unit Produksi",99999,'Aset Tetap'!$Y119+'Aset Tetap'!$T119*12-1))),'Aset Tetap'!$AQ119/'Aset Tetap'!$AG119,0)))</f>
        <v/>
      </c>
      <c r="G119" s="22" t="str">
        <f>IF($B119="","",IF(N('Aset Tetap'!$AG119)=0,0,IF(AND((YEAR(G$6)*12+MONTH(G$6))&gt;='Aset Tetap'!$Y119,(YEAR(G$6)*12+MONTH(G$6))&lt;=MIN('Aset Tetap'!$Z119,IF('Aset Tetap'!$S119="Unit Produksi",99999,'Aset Tetap'!$Y119+'Aset Tetap'!$T119*12-1))),'Aset Tetap'!$AQ119/'Aset Tetap'!$AG119,0)))</f>
        <v/>
      </c>
      <c r="H119" s="22" t="str">
        <f>IF($B119="","",IF(N('Aset Tetap'!$AG119)=0,0,IF(AND((YEAR(H$6)*12+MONTH(H$6))&gt;='Aset Tetap'!$Y119,(YEAR(H$6)*12+MONTH(H$6))&lt;=MIN('Aset Tetap'!$Z119,IF('Aset Tetap'!$S119="Unit Produksi",99999,'Aset Tetap'!$Y119+'Aset Tetap'!$T119*12-1))),'Aset Tetap'!$AQ119/'Aset Tetap'!$AG119,0)))</f>
        <v/>
      </c>
      <c r="I119" s="22" t="str">
        <f>IF($B119="","",IF(N('Aset Tetap'!$AG119)=0,0,IF(AND((YEAR(I$6)*12+MONTH(I$6))&gt;='Aset Tetap'!$Y119,(YEAR(I$6)*12+MONTH(I$6))&lt;=MIN('Aset Tetap'!$Z119,IF('Aset Tetap'!$S119="Unit Produksi",99999,'Aset Tetap'!$Y119+'Aset Tetap'!$T119*12-1))),'Aset Tetap'!$AQ119/'Aset Tetap'!$AG119,0)))</f>
        <v/>
      </c>
      <c r="J119" s="22" t="str">
        <f>IF($B119="","",IF(N('Aset Tetap'!$AG119)=0,0,IF(AND((YEAR(J$6)*12+MONTH(J$6))&gt;='Aset Tetap'!$Y119,(YEAR(J$6)*12+MONTH(J$6))&lt;=MIN('Aset Tetap'!$Z119,IF('Aset Tetap'!$S119="Unit Produksi",99999,'Aset Tetap'!$Y119+'Aset Tetap'!$T119*12-1))),'Aset Tetap'!$AQ119/'Aset Tetap'!$AG119,0)))</f>
        <v/>
      </c>
      <c r="K119" s="22" t="str">
        <f>IF($B119="","",IF(N('Aset Tetap'!$AG119)=0,0,IF(AND((YEAR(K$6)*12+MONTH(K$6))&gt;='Aset Tetap'!$Y119,(YEAR(K$6)*12+MONTH(K$6))&lt;=MIN('Aset Tetap'!$Z119,IF('Aset Tetap'!$S119="Unit Produksi",99999,'Aset Tetap'!$Y119+'Aset Tetap'!$T119*12-1))),'Aset Tetap'!$AQ119/'Aset Tetap'!$AG119,0)))</f>
        <v/>
      </c>
      <c r="L119" s="22" t="str">
        <f>IF($B119="","",IF(N('Aset Tetap'!$AG119)=0,0,IF(AND((YEAR(L$6)*12+MONTH(L$6))&gt;='Aset Tetap'!$Y119,(YEAR(L$6)*12+MONTH(L$6))&lt;=MIN('Aset Tetap'!$Z119,IF('Aset Tetap'!$S119="Unit Produksi",99999,'Aset Tetap'!$Y119+'Aset Tetap'!$T119*12-1))),'Aset Tetap'!$AQ119/'Aset Tetap'!$AG119,0)))</f>
        <v/>
      </c>
      <c r="M119" s="22" t="str">
        <f>IF($B119="","",IF(N('Aset Tetap'!$AG119)=0,0,IF(AND((YEAR(M$6)*12+MONTH(M$6))&gt;='Aset Tetap'!$Y119,(YEAR(M$6)*12+MONTH(M$6))&lt;=MIN('Aset Tetap'!$Z119,IF('Aset Tetap'!$S119="Unit Produksi",99999,'Aset Tetap'!$Y119+'Aset Tetap'!$T119*12-1))),'Aset Tetap'!$AQ119/'Aset Tetap'!$AG119,0)))</f>
        <v/>
      </c>
      <c r="N119" s="22" t="str">
        <f>IF($B119="","",IF(N('Aset Tetap'!$AG119)=0,0,IF(AND((YEAR(N$6)*12+MONTH(N$6))&gt;='Aset Tetap'!$Y119,(YEAR(N$6)*12+MONTH(N$6))&lt;=MIN('Aset Tetap'!$Z119,IF('Aset Tetap'!$S119="Unit Produksi",99999,'Aset Tetap'!$Y119+'Aset Tetap'!$T119*12-1))),'Aset Tetap'!$AQ119/'Aset Tetap'!$AG119,0)))</f>
        <v/>
      </c>
      <c r="O119" s="22" t="str">
        <f>IF($B119="","",IF(N('Aset Tetap'!$AG119)=0,0,IF(AND((YEAR(O$6)*12+MONTH(O$6))&gt;='Aset Tetap'!$Y119,(YEAR(O$6)*12+MONTH(O$6))&lt;=MIN('Aset Tetap'!$Z119,IF('Aset Tetap'!$S119="Unit Produksi",99999,'Aset Tetap'!$Y119+'Aset Tetap'!$T119*12-1))),'Aset Tetap'!$AQ119/'Aset Tetap'!$AG119,0)))</f>
        <v/>
      </c>
      <c r="P119" s="22" t="str">
        <f>IF($B119="","",IF(N('Aset Tetap'!$AG119)=0,0,IF(AND((YEAR(P$6)*12+MONTH(P$6))&gt;='Aset Tetap'!$Y119,(YEAR(P$6)*12+MONTH(P$6))&lt;=MIN('Aset Tetap'!$Z119,IF('Aset Tetap'!$S119="Unit Produksi",99999,'Aset Tetap'!$Y119+'Aset Tetap'!$T119*12-1))),'Aset Tetap'!$AQ119/'Aset Tetap'!$AG119,0)))</f>
        <v/>
      </c>
      <c r="Q119" s="22" t="str">
        <f>IF($B119="","",SUM(E119:P119))</f>
        <v/>
      </c>
      <c r="R119" s="22" t="str">
        <f>IF($B119="","",'Aset Tetap'!AQ119)</f>
        <v/>
      </c>
      <c r="S119" s="22" t="str">
        <f>IF($B119="","",ROUND(Q119-R119,0))</f>
        <v/>
      </c>
    </row>
    <row r="120" spans="1:19" x14ac:dyDescent="0.25">
      <c r="A120" t="str">
        <f>IF('Aset Tetap'!$B120="","",'Aset Tetap'!A120)</f>
        <v/>
      </c>
      <c r="B120" t="str">
        <f>IF('Aset Tetap'!$B120="","",'Aset Tetap'!B120)</f>
        <v/>
      </c>
      <c r="C120" t="str">
        <f>IF('Aset Tetap'!$B120="","",'Aset Tetap'!C120)</f>
        <v/>
      </c>
      <c r="D120" t="str">
        <f>IF('Aset Tetap'!$B120="","",'Aset Tetap'!D120)</f>
        <v/>
      </c>
      <c r="E120" s="22" t="str">
        <f>IF($B120="","",IF(N('Aset Tetap'!$AG120)=0,0,IF(AND((YEAR(E$6)*12+MONTH(E$6))&gt;='Aset Tetap'!$Y120,(YEAR(E$6)*12+MONTH(E$6))&lt;=MIN('Aset Tetap'!$Z120,IF('Aset Tetap'!$S120="Unit Produksi",99999,'Aset Tetap'!$Y120+'Aset Tetap'!$T120*12-1))),'Aset Tetap'!$AQ120/'Aset Tetap'!$AG120,0)))</f>
        <v/>
      </c>
      <c r="F120" s="22" t="str">
        <f>IF($B120="","",IF(N('Aset Tetap'!$AG120)=0,0,IF(AND((YEAR(F$6)*12+MONTH(F$6))&gt;='Aset Tetap'!$Y120,(YEAR(F$6)*12+MONTH(F$6))&lt;=MIN('Aset Tetap'!$Z120,IF('Aset Tetap'!$S120="Unit Produksi",99999,'Aset Tetap'!$Y120+'Aset Tetap'!$T120*12-1))),'Aset Tetap'!$AQ120/'Aset Tetap'!$AG120,0)))</f>
        <v/>
      </c>
      <c r="G120" s="22" t="str">
        <f>IF($B120="","",IF(N('Aset Tetap'!$AG120)=0,0,IF(AND((YEAR(G$6)*12+MONTH(G$6))&gt;='Aset Tetap'!$Y120,(YEAR(G$6)*12+MONTH(G$6))&lt;=MIN('Aset Tetap'!$Z120,IF('Aset Tetap'!$S120="Unit Produksi",99999,'Aset Tetap'!$Y120+'Aset Tetap'!$T120*12-1))),'Aset Tetap'!$AQ120/'Aset Tetap'!$AG120,0)))</f>
        <v/>
      </c>
      <c r="H120" s="22" t="str">
        <f>IF($B120="","",IF(N('Aset Tetap'!$AG120)=0,0,IF(AND((YEAR(H$6)*12+MONTH(H$6))&gt;='Aset Tetap'!$Y120,(YEAR(H$6)*12+MONTH(H$6))&lt;=MIN('Aset Tetap'!$Z120,IF('Aset Tetap'!$S120="Unit Produksi",99999,'Aset Tetap'!$Y120+'Aset Tetap'!$T120*12-1))),'Aset Tetap'!$AQ120/'Aset Tetap'!$AG120,0)))</f>
        <v/>
      </c>
      <c r="I120" s="22" t="str">
        <f>IF($B120="","",IF(N('Aset Tetap'!$AG120)=0,0,IF(AND((YEAR(I$6)*12+MONTH(I$6))&gt;='Aset Tetap'!$Y120,(YEAR(I$6)*12+MONTH(I$6))&lt;=MIN('Aset Tetap'!$Z120,IF('Aset Tetap'!$S120="Unit Produksi",99999,'Aset Tetap'!$Y120+'Aset Tetap'!$T120*12-1))),'Aset Tetap'!$AQ120/'Aset Tetap'!$AG120,0)))</f>
        <v/>
      </c>
      <c r="J120" s="22" t="str">
        <f>IF($B120="","",IF(N('Aset Tetap'!$AG120)=0,0,IF(AND((YEAR(J$6)*12+MONTH(J$6))&gt;='Aset Tetap'!$Y120,(YEAR(J$6)*12+MONTH(J$6))&lt;=MIN('Aset Tetap'!$Z120,IF('Aset Tetap'!$S120="Unit Produksi",99999,'Aset Tetap'!$Y120+'Aset Tetap'!$T120*12-1))),'Aset Tetap'!$AQ120/'Aset Tetap'!$AG120,0)))</f>
        <v/>
      </c>
      <c r="K120" s="22" t="str">
        <f>IF($B120="","",IF(N('Aset Tetap'!$AG120)=0,0,IF(AND((YEAR(K$6)*12+MONTH(K$6))&gt;='Aset Tetap'!$Y120,(YEAR(K$6)*12+MONTH(K$6))&lt;=MIN('Aset Tetap'!$Z120,IF('Aset Tetap'!$S120="Unit Produksi",99999,'Aset Tetap'!$Y120+'Aset Tetap'!$T120*12-1))),'Aset Tetap'!$AQ120/'Aset Tetap'!$AG120,0)))</f>
        <v/>
      </c>
      <c r="L120" s="22" t="str">
        <f>IF($B120="","",IF(N('Aset Tetap'!$AG120)=0,0,IF(AND((YEAR(L$6)*12+MONTH(L$6))&gt;='Aset Tetap'!$Y120,(YEAR(L$6)*12+MONTH(L$6))&lt;=MIN('Aset Tetap'!$Z120,IF('Aset Tetap'!$S120="Unit Produksi",99999,'Aset Tetap'!$Y120+'Aset Tetap'!$T120*12-1))),'Aset Tetap'!$AQ120/'Aset Tetap'!$AG120,0)))</f>
        <v/>
      </c>
      <c r="M120" s="22" t="str">
        <f>IF($B120="","",IF(N('Aset Tetap'!$AG120)=0,0,IF(AND((YEAR(M$6)*12+MONTH(M$6))&gt;='Aset Tetap'!$Y120,(YEAR(M$6)*12+MONTH(M$6))&lt;=MIN('Aset Tetap'!$Z120,IF('Aset Tetap'!$S120="Unit Produksi",99999,'Aset Tetap'!$Y120+'Aset Tetap'!$T120*12-1))),'Aset Tetap'!$AQ120/'Aset Tetap'!$AG120,0)))</f>
        <v/>
      </c>
      <c r="N120" s="22" t="str">
        <f>IF($B120="","",IF(N('Aset Tetap'!$AG120)=0,0,IF(AND((YEAR(N$6)*12+MONTH(N$6))&gt;='Aset Tetap'!$Y120,(YEAR(N$6)*12+MONTH(N$6))&lt;=MIN('Aset Tetap'!$Z120,IF('Aset Tetap'!$S120="Unit Produksi",99999,'Aset Tetap'!$Y120+'Aset Tetap'!$T120*12-1))),'Aset Tetap'!$AQ120/'Aset Tetap'!$AG120,0)))</f>
        <v/>
      </c>
      <c r="O120" s="22" t="str">
        <f>IF($B120="","",IF(N('Aset Tetap'!$AG120)=0,0,IF(AND((YEAR(O$6)*12+MONTH(O$6))&gt;='Aset Tetap'!$Y120,(YEAR(O$6)*12+MONTH(O$6))&lt;=MIN('Aset Tetap'!$Z120,IF('Aset Tetap'!$S120="Unit Produksi",99999,'Aset Tetap'!$Y120+'Aset Tetap'!$T120*12-1))),'Aset Tetap'!$AQ120/'Aset Tetap'!$AG120,0)))</f>
        <v/>
      </c>
      <c r="P120" s="22" t="str">
        <f>IF($B120="","",IF(N('Aset Tetap'!$AG120)=0,0,IF(AND((YEAR(P$6)*12+MONTH(P$6))&gt;='Aset Tetap'!$Y120,(YEAR(P$6)*12+MONTH(P$6))&lt;=MIN('Aset Tetap'!$Z120,IF('Aset Tetap'!$S120="Unit Produksi",99999,'Aset Tetap'!$Y120+'Aset Tetap'!$T120*12-1))),'Aset Tetap'!$AQ120/'Aset Tetap'!$AG120,0)))</f>
        <v/>
      </c>
      <c r="Q120" s="22" t="str">
        <f>IF($B120="","",SUM(E120:P120))</f>
        <v/>
      </c>
      <c r="R120" s="22" t="str">
        <f>IF($B120="","",'Aset Tetap'!AQ120)</f>
        <v/>
      </c>
      <c r="S120" s="22" t="str">
        <f>IF($B120="","",ROUND(Q120-R120,0))</f>
        <v/>
      </c>
    </row>
    <row r="121" spans="1:19" x14ac:dyDescent="0.25">
      <c r="A121" t="str">
        <f>IF('Aset Tetap'!$B121="","",'Aset Tetap'!A121)</f>
        <v/>
      </c>
      <c r="B121" t="str">
        <f>IF('Aset Tetap'!$B121="","",'Aset Tetap'!B121)</f>
        <v/>
      </c>
      <c r="C121" t="str">
        <f>IF('Aset Tetap'!$B121="","",'Aset Tetap'!C121)</f>
        <v/>
      </c>
      <c r="D121" t="str">
        <f>IF('Aset Tetap'!$B121="","",'Aset Tetap'!D121)</f>
        <v/>
      </c>
      <c r="E121" s="22" t="str">
        <f>IF($B121="","",IF(N('Aset Tetap'!$AG121)=0,0,IF(AND((YEAR(E$6)*12+MONTH(E$6))&gt;='Aset Tetap'!$Y121,(YEAR(E$6)*12+MONTH(E$6))&lt;=MIN('Aset Tetap'!$Z121,IF('Aset Tetap'!$S121="Unit Produksi",99999,'Aset Tetap'!$Y121+'Aset Tetap'!$T121*12-1))),'Aset Tetap'!$AQ121/'Aset Tetap'!$AG121,0)))</f>
        <v/>
      </c>
      <c r="F121" s="22" t="str">
        <f>IF($B121="","",IF(N('Aset Tetap'!$AG121)=0,0,IF(AND((YEAR(F$6)*12+MONTH(F$6))&gt;='Aset Tetap'!$Y121,(YEAR(F$6)*12+MONTH(F$6))&lt;=MIN('Aset Tetap'!$Z121,IF('Aset Tetap'!$S121="Unit Produksi",99999,'Aset Tetap'!$Y121+'Aset Tetap'!$T121*12-1))),'Aset Tetap'!$AQ121/'Aset Tetap'!$AG121,0)))</f>
        <v/>
      </c>
      <c r="G121" s="22" t="str">
        <f>IF($B121="","",IF(N('Aset Tetap'!$AG121)=0,0,IF(AND((YEAR(G$6)*12+MONTH(G$6))&gt;='Aset Tetap'!$Y121,(YEAR(G$6)*12+MONTH(G$6))&lt;=MIN('Aset Tetap'!$Z121,IF('Aset Tetap'!$S121="Unit Produksi",99999,'Aset Tetap'!$Y121+'Aset Tetap'!$T121*12-1))),'Aset Tetap'!$AQ121/'Aset Tetap'!$AG121,0)))</f>
        <v/>
      </c>
      <c r="H121" s="22" t="str">
        <f>IF($B121="","",IF(N('Aset Tetap'!$AG121)=0,0,IF(AND((YEAR(H$6)*12+MONTH(H$6))&gt;='Aset Tetap'!$Y121,(YEAR(H$6)*12+MONTH(H$6))&lt;=MIN('Aset Tetap'!$Z121,IF('Aset Tetap'!$S121="Unit Produksi",99999,'Aset Tetap'!$Y121+'Aset Tetap'!$T121*12-1))),'Aset Tetap'!$AQ121/'Aset Tetap'!$AG121,0)))</f>
        <v/>
      </c>
      <c r="I121" s="22" t="str">
        <f>IF($B121="","",IF(N('Aset Tetap'!$AG121)=0,0,IF(AND((YEAR(I$6)*12+MONTH(I$6))&gt;='Aset Tetap'!$Y121,(YEAR(I$6)*12+MONTH(I$6))&lt;=MIN('Aset Tetap'!$Z121,IF('Aset Tetap'!$S121="Unit Produksi",99999,'Aset Tetap'!$Y121+'Aset Tetap'!$T121*12-1))),'Aset Tetap'!$AQ121/'Aset Tetap'!$AG121,0)))</f>
        <v/>
      </c>
      <c r="J121" s="22" t="str">
        <f>IF($B121="","",IF(N('Aset Tetap'!$AG121)=0,0,IF(AND((YEAR(J$6)*12+MONTH(J$6))&gt;='Aset Tetap'!$Y121,(YEAR(J$6)*12+MONTH(J$6))&lt;=MIN('Aset Tetap'!$Z121,IF('Aset Tetap'!$S121="Unit Produksi",99999,'Aset Tetap'!$Y121+'Aset Tetap'!$T121*12-1))),'Aset Tetap'!$AQ121/'Aset Tetap'!$AG121,0)))</f>
        <v/>
      </c>
      <c r="K121" s="22" t="str">
        <f>IF($B121="","",IF(N('Aset Tetap'!$AG121)=0,0,IF(AND((YEAR(K$6)*12+MONTH(K$6))&gt;='Aset Tetap'!$Y121,(YEAR(K$6)*12+MONTH(K$6))&lt;=MIN('Aset Tetap'!$Z121,IF('Aset Tetap'!$S121="Unit Produksi",99999,'Aset Tetap'!$Y121+'Aset Tetap'!$T121*12-1))),'Aset Tetap'!$AQ121/'Aset Tetap'!$AG121,0)))</f>
        <v/>
      </c>
      <c r="L121" s="22" t="str">
        <f>IF($B121="","",IF(N('Aset Tetap'!$AG121)=0,0,IF(AND((YEAR(L$6)*12+MONTH(L$6))&gt;='Aset Tetap'!$Y121,(YEAR(L$6)*12+MONTH(L$6))&lt;=MIN('Aset Tetap'!$Z121,IF('Aset Tetap'!$S121="Unit Produksi",99999,'Aset Tetap'!$Y121+'Aset Tetap'!$T121*12-1))),'Aset Tetap'!$AQ121/'Aset Tetap'!$AG121,0)))</f>
        <v/>
      </c>
      <c r="M121" s="22" t="str">
        <f>IF($B121="","",IF(N('Aset Tetap'!$AG121)=0,0,IF(AND((YEAR(M$6)*12+MONTH(M$6))&gt;='Aset Tetap'!$Y121,(YEAR(M$6)*12+MONTH(M$6))&lt;=MIN('Aset Tetap'!$Z121,IF('Aset Tetap'!$S121="Unit Produksi",99999,'Aset Tetap'!$Y121+'Aset Tetap'!$T121*12-1))),'Aset Tetap'!$AQ121/'Aset Tetap'!$AG121,0)))</f>
        <v/>
      </c>
      <c r="N121" s="22" t="str">
        <f>IF($B121="","",IF(N('Aset Tetap'!$AG121)=0,0,IF(AND((YEAR(N$6)*12+MONTH(N$6))&gt;='Aset Tetap'!$Y121,(YEAR(N$6)*12+MONTH(N$6))&lt;=MIN('Aset Tetap'!$Z121,IF('Aset Tetap'!$S121="Unit Produksi",99999,'Aset Tetap'!$Y121+'Aset Tetap'!$T121*12-1))),'Aset Tetap'!$AQ121/'Aset Tetap'!$AG121,0)))</f>
        <v/>
      </c>
      <c r="O121" s="22" t="str">
        <f>IF($B121="","",IF(N('Aset Tetap'!$AG121)=0,0,IF(AND((YEAR(O$6)*12+MONTH(O$6))&gt;='Aset Tetap'!$Y121,(YEAR(O$6)*12+MONTH(O$6))&lt;=MIN('Aset Tetap'!$Z121,IF('Aset Tetap'!$S121="Unit Produksi",99999,'Aset Tetap'!$Y121+'Aset Tetap'!$T121*12-1))),'Aset Tetap'!$AQ121/'Aset Tetap'!$AG121,0)))</f>
        <v/>
      </c>
      <c r="P121" s="22" t="str">
        <f>IF($B121="","",IF(N('Aset Tetap'!$AG121)=0,0,IF(AND((YEAR(P$6)*12+MONTH(P$6))&gt;='Aset Tetap'!$Y121,(YEAR(P$6)*12+MONTH(P$6))&lt;=MIN('Aset Tetap'!$Z121,IF('Aset Tetap'!$S121="Unit Produksi",99999,'Aset Tetap'!$Y121+'Aset Tetap'!$T121*12-1))),'Aset Tetap'!$AQ121/'Aset Tetap'!$AG121,0)))</f>
        <v/>
      </c>
      <c r="Q121" s="22" t="str">
        <f>IF($B121="","",SUM(E121:P121))</f>
        <v/>
      </c>
      <c r="R121" s="22" t="str">
        <f>IF($B121="","",'Aset Tetap'!AQ121)</f>
        <v/>
      </c>
      <c r="S121" s="22" t="str">
        <f>IF($B121="","",ROUND(Q121-R121,0))</f>
        <v/>
      </c>
    </row>
    <row r="122" spans="1:19" x14ac:dyDescent="0.25">
      <c r="A122" t="str">
        <f>IF('Aset Tetap'!$B122="","",'Aset Tetap'!A122)</f>
        <v/>
      </c>
      <c r="B122" t="str">
        <f>IF('Aset Tetap'!$B122="","",'Aset Tetap'!B122)</f>
        <v/>
      </c>
      <c r="C122" t="str">
        <f>IF('Aset Tetap'!$B122="","",'Aset Tetap'!C122)</f>
        <v/>
      </c>
      <c r="D122" t="str">
        <f>IF('Aset Tetap'!$B122="","",'Aset Tetap'!D122)</f>
        <v/>
      </c>
      <c r="E122" s="22" t="str">
        <f>IF($B122="","",IF(N('Aset Tetap'!$AG122)=0,0,IF(AND((YEAR(E$6)*12+MONTH(E$6))&gt;='Aset Tetap'!$Y122,(YEAR(E$6)*12+MONTH(E$6))&lt;=MIN('Aset Tetap'!$Z122,IF('Aset Tetap'!$S122="Unit Produksi",99999,'Aset Tetap'!$Y122+'Aset Tetap'!$T122*12-1))),'Aset Tetap'!$AQ122/'Aset Tetap'!$AG122,0)))</f>
        <v/>
      </c>
      <c r="F122" s="22" t="str">
        <f>IF($B122="","",IF(N('Aset Tetap'!$AG122)=0,0,IF(AND((YEAR(F$6)*12+MONTH(F$6))&gt;='Aset Tetap'!$Y122,(YEAR(F$6)*12+MONTH(F$6))&lt;=MIN('Aset Tetap'!$Z122,IF('Aset Tetap'!$S122="Unit Produksi",99999,'Aset Tetap'!$Y122+'Aset Tetap'!$T122*12-1))),'Aset Tetap'!$AQ122/'Aset Tetap'!$AG122,0)))</f>
        <v/>
      </c>
      <c r="G122" s="22" t="str">
        <f>IF($B122="","",IF(N('Aset Tetap'!$AG122)=0,0,IF(AND((YEAR(G$6)*12+MONTH(G$6))&gt;='Aset Tetap'!$Y122,(YEAR(G$6)*12+MONTH(G$6))&lt;=MIN('Aset Tetap'!$Z122,IF('Aset Tetap'!$S122="Unit Produksi",99999,'Aset Tetap'!$Y122+'Aset Tetap'!$T122*12-1))),'Aset Tetap'!$AQ122/'Aset Tetap'!$AG122,0)))</f>
        <v/>
      </c>
      <c r="H122" s="22" t="str">
        <f>IF($B122="","",IF(N('Aset Tetap'!$AG122)=0,0,IF(AND((YEAR(H$6)*12+MONTH(H$6))&gt;='Aset Tetap'!$Y122,(YEAR(H$6)*12+MONTH(H$6))&lt;=MIN('Aset Tetap'!$Z122,IF('Aset Tetap'!$S122="Unit Produksi",99999,'Aset Tetap'!$Y122+'Aset Tetap'!$T122*12-1))),'Aset Tetap'!$AQ122/'Aset Tetap'!$AG122,0)))</f>
        <v/>
      </c>
      <c r="I122" s="22" t="str">
        <f>IF($B122="","",IF(N('Aset Tetap'!$AG122)=0,0,IF(AND((YEAR(I$6)*12+MONTH(I$6))&gt;='Aset Tetap'!$Y122,(YEAR(I$6)*12+MONTH(I$6))&lt;=MIN('Aset Tetap'!$Z122,IF('Aset Tetap'!$S122="Unit Produksi",99999,'Aset Tetap'!$Y122+'Aset Tetap'!$T122*12-1))),'Aset Tetap'!$AQ122/'Aset Tetap'!$AG122,0)))</f>
        <v/>
      </c>
      <c r="J122" s="22" t="str">
        <f>IF($B122="","",IF(N('Aset Tetap'!$AG122)=0,0,IF(AND((YEAR(J$6)*12+MONTH(J$6))&gt;='Aset Tetap'!$Y122,(YEAR(J$6)*12+MONTH(J$6))&lt;=MIN('Aset Tetap'!$Z122,IF('Aset Tetap'!$S122="Unit Produksi",99999,'Aset Tetap'!$Y122+'Aset Tetap'!$T122*12-1))),'Aset Tetap'!$AQ122/'Aset Tetap'!$AG122,0)))</f>
        <v/>
      </c>
      <c r="K122" s="22" t="str">
        <f>IF($B122="","",IF(N('Aset Tetap'!$AG122)=0,0,IF(AND((YEAR(K$6)*12+MONTH(K$6))&gt;='Aset Tetap'!$Y122,(YEAR(K$6)*12+MONTH(K$6))&lt;=MIN('Aset Tetap'!$Z122,IF('Aset Tetap'!$S122="Unit Produksi",99999,'Aset Tetap'!$Y122+'Aset Tetap'!$T122*12-1))),'Aset Tetap'!$AQ122/'Aset Tetap'!$AG122,0)))</f>
        <v/>
      </c>
      <c r="L122" s="22" t="str">
        <f>IF($B122="","",IF(N('Aset Tetap'!$AG122)=0,0,IF(AND((YEAR(L$6)*12+MONTH(L$6))&gt;='Aset Tetap'!$Y122,(YEAR(L$6)*12+MONTH(L$6))&lt;=MIN('Aset Tetap'!$Z122,IF('Aset Tetap'!$S122="Unit Produksi",99999,'Aset Tetap'!$Y122+'Aset Tetap'!$T122*12-1))),'Aset Tetap'!$AQ122/'Aset Tetap'!$AG122,0)))</f>
        <v/>
      </c>
      <c r="M122" s="22" t="str">
        <f>IF($B122="","",IF(N('Aset Tetap'!$AG122)=0,0,IF(AND((YEAR(M$6)*12+MONTH(M$6))&gt;='Aset Tetap'!$Y122,(YEAR(M$6)*12+MONTH(M$6))&lt;=MIN('Aset Tetap'!$Z122,IF('Aset Tetap'!$S122="Unit Produksi",99999,'Aset Tetap'!$Y122+'Aset Tetap'!$T122*12-1))),'Aset Tetap'!$AQ122/'Aset Tetap'!$AG122,0)))</f>
        <v/>
      </c>
      <c r="N122" s="22" t="str">
        <f>IF($B122="","",IF(N('Aset Tetap'!$AG122)=0,0,IF(AND((YEAR(N$6)*12+MONTH(N$6))&gt;='Aset Tetap'!$Y122,(YEAR(N$6)*12+MONTH(N$6))&lt;=MIN('Aset Tetap'!$Z122,IF('Aset Tetap'!$S122="Unit Produksi",99999,'Aset Tetap'!$Y122+'Aset Tetap'!$T122*12-1))),'Aset Tetap'!$AQ122/'Aset Tetap'!$AG122,0)))</f>
        <v/>
      </c>
      <c r="O122" s="22" t="str">
        <f>IF($B122="","",IF(N('Aset Tetap'!$AG122)=0,0,IF(AND((YEAR(O$6)*12+MONTH(O$6))&gt;='Aset Tetap'!$Y122,(YEAR(O$6)*12+MONTH(O$6))&lt;=MIN('Aset Tetap'!$Z122,IF('Aset Tetap'!$S122="Unit Produksi",99999,'Aset Tetap'!$Y122+'Aset Tetap'!$T122*12-1))),'Aset Tetap'!$AQ122/'Aset Tetap'!$AG122,0)))</f>
        <v/>
      </c>
      <c r="P122" s="22" t="str">
        <f>IF($B122="","",IF(N('Aset Tetap'!$AG122)=0,0,IF(AND((YEAR(P$6)*12+MONTH(P$6))&gt;='Aset Tetap'!$Y122,(YEAR(P$6)*12+MONTH(P$6))&lt;=MIN('Aset Tetap'!$Z122,IF('Aset Tetap'!$S122="Unit Produksi",99999,'Aset Tetap'!$Y122+'Aset Tetap'!$T122*12-1))),'Aset Tetap'!$AQ122/'Aset Tetap'!$AG122,0)))</f>
        <v/>
      </c>
      <c r="Q122" s="22" t="str">
        <f>IF($B122="","",SUM(E122:P122))</f>
        <v/>
      </c>
      <c r="R122" s="22" t="str">
        <f>IF($B122="","",'Aset Tetap'!AQ122)</f>
        <v/>
      </c>
      <c r="S122" s="22" t="str">
        <f>IF($B122="","",ROUND(Q122-R122,0))</f>
        <v/>
      </c>
    </row>
    <row r="123" spans="1:19" x14ac:dyDescent="0.25">
      <c r="A123" t="str">
        <f>IF('Aset Tetap'!$B123="","",'Aset Tetap'!A123)</f>
        <v/>
      </c>
      <c r="B123" t="str">
        <f>IF('Aset Tetap'!$B123="","",'Aset Tetap'!B123)</f>
        <v/>
      </c>
      <c r="C123" t="str">
        <f>IF('Aset Tetap'!$B123="","",'Aset Tetap'!C123)</f>
        <v/>
      </c>
      <c r="D123" t="str">
        <f>IF('Aset Tetap'!$B123="","",'Aset Tetap'!D123)</f>
        <v/>
      </c>
      <c r="E123" s="22" t="str">
        <f>IF($B123="","",IF(N('Aset Tetap'!$AG123)=0,0,IF(AND((YEAR(E$6)*12+MONTH(E$6))&gt;='Aset Tetap'!$Y123,(YEAR(E$6)*12+MONTH(E$6))&lt;=MIN('Aset Tetap'!$Z123,IF('Aset Tetap'!$S123="Unit Produksi",99999,'Aset Tetap'!$Y123+'Aset Tetap'!$T123*12-1))),'Aset Tetap'!$AQ123/'Aset Tetap'!$AG123,0)))</f>
        <v/>
      </c>
      <c r="F123" s="22" t="str">
        <f>IF($B123="","",IF(N('Aset Tetap'!$AG123)=0,0,IF(AND((YEAR(F$6)*12+MONTH(F$6))&gt;='Aset Tetap'!$Y123,(YEAR(F$6)*12+MONTH(F$6))&lt;=MIN('Aset Tetap'!$Z123,IF('Aset Tetap'!$S123="Unit Produksi",99999,'Aset Tetap'!$Y123+'Aset Tetap'!$T123*12-1))),'Aset Tetap'!$AQ123/'Aset Tetap'!$AG123,0)))</f>
        <v/>
      </c>
      <c r="G123" s="22" t="str">
        <f>IF($B123="","",IF(N('Aset Tetap'!$AG123)=0,0,IF(AND((YEAR(G$6)*12+MONTH(G$6))&gt;='Aset Tetap'!$Y123,(YEAR(G$6)*12+MONTH(G$6))&lt;=MIN('Aset Tetap'!$Z123,IF('Aset Tetap'!$S123="Unit Produksi",99999,'Aset Tetap'!$Y123+'Aset Tetap'!$T123*12-1))),'Aset Tetap'!$AQ123/'Aset Tetap'!$AG123,0)))</f>
        <v/>
      </c>
      <c r="H123" s="22" t="str">
        <f>IF($B123="","",IF(N('Aset Tetap'!$AG123)=0,0,IF(AND((YEAR(H$6)*12+MONTH(H$6))&gt;='Aset Tetap'!$Y123,(YEAR(H$6)*12+MONTH(H$6))&lt;=MIN('Aset Tetap'!$Z123,IF('Aset Tetap'!$S123="Unit Produksi",99999,'Aset Tetap'!$Y123+'Aset Tetap'!$T123*12-1))),'Aset Tetap'!$AQ123/'Aset Tetap'!$AG123,0)))</f>
        <v/>
      </c>
      <c r="I123" s="22" t="str">
        <f>IF($B123="","",IF(N('Aset Tetap'!$AG123)=0,0,IF(AND((YEAR(I$6)*12+MONTH(I$6))&gt;='Aset Tetap'!$Y123,(YEAR(I$6)*12+MONTH(I$6))&lt;=MIN('Aset Tetap'!$Z123,IF('Aset Tetap'!$S123="Unit Produksi",99999,'Aset Tetap'!$Y123+'Aset Tetap'!$T123*12-1))),'Aset Tetap'!$AQ123/'Aset Tetap'!$AG123,0)))</f>
        <v/>
      </c>
      <c r="J123" s="22" t="str">
        <f>IF($B123="","",IF(N('Aset Tetap'!$AG123)=0,0,IF(AND((YEAR(J$6)*12+MONTH(J$6))&gt;='Aset Tetap'!$Y123,(YEAR(J$6)*12+MONTH(J$6))&lt;=MIN('Aset Tetap'!$Z123,IF('Aset Tetap'!$S123="Unit Produksi",99999,'Aset Tetap'!$Y123+'Aset Tetap'!$T123*12-1))),'Aset Tetap'!$AQ123/'Aset Tetap'!$AG123,0)))</f>
        <v/>
      </c>
      <c r="K123" s="22" t="str">
        <f>IF($B123="","",IF(N('Aset Tetap'!$AG123)=0,0,IF(AND((YEAR(K$6)*12+MONTH(K$6))&gt;='Aset Tetap'!$Y123,(YEAR(K$6)*12+MONTH(K$6))&lt;=MIN('Aset Tetap'!$Z123,IF('Aset Tetap'!$S123="Unit Produksi",99999,'Aset Tetap'!$Y123+'Aset Tetap'!$T123*12-1))),'Aset Tetap'!$AQ123/'Aset Tetap'!$AG123,0)))</f>
        <v/>
      </c>
      <c r="L123" s="22" t="str">
        <f>IF($B123="","",IF(N('Aset Tetap'!$AG123)=0,0,IF(AND((YEAR(L$6)*12+MONTH(L$6))&gt;='Aset Tetap'!$Y123,(YEAR(L$6)*12+MONTH(L$6))&lt;=MIN('Aset Tetap'!$Z123,IF('Aset Tetap'!$S123="Unit Produksi",99999,'Aset Tetap'!$Y123+'Aset Tetap'!$T123*12-1))),'Aset Tetap'!$AQ123/'Aset Tetap'!$AG123,0)))</f>
        <v/>
      </c>
      <c r="M123" s="22" t="str">
        <f>IF($B123="","",IF(N('Aset Tetap'!$AG123)=0,0,IF(AND((YEAR(M$6)*12+MONTH(M$6))&gt;='Aset Tetap'!$Y123,(YEAR(M$6)*12+MONTH(M$6))&lt;=MIN('Aset Tetap'!$Z123,IF('Aset Tetap'!$S123="Unit Produksi",99999,'Aset Tetap'!$Y123+'Aset Tetap'!$T123*12-1))),'Aset Tetap'!$AQ123/'Aset Tetap'!$AG123,0)))</f>
        <v/>
      </c>
      <c r="N123" s="22" t="str">
        <f>IF($B123="","",IF(N('Aset Tetap'!$AG123)=0,0,IF(AND((YEAR(N$6)*12+MONTH(N$6))&gt;='Aset Tetap'!$Y123,(YEAR(N$6)*12+MONTH(N$6))&lt;=MIN('Aset Tetap'!$Z123,IF('Aset Tetap'!$S123="Unit Produksi",99999,'Aset Tetap'!$Y123+'Aset Tetap'!$T123*12-1))),'Aset Tetap'!$AQ123/'Aset Tetap'!$AG123,0)))</f>
        <v/>
      </c>
      <c r="O123" s="22" t="str">
        <f>IF($B123="","",IF(N('Aset Tetap'!$AG123)=0,0,IF(AND((YEAR(O$6)*12+MONTH(O$6))&gt;='Aset Tetap'!$Y123,(YEAR(O$6)*12+MONTH(O$6))&lt;=MIN('Aset Tetap'!$Z123,IF('Aset Tetap'!$S123="Unit Produksi",99999,'Aset Tetap'!$Y123+'Aset Tetap'!$T123*12-1))),'Aset Tetap'!$AQ123/'Aset Tetap'!$AG123,0)))</f>
        <v/>
      </c>
      <c r="P123" s="22" t="str">
        <f>IF($B123="","",IF(N('Aset Tetap'!$AG123)=0,0,IF(AND((YEAR(P$6)*12+MONTH(P$6))&gt;='Aset Tetap'!$Y123,(YEAR(P$6)*12+MONTH(P$6))&lt;=MIN('Aset Tetap'!$Z123,IF('Aset Tetap'!$S123="Unit Produksi",99999,'Aset Tetap'!$Y123+'Aset Tetap'!$T123*12-1))),'Aset Tetap'!$AQ123/'Aset Tetap'!$AG123,0)))</f>
        <v/>
      </c>
      <c r="Q123" s="22" t="str">
        <f>IF($B123="","",SUM(E123:P123))</f>
        <v/>
      </c>
      <c r="R123" s="22" t="str">
        <f>IF($B123="","",'Aset Tetap'!AQ123)</f>
        <v/>
      </c>
      <c r="S123" s="22" t="str">
        <f>IF($B123="","",ROUND(Q123-R123,0))</f>
        <v/>
      </c>
    </row>
    <row r="124" spans="1:19" x14ac:dyDescent="0.25">
      <c r="A124" t="str">
        <f>IF('Aset Tetap'!$B124="","",'Aset Tetap'!A124)</f>
        <v/>
      </c>
      <c r="B124" t="str">
        <f>IF('Aset Tetap'!$B124="","",'Aset Tetap'!B124)</f>
        <v/>
      </c>
      <c r="C124" t="str">
        <f>IF('Aset Tetap'!$B124="","",'Aset Tetap'!C124)</f>
        <v/>
      </c>
      <c r="D124" t="str">
        <f>IF('Aset Tetap'!$B124="","",'Aset Tetap'!D124)</f>
        <v/>
      </c>
      <c r="E124" s="22" t="str">
        <f>IF($B124="","",IF(N('Aset Tetap'!$AG124)=0,0,IF(AND((YEAR(E$6)*12+MONTH(E$6))&gt;='Aset Tetap'!$Y124,(YEAR(E$6)*12+MONTH(E$6))&lt;=MIN('Aset Tetap'!$Z124,IF('Aset Tetap'!$S124="Unit Produksi",99999,'Aset Tetap'!$Y124+'Aset Tetap'!$T124*12-1))),'Aset Tetap'!$AQ124/'Aset Tetap'!$AG124,0)))</f>
        <v/>
      </c>
      <c r="F124" s="22" t="str">
        <f>IF($B124="","",IF(N('Aset Tetap'!$AG124)=0,0,IF(AND((YEAR(F$6)*12+MONTH(F$6))&gt;='Aset Tetap'!$Y124,(YEAR(F$6)*12+MONTH(F$6))&lt;=MIN('Aset Tetap'!$Z124,IF('Aset Tetap'!$S124="Unit Produksi",99999,'Aset Tetap'!$Y124+'Aset Tetap'!$T124*12-1))),'Aset Tetap'!$AQ124/'Aset Tetap'!$AG124,0)))</f>
        <v/>
      </c>
      <c r="G124" s="22" t="str">
        <f>IF($B124="","",IF(N('Aset Tetap'!$AG124)=0,0,IF(AND((YEAR(G$6)*12+MONTH(G$6))&gt;='Aset Tetap'!$Y124,(YEAR(G$6)*12+MONTH(G$6))&lt;=MIN('Aset Tetap'!$Z124,IF('Aset Tetap'!$S124="Unit Produksi",99999,'Aset Tetap'!$Y124+'Aset Tetap'!$T124*12-1))),'Aset Tetap'!$AQ124/'Aset Tetap'!$AG124,0)))</f>
        <v/>
      </c>
      <c r="H124" s="22" t="str">
        <f>IF($B124="","",IF(N('Aset Tetap'!$AG124)=0,0,IF(AND((YEAR(H$6)*12+MONTH(H$6))&gt;='Aset Tetap'!$Y124,(YEAR(H$6)*12+MONTH(H$6))&lt;=MIN('Aset Tetap'!$Z124,IF('Aset Tetap'!$S124="Unit Produksi",99999,'Aset Tetap'!$Y124+'Aset Tetap'!$T124*12-1))),'Aset Tetap'!$AQ124/'Aset Tetap'!$AG124,0)))</f>
        <v/>
      </c>
      <c r="I124" s="22" t="str">
        <f>IF($B124="","",IF(N('Aset Tetap'!$AG124)=0,0,IF(AND((YEAR(I$6)*12+MONTH(I$6))&gt;='Aset Tetap'!$Y124,(YEAR(I$6)*12+MONTH(I$6))&lt;=MIN('Aset Tetap'!$Z124,IF('Aset Tetap'!$S124="Unit Produksi",99999,'Aset Tetap'!$Y124+'Aset Tetap'!$T124*12-1))),'Aset Tetap'!$AQ124/'Aset Tetap'!$AG124,0)))</f>
        <v/>
      </c>
      <c r="J124" s="22" t="str">
        <f>IF($B124="","",IF(N('Aset Tetap'!$AG124)=0,0,IF(AND((YEAR(J$6)*12+MONTH(J$6))&gt;='Aset Tetap'!$Y124,(YEAR(J$6)*12+MONTH(J$6))&lt;=MIN('Aset Tetap'!$Z124,IF('Aset Tetap'!$S124="Unit Produksi",99999,'Aset Tetap'!$Y124+'Aset Tetap'!$T124*12-1))),'Aset Tetap'!$AQ124/'Aset Tetap'!$AG124,0)))</f>
        <v/>
      </c>
      <c r="K124" s="22" t="str">
        <f>IF($B124="","",IF(N('Aset Tetap'!$AG124)=0,0,IF(AND((YEAR(K$6)*12+MONTH(K$6))&gt;='Aset Tetap'!$Y124,(YEAR(K$6)*12+MONTH(K$6))&lt;=MIN('Aset Tetap'!$Z124,IF('Aset Tetap'!$S124="Unit Produksi",99999,'Aset Tetap'!$Y124+'Aset Tetap'!$T124*12-1))),'Aset Tetap'!$AQ124/'Aset Tetap'!$AG124,0)))</f>
        <v/>
      </c>
      <c r="L124" s="22" t="str">
        <f>IF($B124="","",IF(N('Aset Tetap'!$AG124)=0,0,IF(AND((YEAR(L$6)*12+MONTH(L$6))&gt;='Aset Tetap'!$Y124,(YEAR(L$6)*12+MONTH(L$6))&lt;=MIN('Aset Tetap'!$Z124,IF('Aset Tetap'!$S124="Unit Produksi",99999,'Aset Tetap'!$Y124+'Aset Tetap'!$T124*12-1))),'Aset Tetap'!$AQ124/'Aset Tetap'!$AG124,0)))</f>
        <v/>
      </c>
      <c r="M124" s="22" t="str">
        <f>IF($B124="","",IF(N('Aset Tetap'!$AG124)=0,0,IF(AND((YEAR(M$6)*12+MONTH(M$6))&gt;='Aset Tetap'!$Y124,(YEAR(M$6)*12+MONTH(M$6))&lt;=MIN('Aset Tetap'!$Z124,IF('Aset Tetap'!$S124="Unit Produksi",99999,'Aset Tetap'!$Y124+'Aset Tetap'!$T124*12-1))),'Aset Tetap'!$AQ124/'Aset Tetap'!$AG124,0)))</f>
        <v/>
      </c>
      <c r="N124" s="22" t="str">
        <f>IF($B124="","",IF(N('Aset Tetap'!$AG124)=0,0,IF(AND((YEAR(N$6)*12+MONTH(N$6))&gt;='Aset Tetap'!$Y124,(YEAR(N$6)*12+MONTH(N$6))&lt;=MIN('Aset Tetap'!$Z124,IF('Aset Tetap'!$S124="Unit Produksi",99999,'Aset Tetap'!$Y124+'Aset Tetap'!$T124*12-1))),'Aset Tetap'!$AQ124/'Aset Tetap'!$AG124,0)))</f>
        <v/>
      </c>
      <c r="O124" s="22" t="str">
        <f>IF($B124="","",IF(N('Aset Tetap'!$AG124)=0,0,IF(AND((YEAR(O$6)*12+MONTH(O$6))&gt;='Aset Tetap'!$Y124,(YEAR(O$6)*12+MONTH(O$6))&lt;=MIN('Aset Tetap'!$Z124,IF('Aset Tetap'!$S124="Unit Produksi",99999,'Aset Tetap'!$Y124+'Aset Tetap'!$T124*12-1))),'Aset Tetap'!$AQ124/'Aset Tetap'!$AG124,0)))</f>
        <v/>
      </c>
      <c r="P124" s="22" t="str">
        <f>IF($B124="","",IF(N('Aset Tetap'!$AG124)=0,0,IF(AND((YEAR(P$6)*12+MONTH(P$6))&gt;='Aset Tetap'!$Y124,(YEAR(P$6)*12+MONTH(P$6))&lt;=MIN('Aset Tetap'!$Z124,IF('Aset Tetap'!$S124="Unit Produksi",99999,'Aset Tetap'!$Y124+'Aset Tetap'!$T124*12-1))),'Aset Tetap'!$AQ124/'Aset Tetap'!$AG124,0)))</f>
        <v/>
      </c>
      <c r="Q124" s="22" t="str">
        <f>IF($B124="","",SUM(E124:P124))</f>
        <v/>
      </c>
      <c r="R124" s="22" t="str">
        <f>IF($B124="","",'Aset Tetap'!AQ124)</f>
        <v/>
      </c>
      <c r="S124" s="22" t="str">
        <f>IF($B124="","",ROUND(Q124-R124,0))</f>
        <v/>
      </c>
    </row>
    <row r="125" spans="1:19" x14ac:dyDescent="0.25">
      <c r="A125" t="str">
        <f>IF('Aset Tetap'!$B125="","",'Aset Tetap'!A125)</f>
        <v/>
      </c>
      <c r="B125" t="str">
        <f>IF('Aset Tetap'!$B125="","",'Aset Tetap'!B125)</f>
        <v/>
      </c>
      <c r="C125" t="str">
        <f>IF('Aset Tetap'!$B125="","",'Aset Tetap'!C125)</f>
        <v/>
      </c>
      <c r="D125" t="str">
        <f>IF('Aset Tetap'!$B125="","",'Aset Tetap'!D125)</f>
        <v/>
      </c>
      <c r="E125" s="22" t="str">
        <f>IF($B125="","",IF(N('Aset Tetap'!$AG125)=0,0,IF(AND((YEAR(E$6)*12+MONTH(E$6))&gt;='Aset Tetap'!$Y125,(YEAR(E$6)*12+MONTH(E$6))&lt;=MIN('Aset Tetap'!$Z125,IF('Aset Tetap'!$S125="Unit Produksi",99999,'Aset Tetap'!$Y125+'Aset Tetap'!$T125*12-1))),'Aset Tetap'!$AQ125/'Aset Tetap'!$AG125,0)))</f>
        <v/>
      </c>
      <c r="F125" s="22" t="str">
        <f>IF($B125="","",IF(N('Aset Tetap'!$AG125)=0,0,IF(AND((YEAR(F$6)*12+MONTH(F$6))&gt;='Aset Tetap'!$Y125,(YEAR(F$6)*12+MONTH(F$6))&lt;=MIN('Aset Tetap'!$Z125,IF('Aset Tetap'!$S125="Unit Produksi",99999,'Aset Tetap'!$Y125+'Aset Tetap'!$T125*12-1))),'Aset Tetap'!$AQ125/'Aset Tetap'!$AG125,0)))</f>
        <v/>
      </c>
      <c r="G125" s="22" t="str">
        <f>IF($B125="","",IF(N('Aset Tetap'!$AG125)=0,0,IF(AND((YEAR(G$6)*12+MONTH(G$6))&gt;='Aset Tetap'!$Y125,(YEAR(G$6)*12+MONTH(G$6))&lt;=MIN('Aset Tetap'!$Z125,IF('Aset Tetap'!$S125="Unit Produksi",99999,'Aset Tetap'!$Y125+'Aset Tetap'!$T125*12-1))),'Aset Tetap'!$AQ125/'Aset Tetap'!$AG125,0)))</f>
        <v/>
      </c>
      <c r="H125" s="22" t="str">
        <f>IF($B125="","",IF(N('Aset Tetap'!$AG125)=0,0,IF(AND((YEAR(H$6)*12+MONTH(H$6))&gt;='Aset Tetap'!$Y125,(YEAR(H$6)*12+MONTH(H$6))&lt;=MIN('Aset Tetap'!$Z125,IF('Aset Tetap'!$S125="Unit Produksi",99999,'Aset Tetap'!$Y125+'Aset Tetap'!$T125*12-1))),'Aset Tetap'!$AQ125/'Aset Tetap'!$AG125,0)))</f>
        <v/>
      </c>
      <c r="I125" s="22" t="str">
        <f>IF($B125="","",IF(N('Aset Tetap'!$AG125)=0,0,IF(AND((YEAR(I$6)*12+MONTH(I$6))&gt;='Aset Tetap'!$Y125,(YEAR(I$6)*12+MONTH(I$6))&lt;=MIN('Aset Tetap'!$Z125,IF('Aset Tetap'!$S125="Unit Produksi",99999,'Aset Tetap'!$Y125+'Aset Tetap'!$T125*12-1))),'Aset Tetap'!$AQ125/'Aset Tetap'!$AG125,0)))</f>
        <v/>
      </c>
      <c r="J125" s="22" t="str">
        <f>IF($B125="","",IF(N('Aset Tetap'!$AG125)=0,0,IF(AND((YEAR(J$6)*12+MONTH(J$6))&gt;='Aset Tetap'!$Y125,(YEAR(J$6)*12+MONTH(J$6))&lt;=MIN('Aset Tetap'!$Z125,IF('Aset Tetap'!$S125="Unit Produksi",99999,'Aset Tetap'!$Y125+'Aset Tetap'!$T125*12-1))),'Aset Tetap'!$AQ125/'Aset Tetap'!$AG125,0)))</f>
        <v/>
      </c>
      <c r="K125" s="22" t="str">
        <f>IF($B125="","",IF(N('Aset Tetap'!$AG125)=0,0,IF(AND((YEAR(K$6)*12+MONTH(K$6))&gt;='Aset Tetap'!$Y125,(YEAR(K$6)*12+MONTH(K$6))&lt;=MIN('Aset Tetap'!$Z125,IF('Aset Tetap'!$S125="Unit Produksi",99999,'Aset Tetap'!$Y125+'Aset Tetap'!$T125*12-1))),'Aset Tetap'!$AQ125/'Aset Tetap'!$AG125,0)))</f>
        <v/>
      </c>
      <c r="L125" s="22" t="str">
        <f>IF($B125="","",IF(N('Aset Tetap'!$AG125)=0,0,IF(AND((YEAR(L$6)*12+MONTH(L$6))&gt;='Aset Tetap'!$Y125,(YEAR(L$6)*12+MONTH(L$6))&lt;=MIN('Aset Tetap'!$Z125,IF('Aset Tetap'!$S125="Unit Produksi",99999,'Aset Tetap'!$Y125+'Aset Tetap'!$T125*12-1))),'Aset Tetap'!$AQ125/'Aset Tetap'!$AG125,0)))</f>
        <v/>
      </c>
      <c r="M125" s="22" t="str">
        <f>IF($B125="","",IF(N('Aset Tetap'!$AG125)=0,0,IF(AND((YEAR(M$6)*12+MONTH(M$6))&gt;='Aset Tetap'!$Y125,(YEAR(M$6)*12+MONTH(M$6))&lt;=MIN('Aset Tetap'!$Z125,IF('Aset Tetap'!$S125="Unit Produksi",99999,'Aset Tetap'!$Y125+'Aset Tetap'!$T125*12-1))),'Aset Tetap'!$AQ125/'Aset Tetap'!$AG125,0)))</f>
        <v/>
      </c>
      <c r="N125" s="22" t="str">
        <f>IF($B125="","",IF(N('Aset Tetap'!$AG125)=0,0,IF(AND((YEAR(N$6)*12+MONTH(N$6))&gt;='Aset Tetap'!$Y125,(YEAR(N$6)*12+MONTH(N$6))&lt;=MIN('Aset Tetap'!$Z125,IF('Aset Tetap'!$S125="Unit Produksi",99999,'Aset Tetap'!$Y125+'Aset Tetap'!$T125*12-1))),'Aset Tetap'!$AQ125/'Aset Tetap'!$AG125,0)))</f>
        <v/>
      </c>
      <c r="O125" s="22" t="str">
        <f>IF($B125="","",IF(N('Aset Tetap'!$AG125)=0,0,IF(AND((YEAR(O$6)*12+MONTH(O$6))&gt;='Aset Tetap'!$Y125,(YEAR(O$6)*12+MONTH(O$6))&lt;=MIN('Aset Tetap'!$Z125,IF('Aset Tetap'!$S125="Unit Produksi",99999,'Aset Tetap'!$Y125+'Aset Tetap'!$T125*12-1))),'Aset Tetap'!$AQ125/'Aset Tetap'!$AG125,0)))</f>
        <v/>
      </c>
      <c r="P125" s="22" t="str">
        <f>IF($B125="","",IF(N('Aset Tetap'!$AG125)=0,0,IF(AND((YEAR(P$6)*12+MONTH(P$6))&gt;='Aset Tetap'!$Y125,(YEAR(P$6)*12+MONTH(P$6))&lt;=MIN('Aset Tetap'!$Z125,IF('Aset Tetap'!$S125="Unit Produksi",99999,'Aset Tetap'!$Y125+'Aset Tetap'!$T125*12-1))),'Aset Tetap'!$AQ125/'Aset Tetap'!$AG125,0)))</f>
        <v/>
      </c>
      <c r="Q125" s="22" t="str">
        <f>IF($B125="","",SUM(E125:P125))</f>
        <v/>
      </c>
      <c r="R125" s="22" t="str">
        <f>IF($B125="","",'Aset Tetap'!AQ125)</f>
        <v/>
      </c>
      <c r="S125" s="22" t="str">
        <f>IF($B125="","",ROUND(Q125-R125,0))</f>
        <v/>
      </c>
    </row>
    <row r="126" spans="1:19" x14ac:dyDescent="0.25">
      <c r="A126" t="str">
        <f>IF('Aset Tetap'!$B126="","",'Aset Tetap'!A126)</f>
        <v/>
      </c>
      <c r="B126" t="str">
        <f>IF('Aset Tetap'!$B126="","",'Aset Tetap'!B126)</f>
        <v/>
      </c>
      <c r="C126" t="str">
        <f>IF('Aset Tetap'!$B126="","",'Aset Tetap'!C126)</f>
        <v/>
      </c>
      <c r="D126" t="str">
        <f>IF('Aset Tetap'!$B126="","",'Aset Tetap'!D126)</f>
        <v/>
      </c>
      <c r="E126" s="22" t="str">
        <f>IF($B126="","",IF(N('Aset Tetap'!$AG126)=0,0,IF(AND((YEAR(E$6)*12+MONTH(E$6))&gt;='Aset Tetap'!$Y126,(YEAR(E$6)*12+MONTH(E$6))&lt;=MIN('Aset Tetap'!$Z126,IF('Aset Tetap'!$S126="Unit Produksi",99999,'Aset Tetap'!$Y126+'Aset Tetap'!$T126*12-1))),'Aset Tetap'!$AQ126/'Aset Tetap'!$AG126,0)))</f>
        <v/>
      </c>
      <c r="F126" s="22" t="str">
        <f>IF($B126="","",IF(N('Aset Tetap'!$AG126)=0,0,IF(AND((YEAR(F$6)*12+MONTH(F$6))&gt;='Aset Tetap'!$Y126,(YEAR(F$6)*12+MONTH(F$6))&lt;=MIN('Aset Tetap'!$Z126,IF('Aset Tetap'!$S126="Unit Produksi",99999,'Aset Tetap'!$Y126+'Aset Tetap'!$T126*12-1))),'Aset Tetap'!$AQ126/'Aset Tetap'!$AG126,0)))</f>
        <v/>
      </c>
      <c r="G126" s="22" t="str">
        <f>IF($B126="","",IF(N('Aset Tetap'!$AG126)=0,0,IF(AND((YEAR(G$6)*12+MONTH(G$6))&gt;='Aset Tetap'!$Y126,(YEAR(G$6)*12+MONTH(G$6))&lt;=MIN('Aset Tetap'!$Z126,IF('Aset Tetap'!$S126="Unit Produksi",99999,'Aset Tetap'!$Y126+'Aset Tetap'!$T126*12-1))),'Aset Tetap'!$AQ126/'Aset Tetap'!$AG126,0)))</f>
        <v/>
      </c>
      <c r="H126" s="22" t="str">
        <f>IF($B126="","",IF(N('Aset Tetap'!$AG126)=0,0,IF(AND((YEAR(H$6)*12+MONTH(H$6))&gt;='Aset Tetap'!$Y126,(YEAR(H$6)*12+MONTH(H$6))&lt;=MIN('Aset Tetap'!$Z126,IF('Aset Tetap'!$S126="Unit Produksi",99999,'Aset Tetap'!$Y126+'Aset Tetap'!$T126*12-1))),'Aset Tetap'!$AQ126/'Aset Tetap'!$AG126,0)))</f>
        <v/>
      </c>
      <c r="I126" s="22" t="str">
        <f>IF($B126="","",IF(N('Aset Tetap'!$AG126)=0,0,IF(AND((YEAR(I$6)*12+MONTH(I$6))&gt;='Aset Tetap'!$Y126,(YEAR(I$6)*12+MONTH(I$6))&lt;=MIN('Aset Tetap'!$Z126,IF('Aset Tetap'!$S126="Unit Produksi",99999,'Aset Tetap'!$Y126+'Aset Tetap'!$T126*12-1))),'Aset Tetap'!$AQ126/'Aset Tetap'!$AG126,0)))</f>
        <v/>
      </c>
      <c r="J126" s="22" t="str">
        <f>IF($B126="","",IF(N('Aset Tetap'!$AG126)=0,0,IF(AND((YEAR(J$6)*12+MONTH(J$6))&gt;='Aset Tetap'!$Y126,(YEAR(J$6)*12+MONTH(J$6))&lt;=MIN('Aset Tetap'!$Z126,IF('Aset Tetap'!$S126="Unit Produksi",99999,'Aset Tetap'!$Y126+'Aset Tetap'!$T126*12-1))),'Aset Tetap'!$AQ126/'Aset Tetap'!$AG126,0)))</f>
        <v/>
      </c>
      <c r="K126" s="22" t="str">
        <f>IF($B126="","",IF(N('Aset Tetap'!$AG126)=0,0,IF(AND((YEAR(K$6)*12+MONTH(K$6))&gt;='Aset Tetap'!$Y126,(YEAR(K$6)*12+MONTH(K$6))&lt;=MIN('Aset Tetap'!$Z126,IF('Aset Tetap'!$S126="Unit Produksi",99999,'Aset Tetap'!$Y126+'Aset Tetap'!$T126*12-1))),'Aset Tetap'!$AQ126/'Aset Tetap'!$AG126,0)))</f>
        <v/>
      </c>
      <c r="L126" s="22" t="str">
        <f>IF($B126="","",IF(N('Aset Tetap'!$AG126)=0,0,IF(AND((YEAR(L$6)*12+MONTH(L$6))&gt;='Aset Tetap'!$Y126,(YEAR(L$6)*12+MONTH(L$6))&lt;=MIN('Aset Tetap'!$Z126,IF('Aset Tetap'!$S126="Unit Produksi",99999,'Aset Tetap'!$Y126+'Aset Tetap'!$T126*12-1))),'Aset Tetap'!$AQ126/'Aset Tetap'!$AG126,0)))</f>
        <v/>
      </c>
      <c r="M126" s="22" t="str">
        <f>IF($B126="","",IF(N('Aset Tetap'!$AG126)=0,0,IF(AND((YEAR(M$6)*12+MONTH(M$6))&gt;='Aset Tetap'!$Y126,(YEAR(M$6)*12+MONTH(M$6))&lt;=MIN('Aset Tetap'!$Z126,IF('Aset Tetap'!$S126="Unit Produksi",99999,'Aset Tetap'!$Y126+'Aset Tetap'!$T126*12-1))),'Aset Tetap'!$AQ126/'Aset Tetap'!$AG126,0)))</f>
        <v/>
      </c>
      <c r="N126" s="22" t="str">
        <f>IF($B126="","",IF(N('Aset Tetap'!$AG126)=0,0,IF(AND((YEAR(N$6)*12+MONTH(N$6))&gt;='Aset Tetap'!$Y126,(YEAR(N$6)*12+MONTH(N$6))&lt;=MIN('Aset Tetap'!$Z126,IF('Aset Tetap'!$S126="Unit Produksi",99999,'Aset Tetap'!$Y126+'Aset Tetap'!$T126*12-1))),'Aset Tetap'!$AQ126/'Aset Tetap'!$AG126,0)))</f>
        <v/>
      </c>
      <c r="O126" s="22" t="str">
        <f>IF($B126="","",IF(N('Aset Tetap'!$AG126)=0,0,IF(AND((YEAR(O$6)*12+MONTH(O$6))&gt;='Aset Tetap'!$Y126,(YEAR(O$6)*12+MONTH(O$6))&lt;=MIN('Aset Tetap'!$Z126,IF('Aset Tetap'!$S126="Unit Produksi",99999,'Aset Tetap'!$Y126+'Aset Tetap'!$T126*12-1))),'Aset Tetap'!$AQ126/'Aset Tetap'!$AG126,0)))</f>
        <v/>
      </c>
      <c r="P126" s="22" t="str">
        <f>IF($B126="","",IF(N('Aset Tetap'!$AG126)=0,0,IF(AND((YEAR(P$6)*12+MONTH(P$6))&gt;='Aset Tetap'!$Y126,(YEAR(P$6)*12+MONTH(P$6))&lt;=MIN('Aset Tetap'!$Z126,IF('Aset Tetap'!$S126="Unit Produksi",99999,'Aset Tetap'!$Y126+'Aset Tetap'!$T126*12-1))),'Aset Tetap'!$AQ126/'Aset Tetap'!$AG126,0)))</f>
        <v/>
      </c>
      <c r="Q126" s="22" t="str">
        <f>IF($B126="","",SUM(E126:P126))</f>
        <v/>
      </c>
      <c r="R126" s="22" t="str">
        <f>IF($B126="","",'Aset Tetap'!AQ126)</f>
        <v/>
      </c>
      <c r="S126" s="22" t="str">
        <f>IF($B126="","",ROUND(Q126-R126,0))</f>
        <v/>
      </c>
    </row>
    <row r="127" spans="1:19" x14ac:dyDescent="0.25">
      <c r="A127" t="str">
        <f>IF('Aset Tetap'!$B127="","",'Aset Tetap'!A127)</f>
        <v/>
      </c>
      <c r="B127" t="str">
        <f>IF('Aset Tetap'!$B127="","",'Aset Tetap'!B127)</f>
        <v/>
      </c>
      <c r="C127" t="str">
        <f>IF('Aset Tetap'!$B127="","",'Aset Tetap'!C127)</f>
        <v/>
      </c>
      <c r="D127" t="str">
        <f>IF('Aset Tetap'!$B127="","",'Aset Tetap'!D127)</f>
        <v/>
      </c>
      <c r="E127" s="22" t="str">
        <f>IF($B127="","",IF(N('Aset Tetap'!$AG127)=0,0,IF(AND((YEAR(E$6)*12+MONTH(E$6))&gt;='Aset Tetap'!$Y127,(YEAR(E$6)*12+MONTH(E$6))&lt;=MIN('Aset Tetap'!$Z127,IF('Aset Tetap'!$S127="Unit Produksi",99999,'Aset Tetap'!$Y127+'Aset Tetap'!$T127*12-1))),'Aset Tetap'!$AQ127/'Aset Tetap'!$AG127,0)))</f>
        <v/>
      </c>
      <c r="F127" s="22" t="str">
        <f>IF($B127="","",IF(N('Aset Tetap'!$AG127)=0,0,IF(AND((YEAR(F$6)*12+MONTH(F$6))&gt;='Aset Tetap'!$Y127,(YEAR(F$6)*12+MONTH(F$6))&lt;=MIN('Aset Tetap'!$Z127,IF('Aset Tetap'!$S127="Unit Produksi",99999,'Aset Tetap'!$Y127+'Aset Tetap'!$T127*12-1))),'Aset Tetap'!$AQ127/'Aset Tetap'!$AG127,0)))</f>
        <v/>
      </c>
      <c r="G127" s="22" t="str">
        <f>IF($B127="","",IF(N('Aset Tetap'!$AG127)=0,0,IF(AND((YEAR(G$6)*12+MONTH(G$6))&gt;='Aset Tetap'!$Y127,(YEAR(G$6)*12+MONTH(G$6))&lt;=MIN('Aset Tetap'!$Z127,IF('Aset Tetap'!$S127="Unit Produksi",99999,'Aset Tetap'!$Y127+'Aset Tetap'!$T127*12-1))),'Aset Tetap'!$AQ127/'Aset Tetap'!$AG127,0)))</f>
        <v/>
      </c>
      <c r="H127" s="22" t="str">
        <f>IF($B127="","",IF(N('Aset Tetap'!$AG127)=0,0,IF(AND((YEAR(H$6)*12+MONTH(H$6))&gt;='Aset Tetap'!$Y127,(YEAR(H$6)*12+MONTH(H$6))&lt;=MIN('Aset Tetap'!$Z127,IF('Aset Tetap'!$S127="Unit Produksi",99999,'Aset Tetap'!$Y127+'Aset Tetap'!$T127*12-1))),'Aset Tetap'!$AQ127/'Aset Tetap'!$AG127,0)))</f>
        <v/>
      </c>
      <c r="I127" s="22" t="str">
        <f>IF($B127="","",IF(N('Aset Tetap'!$AG127)=0,0,IF(AND((YEAR(I$6)*12+MONTH(I$6))&gt;='Aset Tetap'!$Y127,(YEAR(I$6)*12+MONTH(I$6))&lt;=MIN('Aset Tetap'!$Z127,IF('Aset Tetap'!$S127="Unit Produksi",99999,'Aset Tetap'!$Y127+'Aset Tetap'!$T127*12-1))),'Aset Tetap'!$AQ127/'Aset Tetap'!$AG127,0)))</f>
        <v/>
      </c>
      <c r="J127" s="22" t="str">
        <f>IF($B127="","",IF(N('Aset Tetap'!$AG127)=0,0,IF(AND((YEAR(J$6)*12+MONTH(J$6))&gt;='Aset Tetap'!$Y127,(YEAR(J$6)*12+MONTH(J$6))&lt;=MIN('Aset Tetap'!$Z127,IF('Aset Tetap'!$S127="Unit Produksi",99999,'Aset Tetap'!$Y127+'Aset Tetap'!$T127*12-1))),'Aset Tetap'!$AQ127/'Aset Tetap'!$AG127,0)))</f>
        <v/>
      </c>
      <c r="K127" s="22" t="str">
        <f>IF($B127="","",IF(N('Aset Tetap'!$AG127)=0,0,IF(AND((YEAR(K$6)*12+MONTH(K$6))&gt;='Aset Tetap'!$Y127,(YEAR(K$6)*12+MONTH(K$6))&lt;=MIN('Aset Tetap'!$Z127,IF('Aset Tetap'!$S127="Unit Produksi",99999,'Aset Tetap'!$Y127+'Aset Tetap'!$T127*12-1))),'Aset Tetap'!$AQ127/'Aset Tetap'!$AG127,0)))</f>
        <v/>
      </c>
      <c r="L127" s="22" t="str">
        <f>IF($B127="","",IF(N('Aset Tetap'!$AG127)=0,0,IF(AND((YEAR(L$6)*12+MONTH(L$6))&gt;='Aset Tetap'!$Y127,(YEAR(L$6)*12+MONTH(L$6))&lt;=MIN('Aset Tetap'!$Z127,IF('Aset Tetap'!$S127="Unit Produksi",99999,'Aset Tetap'!$Y127+'Aset Tetap'!$T127*12-1))),'Aset Tetap'!$AQ127/'Aset Tetap'!$AG127,0)))</f>
        <v/>
      </c>
      <c r="M127" s="22" t="str">
        <f>IF($B127="","",IF(N('Aset Tetap'!$AG127)=0,0,IF(AND((YEAR(M$6)*12+MONTH(M$6))&gt;='Aset Tetap'!$Y127,(YEAR(M$6)*12+MONTH(M$6))&lt;=MIN('Aset Tetap'!$Z127,IF('Aset Tetap'!$S127="Unit Produksi",99999,'Aset Tetap'!$Y127+'Aset Tetap'!$T127*12-1))),'Aset Tetap'!$AQ127/'Aset Tetap'!$AG127,0)))</f>
        <v/>
      </c>
      <c r="N127" s="22" t="str">
        <f>IF($B127="","",IF(N('Aset Tetap'!$AG127)=0,0,IF(AND((YEAR(N$6)*12+MONTH(N$6))&gt;='Aset Tetap'!$Y127,(YEAR(N$6)*12+MONTH(N$6))&lt;=MIN('Aset Tetap'!$Z127,IF('Aset Tetap'!$S127="Unit Produksi",99999,'Aset Tetap'!$Y127+'Aset Tetap'!$T127*12-1))),'Aset Tetap'!$AQ127/'Aset Tetap'!$AG127,0)))</f>
        <v/>
      </c>
      <c r="O127" s="22" t="str">
        <f>IF($B127="","",IF(N('Aset Tetap'!$AG127)=0,0,IF(AND((YEAR(O$6)*12+MONTH(O$6))&gt;='Aset Tetap'!$Y127,(YEAR(O$6)*12+MONTH(O$6))&lt;=MIN('Aset Tetap'!$Z127,IF('Aset Tetap'!$S127="Unit Produksi",99999,'Aset Tetap'!$Y127+'Aset Tetap'!$T127*12-1))),'Aset Tetap'!$AQ127/'Aset Tetap'!$AG127,0)))</f>
        <v/>
      </c>
      <c r="P127" s="22" t="str">
        <f>IF($B127="","",IF(N('Aset Tetap'!$AG127)=0,0,IF(AND((YEAR(P$6)*12+MONTH(P$6))&gt;='Aset Tetap'!$Y127,(YEAR(P$6)*12+MONTH(P$6))&lt;=MIN('Aset Tetap'!$Z127,IF('Aset Tetap'!$S127="Unit Produksi",99999,'Aset Tetap'!$Y127+'Aset Tetap'!$T127*12-1))),'Aset Tetap'!$AQ127/'Aset Tetap'!$AG127,0)))</f>
        <v/>
      </c>
      <c r="Q127" s="22" t="str">
        <f>IF($B127="","",SUM(E127:P127))</f>
        <v/>
      </c>
      <c r="R127" s="22" t="str">
        <f>IF($B127="","",'Aset Tetap'!AQ127)</f>
        <v/>
      </c>
      <c r="S127" s="22" t="str">
        <f>IF($B127="","",ROUND(Q127-R127,0))</f>
        <v/>
      </c>
    </row>
    <row r="128" spans="1:19" x14ac:dyDescent="0.25">
      <c r="A128" t="str">
        <f>IF('Aset Tetap'!$B128="","",'Aset Tetap'!A128)</f>
        <v/>
      </c>
      <c r="B128" t="str">
        <f>IF('Aset Tetap'!$B128="","",'Aset Tetap'!B128)</f>
        <v/>
      </c>
      <c r="C128" t="str">
        <f>IF('Aset Tetap'!$B128="","",'Aset Tetap'!C128)</f>
        <v/>
      </c>
      <c r="D128" t="str">
        <f>IF('Aset Tetap'!$B128="","",'Aset Tetap'!D128)</f>
        <v/>
      </c>
      <c r="E128" s="22" t="str">
        <f>IF($B128="","",IF(N('Aset Tetap'!$AG128)=0,0,IF(AND((YEAR(E$6)*12+MONTH(E$6))&gt;='Aset Tetap'!$Y128,(YEAR(E$6)*12+MONTH(E$6))&lt;=MIN('Aset Tetap'!$Z128,IF('Aset Tetap'!$S128="Unit Produksi",99999,'Aset Tetap'!$Y128+'Aset Tetap'!$T128*12-1))),'Aset Tetap'!$AQ128/'Aset Tetap'!$AG128,0)))</f>
        <v/>
      </c>
      <c r="F128" s="22" t="str">
        <f>IF($B128="","",IF(N('Aset Tetap'!$AG128)=0,0,IF(AND((YEAR(F$6)*12+MONTH(F$6))&gt;='Aset Tetap'!$Y128,(YEAR(F$6)*12+MONTH(F$6))&lt;=MIN('Aset Tetap'!$Z128,IF('Aset Tetap'!$S128="Unit Produksi",99999,'Aset Tetap'!$Y128+'Aset Tetap'!$T128*12-1))),'Aset Tetap'!$AQ128/'Aset Tetap'!$AG128,0)))</f>
        <v/>
      </c>
      <c r="G128" s="22" t="str">
        <f>IF($B128="","",IF(N('Aset Tetap'!$AG128)=0,0,IF(AND((YEAR(G$6)*12+MONTH(G$6))&gt;='Aset Tetap'!$Y128,(YEAR(G$6)*12+MONTH(G$6))&lt;=MIN('Aset Tetap'!$Z128,IF('Aset Tetap'!$S128="Unit Produksi",99999,'Aset Tetap'!$Y128+'Aset Tetap'!$T128*12-1))),'Aset Tetap'!$AQ128/'Aset Tetap'!$AG128,0)))</f>
        <v/>
      </c>
      <c r="H128" s="22" t="str">
        <f>IF($B128="","",IF(N('Aset Tetap'!$AG128)=0,0,IF(AND((YEAR(H$6)*12+MONTH(H$6))&gt;='Aset Tetap'!$Y128,(YEAR(H$6)*12+MONTH(H$6))&lt;=MIN('Aset Tetap'!$Z128,IF('Aset Tetap'!$S128="Unit Produksi",99999,'Aset Tetap'!$Y128+'Aset Tetap'!$T128*12-1))),'Aset Tetap'!$AQ128/'Aset Tetap'!$AG128,0)))</f>
        <v/>
      </c>
      <c r="I128" s="22" t="str">
        <f>IF($B128="","",IF(N('Aset Tetap'!$AG128)=0,0,IF(AND((YEAR(I$6)*12+MONTH(I$6))&gt;='Aset Tetap'!$Y128,(YEAR(I$6)*12+MONTH(I$6))&lt;=MIN('Aset Tetap'!$Z128,IF('Aset Tetap'!$S128="Unit Produksi",99999,'Aset Tetap'!$Y128+'Aset Tetap'!$T128*12-1))),'Aset Tetap'!$AQ128/'Aset Tetap'!$AG128,0)))</f>
        <v/>
      </c>
      <c r="J128" s="22" t="str">
        <f>IF($B128="","",IF(N('Aset Tetap'!$AG128)=0,0,IF(AND((YEAR(J$6)*12+MONTH(J$6))&gt;='Aset Tetap'!$Y128,(YEAR(J$6)*12+MONTH(J$6))&lt;=MIN('Aset Tetap'!$Z128,IF('Aset Tetap'!$S128="Unit Produksi",99999,'Aset Tetap'!$Y128+'Aset Tetap'!$T128*12-1))),'Aset Tetap'!$AQ128/'Aset Tetap'!$AG128,0)))</f>
        <v/>
      </c>
      <c r="K128" s="22" t="str">
        <f>IF($B128="","",IF(N('Aset Tetap'!$AG128)=0,0,IF(AND((YEAR(K$6)*12+MONTH(K$6))&gt;='Aset Tetap'!$Y128,(YEAR(K$6)*12+MONTH(K$6))&lt;=MIN('Aset Tetap'!$Z128,IF('Aset Tetap'!$S128="Unit Produksi",99999,'Aset Tetap'!$Y128+'Aset Tetap'!$T128*12-1))),'Aset Tetap'!$AQ128/'Aset Tetap'!$AG128,0)))</f>
        <v/>
      </c>
      <c r="L128" s="22" t="str">
        <f>IF($B128="","",IF(N('Aset Tetap'!$AG128)=0,0,IF(AND((YEAR(L$6)*12+MONTH(L$6))&gt;='Aset Tetap'!$Y128,(YEAR(L$6)*12+MONTH(L$6))&lt;=MIN('Aset Tetap'!$Z128,IF('Aset Tetap'!$S128="Unit Produksi",99999,'Aset Tetap'!$Y128+'Aset Tetap'!$T128*12-1))),'Aset Tetap'!$AQ128/'Aset Tetap'!$AG128,0)))</f>
        <v/>
      </c>
      <c r="M128" s="22" t="str">
        <f>IF($B128="","",IF(N('Aset Tetap'!$AG128)=0,0,IF(AND((YEAR(M$6)*12+MONTH(M$6))&gt;='Aset Tetap'!$Y128,(YEAR(M$6)*12+MONTH(M$6))&lt;=MIN('Aset Tetap'!$Z128,IF('Aset Tetap'!$S128="Unit Produksi",99999,'Aset Tetap'!$Y128+'Aset Tetap'!$T128*12-1))),'Aset Tetap'!$AQ128/'Aset Tetap'!$AG128,0)))</f>
        <v/>
      </c>
      <c r="N128" s="22" t="str">
        <f>IF($B128="","",IF(N('Aset Tetap'!$AG128)=0,0,IF(AND((YEAR(N$6)*12+MONTH(N$6))&gt;='Aset Tetap'!$Y128,(YEAR(N$6)*12+MONTH(N$6))&lt;=MIN('Aset Tetap'!$Z128,IF('Aset Tetap'!$S128="Unit Produksi",99999,'Aset Tetap'!$Y128+'Aset Tetap'!$T128*12-1))),'Aset Tetap'!$AQ128/'Aset Tetap'!$AG128,0)))</f>
        <v/>
      </c>
      <c r="O128" s="22" t="str">
        <f>IF($B128="","",IF(N('Aset Tetap'!$AG128)=0,0,IF(AND((YEAR(O$6)*12+MONTH(O$6))&gt;='Aset Tetap'!$Y128,(YEAR(O$6)*12+MONTH(O$6))&lt;=MIN('Aset Tetap'!$Z128,IF('Aset Tetap'!$S128="Unit Produksi",99999,'Aset Tetap'!$Y128+'Aset Tetap'!$T128*12-1))),'Aset Tetap'!$AQ128/'Aset Tetap'!$AG128,0)))</f>
        <v/>
      </c>
      <c r="P128" s="22" t="str">
        <f>IF($B128="","",IF(N('Aset Tetap'!$AG128)=0,0,IF(AND((YEAR(P$6)*12+MONTH(P$6))&gt;='Aset Tetap'!$Y128,(YEAR(P$6)*12+MONTH(P$6))&lt;=MIN('Aset Tetap'!$Z128,IF('Aset Tetap'!$S128="Unit Produksi",99999,'Aset Tetap'!$Y128+'Aset Tetap'!$T128*12-1))),'Aset Tetap'!$AQ128/'Aset Tetap'!$AG128,0)))</f>
        <v/>
      </c>
      <c r="Q128" s="22" t="str">
        <f>IF($B128="","",SUM(E128:P128))</f>
        <v/>
      </c>
      <c r="R128" s="22" t="str">
        <f>IF($B128="","",'Aset Tetap'!AQ128)</f>
        <v/>
      </c>
      <c r="S128" s="22" t="str">
        <f>IF($B128="","",ROUND(Q128-R128,0))</f>
        <v/>
      </c>
    </row>
    <row r="129" spans="1:19" x14ac:dyDescent="0.25">
      <c r="A129" t="str">
        <f>IF('Aset Tetap'!$B129="","",'Aset Tetap'!A129)</f>
        <v/>
      </c>
      <c r="B129" t="str">
        <f>IF('Aset Tetap'!$B129="","",'Aset Tetap'!B129)</f>
        <v/>
      </c>
      <c r="C129" t="str">
        <f>IF('Aset Tetap'!$B129="","",'Aset Tetap'!C129)</f>
        <v/>
      </c>
      <c r="D129" t="str">
        <f>IF('Aset Tetap'!$B129="","",'Aset Tetap'!D129)</f>
        <v/>
      </c>
      <c r="E129" s="22" t="str">
        <f>IF($B129="","",IF(N('Aset Tetap'!$AG129)=0,0,IF(AND((YEAR(E$6)*12+MONTH(E$6))&gt;='Aset Tetap'!$Y129,(YEAR(E$6)*12+MONTH(E$6))&lt;=MIN('Aset Tetap'!$Z129,IF('Aset Tetap'!$S129="Unit Produksi",99999,'Aset Tetap'!$Y129+'Aset Tetap'!$T129*12-1))),'Aset Tetap'!$AQ129/'Aset Tetap'!$AG129,0)))</f>
        <v/>
      </c>
      <c r="F129" s="22" t="str">
        <f>IF($B129="","",IF(N('Aset Tetap'!$AG129)=0,0,IF(AND((YEAR(F$6)*12+MONTH(F$6))&gt;='Aset Tetap'!$Y129,(YEAR(F$6)*12+MONTH(F$6))&lt;=MIN('Aset Tetap'!$Z129,IF('Aset Tetap'!$S129="Unit Produksi",99999,'Aset Tetap'!$Y129+'Aset Tetap'!$T129*12-1))),'Aset Tetap'!$AQ129/'Aset Tetap'!$AG129,0)))</f>
        <v/>
      </c>
      <c r="G129" s="22" t="str">
        <f>IF($B129="","",IF(N('Aset Tetap'!$AG129)=0,0,IF(AND((YEAR(G$6)*12+MONTH(G$6))&gt;='Aset Tetap'!$Y129,(YEAR(G$6)*12+MONTH(G$6))&lt;=MIN('Aset Tetap'!$Z129,IF('Aset Tetap'!$S129="Unit Produksi",99999,'Aset Tetap'!$Y129+'Aset Tetap'!$T129*12-1))),'Aset Tetap'!$AQ129/'Aset Tetap'!$AG129,0)))</f>
        <v/>
      </c>
      <c r="H129" s="22" t="str">
        <f>IF($B129="","",IF(N('Aset Tetap'!$AG129)=0,0,IF(AND((YEAR(H$6)*12+MONTH(H$6))&gt;='Aset Tetap'!$Y129,(YEAR(H$6)*12+MONTH(H$6))&lt;=MIN('Aset Tetap'!$Z129,IF('Aset Tetap'!$S129="Unit Produksi",99999,'Aset Tetap'!$Y129+'Aset Tetap'!$T129*12-1))),'Aset Tetap'!$AQ129/'Aset Tetap'!$AG129,0)))</f>
        <v/>
      </c>
      <c r="I129" s="22" t="str">
        <f>IF($B129="","",IF(N('Aset Tetap'!$AG129)=0,0,IF(AND((YEAR(I$6)*12+MONTH(I$6))&gt;='Aset Tetap'!$Y129,(YEAR(I$6)*12+MONTH(I$6))&lt;=MIN('Aset Tetap'!$Z129,IF('Aset Tetap'!$S129="Unit Produksi",99999,'Aset Tetap'!$Y129+'Aset Tetap'!$T129*12-1))),'Aset Tetap'!$AQ129/'Aset Tetap'!$AG129,0)))</f>
        <v/>
      </c>
      <c r="J129" s="22" t="str">
        <f>IF($B129="","",IF(N('Aset Tetap'!$AG129)=0,0,IF(AND((YEAR(J$6)*12+MONTH(J$6))&gt;='Aset Tetap'!$Y129,(YEAR(J$6)*12+MONTH(J$6))&lt;=MIN('Aset Tetap'!$Z129,IF('Aset Tetap'!$S129="Unit Produksi",99999,'Aset Tetap'!$Y129+'Aset Tetap'!$T129*12-1))),'Aset Tetap'!$AQ129/'Aset Tetap'!$AG129,0)))</f>
        <v/>
      </c>
      <c r="K129" s="22" t="str">
        <f>IF($B129="","",IF(N('Aset Tetap'!$AG129)=0,0,IF(AND((YEAR(K$6)*12+MONTH(K$6))&gt;='Aset Tetap'!$Y129,(YEAR(K$6)*12+MONTH(K$6))&lt;=MIN('Aset Tetap'!$Z129,IF('Aset Tetap'!$S129="Unit Produksi",99999,'Aset Tetap'!$Y129+'Aset Tetap'!$T129*12-1))),'Aset Tetap'!$AQ129/'Aset Tetap'!$AG129,0)))</f>
        <v/>
      </c>
      <c r="L129" s="22" t="str">
        <f>IF($B129="","",IF(N('Aset Tetap'!$AG129)=0,0,IF(AND((YEAR(L$6)*12+MONTH(L$6))&gt;='Aset Tetap'!$Y129,(YEAR(L$6)*12+MONTH(L$6))&lt;=MIN('Aset Tetap'!$Z129,IF('Aset Tetap'!$S129="Unit Produksi",99999,'Aset Tetap'!$Y129+'Aset Tetap'!$T129*12-1))),'Aset Tetap'!$AQ129/'Aset Tetap'!$AG129,0)))</f>
        <v/>
      </c>
      <c r="M129" s="22" t="str">
        <f>IF($B129="","",IF(N('Aset Tetap'!$AG129)=0,0,IF(AND((YEAR(M$6)*12+MONTH(M$6))&gt;='Aset Tetap'!$Y129,(YEAR(M$6)*12+MONTH(M$6))&lt;=MIN('Aset Tetap'!$Z129,IF('Aset Tetap'!$S129="Unit Produksi",99999,'Aset Tetap'!$Y129+'Aset Tetap'!$T129*12-1))),'Aset Tetap'!$AQ129/'Aset Tetap'!$AG129,0)))</f>
        <v/>
      </c>
      <c r="N129" s="22" t="str">
        <f>IF($B129="","",IF(N('Aset Tetap'!$AG129)=0,0,IF(AND((YEAR(N$6)*12+MONTH(N$6))&gt;='Aset Tetap'!$Y129,(YEAR(N$6)*12+MONTH(N$6))&lt;=MIN('Aset Tetap'!$Z129,IF('Aset Tetap'!$S129="Unit Produksi",99999,'Aset Tetap'!$Y129+'Aset Tetap'!$T129*12-1))),'Aset Tetap'!$AQ129/'Aset Tetap'!$AG129,0)))</f>
        <v/>
      </c>
      <c r="O129" s="22" t="str">
        <f>IF($B129="","",IF(N('Aset Tetap'!$AG129)=0,0,IF(AND((YEAR(O$6)*12+MONTH(O$6))&gt;='Aset Tetap'!$Y129,(YEAR(O$6)*12+MONTH(O$6))&lt;=MIN('Aset Tetap'!$Z129,IF('Aset Tetap'!$S129="Unit Produksi",99999,'Aset Tetap'!$Y129+'Aset Tetap'!$T129*12-1))),'Aset Tetap'!$AQ129/'Aset Tetap'!$AG129,0)))</f>
        <v/>
      </c>
      <c r="P129" s="22" t="str">
        <f>IF($B129="","",IF(N('Aset Tetap'!$AG129)=0,0,IF(AND((YEAR(P$6)*12+MONTH(P$6))&gt;='Aset Tetap'!$Y129,(YEAR(P$6)*12+MONTH(P$6))&lt;=MIN('Aset Tetap'!$Z129,IF('Aset Tetap'!$S129="Unit Produksi",99999,'Aset Tetap'!$Y129+'Aset Tetap'!$T129*12-1))),'Aset Tetap'!$AQ129/'Aset Tetap'!$AG129,0)))</f>
        <v/>
      </c>
      <c r="Q129" s="22" t="str">
        <f>IF($B129="","",SUM(E129:P129))</f>
        <v/>
      </c>
      <c r="R129" s="22" t="str">
        <f>IF($B129="","",'Aset Tetap'!AQ129)</f>
        <v/>
      </c>
      <c r="S129" s="22" t="str">
        <f>IF($B129="","",ROUND(Q129-R129,0))</f>
        <v/>
      </c>
    </row>
    <row r="130" spans="1:19" x14ac:dyDescent="0.25">
      <c r="A130" t="str">
        <f>IF('Aset Tetap'!$B130="","",'Aset Tetap'!A130)</f>
        <v/>
      </c>
      <c r="B130" t="str">
        <f>IF('Aset Tetap'!$B130="","",'Aset Tetap'!B130)</f>
        <v/>
      </c>
      <c r="C130" t="str">
        <f>IF('Aset Tetap'!$B130="","",'Aset Tetap'!C130)</f>
        <v/>
      </c>
      <c r="D130" t="str">
        <f>IF('Aset Tetap'!$B130="","",'Aset Tetap'!D130)</f>
        <v/>
      </c>
      <c r="E130" s="22" t="str">
        <f>IF($B130="","",IF(N('Aset Tetap'!$AG130)=0,0,IF(AND((YEAR(E$6)*12+MONTH(E$6))&gt;='Aset Tetap'!$Y130,(YEAR(E$6)*12+MONTH(E$6))&lt;=MIN('Aset Tetap'!$Z130,IF('Aset Tetap'!$S130="Unit Produksi",99999,'Aset Tetap'!$Y130+'Aset Tetap'!$T130*12-1))),'Aset Tetap'!$AQ130/'Aset Tetap'!$AG130,0)))</f>
        <v/>
      </c>
      <c r="F130" s="22" t="str">
        <f>IF($B130="","",IF(N('Aset Tetap'!$AG130)=0,0,IF(AND((YEAR(F$6)*12+MONTH(F$6))&gt;='Aset Tetap'!$Y130,(YEAR(F$6)*12+MONTH(F$6))&lt;=MIN('Aset Tetap'!$Z130,IF('Aset Tetap'!$S130="Unit Produksi",99999,'Aset Tetap'!$Y130+'Aset Tetap'!$T130*12-1))),'Aset Tetap'!$AQ130/'Aset Tetap'!$AG130,0)))</f>
        <v/>
      </c>
      <c r="G130" s="22" t="str">
        <f>IF($B130="","",IF(N('Aset Tetap'!$AG130)=0,0,IF(AND((YEAR(G$6)*12+MONTH(G$6))&gt;='Aset Tetap'!$Y130,(YEAR(G$6)*12+MONTH(G$6))&lt;=MIN('Aset Tetap'!$Z130,IF('Aset Tetap'!$S130="Unit Produksi",99999,'Aset Tetap'!$Y130+'Aset Tetap'!$T130*12-1))),'Aset Tetap'!$AQ130/'Aset Tetap'!$AG130,0)))</f>
        <v/>
      </c>
      <c r="H130" s="22" t="str">
        <f>IF($B130="","",IF(N('Aset Tetap'!$AG130)=0,0,IF(AND((YEAR(H$6)*12+MONTH(H$6))&gt;='Aset Tetap'!$Y130,(YEAR(H$6)*12+MONTH(H$6))&lt;=MIN('Aset Tetap'!$Z130,IF('Aset Tetap'!$S130="Unit Produksi",99999,'Aset Tetap'!$Y130+'Aset Tetap'!$T130*12-1))),'Aset Tetap'!$AQ130/'Aset Tetap'!$AG130,0)))</f>
        <v/>
      </c>
      <c r="I130" s="22" t="str">
        <f>IF($B130="","",IF(N('Aset Tetap'!$AG130)=0,0,IF(AND((YEAR(I$6)*12+MONTH(I$6))&gt;='Aset Tetap'!$Y130,(YEAR(I$6)*12+MONTH(I$6))&lt;=MIN('Aset Tetap'!$Z130,IF('Aset Tetap'!$S130="Unit Produksi",99999,'Aset Tetap'!$Y130+'Aset Tetap'!$T130*12-1))),'Aset Tetap'!$AQ130/'Aset Tetap'!$AG130,0)))</f>
        <v/>
      </c>
      <c r="J130" s="22" t="str">
        <f>IF($B130="","",IF(N('Aset Tetap'!$AG130)=0,0,IF(AND((YEAR(J$6)*12+MONTH(J$6))&gt;='Aset Tetap'!$Y130,(YEAR(J$6)*12+MONTH(J$6))&lt;=MIN('Aset Tetap'!$Z130,IF('Aset Tetap'!$S130="Unit Produksi",99999,'Aset Tetap'!$Y130+'Aset Tetap'!$T130*12-1))),'Aset Tetap'!$AQ130/'Aset Tetap'!$AG130,0)))</f>
        <v/>
      </c>
      <c r="K130" s="22" t="str">
        <f>IF($B130="","",IF(N('Aset Tetap'!$AG130)=0,0,IF(AND((YEAR(K$6)*12+MONTH(K$6))&gt;='Aset Tetap'!$Y130,(YEAR(K$6)*12+MONTH(K$6))&lt;=MIN('Aset Tetap'!$Z130,IF('Aset Tetap'!$S130="Unit Produksi",99999,'Aset Tetap'!$Y130+'Aset Tetap'!$T130*12-1))),'Aset Tetap'!$AQ130/'Aset Tetap'!$AG130,0)))</f>
        <v/>
      </c>
      <c r="L130" s="22" t="str">
        <f>IF($B130="","",IF(N('Aset Tetap'!$AG130)=0,0,IF(AND((YEAR(L$6)*12+MONTH(L$6))&gt;='Aset Tetap'!$Y130,(YEAR(L$6)*12+MONTH(L$6))&lt;=MIN('Aset Tetap'!$Z130,IF('Aset Tetap'!$S130="Unit Produksi",99999,'Aset Tetap'!$Y130+'Aset Tetap'!$T130*12-1))),'Aset Tetap'!$AQ130/'Aset Tetap'!$AG130,0)))</f>
        <v/>
      </c>
      <c r="M130" s="22" t="str">
        <f>IF($B130="","",IF(N('Aset Tetap'!$AG130)=0,0,IF(AND((YEAR(M$6)*12+MONTH(M$6))&gt;='Aset Tetap'!$Y130,(YEAR(M$6)*12+MONTH(M$6))&lt;=MIN('Aset Tetap'!$Z130,IF('Aset Tetap'!$S130="Unit Produksi",99999,'Aset Tetap'!$Y130+'Aset Tetap'!$T130*12-1))),'Aset Tetap'!$AQ130/'Aset Tetap'!$AG130,0)))</f>
        <v/>
      </c>
      <c r="N130" s="22" t="str">
        <f>IF($B130="","",IF(N('Aset Tetap'!$AG130)=0,0,IF(AND((YEAR(N$6)*12+MONTH(N$6))&gt;='Aset Tetap'!$Y130,(YEAR(N$6)*12+MONTH(N$6))&lt;=MIN('Aset Tetap'!$Z130,IF('Aset Tetap'!$S130="Unit Produksi",99999,'Aset Tetap'!$Y130+'Aset Tetap'!$T130*12-1))),'Aset Tetap'!$AQ130/'Aset Tetap'!$AG130,0)))</f>
        <v/>
      </c>
      <c r="O130" s="22" t="str">
        <f>IF($B130="","",IF(N('Aset Tetap'!$AG130)=0,0,IF(AND((YEAR(O$6)*12+MONTH(O$6))&gt;='Aset Tetap'!$Y130,(YEAR(O$6)*12+MONTH(O$6))&lt;=MIN('Aset Tetap'!$Z130,IF('Aset Tetap'!$S130="Unit Produksi",99999,'Aset Tetap'!$Y130+'Aset Tetap'!$T130*12-1))),'Aset Tetap'!$AQ130/'Aset Tetap'!$AG130,0)))</f>
        <v/>
      </c>
      <c r="P130" s="22" t="str">
        <f>IF($B130="","",IF(N('Aset Tetap'!$AG130)=0,0,IF(AND((YEAR(P$6)*12+MONTH(P$6))&gt;='Aset Tetap'!$Y130,(YEAR(P$6)*12+MONTH(P$6))&lt;=MIN('Aset Tetap'!$Z130,IF('Aset Tetap'!$S130="Unit Produksi",99999,'Aset Tetap'!$Y130+'Aset Tetap'!$T130*12-1))),'Aset Tetap'!$AQ130/'Aset Tetap'!$AG130,0)))</f>
        <v/>
      </c>
      <c r="Q130" s="22" t="str">
        <f>IF($B130="","",SUM(E130:P130))</f>
        <v/>
      </c>
      <c r="R130" s="22" t="str">
        <f>IF($B130="","",'Aset Tetap'!AQ130)</f>
        <v/>
      </c>
      <c r="S130" s="22" t="str">
        <f>IF($B130="","",ROUND(Q130-R130,0))</f>
        <v/>
      </c>
    </row>
    <row r="131" spans="1:19" x14ac:dyDescent="0.25">
      <c r="A131" t="str">
        <f>IF('Aset Tetap'!$B131="","",'Aset Tetap'!A131)</f>
        <v/>
      </c>
      <c r="B131" t="str">
        <f>IF('Aset Tetap'!$B131="","",'Aset Tetap'!B131)</f>
        <v/>
      </c>
      <c r="C131" t="str">
        <f>IF('Aset Tetap'!$B131="","",'Aset Tetap'!C131)</f>
        <v/>
      </c>
      <c r="D131" t="str">
        <f>IF('Aset Tetap'!$B131="","",'Aset Tetap'!D131)</f>
        <v/>
      </c>
      <c r="E131" s="22" t="str">
        <f>IF($B131="","",IF(N('Aset Tetap'!$AG131)=0,0,IF(AND((YEAR(E$6)*12+MONTH(E$6))&gt;='Aset Tetap'!$Y131,(YEAR(E$6)*12+MONTH(E$6))&lt;=MIN('Aset Tetap'!$Z131,IF('Aset Tetap'!$S131="Unit Produksi",99999,'Aset Tetap'!$Y131+'Aset Tetap'!$T131*12-1))),'Aset Tetap'!$AQ131/'Aset Tetap'!$AG131,0)))</f>
        <v/>
      </c>
      <c r="F131" s="22" t="str">
        <f>IF($B131="","",IF(N('Aset Tetap'!$AG131)=0,0,IF(AND((YEAR(F$6)*12+MONTH(F$6))&gt;='Aset Tetap'!$Y131,(YEAR(F$6)*12+MONTH(F$6))&lt;=MIN('Aset Tetap'!$Z131,IF('Aset Tetap'!$S131="Unit Produksi",99999,'Aset Tetap'!$Y131+'Aset Tetap'!$T131*12-1))),'Aset Tetap'!$AQ131/'Aset Tetap'!$AG131,0)))</f>
        <v/>
      </c>
      <c r="G131" s="22" t="str">
        <f>IF($B131="","",IF(N('Aset Tetap'!$AG131)=0,0,IF(AND((YEAR(G$6)*12+MONTH(G$6))&gt;='Aset Tetap'!$Y131,(YEAR(G$6)*12+MONTH(G$6))&lt;=MIN('Aset Tetap'!$Z131,IF('Aset Tetap'!$S131="Unit Produksi",99999,'Aset Tetap'!$Y131+'Aset Tetap'!$T131*12-1))),'Aset Tetap'!$AQ131/'Aset Tetap'!$AG131,0)))</f>
        <v/>
      </c>
      <c r="H131" s="22" t="str">
        <f>IF($B131="","",IF(N('Aset Tetap'!$AG131)=0,0,IF(AND((YEAR(H$6)*12+MONTH(H$6))&gt;='Aset Tetap'!$Y131,(YEAR(H$6)*12+MONTH(H$6))&lt;=MIN('Aset Tetap'!$Z131,IF('Aset Tetap'!$S131="Unit Produksi",99999,'Aset Tetap'!$Y131+'Aset Tetap'!$T131*12-1))),'Aset Tetap'!$AQ131/'Aset Tetap'!$AG131,0)))</f>
        <v/>
      </c>
      <c r="I131" s="22" t="str">
        <f>IF($B131="","",IF(N('Aset Tetap'!$AG131)=0,0,IF(AND((YEAR(I$6)*12+MONTH(I$6))&gt;='Aset Tetap'!$Y131,(YEAR(I$6)*12+MONTH(I$6))&lt;=MIN('Aset Tetap'!$Z131,IF('Aset Tetap'!$S131="Unit Produksi",99999,'Aset Tetap'!$Y131+'Aset Tetap'!$T131*12-1))),'Aset Tetap'!$AQ131/'Aset Tetap'!$AG131,0)))</f>
        <v/>
      </c>
      <c r="J131" s="22" t="str">
        <f>IF($B131="","",IF(N('Aset Tetap'!$AG131)=0,0,IF(AND((YEAR(J$6)*12+MONTH(J$6))&gt;='Aset Tetap'!$Y131,(YEAR(J$6)*12+MONTH(J$6))&lt;=MIN('Aset Tetap'!$Z131,IF('Aset Tetap'!$S131="Unit Produksi",99999,'Aset Tetap'!$Y131+'Aset Tetap'!$T131*12-1))),'Aset Tetap'!$AQ131/'Aset Tetap'!$AG131,0)))</f>
        <v/>
      </c>
      <c r="K131" s="22" t="str">
        <f>IF($B131="","",IF(N('Aset Tetap'!$AG131)=0,0,IF(AND((YEAR(K$6)*12+MONTH(K$6))&gt;='Aset Tetap'!$Y131,(YEAR(K$6)*12+MONTH(K$6))&lt;=MIN('Aset Tetap'!$Z131,IF('Aset Tetap'!$S131="Unit Produksi",99999,'Aset Tetap'!$Y131+'Aset Tetap'!$T131*12-1))),'Aset Tetap'!$AQ131/'Aset Tetap'!$AG131,0)))</f>
        <v/>
      </c>
      <c r="L131" s="22" t="str">
        <f>IF($B131="","",IF(N('Aset Tetap'!$AG131)=0,0,IF(AND((YEAR(L$6)*12+MONTH(L$6))&gt;='Aset Tetap'!$Y131,(YEAR(L$6)*12+MONTH(L$6))&lt;=MIN('Aset Tetap'!$Z131,IF('Aset Tetap'!$S131="Unit Produksi",99999,'Aset Tetap'!$Y131+'Aset Tetap'!$T131*12-1))),'Aset Tetap'!$AQ131/'Aset Tetap'!$AG131,0)))</f>
        <v/>
      </c>
      <c r="M131" s="22" t="str">
        <f>IF($B131="","",IF(N('Aset Tetap'!$AG131)=0,0,IF(AND((YEAR(M$6)*12+MONTH(M$6))&gt;='Aset Tetap'!$Y131,(YEAR(M$6)*12+MONTH(M$6))&lt;=MIN('Aset Tetap'!$Z131,IF('Aset Tetap'!$S131="Unit Produksi",99999,'Aset Tetap'!$Y131+'Aset Tetap'!$T131*12-1))),'Aset Tetap'!$AQ131/'Aset Tetap'!$AG131,0)))</f>
        <v/>
      </c>
      <c r="N131" s="22" t="str">
        <f>IF($B131="","",IF(N('Aset Tetap'!$AG131)=0,0,IF(AND((YEAR(N$6)*12+MONTH(N$6))&gt;='Aset Tetap'!$Y131,(YEAR(N$6)*12+MONTH(N$6))&lt;=MIN('Aset Tetap'!$Z131,IF('Aset Tetap'!$S131="Unit Produksi",99999,'Aset Tetap'!$Y131+'Aset Tetap'!$T131*12-1))),'Aset Tetap'!$AQ131/'Aset Tetap'!$AG131,0)))</f>
        <v/>
      </c>
      <c r="O131" s="22" t="str">
        <f>IF($B131="","",IF(N('Aset Tetap'!$AG131)=0,0,IF(AND((YEAR(O$6)*12+MONTH(O$6))&gt;='Aset Tetap'!$Y131,(YEAR(O$6)*12+MONTH(O$6))&lt;=MIN('Aset Tetap'!$Z131,IF('Aset Tetap'!$S131="Unit Produksi",99999,'Aset Tetap'!$Y131+'Aset Tetap'!$T131*12-1))),'Aset Tetap'!$AQ131/'Aset Tetap'!$AG131,0)))</f>
        <v/>
      </c>
      <c r="P131" s="22" t="str">
        <f>IF($B131="","",IF(N('Aset Tetap'!$AG131)=0,0,IF(AND((YEAR(P$6)*12+MONTH(P$6))&gt;='Aset Tetap'!$Y131,(YEAR(P$6)*12+MONTH(P$6))&lt;=MIN('Aset Tetap'!$Z131,IF('Aset Tetap'!$S131="Unit Produksi",99999,'Aset Tetap'!$Y131+'Aset Tetap'!$T131*12-1))),'Aset Tetap'!$AQ131/'Aset Tetap'!$AG131,0)))</f>
        <v/>
      </c>
      <c r="Q131" s="22" t="str">
        <f>IF($B131="","",SUM(E131:P131))</f>
        <v/>
      </c>
      <c r="R131" s="22" t="str">
        <f>IF($B131="","",'Aset Tetap'!AQ131)</f>
        <v/>
      </c>
      <c r="S131" s="22" t="str">
        <f>IF($B131="","",ROUND(Q131-R131,0))</f>
        <v/>
      </c>
    </row>
    <row r="132" spans="1:19" x14ac:dyDescent="0.25">
      <c r="A132" t="str">
        <f>IF('Aset Tetap'!$B132="","",'Aset Tetap'!A132)</f>
        <v/>
      </c>
      <c r="B132" t="str">
        <f>IF('Aset Tetap'!$B132="","",'Aset Tetap'!B132)</f>
        <v/>
      </c>
      <c r="C132" t="str">
        <f>IF('Aset Tetap'!$B132="","",'Aset Tetap'!C132)</f>
        <v/>
      </c>
      <c r="D132" t="str">
        <f>IF('Aset Tetap'!$B132="","",'Aset Tetap'!D132)</f>
        <v/>
      </c>
      <c r="E132" s="22" t="str">
        <f>IF($B132="","",IF(N('Aset Tetap'!$AG132)=0,0,IF(AND((YEAR(E$6)*12+MONTH(E$6))&gt;='Aset Tetap'!$Y132,(YEAR(E$6)*12+MONTH(E$6))&lt;=MIN('Aset Tetap'!$Z132,IF('Aset Tetap'!$S132="Unit Produksi",99999,'Aset Tetap'!$Y132+'Aset Tetap'!$T132*12-1))),'Aset Tetap'!$AQ132/'Aset Tetap'!$AG132,0)))</f>
        <v/>
      </c>
      <c r="F132" s="22" t="str">
        <f>IF($B132="","",IF(N('Aset Tetap'!$AG132)=0,0,IF(AND((YEAR(F$6)*12+MONTH(F$6))&gt;='Aset Tetap'!$Y132,(YEAR(F$6)*12+MONTH(F$6))&lt;=MIN('Aset Tetap'!$Z132,IF('Aset Tetap'!$S132="Unit Produksi",99999,'Aset Tetap'!$Y132+'Aset Tetap'!$T132*12-1))),'Aset Tetap'!$AQ132/'Aset Tetap'!$AG132,0)))</f>
        <v/>
      </c>
      <c r="G132" s="22" t="str">
        <f>IF($B132="","",IF(N('Aset Tetap'!$AG132)=0,0,IF(AND((YEAR(G$6)*12+MONTH(G$6))&gt;='Aset Tetap'!$Y132,(YEAR(G$6)*12+MONTH(G$6))&lt;=MIN('Aset Tetap'!$Z132,IF('Aset Tetap'!$S132="Unit Produksi",99999,'Aset Tetap'!$Y132+'Aset Tetap'!$T132*12-1))),'Aset Tetap'!$AQ132/'Aset Tetap'!$AG132,0)))</f>
        <v/>
      </c>
      <c r="H132" s="22" t="str">
        <f>IF($B132="","",IF(N('Aset Tetap'!$AG132)=0,0,IF(AND((YEAR(H$6)*12+MONTH(H$6))&gt;='Aset Tetap'!$Y132,(YEAR(H$6)*12+MONTH(H$6))&lt;=MIN('Aset Tetap'!$Z132,IF('Aset Tetap'!$S132="Unit Produksi",99999,'Aset Tetap'!$Y132+'Aset Tetap'!$T132*12-1))),'Aset Tetap'!$AQ132/'Aset Tetap'!$AG132,0)))</f>
        <v/>
      </c>
      <c r="I132" s="22" t="str">
        <f>IF($B132="","",IF(N('Aset Tetap'!$AG132)=0,0,IF(AND((YEAR(I$6)*12+MONTH(I$6))&gt;='Aset Tetap'!$Y132,(YEAR(I$6)*12+MONTH(I$6))&lt;=MIN('Aset Tetap'!$Z132,IF('Aset Tetap'!$S132="Unit Produksi",99999,'Aset Tetap'!$Y132+'Aset Tetap'!$T132*12-1))),'Aset Tetap'!$AQ132/'Aset Tetap'!$AG132,0)))</f>
        <v/>
      </c>
      <c r="J132" s="22" t="str">
        <f>IF($B132="","",IF(N('Aset Tetap'!$AG132)=0,0,IF(AND((YEAR(J$6)*12+MONTH(J$6))&gt;='Aset Tetap'!$Y132,(YEAR(J$6)*12+MONTH(J$6))&lt;=MIN('Aset Tetap'!$Z132,IF('Aset Tetap'!$S132="Unit Produksi",99999,'Aset Tetap'!$Y132+'Aset Tetap'!$T132*12-1))),'Aset Tetap'!$AQ132/'Aset Tetap'!$AG132,0)))</f>
        <v/>
      </c>
      <c r="K132" s="22" t="str">
        <f>IF($B132="","",IF(N('Aset Tetap'!$AG132)=0,0,IF(AND((YEAR(K$6)*12+MONTH(K$6))&gt;='Aset Tetap'!$Y132,(YEAR(K$6)*12+MONTH(K$6))&lt;=MIN('Aset Tetap'!$Z132,IF('Aset Tetap'!$S132="Unit Produksi",99999,'Aset Tetap'!$Y132+'Aset Tetap'!$T132*12-1))),'Aset Tetap'!$AQ132/'Aset Tetap'!$AG132,0)))</f>
        <v/>
      </c>
      <c r="L132" s="22" t="str">
        <f>IF($B132="","",IF(N('Aset Tetap'!$AG132)=0,0,IF(AND((YEAR(L$6)*12+MONTH(L$6))&gt;='Aset Tetap'!$Y132,(YEAR(L$6)*12+MONTH(L$6))&lt;=MIN('Aset Tetap'!$Z132,IF('Aset Tetap'!$S132="Unit Produksi",99999,'Aset Tetap'!$Y132+'Aset Tetap'!$T132*12-1))),'Aset Tetap'!$AQ132/'Aset Tetap'!$AG132,0)))</f>
        <v/>
      </c>
      <c r="M132" s="22" t="str">
        <f>IF($B132="","",IF(N('Aset Tetap'!$AG132)=0,0,IF(AND((YEAR(M$6)*12+MONTH(M$6))&gt;='Aset Tetap'!$Y132,(YEAR(M$6)*12+MONTH(M$6))&lt;=MIN('Aset Tetap'!$Z132,IF('Aset Tetap'!$S132="Unit Produksi",99999,'Aset Tetap'!$Y132+'Aset Tetap'!$T132*12-1))),'Aset Tetap'!$AQ132/'Aset Tetap'!$AG132,0)))</f>
        <v/>
      </c>
      <c r="N132" s="22" t="str">
        <f>IF($B132="","",IF(N('Aset Tetap'!$AG132)=0,0,IF(AND((YEAR(N$6)*12+MONTH(N$6))&gt;='Aset Tetap'!$Y132,(YEAR(N$6)*12+MONTH(N$6))&lt;=MIN('Aset Tetap'!$Z132,IF('Aset Tetap'!$S132="Unit Produksi",99999,'Aset Tetap'!$Y132+'Aset Tetap'!$T132*12-1))),'Aset Tetap'!$AQ132/'Aset Tetap'!$AG132,0)))</f>
        <v/>
      </c>
      <c r="O132" s="22" t="str">
        <f>IF($B132="","",IF(N('Aset Tetap'!$AG132)=0,0,IF(AND((YEAR(O$6)*12+MONTH(O$6))&gt;='Aset Tetap'!$Y132,(YEAR(O$6)*12+MONTH(O$6))&lt;=MIN('Aset Tetap'!$Z132,IF('Aset Tetap'!$S132="Unit Produksi",99999,'Aset Tetap'!$Y132+'Aset Tetap'!$T132*12-1))),'Aset Tetap'!$AQ132/'Aset Tetap'!$AG132,0)))</f>
        <v/>
      </c>
      <c r="P132" s="22" t="str">
        <f>IF($B132="","",IF(N('Aset Tetap'!$AG132)=0,0,IF(AND((YEAR(P$6)*12+MONTH(P$6))&gt;='Aset Tetap'!$Y132,(YEAR(P$6)*12+MONTH(P$6))&lt;=MIN('Aset Tetap'!$Z132,IF('Aset Tetap'!$S132="Unit Produksi",99999,'Aset Tetap'!$Y132+'Aset Tetap'!$T132*12-1))),'Aset Tetap'!$AQ132/'Aset Tetap'!$AG132,0)))</f>
        <v/>
      </c>
      <c r="Q132" s="22" t="str">
        <f>IF($B132="","",SUM(E132:P132))</f>
        <v/>
      </c>
      <c r="R132" s="22" t="str">
        <f>IF($B132="","",'Aset Tetap'!AQ132)</f>
        <v/>
      </c>
      <c r="S132" s="22" t="str">
        <f>IF($B132="","",ROUND(Q132-R132,0))</f>
        <v/>
      </c>
    </row>
    <row r="133" spans="1:19" x14ac:dyDescent="0.25">
      <c r="A133" t="str">
        <f>IF('Aset Tetap'!$B133="","",'Aset Tetap'!A133)</f>
        <v/>
      </c>
      <c r="B133" t="str">
        <f>IF('Aset Tetap'!$B133="","",'Aset Tetap'!B133)</f>
        <v/>
      </c>
      <c r="C133" t="str">
        <f>IF('Aset Tetap'!$B133="","",'Aset Tetap'!C133)</f>
        <v/>
      </c>
      <c r="D133" t="str">
        <f>IF('Aset Tetap'!$B133="","",'Aset Tetap'!D133)</f>
        <v/>
      </c>
      <c r="E133" s="22" t="str">
        <f>IF($B133="","",IF(N('Aset Tetap'!$AG133)=0,0,IF(AND((YEAR(E$6)*12+MONTH(E$6))&gt;='Aset Tetap'!$Y133,(YEAR(E$6)*12+MONTH(E$6))&lt;=MIN('Aset Tetap'!$Z133,IF('Aset Tetap'!$S133="Unit Produksi",99999,'Aset Tetap'!$Y133+'Aset Tetap'!$T133*12-1))),'Aset Tetap'!$AQ133/'Aset Tetap'!$AG133,0)))</f>
        <v/>
      </c>
      <c r="F133" s="22" t="str">
        <f>IF($B133="","",IF(N('Aset Tetap'!$AG133)=0,0,IF(AND((YEAR(F$6)*12+MONTH(F$6))&gt;='Aset Tetap'!$Y133,(YEAR(F$6)*12+MONTH(F$6))&lt;=MIN('Aset Tetap'!$Z133,IF('Aset Tetap'!$S133="Unit Produksi",99999,'Aset Tetap'!$Y133+'Aset Tetap'!$T133*12-1))),'Aset Tetap'!$AQ133/'Aset Tetap'!$AG133,0)))</f>
        <v/>
      </c>
      <c r="G133" s="22" t="str">
        <f>IF($B133="","",IF(N('Aset Tetap'!$AG133)=0,0,IF(AND((YEAR(G$6)*12+MONTH(G$6))&gt;='Aset Tetap'!$Y133,(YEAR(G$6)*12+MONTH(G$6))&lt;=MIN('Aset Tetap'!$Z133,IF('Aset Tetap'!$S133="Unit Produksi",99999,'Aset Tetap'!$Y133+'Aset Tetap'!$T133*12-1))),'Aset Tetap'!$AQ133/'Aset Tetap'!$AG133,0)))</f>
        <v/>
      </c>
      <c r="H133" s="22" t="str">
        <f>IF($B133="","",IF(N('Aset Tetap'!$AG133)=0,0,IF(AND((YEAR(H$6)*12+MONTH(H$6))&gt;='Aset Tetap'!$Y133,(YEAR(H$6)*12+MONTH(H$6))&lt;=MIN('Aset Tetap'!$Z133,IF('Aset Tetap'!$S133="Unit Produksi",99999,'Aset Tetap'!$Y133+'Aset Tetap'!$T133*12-1))),'Aset Tetap'!$AQ133/'Aset Tetap'!$AG133,0)))</f>
        <v/>
      </c>
      <c r="I133" s="22" t="str">
        <f>IF($B133="","",IF(N('Aset Tetap'!$AG133)=0,0,IF(AND((YEAR(I$6)*12+MONTH(I$6))&gt;='Aset Tetap'!$Y133,(YEAR(I$6)*12+MONTH(I$6))&lt;=MIN('Aset Tetap'!$Z133,IF('Aset Tetap'!$S133="Unit Produksi",99999,'Aset Tetap'!$Y133+'Aset Tetap'!$T133*12-1))),'Aset Tetap'!$AQ133/'Aset Tetap'!$AG133,0)))</f>
        <v/>
      </c>
      <c r="J133" s="22" t="str">
        <f>IF($B133="","",IF(N('Aset Tetap'!$AG133)=0,0,IF(AND((YEAR(J$6)*12+MONTH(J$6))&gt;='Aset Tetap'!$Y133,(YEAR(J$6)*12+MONTH(J$6))&lt;=MIN('Aset Tetap'!$Z133,IF('Aset Tetap'!$S133="Unit Produksi",99999,'Aset Tetap'!$Y133+'Aset Tetap'!$T133*12-1))),'Aset Tetap'!$AQ133/'Aset Tetap'!$AG133,0)))</f>
        <v/>
      </c>
      <c r="K133" s="22" t="str">
        <f>IF($B133="","",IF(N('Aset Tetap'!$AG133)=0,0,IF(AND((YEAR(K$6)*12+MONTH(K$6))&gt;='Aset Tetap'!$Y133,(YEAR(K$6)*12+MONTH(K$6))&lt;=MIN('Aset Tetap'!$Z133,IF('Aset Tetap'!$S133="Unit Produksi",99999,'Aset Tetap'!$Y133+'Aset Tetap'!$T133*12-1))),'Aset Tetap'!$AQ133/'Aset Tetap'!$AG133,0)))</f>
        <v/>
      </c>
      <c r="L133" s="22" t="str">
        <f>IF($B133="","",IF(N('Aset Tetap'!$AG133)=0,0,IF(AND((YEAR(L$6)*12+MONTH(L$6))&gt;='Aset Tetap'!$Y133,(YEAR(L$6)*12+MONTH(L$6))&lt;=MIN('Aset Tetap'!$Z133,IF('Aset Tetap'!$S133="Unit Produksi",99999,'Aset Tetap'!$Y133+'Aset Tetap'!$T133*12-1))),'Aset Tetap'!$AQ133/'Aset Tetap'!$AG133,0)))</f>
        <v/>
      </c>
      <c r="M133" s="22" t="str">
        <f>IF($B133="","",IF(N('Aset Tetap'!$AG133)=0,0,IF(AND((YEAR(M$6)*12+MONTH(M$6))&gt;='Aset Tetap'!$Y133,(YEAR(M$6)*12+MONTH(M$6))&lt;=MIN('Aset Tetap'!$Z133,IF('Aset Tetap'!$S133="Unit Produksi",99999,'Aset Tetap'!$Y133+'Aset Tetap'!$T133*12-1))),'Aset Tetap'!$AQ133/'Aset Tetap'!$AG133,0)))</f>
        <v/>
      </c>
      <c r="N133" s="22" t="str">
        <f>IF($B133="","",IF(N('Aset Tetap'!$AG133)=0,0,IF(AND((YEAR(N$6)*12+MONTH(N$6))&gt;='Aset Tetap'!$Y133,(YEAR(N$6)*12+MONTH(N$6))&lt;=MIN('Aset Tetap'!$Z133,IF('Aset Tetap'!$S133="Unit Produksi",99999,'Aset Tetap'!$Y133+'Aset Tetap'!$T133*12-1))),'Aset Tetap'!$AQ133/'Aset Tetap'!$AG133,0)))</f>
        <v/>
      </c>
      <c r="O133" s="22" t="str">
        <f>IF($B133="","",IF(N('Aset Tetap'!$AG133)=0,0,IF(AND((YEAR(O$6)*12+MONTH(O$6))&gt;='Aset Tetap'!$Y133,(YEAR(O$6)*12+MONTH(O$6))&lt;=MIN('Aset Tetap'!$Z133,IF('Aset Tetap'!$S133="Unit Produksi",99999,'Aset Tetap'!$Y133+'Aset Tetap'!$T133*12-1))),'Aset Tetap'!$AQ133/'Aset Tetap'!$AG133,0)))</f>
        <v/>
      </c>
      <c r="P133" s="22" t="str">
        <f>IF($B133="","",IF(N('Aset Tetap'!$AG133)=0,0,IF(AND((YEAR(P$6)*12+MONTH(P$6))&gt;='Aset Tetap'!$Y133,(YEAR(P$6)*12+MONTH(P$6))&lt;=MIN('Aset Tetap'!$Z133,IF('Aset Tetap'!$S133="Unit Produksi",99999,'Aset Tetap'!$Y133+'Aset Tetap'!$T133*12-1))),'Aset Tetap'!$AQ133/'Aset Tetap'!$AG133,0)))</f>
        <v/>
      </c>
      <c r="Q133" s="22" t="str">
        <f>IF($B133="","",SUM(E133:P133))</f>
        <v/>
      </c>
      <c r="R133" s="22" t="str">
        <f>IF($B133="","",'Aset Tetap'!AQ133)</f>
        <v/>
      </c>
      <c r="S133" s="22" t="str">
        <f>IF($B133="","",ROUND(Q133-R133,0))</f>
        <v/>
      </c>
    </row>
    <row r="134" spans="1:19" x14ac:dyDescent="0.25">
      <c r="A134" t="str">
        <f>IF('Aset Tetap'!$B134="","",'Aset Tetap'!A134)</f>
        <v/>
      </c>
      <c r="B134" t="str">
        <f>IF('Aset Tetap'!$B134="","",'Aset Tetap'!B134)</f>
        <v/>
      </c>
      <c r="C134" t="str">
        <f>IF('Aset Tetap'!$B134="","",'Aset Tetap'!C134)</f>
        <v/>
      </c>
      <c r="D134" t="str">
        <f>IF('Aset Tetap'!$B134="","",'Aset Tetap'!D134)</f>
        <v/>
      </c>
      <c r="E134" s="22" t="str">
        <f>IF($B134="","",IF(N('Aset Tetap'!$AG134)=0,0,IF(AND((YEAR(E$6)*12+MONTH(E$6))&gt;='Aset Tetap'!$Y134,(YEAR(E$6)*12+MONTH(E$6))&lt;=MIN('Aset Tetap'!$Z134,IF('Aset Tetap'!$S134="Unit Produksi",99999,'Aset Tetap'!$Y134+'Aset Tetap'!$T134*12-1))),'Aset Tetap'!$AQ134/'Aset Tetap'!$AG134,0)))</f>
        <v/>
      </c>
      <c r="F134" s="22" t="str">
        <f>IF($B134="","",IF(N('Aset Tetap'!$AG134)=0,0,IF(AND((YEAR(F$6)*12+MONTH(F$6))&gt;='Aset Tetap'!$Y134,(YEAR(F$6)*12+MONTH(F$6))&lt;=MIN('Aset Tetap'!$Z134,IF('Aset Tetap'!$S134="Unit Produksi",99999,'Aset Tetap'!$Y134+'Aset Tetap'!$T134*12-1))),'Aset Tetap'!$AQ134/'Aset Tetap'!$AG134,0)))</f>
        <v/>
      </c>
      <c r="G134" s="22" t="str">
        <f>IF($B134="","",IF(N('Aset Tetap'!$AG134)=0,0,IF(AND((YEAR(G$6)*12+MONTH(G$6))&gt;='Aset Tetap'!$Y134,(YEAR(G$6)*12+MONTH(G$6))&lt;=MIN('Aset Tetap'!$Z134,IF('Aset Tetap'!$S134="Unit Produksi",99999,'Aset Tetap'!$Y134+'Aset Tetap'!$T134*12-1))),'Aset Tetap'!$AQ134/'Aset Tetap'!$AG134,0)))</f>
        <v/>
      </c>
      <c r="H134" s="22" t="str">
        <f>IF($B134="","",IF(N('Aset Tetap'!$AG134)=0,0,IF(AND((YEAR(H$6)*12+MONTH(H$6))&gt;='Aset Tetap'!$Y134,(YEAR(H$6)*12+MONTH(H$6))&lt;=MIN('Aset Tetap'!$Z134,IF('Aset Tetap'!$S134="Unit Produksi",99999,'Aset Tetap'!$Y134+'Aset Tetap'!$T134*12-1))),'Aset Tetap'!$AQ134/'Aset Tetap'!$AG134,0)))</f>
        <v/>
      </c>
      <c r="I134" s="22" t="str">
        <f>IF($B134="","",IF(N('Aset Tetap'!$AG134)=0,0,IF(AND((YEAR(I$6)*12+MONTH(I$6))&gt;='Aset Tetap'!$Y134,(YEAR(I$6)*12+MONTH(I$6))&lt;=MIN('Aset Tetap'!$Z134,IF('Aset Tetap'!$S134="Unit Produksi",99999,'Aset Tetap'!$Y134+'Aset Tetap'!$T134*12-1))),'Aset Tetap'!$AQ134/'Aset Tetap'!$AG134,0)))</f>
        <v/>
      </c>
      <c r="J134" s="22" t="str">
        <f>IF($B134="","",IF(N('Aset Tetap'!$AG134)=0,0,IF(AND((YEAR(J$6)*12+MONTH(J$6))&gt;='Aset Tetap'!$Y134,(YEAR(J$6)*12+MONTH(J$6))&lt;=MIN('Aset Tetap'!$Z134,IF('Aset Tetap'!$S134="Unit Produksi",99999,'Aset Tetap'!$Y134+'Aset Tetap'!$T134*12-1))),'Aset Tetap'!$AQ134/'Aset Tetap'!$AG134,0)))</f>
        <v/>
      </c>
      <c r="K134" s="22" t="str">
        <f>IF($B134="","",IF(N('Aset Tetap'!$AG134)=0,0,IF(AND((YEAR(K$6)*12+MONTH(K$6))&gt;='Aset Tetap'!$Y134,(YEAR(K$6)*12+MONTH(K$6))&lt;=MIN('Aset Tetap'!$Z134,IF('Aset Tetap'!$S134="Unit Produksi",99999,'Aset Tetap'!$Y134+'Aset Tetap'!$T134*12-1))),'Aset Tetap'!$AQ134/'Aset Tetap'!$AG134,0)))</f>
        <v/>
      </c>
      <c r="L134" s="22" t="str">
        <f>IF($B134="","",IF(N('Aset Tetap'!$AG134)=0,0,IF(AND((YEAR(L$6)*12+MONTH(L$6))&gt;='Aset Tetap'!$Y134,(YEAR(L$6)*12+MONTH(L$6))&lt;=MIN('Aset Tetap'!$Z134,IF('Aset Tetap'!$S134="Unit Produksi",99999,'Aset Tetap'!$Y134+'Aset Tetap'!$T134*12-1))),'Aset Tetap'!$AQ134/'Aset Tetap'!$AG134,0)))</f>
        <v/>
      </c>
      <c r="M134" s="22" t="str">
        <f>IF($B134="","",IF(N('Aset Tetap'!$AG134)=0,0,IF(AND((YEAR(M$6)*12+MONTH(M$6))&gt;='Aset Tetap'!$Y134,(YEAR(M$6)*12+MONTH(M$6))&lt;=MIN('Aset Tetap'!$Z134,IF('Aset Tetap'!$S134="Unit Produksi",99999,'Aset Tetap'!$Y134+'Aset Tetap'!$T134*12-1))),'Aset Tetap'!$AQ134/'Aset Tetap'!$AG134,0)))</f>
        <v/>
      </c>
      <c r="N134" s="22" t="str">
        <f>IF($B134="","",IF(N('Aset Tetap'!$AG134)=0,0,IF(AND((YEAR(N$6)*12+MONTH(N$6))&gt;='Aset Tetap'!$Y134,(YEAR(N$6)*12+MONTH(N$6))&lt;=MIN('Aset Tetap'!$Z134,IF('Aset Tetap'!$S134="Unit Produksi",99999,'Aset Tetap'!$Y134+'Aset Tetap'!$T134*12-1))),'Aset Tetap'!$AQ134/'Aset Tetap'!$AG134,0)))</f>
        <v/>
      </c>
      <c r="O134" s="22" t="str">
        <f>IF($B134="","",IF(N('Aset Tetap'!$AG134)=0,0,IF(AND((YEAR(O$6)*12+MONTH(O$6))&gt;='Aset Tetap'!$Y134,(YEAR(O$6)*12+MONTH(O$6))&lt;=MIN('Aset Tetap'!$Z134,IF('Aset Tetap'!$S134="Unit Produksi",99999,'Aset Tetap'!$Y134+'Aset Tetap'!$T134*12-1))),'Aset Tetap'!$AQ134/'Aset Tetap'!$AG134,0)))</f>
        <v/>
      </c>
      <c r="P134" s="22" t="str">
        <f>IF($B134="","",IF(N('Aset Tetap'!$AG134)=0,0,IF(AND((YEAR(P$6)*12+MONTH(P$6))&gt;='Aset Tetap'!$Y134,(YEAR(P$6)*12+MONTH(P$6))&lt;=MIN('Aset Tetap'!$Z134,IF('Aset Tetap'!$S134="Unit Produksi",99999,'Aset Tetap'!$Y134+'Aset Tetap'!$T134*12-1))),'Aset Tetap'!$AQ134/'Aset Tetap'!$AG134,0)))</f>
        <v/>
      </c>
      <c r="Q134" s="22" t="str">
        <f>IF($B134="","",SUM(E134:P134))</f>
        <v/>
      </c>
      <c r="R134" s="22" t="str">
        <f>IF($B134="","",'Aset Tetap'!AQ134)</f>
        <v/>
      </c>
      <c r="S134" s="22" t="str">
        <f>IF($B134="","",ROUND(Q134-R134,0))</f>
        <v/>
      </c>
    </row>
    <row r="135" spans="1:19" x14ac:dyDescent="0.25">
      <c r="A135" t="str">
        <f>IF('Aset Tetap'!$B135="","",'Aset Tetap'!A135)</f>
        <v/>
      </c>
      <c r="B135" t="str">
        <f>IF('Aset Tetap'!$B135="","",'Aset Tetap'!B135)</f>
        <v/>
      </c>
      <c r="C135" t="str">
        <f>IF('Aset Tetap'!$B135="","",'Aset Tetap'!C135)</f>
        <v/>
      </c>
      <c r="D135" t="str">
        <f>IF('Aset Tetap'!$B135="","",'Aset Tetap'!D135)</f>
        <v/>
      </c>
      <c r="E135" s="22" t="str">
        <f>IF($B135="","",IF(N('Aset Tetap'!$AG135)=0,0,IF(AND((YEAR(E$6)*12+MONTH(E$6))&gt;='Aset Tetap'!$Y135,(YEAR(E$6)*12+MONTH(E$6))&lt;=MIN('Aset Tetap'!$Z135,IF('Aset Tetap'!$S135="Unit Produksi",99999,'Aset Tetap'!$Y135+'Aset Tetap'!$T135*12-1))),'Aset Tetap'!$AQ135/'Aset Tetap'!$AG135,0)))</f>
        <v/>
      </c>
      <c r="F135" s="22" t="str">
        <f>IF($B135="","",IF(N('Aset Tetap'!$AG135)=0,0,IF(AND((YEAR(F$6)*12+MONTH(F$6))&gt;='Aset Tetap'!$Y135,(YEAR(F$6)*12+MONTH(F$6))&lt;=MIN('Aset Tetap'!$Z135,IF('Aset Tetap'!$S135="Unit Produksi",99999,'Aset Tetap'!$Y135+'Aset Tetap'!$T135*12-1))),'Aset Tetap'!$AQ135/'Aset Tetap'!$AG135,0)))</f>
        <v/>
      </c>
      <c r="G135" s="22" t="str">
        <f>IF($B135="","",IF(N('Aset Tetap'!$AG135)=0,0,IF(AND((YEAR(G$6)*12+MONTH(G$6))&gt;='Aset Tetap'!$Y135,(YEAR(G$6)*12+MONTH(G$6))&lt;=MIN('Aset Tetap'!$Z135,IF('Aset Tetap'!$S135="Unit Produksi",99999,'Aset Tetap'!$Y135+'Aset Tetap'!$T135*12-1))),'Aset Tetap'!$AQ135/'Aset Tetap'!$AG135,0)))</f>
        <v/>
      </c>
      <c r="H135" s="22" t="str">
        <f>IF($B135="","",IF(N('Aset Tetap'!$AG135)=0,0,IF(AND((YEAR(H$6)*12+MONTH(H$6))&gt;='Aset Tetap'!$Y135,(YEAR(H$6)*12+MONTH(H$6))&lt;=MIN('Aset Tetap'!$Z135,IF('Aset Tetap'!$S135="Unit Produksi",99999,'Aset Tetap'!$Y135+'Aset Tetap'!$T135*12-1))),'Aset Tetap'!$AQ135/'Aset Tetap'!$AG135,0)))</f>
        <v/>
      </c>
      <c r="I135" s="22" t="str">
        <f>IF($B135="","",IF(N('Aset Tetap'!$AG135)=0,0,IF(AND((YEAR(I$6)*12+MONTH(I$6))&gt;='Aset Tetap'!$Y135,(YEAR(I$6)*12+MONTH(I$6))&lt;=MIN('Aset Tetap'!$Z135,IF('Aset Tetap'!$S135="Unit Produksi",99999,'Aset Tetap'!$Y135+'Aset Tetap'!$T135*12-1))),'Aset Tetap'!$AQ135/'Aset Tetap'!$AG135,0)))</f>
        <v/>
      </c>
      <c r="J135" s="22" t="str">
        <f>IF($B135="","",IF(N('Aset Tetap'!$AG135)=0,0,IF(AND((YEAR(J$6)*12+MONTH(J$6))&gt;='Aset Tetap'!$Y135,(YEAR(J$6)*12+MONTH(J$6))&lt;=MIN('Aset Tetap'!$Z135,IF('Aset Tetap'!$S135="Unit Produksi",99999,'Aset Tetap'!$Y135+'Aset Tetap'!$T135*12-1))),'Aset Tetap'!$AQ135/'Aset Tetap'!$AG135,0)))</f>
        <v/>
      </c>
      <c r="K135" s="22" t="str">
        <f>IF($B135="","",IF(N('Aset Tetap'!$AG135)=0,0,IF(AND((YEAR(K$6)*12+MONTH(K$6))&gt;='Aset Tetap'!$Y135,(YEAR(K$6)*12+MONTH(K$6))&lt;=MIN('Aset Tetap'!$Z135,IF('Aset Tetap'!$S135="Unit Produksi",99999,'Aset Tetap'!$Y135+'Aset Tetap'!$T135*12-1))),'Aset Tetap'!$AQ135/'Aset Tetap'!$AG135,0)))</f>
        <v/>
      </c>
      <c r="L135" s="22" t="str">
        <f>IF($B135="","",IF(N('Aset Tetap'!$AG135)=0,0,IF(AND((YEAR(L$6)*12+MONTH(L$6))&gt;='Aset Tetap'!$Y135,(YEAR(L$6)*12+MONTH(L$6))&lt;=MIN('Aset Tetap'!$Z135,IF('Aset Tetap'!$S135="Unit Produksi",99999,'Aset Tetap'!$Y135+'Aset Tetap'!$T135*12-1))),'Aset Tetap'!$AQ135/'Aset Tetap'!$AG135,0)))</f>
        <v/>
      </c>
      <c r="M135" s="22" t="str">
        <f>IF($B135="","",IF(N('Aset Tetap'!$AG135)=0,0,IF(AND((YEAR(M$6)*12+MONTH(M$6))&gt;='Aset Tetap'!$Y135,(YEAR(M$6)*12+MONTH(M$6))&lt;=MIN('Aset Tetap'!$Z135,IF('Aset Tetap'!$S135="Unit Produksi",99999,'Aset Tetap'!$Y135+'Aset Tetap'!$T135*12-1))),'Aset Tetap'!$AQ135/'Aset Tetap'!$AG135,0)))</f>
        <v/>
      </c>
      <c r="N135" s="22" t="str">
        <f>IF($B135="","",IF(N('Aset Tetap'!$AG135)=0,0,IF(AND((YEAR(N$6)*12+MONTH(N$6))&gt;='Aset Tetap'!$Y135,(YEAR(N$6)*12+MONTH(N$6))&lt;=MIN('Aset Tetap'!$Z135,IF('Aset Tetap'!$S135="Unit Produksi",99999,'Aset Tetap'!$Y135+'Aset Tetap'!$T135*12-1))),'Aset Tetap'!$AQ135/'Aset Tetap'!$AG135,0)))</f>
        <v/>
      </c>
      <c r="O135" s="22" t="str">
        <f>IF($B135="","",IF(N('Aset Tetap'!$AG135)=0,0,IF(AND((YEAR(O$6)*12+MONTH(O$6))&gt;='Aset Tetap'!$Y135,(YEAR(O$6)*12+MONTH(O$6))&lt;=MIN('Aset Tetap'!$Z135,IF('Aset Tetap'!$S135="Unit Produksi",99999,'Aset Tetap'!$Y135+'Aset Tetap'!$T135*12-1))),'Aset Tetap'!$AQ135/'Aset Tetap'!$AG135,0)))</f>
        <v/>
      </c>
      <c r="P135" s="22" t="str">
        <f>IF($B135="","",IF(N('Aset Tetap'!$AG135)=0,0,IF(AND((YEAR(P$6)*12+MONTH(P$6))&gt;='Aset Tetap'!$Y135,(YEAR(P$6)*12+MONTH(P$6))&lt;=MIN('Aset Tetap'!$Z135,IF('Aset Tetap'!$S135="Unit Produksi",99999,'Aset Tetap'!$Y135+'Aset Tetap'!$T135*12-1))),'Aset Tetap'!$AQ135/'Aset Tetap'!$AG135,0)))</f>
        <v/>
      </c>
      <c r="Q135" s="22" t="str">
        <f>IF($B135="","",SUM(E135:P135))</f>
        <v/>
      </c>
      <c r="R135" s="22" t="str">
        <f>IF($B135="","",'Aset Tetap'!AQ135)</f>
        <v/>
      </c>
      <c r="S135" s="22" t="str">
        <f>IF($B135="","",ROUND(Q135-R135,0))</f>
        <v/>
      </c>
    </row>
    <row r="136" spans="1:19" x14ac:dyDescent="0.25">
      <c r="A136" t="str">
        <f>IF('Aset Tetap'!$B136="","",'Aset Tetap'!A136)</f>
        <v/>
      </c>
      <c r="B136" t="str">
        <f>IF('Aset Tetap'!$B136="","",'Aset Tetap'!B136)</f>
        <v/>
      </c>
      <c r="C136" t="str">
        <f>IF('Aset Tetap'!$B136="","",'Aset Tetap'!C136)</f>
        <v/>
      </c>
      <c r="D136" t="str">
        <f>IF('Aset Tetap'!$B136="","",'Aset Tetap'!D136)</f>
        <v/>
      </c>
      <c r="E136" s="22" t="str">
        <f>IF($B136="","",IF(N('Aset Tetap'!$AG136)=0,0,IF(AND((YEAR(E$6)*12+MONTH(E$6))&gt;='Aset Tetap'!$Y136,(YEAR(E$6)*12+MONTH(E$6))&lt;=MIN('Aset Tetap'!$Z136,IF('Aset Tetap'!$S136="Unit Produksi",99999,'Aset Tetap'!$Y136+'Aset Tetap'!$T136*12-1))),'Aset Tetap'!$AQ136/'Aset Tetap'!$AG136,0)))</f>
        <v/>
      </c>
      <c r="F136" s="22" t="str">
        <f>IF($B136="","",IF(N('Aset Tetap'!$AG136)=0,0,IF(AND((YEAR(F$6)*12+MONTH(F$6))&gt;='Aset Tetap'!$Y136,(YEAR(F$6)*12+MONTH(F$6))&lt;=MIN('Aset Tetap'!$Z136,IF('Aset Tetap'!$S136="Unit Produksi",99999,'Aset Tetap'!$Y136+'Aset Tetap'!$T136*12-1))),'Aset Tetap'!$AQ136/'Aset Tetap'!$AG136,0)))</f>
        <v/>
      </c>
      <c r="G136" s="22" t="str">
        <f>IF($B136="","",IF(N('Aset Tetap'!$AG136)=0,0,IF(AND((YEAR(G$6)*12+MONTH(G$6))&gt;='Aset Tetap'!$Y136,(YEAR(G$6)*12+MONTH(G$6))&lt;=MIN('Aset Tetap'!$Z136,IF('Aset Tetap'!$S136="Unit Produksi",99999,'Aset Tetap'!$Y136+'Aset Tetap'!$T136*12-1))),'Aset Tetap'!$AQ136/'Aset Tetap'!$AG136,0)))</f>
        <v/>
      </c>
      <c r="H136" s="22" t="str">
        <f>IF($B136="","",IF(N('Aset Tetap'!$AG136)=0,0,IF(AND((YEAR(H$6)*12+MONTH(H$6))&gt;='Aset Tetap'!$Y136,(YEAR(H$6)*12+MONTH(H$6))&lt;=MIN('Aset Tetap'!$Z136,IF('Aset Tetap'!$S136="Unit Produksi",99999,'Aset Tetap'!$Y136+'Aset Tetap'!$T136*12-1))),'Aset Tetap'!$AQ136/'Aset Tetap'!$AG136,0)))</f>
        <v/>
      </c>
      <c r="I136" s="22" t="str">
        <f>IF($B136="","",IF(N('Aset Tetap'!$AG136)=0,0,IF(AND((YEAR(I$6)*12+MONTH(I$6))&gt;='Aset Tetap'!$Y136,(YEAR(I$6)*12+MONTH(I$6))&lt;=MIN('Aset Tetap'!$Z136,IF('Aset Tetap'!$S136="Unit Produksi",99999,'Aset Tetap'!$Y136+'Aset Tetap'!$T136*12-1))),'Aset Tetap'!$AQ136/'Aset Tetap'!$AG136,0)))</f>
        <v/>
      </c>
      <c r="J136" s="22" t="str">
        <f>IF($B136="","",IF(N('Aset Tetap'!$AG136)=0,0,IF(AND((YEAR(J$6)*12+MONTH(J$6))&gt;='Aset Tetap'!$Y136,(YEAR(J$6)*12+MONTH(J$6))&lt;=MIN('Aset Tetap'!$Z136,IF('Aset Tetap'!$S136="Unit Produksi",99999,'Aset Tetap'!$Y136+'Aset Tetap'!$T136*12-1))),'Aset Tetap'!$AQ136/'Aset Tetap'!$AG136,0)))</f>
        <v/>
      </c>
      <c r="K136" s="22" t="str">
        <f>IF($B136="","",IF(N('Aset Tetap'!$AG136)=0,0,IF(AND((YEAR(K$6)*12+MONTH(K$6))&gt;='Aset Tetap'!$Y136,(YEAR(K$6)*12+MONTH(K$6))&lt;=MIN('Aset Tetap'!$Z136,IF('Aset Tetap'!$S136="Unit Produksi",99999,'Aset Tetap'!$Y136+'Aset Tetap'!$T136*12-1))),'Aset Tetap'!$AQ136/'Aset Tetap'!$AG136,0)))</f>
        <v/>
      </c>
      <c r="L136" s="22" t="str">
        <f>IF($B136="","",IF(N('Aset Tetap'!$AG136)=0,0,IF(AND((YEAR(L$6)*12+MONTH(L$6))&gt;='Aset Tetap'!$Y136,(YEAR(L$6)*12+MONTH(L$6))&lt;=MIN('Aset Tetap'!$Z136,IF('Aset Tetap'!$S136="Unit Produksi",99999,'Aset Tetap'!$Y136+'Aset Tetap'!$T136*12-1))),'Aset Tetap'!$AQ136/'Aset Tetap'!$AG136,0)))</f>
        <v/>
      </c>
      <c r="M136" s="22" t="str">
        <f>IF($B136="","",IF(N('Aset Tetap'!$AG136)=0,0,IF(AND((YEAR(M$6)*12+MONTH(M$6))&gt;='Aset Tetap'!$Y136,(YEAR(M$6)*12+MONTH(M$6))&lt;=MIN('Aset Tetap'!$Z136,IF('Aset Tetap'!$S136="Unit Produksi",99999,'Aset Tetap'!$Y136+'Aset Tetap'!$T136*12-1))),'Aset Tetap'!$AQ136/'Aset Tetap'!$AG136,0)))</f>
        <v/>
      </c>
      <c r="N136" s="22" t="str">
        <f>IF($B136="","",IF(N('Aset Tetap'!$AG136)=0,0,IF(AND((YEAR(N$6)*12+MONTH(N$6))&gt;='Aset Tetap'!$Y136,(YEAR(N$6)*12+MONTH(N$6))&lt;=MIN('Aset Tetap'!$Z136,IF('Aset Tetap'!$S136="Unit Produksi",99999,'Aset Tetap'!$Y136+'Aset Tetap'!$T136*12-1))),'Aset Tetap'!$AQ136/'Aset Tetap'!$AG136,0)))</f>
        <v/>
      </c>
      <c r="O136" s="22" t="str">
        <f>IF($B136="","",IF(N('Aset Tetap'!$AG136)=0,0,IF(AND((YEAR(O$6)*12+MONTH(O$6))&gt;='Aset Tetap'!$Y136,(YEAR(O$6)*12+MONTH(O$6))&lt;=MIN('Aset Tetap'!$Z136,IF('Aset Tetap'!$S136="Unit Produksi",99999,'Aset Tetap'!$Y136+'Aset Tetap'!$T136*12-1))),'Aset Tetap'!$AQ136/'Aset Tetap'!$AG136,0)))</f>
        <v/>
      </c>
      <c r="P136" s="22" t="str">
        <f>IF($B136="","",IF(N('Aset Tetap'!$AG136)=0,0,IF(AND((YEAR(P$6)*12+MONTH(P$6))&gt;='Aset Tetap'!$Y136,(YEAR(P$6)*12+MONTH(P$6))&lt;=MIN('Aset Tetap'!$Z136,IF('Aset Tetap'!$S136="Unit Produksi",99999,'Aset Tetap'!$Y136+'Aset Tetap'!$T136*12-1))),'Aset Tetap'!$AQ136/'Aset Tetap'!$AG136,0)))</f>
        <v/>
      </c>
      <c r="Q136" s="22" t="str">
        <f>IF($B136="","",SUM(E136:P136))</f>
        <v/>
      </c>
      <c r="R136" s="22" t="str">
        <f>IF($B136="","",'Aset Tetap'!AQ136)</f>
        <v/>
      </c>
      <c r="S136" s="22" t="str">
        <f>IF($B136="","",ROUND(Q136-R136,0))</f>
        <v/>
      </c>
    </row>
    <row r="137" spans="1:19" x14ac:dyDescent="0.25">
      <c r="A137" t="str">
        <f>IF('Aset Tetap'!$B137="","",'Aset Tetap'!A137)</f>
        <v/>
      </c>
      <c r="B137" t="str">
        <f>IF('Aset Tetap'!$B137="","",'Aset Tetap'!B137)</f>
        <v/>
      </c>
      <c r="C137" t="str">
        <f>IF('Aset Tetap'!$B137="","",'Aset Tetap'!C137)</f>
        <v/>
      </c>
      <c r="D137" t="str">
        <f>IF('Aset Tetap'!$B137="","",'Aset Tetap'!D137)</f>
        <v/>
      </c>
      <c r="E137" s="22" t="str">
        <f>IF($B137="","",IF(N('Aset Tetap'!$AG137)=0,0,IF(AND((YEAR(E$6)*12+MONTH(E$6))&gt;='Aset Tetap'!$Y137,(YEAR(E$6)*12+MONTH(E$6))&lt;=MIN('Aset Tetap'!$Z137,IF('Aset Tetap'!$S137="Unit Produksi",99999,'Aset Tetap'!$Y137+'Aset Tetap'!$T137*12-1))),'Aset Tetap'!$AQ137/'Aset Tetap'!$AG137,0)))</f>
        <v/>
      </c>
      <c r="F137" s="22" t="str">
        <f>IF($B137="","",IF(N('Aset Tetap'!$AG137)=0,0,IF(AND((YEAR(F$6)*12+MONTH(F$6))&gt;='Aset Tetap'!$Y137,(YEAR(F$6)*12+MONTH(F$6))&lt;=MIN('Aset Tetap'!$Z137,IF('Aset Tetap'!$S137="Unit Produksi",99999,'Aset Tetap'!$Y137+'Aset Tetap'!$T137*12-1))),'Aset Tetap'!$AQ137/'Aset Tetap'!$AG137,0)))</f>
        <v/>
      </c>
      <c r="G137" s="22" t="str">
        <f>IF($B137="","",IF(N('Aset Tetap'!$AG137)=0,0,IF(AND((YEAR(G$6)*12+MONTH(G$6))&gt;='Aset Tetap'!$Y137,(YEAR(G$6)*12+MONTH(G$6))&lt;=MIN('Aset Tetap'!$Z137,IF('Aset Tetap'!$S137="Unit Produksi",99999,'Aset Tetap'!$Y137+'Aset Tetap'!$T137*12-1))),'Aset Tetap'!$AQ137/'Aset Tetap'!$AG137,0)))</f>
        <v/>
      </c>
      <c r="H137" s="22" t="str">
        <f>IF($B137="","",IF(N('Aset Tetap'!$AG137)=0,0,IF(AND((YEAR(H$6)*12+MONTH(H$6))&gt;='Aset Tetap'!$Y137,(YEAR(H$6)*12+MONTH(H$6))&lt;=MIN('Aset Tetap'!$Z137,IF('Aset Tetap'!$S137="Unit Produksi",99999,'Aset Tetap'!$Y137+'Aset Tetap'!$T137*12-1))),'Aset Tetap'!$AQ137/'Aset Tetap'!$AG137,0)))</f>
        <v/>
      </c>
      <c r="I137" s="22" t="str">
        <f>IF($B137="","",IF(N('Aset Tetap'!$AG137)=0,0,IF(AND((YEAR(I$6)*12+MONTH(I$6))&gt;='Aset Tetap'!$Y137,(YEAR(I$6)*12+MONTH(I$6))&lt;=MIN('Aset Tetap'!$Z137,IF('Aset Tetap'!$S137="Unit Produksi",99999,'Aset Tetap'!$Y137+'Aset Tetap'!$T137*12-1))),'Aset Tetap'!$AQ137/'Aset Tetap'!$AG137,0)))</f>
        <v/>
      </c>
      <c r="J137" s="22" t="str">
        <f>IF($B137="","",IF(N('Aset Tetap'!$AG137)=0,0,IF(AND((YEAR(J$6)*12+MONTH(J$6))&gt;='Aset Tetap'!$Y137,(YEAR(J$6)*12+MONTH(J$6))&lt;=MIN('Aset Tetap'!$Z137,IF('Aset Tetap'!$S137="Unit Produksi",99999,'Aset Tetap'!$Y137+'Aset Tetap'!$T137*12-1))),'Aset Tetap'!$AQ137/'Aset Tetap'!$AG137,0)))</f>
        <v/>
      </c>
      <c r="K137" s="22" t="str">
        <f>IF($B137="","",IF(N('Aset Tetap'!$AG137)=0,0,IF(AND((YEAR(K$6)*12+MONTH(K$6))&gt;='Aset Tetap'!$Y137,(YEAR(K$6)*12+MONTH(K$6))&lt;=MIN('Aset Tetap'!$Z137,IF('Aset Tetap'!$S137="Unit Produksi",99999,'Aset Tetap'!$Y137+'Aset Tetap'!$T137*12-1))),'Aset Tetap'!$AQ137/'Aset Tetap'!$AG137,0)))</f>
        <v/>
      </c>
      <c r="L137" s="22" t="str">
        <f>IF($B137="","",IF(N('Aset Tetap'!$AG137)=0,0,IF(AND((YEAR(L$6)*12+MONTH(L$6))&gt;='Aset Tetap'!$Y137,(YEAR(L$6)*12+MONTH(L$6))&lt;=MIN('Aset Tetap'!$Z137,IF('Aset Tetap'!$S137="Unit Produksi",99999,'Aset Tetap'!$Y137+'Aset Tetap'!$T137*12-1))),'Aset Tetap'!$AQ137/'Aset Tetap'!$AG137,0)))</f>
        <v/>
      </c>
      <c r="M137" s="22" t="str">
        <f>IF($B137="","",IF(N('Aset Tetap'!$AG137)=0,0,IF(AND((YEAR(M$6)*12+MONTH(M$6))&gt;='Aset Tetap'!$Y137,(YEAR(M$6)*12+MONTH(M$6))&lt;=MIN('Aset Tetap'!$Z137,IF('Aset Tetap'!$S137="Unit Produksi",99999,'Aset Tetap'!$Y137+'Aset Tetap'!$T137*12-1))),'Aset Tetap'!$AQ137/'Aset Tetap'!$AG137,0)))</f>
        <v/>
      </c>
      <c r="N137" s="22" t="str">
        <f>IF($B137="","",IF(N('Aset Tetap'!$AG137)=0,0,IF(AND((YEAR(N$6)*12+MONTH(N$6))&gt;='Aset Tetap'!$Y137,(YEAR(N$6)*12+MONTH(N$6))&lt;=MIN('Aset Tetap'!$Z137,IF('Aset Tetap'!$S137="Unit Produksi",99999,'Aset Tetap'!$Y137+'Aset Tetap'!$T137*12-1))),'Aset Tetap'!$AQ137/'Aset Tetap'!$AG137,0)))</f>
        <v/>
      </c>
      <c r="O137" s="22" t="str">
        <f>IF($B137="","",IF(N('Aset Tetap'!$AG137)=0,0,IF(AND((YEAR(O$6)*12+MONTH(O$6))&gt;='Aset Tetap'!$Y137,(YEAR(O$6)*12+MONTH(O$6))&lt;=MIN('Aset Tetap'!$Z137,IF('Aset Tetap'!$S137="Unit Produksi",99999,'Aset Tetap'!$Y137+'Aset Tetap'!$T137*12-1))),'Aset Tetap'!$AQ137/'Aset Tetap'!$AG137,0)))</f>
        <v/>
      </c>
      <c r="P137" s="22" t="str">
        <f>IF($B137="","",IF(N('Aset Tetap'!$AG137)=0,0,IF(AND((YEAR(P$6)*12+MONTH(P$6))&gt;='Aset Tetap'!$Y137,(YEAR(P$6)*12+MONTH(P$6))&lt;=MIN('Aset Tetap'!$Z137,IF('Aset Tetap'!$S137="Unit Produksi",99999,'Aset Tetap'!$Y137+'Aset Tetap'!$T137*12-1))),'Aset Tetap'!$AQ137/'Aset Tetap'!$AG137,0)))</f>
        <v/>
      </c>
      <c r="Q137" s="22" t="str">
        <f>IF($B137="","",SUM(E137:P137))</f>
        <v/>
      </c>
      <c r="R137" s="22" t="str">
        <f>IF($B137="","",'Aset Tetap'!AQ137)</f>
        <v/>
      </c>
      <c r="S137" s="22" t="str">
        <f>IF($B137="","",ROUND(Q137-R137,0))</f>
        <v/>
      </c>
    </row>
    <row r="138" spans="1:19" x14ac:dyDescent="0.25">
      <c r="A138" t="str">
        <f>IF('Aset Tetap'!$B138="","",'Aset Tetap'!A138)</f>
        <v/>
      </c>
      <c r="B138" t="str">
        <f>IF('Aset Tetap'!$B138="","",'Aset Tetap'!B138)</f>
        <v/>
      </c>
      <c r="C138" t="str">
        <f>IF('Aset Tetap'!$B138="","",'Aset Tetap'!C138)</f>
        <v/>
      </c>
      <c r="D138" t="str">
        <f>IF('Aset Tetap'!$B138="","",'Aset Tetap'!D138)</f>
        <v/>
      </c>
      <c r="E138" s="22" t="str">
        <f>IF($B138="","",IF(N('Aset Tetap'!$AG138)=0,0,IF(AND((YEAR(E$6)*12+MONTH(E$6))&gt;='Aset Tetap'!$Y138,(YEAR(E$6)*12+MONTH(E$6))&lt;=MIN('Aset Tetap'!$Z138,IF('Aset Tetap'!$S138="Unit Produksi",99999,'Aset Tetap'!$Y138+'Aset Tetap'!$T138*12-1))),'Aset Tetap'!$AQ138/'Aset Tetap'!$AG138,0)))</f>
        <v/>
      </c>
      <c r="F138" s="22" t="str">
        <f>IF($B138="","",IF(N('Aset Tetap'!$AG138)=0,0,IF(AND((YEAR(F$6)*12+MONTH(F$6))&gt;='Aset Tetap'!$Y138,(YEAR(F$6)*12+MONTH(F$6))&lt;=MIN('Aset Tetap'!$Z138,IF('Aset Tetap'!$S138="Unit Produksi",99999,'Aset Tetap'!$Y138+'Aset Tetap'!$T138*12-1))),'Aset Tetap'!$AQ138/'Aset Tetap'!$AG138,0)))</f>
        <v/>
      </c>
      <c r="G138" s="22" t="str">
        <f>IF($B138="","",IF(N('Aset Tetap'!$AG138)=0,0,IF(AND((YEAR(G$6)*12+MONTH(G$6))&gt;='Aset Tetap'!$Y138,(YEAR(G$6)*12+MONTH(G$6))&lt;=MIN('Aset Tetap'!$Z138,IF('Aset Tetap'!$S138="Unit Produksi",99999,'Aset Tetap'!$Y138+'Aset Tetap'!$T138*12-1))),'Aset Tetap'!$AQ138/'Aset Tetap'!$AG138,0)))</f>
        <v/>
      </c>
      <c r="H138" s="22" t="str">
        <f>IF($B138="","",IF(N('Aset Tetap'!$AG138)=0,0,IF(AND((YEAR(H$6)*12+MONTH(H$6))&gt;='Aset Tetap'!$Y138,(YEAR(H$6)*12+MONTH(H$6))&lt;=MIN('Aset Tetap'!$Z138,IF('Aset Tetap'!$S138="Unit Produksi",99999,'Aset Tetap'!$Y138+'Aset Tetap'!$T138*12-1))),'Aset Tetap'!$AQ138/'Aset Tetap'!$AG138,0)))</f>
        <v/>
      </c>
      <c r="I138" s="22" t="str">
        <f>IF($B138="","",IF(N('Aset Tetap'!$AG138)=0,0,IF(AND((YEAR(I$6)*12+MONTH(I$6))&gt;='Aset Tetap'!$Y138,(YEAR(I$6)*12+MONTH(I$6))&lt;=MIN('Aset Tetap'!$Z138,IF('Aset Tetap'!$S138="Unit Produksi",99999,'Aset Tetap'!$Y138+'Aset Tetap'!$T138*12-1))),'Aset Tetap'!$AQ138/'Aset Tetap'!$AG138,0)))</f>
        <v/>
      </c>
      <c r="J138" s="22" t="str">
        <f>IF($B138="","",IF(N('Aset Tetap'!$AG138)=0,0,IF(AND((YEAR(J$6)*12+MONTH(J$6))&gt;='Aset Tetap'!$Y138,(YEAR(J$6)*12+MONTH(J$6))&lt;=MIN('Aset Tetap'!$Z138,IF('Aset Tetap'!$S138="Unit Produksi",99999,'Aset Tetap'!$Y138+'Aset Tetap'!$T138*12-1))),'Aset Tetap'!$AQ138/'Aset Tetap'!$AG138,0)))</f>
        <v/>
      </c>
      <c r="K138" s="22" t="str">
        <f>IF($B138="","",IF(N('Aset Tetap'!$AG138)=0,0,IF(AND((YEAR(K$6)*12+MONTH(K$6))&gt;='Aset Tetap'!$Y138,(YEAR(K$6)*12+MONTH(K$6))&lt;=MIN('Aset Tetap'!$Z138,IF('Aset Tetap'!$S138="Unit Produksi",99999,'Aset Tetap'!$Y138+'Aset Tetap'!$T138*12-1))),'Aset Tetap'!$AQ138/'Aset Tetap'!$AG138,0)))</f>
        <v/>
      </c>
      <c r="L138" s="22" t="str">
        <f>IF($B138="","",IF(N('Aset Tetap'!$AG138)=0,0,IF(AND((YEAR(L$6)*12+MONTH(L$6))&gt;='Aset Tetap'!$Y138,(YEAR(L$6)*12+MONTH(L$6))&lt;=MIN('Aset Tetap'!$Z138,IF('Aset Tetap'!$S138="Unit Produksi",99999,'Aset Tetap'!$Y138+'Aset Tetap'!$T138*12-1))),'Aset Tetap'!$AQ138/'Aset Tetap'!$AG138,0)))</f>
        <v/>
      </c>
      <c r="M138" s="22" t="str">
        <f>IF($B138="","",IF(N('Aset Tetap'!$AG138)=0,0,IF(AND((YEAR(M$6)*12+MONTH(M$6))&gt;='Aset Tetap'!$Y138,(YEAR(M$6)*12+MONTH(M$6))&lt;=MIN('Aset Tetap'!$Z138,IF('Aset Tetap'!$S138="Unit Produksi",99999,'Aset Tetap'!$Y138+'Aset Tetap'!$T138*12-1))),'Aset Tetap'!$AQ138/'Aset Tetap'!$AG138,0)))</f>
        <v/>
      </c>
      <c r="N138" s="22" t="str">
        <f>IF($B138="","",IF(N('Aset Tetap'!$AG138)=0,0,IF(AND((YEAR(N$6)*12+MONTH(N$6))&gt;='Aset Tetap'!$Y138,(YEAR(N$6)*12+MONTH(N$6))&lt;=MIN('Aset Tetap'!$Z138,IF('Aset Tetap'!$S138="Unit Produksi",99999,'Aset Tetap'!$Y138+'Aset Tetap'!$T138*12-1))),'Aset Tetap'!$AQ138/'Aset Tetap'!$AG138,0)))</f>
        <v/>
      </c>
      <c r="O138" s="22" t="str">
        <f>IF($B138="","",IF(N('Aset Tetap'!$AG138)=0,0,IF(AND((YEAR(O$6)*12+MONTH(O$6))&gt;='Aset Tetap'!$Y138,(YEAR(O$6)*12+MONTH(O$6))&lt;=MIN('Aset Tetap'!$Z138,IF('Aset Tetap'!$S138="Unit Produksi",99999,'Aset Tetap'!$Y138+'Aset Tetap'!$T138*12-1))),'Aset Tetap'!$AQ138/'Aset Tetap'!$AG138,0)))</f>
        <v/>
      </c>
      <c r="P138" s="22" t="str">
        <f>IF($B138="","",IF(N('Aset Tetap'!$AG138)=0,0,IF(AND((YEAR(P$6)*12+MONTH(P$6))&gt;='Aset Tetap'!$Y138,(YEAR(P$6)*12+MONTH(P$6))&lt;=MIN('Aset Tetap'!$Z138,IF('Aset Tetap'!$S138="Unit Produksi",99999,'Aset Tetap'!$Y138+'Aset Tetap'!$T138*12-1))),'Aset Tetap'!$AQ138/'Aset Tetap'!$AG138,0)))</f>
        <v/>
      </c>
      <c r="Q138" s="22" t="str">
        <f>IF($B138="","",SUM(E138:P138))</f>
        <v/>
      </c>
      <c r="R138" s="22" t="str">
        <f>IF($B138="","",'Aset Tetap'!AQ138)</f>
        <v/>
      </c>
      <c r="S138" s="22" t="str">
        <f>IF($B138="","",ROUND(Q138-R138,0))</f>
        <v/>
      </c>
    </row>
    <row r="139" spans="1:19" x14ac:dyDescent="0.25">
      <c r="A139" t="str">
        <f>IF('Aset Tetap'!$B139="","",'Aset Tetap'!A139)</f>
        <v/>
      </c>
      <c r="B139" t="str">
        <f>IF('Aset Tetap'!$B139="","",'Aset Tetap'!B139)</f>
        <v/>
      </c>
      <c r="C139" t="str">
        <f>IF('Aset Tetap'!$B139="","",'Aset Tetap'!C139)</f>
        <v/>
      </c>
      <c r="D139" t="str">
        <f>IF('Aset Tetap'!$B139="","",'Aset Tetap'!D139)</f>
        <v/>
      </c>
      <c r="E139" s="22" t="str">
        <f>IF($B139="","",IF(N('Aset Tetap'!$AG139)=0,0,IF(AND((YEAR(E$6)*12+MONTH(E$6))&gt;='Aset Tetap'!$Y139,(YEAR(E$6)*12+MONTH(E$6))&lt;=MIN('Aset Tetap'!$Z139,IF('Aset Tetap'!$S139="Unit Produksi",99999,'Aset Tetap'!$Y139+'Aset Tetap'!$T139*12-1))),'Aset Tetap'!$AQ139/'Aset Tetap'!$AG139,0)))</f>
        <v/>
      </c>
      <c r="F139" s="22" t="str">
        <f>IF($B139="","",IF(N('Aset Tetap'!$AG139)=0,0,IF(AND((YEAR(F$6)*12+MONTH(F$6))&gt;='Aset Tetap'!$Y139,(YEAR(F$6)*12+MONTH(F$6))&lt;=MIN('Aset Tetap'!$Z139,IF('Aset Tetap'!$S139="Unit Produksi",99999,'Aset Tetap'!$Y139+'Aset Tetap'!$T139*12-1))),'Aset Tetap'!$AQ139/'Aset Tetap'!$AG139,0)))</f>
        <v/>
      </c>
      <c r="G139" s="22" t="str">
        <f>IF($B139="","",IF(N('Aset Tetap'!$AG139)=0,0,IF(AND((YEAR(G$6)*12+MONTH(G$6))&gt;='Aset Tetap'!$Y139,(YEAR(G$6)*12+MONTH(G$6))&lt;=MIN('Aset Tetap'!$Z139,IF('Aset Tetap'!$S139="Unit Produksi",99999,'Aset Tetap'!$Y139+'Aset Tetap'!$T139*12-1))),'Aset Tetap'!$AQ139/'Aset Tetap'!$AG139,0)))</f>
        <v/>
      </c>
      <c r="H139" s="22" t="str">
        <f>IF($B139="","",IF(N('Aset Tetap'!$AG139)=0,0,IF(AND((YEAR(H$6)*12+MONTH(H$6))&gt;='Aset Tetap'!$Y139,(YEAR(H$6)*12+MONTH(H$6))&lt;=MIN('Aset Tetap'!$Z139,IF('Aset Tetap'!$S139="Unit Produksi",99999,'Aset Tetap'!$Y139+'Aset Tetap'!$T139*12-1))),'Aset Tetap'!$AQ139/'Aset Tetap'!$AG139,0)))</f>
        <v/>
      </c>
      <c r="I139" s="22" t="str">
        <f>IF($B139="","",IF(N('Aset Tetap'!$AG139)=0,0,IF(AND((YEAR(I$6)*12+MONTH(I$6))&gt;='Aset Tetap'!$Y139,(YEAR(I$6)*12+MONTH(I$6))&lt;=MIN('Aset Tetap'!$Z139,IF('Aset Tetap'!$S139="Unit Produksi",99999,'Aset Tetap'!$Y139+'Aset Tetap'!$T139*12-1))),'Aset Tetap'!$AQ139/'Aset Tetap'!$AG139,0)))</f>
        <v/>
      </c>
      <c r="J139" s="22" t="str">
        <f>IF($B139="","",IF(N('Aset Tetap'!$AG139)=0,0,IF(AND((YEAR(J$6)*12+MONTH(J$6))&gt;='Aset Tetap'!$Y139,(YEAR(J$6)*12+MONTH(J$6))&lt;=MIN('Aset Tetap'!$Z139,IF('Aset Tetap'!$S139="Unit Produksi",99999,'Aset Tetap'!$Y139+'Aset Tetap'!$T139*12-1))),'Aset Tetap'!$AQ139/'Aset Tetap'!$AG139,0)))</f>
        <v/>
      </c>
      <c r="K139" s="22" t="str">
        <f>IF($B139="","",IF(N('Aset Tetap'!$AG139)=0,0,IF(AND((YEAR(K$6)*12+MONTH(K$6))&gt;='Aset Tetap'!$Y139,(YEAR(K$6)*12+MONTH(K$6))&lt;=MIN('Aset Tetap'!$Z139,IF('Aset Tetap'!$S139="Unit Produksi",99999,'Aset Tetap'!$Y139+'Aset Tetap'!$T139*12-1))),'Aset Tetap'!$AQ139/'Aset Tetap'!$AG139,0)))</f>
        <v/>
      </c>
      <c r="L139" s="22" t="str">
        <f>IF($B139="","",IF(N('Aset Tetap'!$AG139)=0,0,IF(AND((YEAR(L$6)*12+MONTH(L$6))&gt;='Aset Tetap'!$Y139,(YEAR(L$6)*12+MONTH(L$6))&lt;=MIN('Aset Tetap'!$Z139,IF('Aset Tetap'!$S139="Unit Produksi",99999,'Aset Tetap'!$Y139+'Aset Tetap'!$T139*12-1))),'Aset Tetap'!$AQ139/'Aset Tetap'!$AG139,0)))</f>
        <v/>
      </c>
      <c r="M139" s="22" t="str">
        <f>IF($B139="","",IF(N('Aset Tetap'!$AG139)=0,0,IF(AND((YEAR(M$6)*12+MONTH(M$6))&gt;='Aset Tetap'!$Y139,(YEAR(M$6)*12+MONTH(M$6))&lt;=MIN('Aset Tetap'!$Z139,IF('Aset Tetap'!$S139="Unit Produksi",99999,'Aset Tetap'!$Y139+'Aset Tetap'!$T139*12-1))),'Aset Tetap'!$AQ139/'Aset Tetap'!$AG139,0)))</f>
        <v/>
      </c>
      <c r="N139" s="22" t="str">
        <f>IF($B139="","",IF(N('Aset Tetap'!$AG139)=0,0,IF(AND((YEAR(N$6)*12+MONTH(N$6))&gt;='Aset Tetap'!$Y139,(YEAR(N$6)*12+MONTH(N$6))&lt;=MIN('Aset Tetap'!$Z139,IF('Aset Tetap'!$S139="Unit Produksi",99999,'Aset Tetap'!$Y139+'Aset Tetap'!$T139*12-1))),'Aset Tetap'!$AQ139/'Aset Tetap'!$AG139,0)))</f>
        <v/>
      </c>
      <c r="O139" s="22" t="str">
        <f>IF($B139="","",IF(N('Aset Tetap'!$AG139)=0,0,IF(AND((YEAR(O$6)*12+MONTH(O$6))&gt;='Aset Tetap'!$Y139,(YEAR(O$6)*12+MONTH(O$6))&lt;=MIN('Aset Tetap'!$Z139,IF('Aset Tetap'!$S139="Unit Produksi",99999,'Aset Tetap'!$Y139+'Aset Tetap'!$T139*12-1))),'Aset Tetap'!$AQ139/'Aset Tetap'!$AG139,0)))</f>
        <v/>
      </c>
      <c r="P139" s="22" t="str">
        <f>IF($B139="","",IF(N('Aset Tetap'!$AG139)=0,0,IF(AND((YEAR(P$6)*12+MONTH(P$6))&gt;='Aset Tetap'!$Y139,(YEAR(P$6)*12+MONTH(P$6))&lt;=MIN('Aset Tetap'!$Z139,IF('Aset Tetap'!$S139="Unit Produksi",99999,'Aset Tetap'!$Y139+'Aset Tetap'!$T139*12-1))),'Aset Tetap'!$AQ139/'Aset Tetap'!$AG139,0)))</f>
        <v/>
      </c>
      <c r="Q139" s="22" t="str">
        <f>IF($B139="","",SUM(E139:P139))</f>
        <v/>
      </c>
      <c r="R139" s="22" t="str">
        <f>IF($B139="","",'Aset Tetap'!AQ139)</f>
        <v/>
      </c>
      <c r="S139" s="22" t="str">
        <f>IF($B139="","",ROUND(Q139-R139,0))</f>
        <v/>
      </c>
    </row>
    <row r="140" spans="1:19" x14ac:dyDescent="0.25">
      <c r="A140" t="str">
        <f>IF('Aset Tetap'!$B140="","",'Aset Tetap'!A140)</f>
        <v/>
      </c>
      <c r="B140" t="str">
        <f>IF('Aset Tetap'!$B140="","",'Aset Tetap'!B140)</f>
        <v/>
      </c>
      <c r="C140" t="str">
        <f>IF('Aset Tetap'!$B140="","",'Aset Tetap'!C140)</f>
        <v/>
      </c>
      <c r="D140" t="str">
        <f>IF('Aset Tetap'!$B140="","",'Aset Tetap'!D140)</f>
        <v/>
      </c>
      <c r="E140" s="22" t="str">
        <f>IF($B140="","",IF(N('Aset Tetap'!$AG140)=0,0,IF(AND((YEAR(E$6)*12+MONTH(E$6))&gt;='Aset Tetap'!$Y140,(YEAR(E$6)*12+MONTH(E$6))&lt;=MIN('Aset Tetap'!$Z140,IF('Aset Tetap'!$S140="Unit Produksi",99999,'Aset Tetap'!$Y140+'Aset Tetap'!$T140*12-1))),'Aset Tetap'!$AQ140/'Aset Tetap'!$AG140,0)))</f>
        <v/>
      </c>
      <c r="F140" s="22" t="str">
        <f>IF($B140="","",IF(N('Aset Tetap'!$AG140)=0,0,IF(AND((YEAR(F$6)*12+MONTH(F$6))&gt;='Aset Tetap'!$Y140,(YEAR(F$6)*12+MONTH(F$6))&lt;=MIN('Aset Tetap'!$Z140,IF('Aset Tetap'!$S140="Unit Produksi",99999,'Aset Tetap'!$Y140+'Aset Tetap'!$T140*12-1))),'Aset Tetap'!$AQ140/'Aset Tetap'!$AG140,0)))</f>
        <v/>
      </c>
      <c r="G140" s="22" t="str">
        <f>IF($B140="","",IF(N('Aset Tetap'!$AG140)=0,0,IF(AND((YEAR(G$6)*12+MONTH(G$6))&gt;='Aset Tetap'!$Y140,(YEAR(G$6)*12+MONTH(G$6))&lt;=MIN('Aset Tetap'!$Z140,IF('Aset Tetap'!$S140="Unit Produksi",99999,'Aset Tetap'!$Y140+'Aset Tetap'!$T140*12-1))),'Aset Tetap'!$AQ140/'Aset Tetap'!$AG140,0)))</f>
        <v/>
      </c>
      <c r="H140" s="22" t="str">
        <f>IF($B140="","",IF(N('Aset Tetap'!$AG140)=0,0,IF(AND((YEAR(H$6)*12+MONTH(H$6))&gt;='Aset Tetap'!$Y140,(YEAR(H$6)*12+MONTH(H$6))&lt;=MIN('Aset Tetap'!$Z140,IF('Aset Tetap'!$S140="Unit Produksi",99999,'Aset Tetap'!$Y140+'Aset Tetap'!$T140*12-1))),'Aset Tetap'!$AQ140/'Aset Tetap'!$AG140,0)))</f>
        <v/>
      </c>
      <c r="I140" s="22" t="str">
        <f>IF($B140="","",IF(N('Aset Tetap'!$AG140)=0,0,IF(AND((YEAR(I$6)*12+MONTH(I$6))&gt;='Aset Tetap'!$Y140,(YEAR(I$6)*12+MONTH(I$6))&lt;=MIN('Aset Tetap'!$Z140,IF('Aset Tetap'!$S140="Unit Produksi",99999,'Aset Tetap'!$Y140+'Aset Tetap'!$T140*12-1))),'Aset Tetap'!$AQ140/'Aset Tetap'!$AG140,0)))</f>
        <v/>
      </c>
      <c r="J140" s="22" t="str">
        <f>IF($B140="","",IF(N('Aset Tetap'!$AG140)=0,0,IF(AND((YEAR(J$6)*12+MONTH(J$6))&gt;='Aset Tetap'!$Y140,(YEAR(J$6)*12+MONTH(J$6))&lt;=MIN('Aset Tetap'!$Z140,IF('Aset Tetap'!$S140="Unit Produksi",99999,'Aset Tetap'!$Y140+'Aset Tetap'!$T140*12-1))),'Aset Tetap'!$AQ140/'Aset Tetap'!$AG140,0)))</f>
        <v/>
      </c>
      <c r="K140" s="22" t="str">
        <f>IF($B140="","",IF(N('Aset Tetap'!$AG140)=0,0,IF(AND((YEAR(K$6)*12+MONTH(K$6))&gt;='Aset Tetap'!$Y140,(YEAR(K$6)*12+MONTH(K$6))&lt;=MIN('Aset Tetap'!$Z140,IF('Aset Tetap'!$S140="Unit Produksi",99999,'Aset Tetap'!$Y140+'Aset Tetap'!$T140*12-1))),'Aset Tetap'!$AQ140/'Aset Tetap'!$AG140,0)))</f>
        <v/>
      </c>
      <c r="L140" s="22" t="str">
        <f>IF($B140="","",IF(N('Aset Tetap'!$AG140)=0,0,IF(AND((YEAR(L$6)*12+MONTH(L$6))&gt;='Aset Tetap'!$Y140,(YEAR(L$6)*12+MONTH(L$6))&lt;=MIN('Aset Tetap'!$Z140,IF('Aset Tetap'!$S140="Unit Produksi",99999,'Aset Tetap'!$Y140+'Aset Tetap'!$T140*12-1))),'Aset Tetap'!$AQ140/'Aset Tetap'!$AG140,0)))</f>
        <v/>
      </c>
      <c r="M140" s="22" t="str">
        <f>IF($B140="","",IF(N('Aset Tetap'!$AG140)=0,0,IF(AND((YEAR(M$6)*12+MONTH(M$6))&gt;='Aset Tetap'!$Y140,(YEAR(M$6)*12+MONTH(M$6))&lt;=MIN('Aset Tetap'!$Z140,IF('Aset Tetap'!$S140="Unit Produksi",99999,'Aset Tetap'!$Y140+'Aset Tetap'!$T140*12-1))),'Aset Tetap'!$AQ140/'Aset Tetap'!$AG140,0)))</f>
        <v/>
      </c>
      <c r="N140" s="22" t="str">
        <f>IF($B140="","",IF(N('Aset Tetap'!$AG140)=0,0,IF(AND((YEAR(N$6)*12+MONTH(N$6))&gt;='Aset Tetap'!$Y140,(YEAR(N$6)*12+MONTH(N$6))&lt;=MIN('Aset Tetap'!$Z140,IF('Aset Tetap'!$S140="Unit Produksi",99999,'Aset Tetap'!$Y140+'Aset Tetap'!$T140*12-1))),'Aset Tetap'!$AQ140/'Aset Tetap'!$AG140,0)))</f>
        <v/>
      </c>
      <c r="O140" s="22" t="str">
        <f>IF($B140="","",IF(N('Aset Tetap'!$AG140)=0,0,IF(AND((YEAR(O$6)*12+MONTH(O$6))&gt;='Aset Tetap'!$Y140,(YEAR(O$6)*12+MONTH(O$6))&lt;=MIN('Aset Tetap'!$Z140,IF('Aset Tetap'!$S140="Unit Produksi",99999,'Aset Tetap'!$Y140+'Aset Tetap'!$T140*12-1))),'Aset Tetap'!$AQ140/'Aset Tetap'!$AG140,0)))</f>
        <v/>
      </c>
      <c r="P140" s="22" t="str">
        <f>IF($B140="","",IF(N('Aset Tetap'!$AG140)=0,0,IF(AND((YEAR(P$6)*12+MONTH(P$6))&gt;='Aset Tetap'!$Y140,(YEAR(P$6)*12+MONTH(P$6))&lt;=MIN('Aset Tetap'!$Z140,IF('Aset Tetap'!$S140="Unit Produksi",99999,'Aset Tetap'!$Y140+'Aset Tetap'!$T140*12-1))),'Aset Tetap'!$AQ140/'Aset Tetap'!$AG140,0)))</f>
        <v/>
      </c>
      <c r="Q140" s="22" t="str">
        <f>IF($B140="","",SUM(E140:P140))</f>
        <v/>
      </c>
      <c r="R140" s="22" t="str">
        <f>IF($B140="","",'Aset Tetap'!AQ140)</f>
        <v/>
      </c>
      <c r="S140" s="22" t="str">
        <f>IF($B140="","",ROUND(Q140-R140,0))</f>
        <v/>
      </c>
    </row>
    <row r="141" spans="1:19" x14ac:dyDescent="0.25">
      <c r="A141" t="str">
        <f>IF('Aset Tetap'!$B141="","",'Aset Tetap'!A141)</f>
        <v/>
      </c>
      <c r="B141" t="str">
        <f>IF('Aset Tetap'!$B141="","",'Aset Tetap'!B141)</f>
        <v/>
      </c>
      <c r="C141" t="str">
        <f>IF('Aset Tetap'!$B141="","",'Aset Tetap'!C141)</f>
        <v/>
      </c>
      <c r="D141" t="str">
        <f>IF('Aset Tetap'!$B141="","",'Aset Tetap'!D141)</f>
        <v/>
      </c>
      <c r="E141" s="22" t="str">
        <f>IF($B141="","",IF(N('Aset Tetap'!$AG141)=0,0,IF(AND((YEAR(E$6)*12+MONTH(E$6))&gt;='Aset Tetap'!$Y141,(YEAR(E$6)*12+MONTH(E$6))&lt;=MIN('Aset Tetap'!$Z141,IF('Aset Tetap'!$S141="Unit Produksi",99999,'Aset Tetap'!$Y141+'Aset Tetap'!$T141*12-1))),'Aset Tetap'!$AQ141/'Aset Tetap'!$AG141,0)))</f>
        <v/>
      </c>
      <c r="F141" s="22" t="str">
        <f>IF($B141="","",IF(N('Aset Tetap'!$AG141)=0,0,IF(AND((YEAR(F$6)*12+MONTH(F$6))&gt;='Aset Tetap'!$Y141,(YEAR(F$6)*12+MONTH(F$6))&lt;=MIN('Aset Tetap'!$Z141,IF('Aset Tetap'!$S141="Unit Produksi",99999,'Aset Tetap'!$Y141+'Aset Tetap'!$T141*12-1))),'Aset Tetap'!$AQ141/'Aset Tetap'!$AG141,0)))</f>
        <v/>
      </c>
      <c r="G141" s="22" t="str">
        <f>IF($B141="","",IF(N('Aset Tetap'!$AG141)=0,0,IF(AND((YEAR(G$6)*12+MONTH(G$6))&gt;='Aset Tetap'!$Y141,(YEAR(G$6)*12+MONTH(G$6))&lt;=MIN('Aset Tetap'!$Z141,IF('Aset Tetap'!$S141="Unit Produksi",99999,'Aset Tetap'!$Y141+'Aset Tetap'!$T141*12-1))),'Aset Tetap'!$AQ141/'Aset Tetap'!$AG141,0)))</f>
        <v/>
      </c>
      <c r="H141" s="22" t="str">
        <f>IF($B141="","",IF(N('Aset Tetap'!$AG141)=0,0,IF(AND((YEAR(H$6)*12+MONTH(H$6))&gt;='Aset Tetap'!$Y141,(YEAR(H$6)*12+MONTH(H$6))&lt;=MIN('Aset Tetap'!$Z141,IF('Aset Tetap'!$S141="Unit Produksi",99999,'Aset Tetap'!$Y141+'Aset Tetap'!$T141*12-1))),'Aset Tetap'!$AQ141/'Aset Tetap'!$AG141,0)))</f>
        <v/>
      </c>
      <c r="I141" s="22" t="str">
        <f>IF($B141="","",IF(N('Aset Tetap'!$AG141)=0,0,IF(AND((YEAR(I$6)*12+MONTH(I$6))&gt;='Aset Tetap'!$Y141,(YEAR(I$6)*12+MONTH(I$6))&lt;=MIN('Aset Tetap'!$Z141,IF('Aset Tetap'!$S141="Unit Produksi",99999,'Aset Tetap'!$Y141+'Aset Tetap'!$T141*12-1))),'Aset Tetap'!$AQ141/'Aset Tetap'!$AG141,0)))</f>
        <v/>
      </c>
      <c r="J141" s="22" t="str">
        <f>IF($B141="","",IF(N('Aset Tetap'!$AG141)=0,0,IF(AND((YEAR(J$6)*12+MONTH(J$6))&gt;='Aset Tetap'!$Y141,(YEAR(J$6)*12+MONTH(J$6))&lt;=MIN('Aset Tetap'!$Z141,IF('Aset Tetap'!$S141="Unit Produksi",99999,'Aset Tetap'!$Y141+'Aset Tetap'!$T141*12-1))),'Aset Tetap'!$AQ141/'Aset Tetap'!$AG141,0)))</f>
        <v/>
      </c>
      <c r="K141" s="22" t="str">
        <f>IF($B141="","",IF(N('Aset Tetap'!$AG141)=0,0,IF(AND((YEAR(K$6)*12+MONTH(K$6))&gt;='Aset Tetap'!$Y141,(YEAR(K$6)*12+MONTH(K$6))&lt;=MIN('Aset Tetap'!$Z141,IF('Aset Tetap'!$S141="Unit Produksi",99999,'Aset Tetap'!$Y141+'Aset Tetap'!$T141*12-1))),'Aset Tetap'!$AQ141/'Aset Tetap'!$AG141,0)))</f>
        <v/>
      </c>
      <c r="L141" s="22" t="str">
        <f>IF($B141="","",IF(N('Aset Tetap'!$AG141)=0,0,IF(AND((YEAR(L$6)*12+MONTH(L$6))&gt;='Aset Tetap'!$Y141,(YEAR(L$6)*12+MONTH(L$6))&lt;=MIN('Aset Tetap'!$Z141,IF('Aset Tetap'!$S141="Unit Produksi",99999,'Aset Tetap'!$Y141+'Aset Tetap'!$T141*12-1))),'Aset Tetap'!$AQ141/'Aset Tetap'!$AG141,0)))</f>
        <v/>
      </c>
      <c r="M141" s="22" t="str">
        <f>IF($B141="","",IF(N('Aset Tetap'!$AG141)=0,0,IF(AND((YEAR(M$6)*12+MONTH(M$6))&gt;='Aset Tetap'!$Y141,(YEAR(M$6)*12+MONTH(M$6))&lt;=MIN('Aset Tetap'!$Z141,IF('Aset Tetap'!$S141="Unit Produksi",99999,'Aset Tetap'!$Y141+'Aset Tetap'!$T141*12-1))),'Aset Tetap'!$AQ141/'Aset Tetap'!$AG141,0)))</f>
        <v/>
      </c>
      <c r="N141" s="22" t="str">
        <f>IF($B141="","",IF(N('Aset Tetap'!$AG141)=0,0,IF(AND((YEAR(N$6)*12+MONTH(N$6))&gt;='Aset Tetap'!$Y141,(YEAR(N$6)*12+MONTH(N$6))&lt;=MIN('Aset Tetap'!$Z141,IF('Aset Tetap'!$S141="Unit Produksi",99999,'Aset Tetap'!$Y141+'Aset Tetap'!$T141*12-1))),'Aset Tetap'!$AQ141/'Aset Tetap'!$AG141,0)))</f>
        <v/>
      </c>
      <c r="O141" s="22" t="str">
        <f>IF($B141="","",IF(N('Aset Tetap'!$AG141)=0,0,IF(AND((YEAR(O$6)*12+MONTH(O$6))&gt;='Aset Tetap'!$Y141,(YEAR(O$6)*12+MONTH(O$6))&lt;=MIN('Aset Tetap'!$Z141,IF('Aset Tetap'!$S141="Unit Produksi",99999,'Aset Tetap'!$Y141+'Aset Tetap'!$T141*12-1))),'Aset Tetap'!$AQ141/'Aset Tetap'!$AG141,0)))</f>
        <v/>
      </c>
      <c r="P141" s="22" t="str">
        <f>IF($B141="","",IF(N('Aset Tetap'!$AG141)=0,0,IF(AND((YEAR(P$6)*12+MONTH(P$6))&gt;='Aset Tetap'!$Y141,(YEAR(P$6)*12+MONTH(P$6))&lt;=MIN('Aset Tetap'!$Z141,IF('Aset Tetap'!$S141="Unit Produksi",99999,'Aset Tetap'!$Y141+'Aset Tetap'!$T141*12-1))),'Aset Tetap'!$AQ141/'Aset Tetap'!$AG141,0)))</f>
        <v/>
      </c>
      <c r="Q141" s="22" t="str">
        <f>IF($B141="","",SUM(E141:P141))</f>
        <v/>
      </c>
      <c r="R141" s="22" t="str">
        <f>IF($B141="","",'Aset Tetap'!AQ141)</f>
        <v/>
      </c>
      <c r="S141" s="22" t="str">
        <f>IF($B141="","",ROUND(Q141-R141,0))</f>
        <v/>
      </c>
    </row>
    <row r="142" spans="1:19" x14ac:dyDescent="0.25">
      <c r="A142" t="str">
        <f>IF('Aset Tetap'!$B142="","",'Aset Tetap'!A142)</f>
        <v/>
      </c>
      <c r="B142" t="str">
        <f>IF('Aset Tetap'!$B142="","",'Aset Tetap'!B142)</f>
        <v/>
      </c>
      <c r="C142" t="str">
        <f>IF('Aset Tetap'!$B142="","",'Aset Tetap'!C142)</f>
        <v/>
      </c>
      <c r="D142" t="str">
        <f>IF('Aset Tetap'!$B142="","",'Aset Tetap'!D142)</f>
        <v/>
      </c>
      <c r="E142" s="22" t="str">
        <f>IF($B142="","",IF(N('Aset Tetap'!$AG142)=0,0,IF(AND((YEAR(E$6)*12+MONTH(E$6))&gt;='Aset Tetap'!$Y142,(YEAR(E$6)*12+MONTH(E$6))&lt;=MIN('Aset Tetap'!$Z142,IF('Aset Tetap'!$S142="Unit Produksi",99999,'Aset Tetap'!$Y142+'Aset Tetap'!$T142*12-1))),'Aset Tetap'!$AQ142/'Aset Tetap'!$AG142,0)))</f>
        <v/>
      </c>
      <c r="F142" s="22" t="str">
        <f>IF($B142="","",IF(N('Aset Tetap'!$AG142)=0,0,IF(AND((YEAR(F$6)*12+MONTH(F$6))&gt;='Aset Tetap'!$Y142,(YEAR(F$6)*12+MONTH(F$6))&lt;=MIN('Aset Tetap'!$Z142,IF('Aset Tetap'!$S142="Unit Produksi",99999,'Aset Tetap'!$Y142+'Aset Tetap'!$T142*12-1))),'Aset Tetap'!$AQ142/'Aset Tetap'!$AG142,0)))</f>
        <v/>
      </c>
      <c r="G142" s="22" t="str">
        <f>IF($B142="","",IF(N('Aset Tetap'!$AG142)=0,0,IF(AND((YEAR(G$6)*12+MONTH(G$6))&gt;='Aset Tetap'!$Y142,(YEAR(G$6)*12+MONTH(G$6))&lt;=MIN('Aset Tetap'!$Z142,IF('Aset Tetap'!$S142="Unit Produksi",99999,'Aset Tetap'!$Y142+'Aset Tetap'!$T142*12-1))),'Aset Tetap'!$AQ142/'Aset Tetap'!$AG142,0)))</f>
        <v/>
      </c>
      <c r="H142" s="22" t="str">
        <f>IF($B142="","",IF(N('Aset Tetap'!$AG142)=0,0,IF(AND((YEAR(H$6)*12+MONTH(H$6))&gt;='Aset Tetap'!$Y142,(YEAR(H$6)*12+MONTH(H$6))&lt;=MIN('Aset Tetap'!$Z142,IF('Aset Tetap'!$S142="Unit Produksi",99999,'Aset Tetap'!$Y142+'Aset Tetap'!$T142*12-1))),'Aset Tetap'!$AQ142/'Aset Tetap'!$AG142,0)))</f>
        <v/>
      </c>
      <c r="I142" s="22" t="str">
        <f>IF($B142="","",IF(N('Aset Tetap'!$AG142)=0,0,IF(AND((YEAR(I$6)*12+MONTH(I$6))&gt;='Aset Tetap'!$Y142,(YEAR(I$6)*12+MONTH(I$6))&lt;=MIN('Aset Tetap'!$Z142,IF('Aset Tetap'!$S142="Unit Produksi",99999,'Aset Tetap'!$Y142+'Aset Tetap'!$T142*12-1))),'Aset Tetap'!$AQ142/'Aset Tetap'!$AG142,0)))</f>
        <v/>
      </c>
      <c r="J142" s="22" t="str">
        <f>IF($B142="","",IF(N('Aset Tetap'!$AG142)=0,0,IF(AND((YEAR(J$6)*12+MONTH(J$6))&gt;='Aset Tetap'!$Y142,(YEAR(J$6)*12+MONTH(J$6))&lt;=MIN('Aset Tetap'!$Z142,IF('Aset Tetap'!$S142="Unit Produksi",99999,'Aset Tetap'!$Y142+'Aset Tetap'!$T142*12-1))),'Aset Tetap'!$AQ142/'Aset Tetap'!$AG142,0)))</f>
        <v/>
      </c>
      <c r="K142" s="22" t="str">
        <f>IF($B142="","",IF(N('Aset Tetap'!$AG142)=0,0,IF(AND((YEAR(K$6)*12+MONTH(K$6))&gt;='Aset Tetap'!$Y142,(YEAR(K$6)*12+MONTH(K$6))&lt;=MIN('Aset Tetap'!$Z142,IF('Aset Tetap'!$S142="Unit Produksi",99999,'Aset Tetap'!$Y142+'Aset Tetap'!$T142*12-1))),'Aset Tetap'!$AQ142/'Aset Tetap'!$AG142,0)))</f>
        <v/>
      </c>
      <c r="L142" s="22" t="str">
        <f>IF($B142="","",IF(N('Aset Tetap'!$AG142)=0,0,IF(AND((YEAR(L$6)*12+MONTH(L$6))&gt;='Aset Tetap'!$Y142,(YEAR(L$6)*12+MONTH(L$6))&lt;=MIN('Aset Tetap'!$Z142,IF('Aset Tetap'!$S142="Unit Produksi",99999,'Aset Tetap'!$Y142+'Aset Tetap'!$T142*12-1))),'Aset Tetap'!$AQ142/'Aset Tetap'!$AG142,0)))</f>
        <v/>
      </c>
      <c r="M142" s="22" t="str">
        <f>IF($B142="","",IF(N('Aset Tetap'!$AG142)=0,0,IF(AND((YEAR(M$6)*12+MONTH(M$6))&gt;='Aset Tetap'!$Y142,(YEAR(M$6)*12+MONTH(M$6))&lt;=MIN('Aset Tetap'!$Z142,IF('Aset Tetap'!$S142="Unit Produksi",99999,'Aset Tetap'!$Y142+'Aset Tetap'!$T142*12-1))),'Aset Tetap'!$AQ142/'Aset Tetap'!$AG142,0)))</f>
        <v/>
      </c>
      <c r="N142" s="22" t="str">
        <f>IF($B142="","",IF(N('Aset Tetap'!$AG142)=0,0,IF(AND((YEAR(N$6)*12+MONTH(N$6))&gt;='Aset Tetap'!$Y142,(YEAR(N$6)*12+MONTH(N$6))&lt;=MIN('Aset Tetap'!$Z142,IF('Aset Tetap'!$S142="Unit Produksi",99999,'Aset Tetap'!$Y142+'Aset Tetap'!$T142*12-1))),'Aset Tetap'!$AQ142/'Aset Tetap'!$AG142,0)))</f>
        <v/>
      </c>
      <c r="O142" s="22" t="str">
        <f>IF($B142="","",IF(N('Aset Tetap'!$AG142)=0,0,IF(AND((YEAR(O$6)*12+MONTH(O$6))&gt;='Aset Tetap'!$Y142,(YEAR(O$6)*12+MONTH(O$6))&lt;=MIN('Aset Tetap'!$Z142,IF('Aset Tetap'!$S142="Unit Produksi",99999,'Aset Tetap'!$Y142+'Aset Tetap'!$T142*12-1))),'Aset Tetap'!$AQ142/'Aset Tetap'!$AG142,0)))</f>
        <v/>
      </c>
      <c r="P142" s="22" t="str">
        <f>IF($B142="","",IF(N('Aset Tetap'!$AG142)=0,0,IF(AND((YEAR(P$6)*12+MONTH(P$6))&gt;='Aset Tetap'!$Y142,(YEAR(P$6)*12+MONTH(P$6))&lt;=MIN('Aset Tetap'!$Z142,IF('Aset Tetap'!$S142="Unit Produksi",99999,'Aset Tetap'!$Y142+'Aset Tetap'!$T142*12-1))),'Aset Tetap'!$AQ142/'Aset Tetap'!$AG142,0)))</f>
        <v/>
      </c>
      <c r="Q142" s="22" t="str">
        <f>IF($B142="","",SUM(E142:P142))</f>
        <v/>
      </c>
      <c r="R142" s="22" t="str">
        <f>IF($B142="","",'Aset Tetap'!AQ142)</f>
        <v/>
      </c>
      <c r="S142" s="22" t="str">
        <f>IF($B142="","",ROUND(Q142-R142,0))</f>
        <v/>
      </c>
    </row>
    <row r="143" spans="1:19" x14ac:dyDescent="0.25">
      <c r="A143" t="str">
        <f>IF('Aset Tetap'!$B143="","",'Aset Tetap'!A143)</f>
        <v/>
      </c>
      <c r="B143" t="str">
        <f>IF('Aset Tetap'!$B143="","",'Aset Tetap'!B143)</f>
        <v/>
      </c>
      <c r="C143" t="str">
        <f>IF('Aset Tetap'!$B143="","",'Aset Tetap'!C143)</f>
        <v/>
      </c>
      <c r="D143" t="str">
        <f>IF('Aset Tetap'!$B143="","",'Aset Tetap'!D143)</f>
        <v/>
      </c>
      <c r="E143" s="22" t="str">
        <f>IF($B143="","",IF(N('Aset Tetap'!$AG143)=0,0,IF(AND((YEAR(E$6)*12+MONTH(E$6))&gt;='Aset Tetap'!$Y143,(YEAR(E$6)*12+MONTH(E$6))&lt;=MIN('Aset Tetap'!$Z143,IF('Aset Tetap'!$S143="Unit Produksi",99999,'Aset Tetap'!$Y143+'Aset Tetap'!$T143*12-1))),'Aset Tetap'!$AQ143/'Aset Tetap'!$AG143,0)))</f>
        <v/>
      </c>
      <c r="F143" s="22" t="str">
        <f>IF($B143="","",IF(N('Aset Tetap'!$AG143)=0,0,IF(AND((YEAR(F$6)*12+MONTH(F$6))&gt;='Aset Tetap'!$Y143,(YEAR(F$6)*12+MONTH(F$6))&lt;=MIN('Aset Tetap'!$Z143,IF('Aset Tetap'!$S143="Unit Produksi",99999,'Aset Tetap'!$Y143+'Aset Tetap'!$T143*12-1))),'Aset Tetap'!$AQ143/'Aset Tetap'!$AG143,0)))</f>
        <v/>
      </c>
      <c r="G143" s="22" t="str">
        <f>IF($B143="","",IF(N('Aset Tetap'!$AG143)=0,0,IF(AND((YEAR(G$6)*12+MONTH(G$6))&gt;='Aset Tetap'!$Y143,(YEAR(G$6)*12+MONTH(G$6))&lt;=MIN('Aset Tetap'!$Z143,IF('Aset Tetap'!$S143="Unit Produksi",99999,'Aset Tetap'!$Y143+'Aset Tetap'!$T143*12-1))),'Aset Tetap'!$AQ143/'Aset Tetap'!$AG143,0)))</f>
        <v/>
      </c>
      <c r="H143" s="22" t="str">
        <f>IF($B143="","",IF(N('Aset Tetap'!$AG143)=0,0,IF(AND((YEAR(H$6)*12+MONTH(H$6))&gt;='Aset Tetap'!$Y143,(YEAR(H$6)*12+MONTH(H$6))&lt;=MIN('Aset Tetap'!$Z143,IF('Aset Tetap'!$S143="Unit Produksi",99999,'Aset Tetap'!$Y143+'Aset Tetap'!$T143*12-1))),'Aset Tetap'!$AQ143/'Aset Tetap'!$AG143,0)))</f>
        <v/>
      </c>
      <c r="I143" s="22" t="str">
        <f>IF($B143="","",IF(N('Aset Tetap'!$AG143)=0,0,IF(AND((YEAR(I$6)*12+MONTH(I$6))&gt;='Aset Tetap'!$Y143,(YEAR(I$6)*12+MONTH(I$6))&lt;=MIN('Aset Tetap'!$Z143,IF('Aset Tetap'!$S143="Unit Produksi",99999,'Aset Tetap'!$Y143+'Aset Tetap'!$T143*12-1))),'Aset Tetap'!$AQ143/'Aset Tetap'!$AG143,0)))</f>
        <v/>
      </c>
      <c r="J143" s="22" t="str">
        <f>IF($B143="","",IF(N('Aset Tetap'!$AG143)=0,0,IF(AND((YEAR(J$6)*12+MONTH(J$6))&gt;='Aset Tetap'!$Y143,(YEAR(J$6)*12+MONTH(J$6))&lt;=MIN('Aset Tetap'!$Z143,IF('Aset Tetap'!$S143="Unit Produksi",99999,'Aset Tetap'!$Y143+'Aset Tetap'!$T143*12-1))),'Aset Tetap'!$AQ143/'Aset Tetap'!$AG143,0)))</f>
        <v/>
      </c>
      <c r="K143" s="22" t="str">
        <f>IF($B143="","",IF(N('Aset Tetap'!$AG143)=0,0,IF(AND((YEAR(K$6)*12+MONTH(K$6))&gt;='Aset Tetap'!$Y143,(YEAR(K$6)*12+MONTH(K$6))&lt;=MIN('Aset Tetap'!$Z143,IF('Aset Tetap'!$S143="Unit Produksi",99999,'Aset Tetap'!$Y143+'Aset Tetap'!$T143*12-1))),'Aset Tetap'!$AQ143/'Aset Tetap'!$AG143,0)))</f>
        <v/>
      </c>
      <c r="L143" s="22" t="str">
        <f>IF($B143="","",IF(N('Aset Tetap'!$AG143)=0,0,IF(AND((YEAR(L$6)*12+MONTH(L$6))&gt;='Aset Tetap'!$Y143,(YEAR(L$6)*12+MONTH(L$6))&lt;=MIN('Aset Tetap'!$Z143,IF('Aset Tetap'!$S143="Unit Produksi",99999,'Aset Tetap'!$Y143+'Aset Tetap'!$T143*12-1))),'Aset Tetap'!$AQ143/'Aset Tetap'!$AG143,0)))</f>
        <v/>
      </c>
      <c r="M143" s="22" t="str">
        <f>IF($B143="","",IF(N('Aset Tetap'!$AG143)=0,0,IF(AND((YEAR(M$6)*12+MONTH(M$6))&gt;='Aset Tetap'!$Y143,(YEAR(M$6)*12+MONTH(M$6))&lt;=MIN('Aset Tetap'!$Z143,IF('Aset Tetap'!$S143="Unit Produksi",99999,'Aset Tetap'!$Y143+'Aset Tetap'!$T143*12-1))),'Aset Tetap'!$AQ143/'Aset Tetap'!$AG143,0)))</f>
        <v/>
      </c>
      <c r="N143" s="22" t="str">
        <f>IF($B143="","",IF(N('Aset Tetap'!$AG143)=0,0,IF(AND((YEAR(N$6)*12+MONTH(N$6))&gt;='Aset Tetap'!$Y143,(YEAR(N$6)*12+MONTH(N$6))&lt;=MIN('Aset Tetap'!$Z143,IF('Aset Tetap'!$S143="Unit Produksi",99999,'Aset Tetap'!$Y143+'Aset Tetap'!$T143*12-1))),'Aset Tetap'!$AQ143/'Aset Tetap'!$AG143,0)))</f>
        <v/>
      </c>
      <c r="O143" s="22" t="str">
        <f>IF($B143="","",IF(N('Aset Tetap'!$AG143)=0,0,IF(AND((YEAR(O$6)*12+MONTH(O$6))&gt;='Aset Tetap'!$Y143,(YEAR(O$6)*12+MONTH(O$6))&lt;=MIN('Aset Tetap'!$Z143,IF('Aset Tetap'!$S143="Unit Produksi",99999,'Aset Tetap'!$Y143+'Aset Tetap'!$T143*12-1))),'Aset Tetap'!$AQ143/'Aset Tetap'!$AG143,0)))</f>
        <v/>
      </c>
      <c r="P143" s="22" t="str">
        <f>IF($B143="","",IF(N('Aset Tetap'!$AG143)=0,0,IF(AND((YEAR(P$6)*12+MONTH(P$6))&gt;='Aset Tetap'!$Y143,(YEAR(P$6)*12+MONTH(P$6))&lt;=MIN('Aset Tetap'!$Z143,IF('Aset Tetap'!$S143="Unit Produksi",99999,'Aset Tetap'!$Y143+'Aset Tetap'!$T143*12-1))),'Aset Tetap'!$AQ143/'Aset Tetap'!$AG143,0)))</f>
        <v/>
      </c>
      <c r="Q143" s="22" t="str">
        <f>IF($B143="","",SUM(E143:P143))</f>
        <v/>
      </c>
      <c r="R143" s="22" t="str">
        <f>IF($B143="","",'Aset Tetap'!AQ143)</f>
        <v/>
      </c>
      <c r="S143" s="22" t="str">
        <f>IF($B143="","",ROUND(Q143-R143,0))</f>
        <v/>
      </c>
    </row>
    <row r="144" spans="1:19" x14ac:dyDescent="0.25">
      <c r="A144" t="str">
        <f>IF('Aset Tetap'!$B144="","",'Aset Tetap'!A144)</f>
        <v/>
      </c>
      <c r="B144" t="str">
        <f>IF('Aset Tetap'!$B144="","",'Aset Tetap'!B144)</f>
        <v/>
      </c>
      <c r="C144" t="str">
        <f>IF('Aset Tetap'!$B144="","",'Aset Tetap'!C144)</f>
        <v/>
      </c>
      <c r="D144" t="str">
        <f>IF('Aset Tetap'!$B144="","",'Aset Tetap'!D144)</f>
        <v/>
      </c>
      <c r="E144" s="22" t="str">
        <f>IF($B144="","",IF(N('Aset Tetap'!$AG144)=0,0,IF(AND((YEAR(E$6)*12+MONTH(E$6))&gt;='Aset Tetap'!$Y144,(YEAR(E$6)*12+MONTH(E$6))&lt;=MIN('Aset Tetap'!$Z144,IF('Aset Tetap'!$S144="Unit Produksi",99999,'Aset Tetap'!$Y144+'Aset Tetap'!$T144*12-1))),'Aset Tetap'!$AQ144/'Aset Tetap'!$AG144,0)))</f>
        <v/>
      </c>
      <c r="F144" s="22" t="str">
        <f>IF($B144="","",IF(N('Aset Tetap'!$AG144)=0,0,IF(AND((YEAR(F$6)*12+MONTH(F$6))&gt;='Aset Tetap'!$Y144,(YEAR(F$6)*12+MONTH(F$6))&lt;=MIN('Aset Tetap'!$Z144,IF('Aset Tetap'!$S144="Unit Produksi",99999,'Aset Tetap'!$Y144+'Aset Tetap'!$T144*12-1))),'Aset Tetap'!$AQ144/'Aset Tetap'!$AG144,0)))</f>
        <v/>
      </c>
      <c r="G144" s="22" t="str">
        <f>IF($B144="","",IF(N('Aset Tetap'!$AG144)=0,0,IF(AND((YEAR(G$6)*12+MONTH(G$6))&gt;='Aset Tetap'!$Y144,(YEAR(G$6)*12+MONTH(G$6))&lt;=MIN('Aset Tetap'!$Z144,IF('Aset Tetap'!$S144="Unit Produksi",99999,'Aset Tetap'!$Y144+'Aset Tetap'!$T144*12-1))),'Aset Tetap'!$AQ144/'Aset Tetap'!$AG144,0)))</f>
        <v/>
      </c>
      <c r="H144" s="22" t="str">
        <f>IF($B144="","",IF(N('Aset Tetap'!$AG144)=0,0,IF(AND((YEAR(H$6)*12+MONTH(H$6))&gt;='Aset Tetap'!$Y144,(YEAR(H$6)*12+MONTH(H$6))&lt;=MIN('Aset Tetap'!$Z144,IF('Aset Tetap'!$S144="Unit Produksi",99999,'Aset Tetap'!$Y144+'Aset Tetap'!$T144*12-1))),'Aset Tetap'!$AQ144/'Aset Tetap'!$AG144,0)))</f>
        <v/>
      </c>
      <c r="I144" s="22" t="str">
        <f>IF($B144="","",IF(N('Aset Tetap'!$AG144)=0,0,IF(AND((YEAR(I$6)*12+MONTH(I$6))&gt;='Aset Tetap'!$Y144,(YEAR(I$6)*12+MONTH(I$6))&lt;=MIN('Aset Tetap'!$Z144,IF('Aset Tetap'!$S144="Unit Produksi",99999,'Aset Tetap'!$Y144+'Aset Tetap'!$T144*12-1))),'Aset Tetap'!$AQ144/'Aset Tetap'!$AG144,0)))</f>
        <v/>
      </c>
      <c r="J144" s="22" t="str">
        <f>IF($B144="","",IF(N('Aset Tetap'!$AG144)=0,0,IF(AND((YEAR(J$6)*12+MONTH(J$6))&gt;='Aset Tetap'!$Y144,(YEAR(J$6)*12+MONTH(J$6))&lt;=MIN('Aset Tetap'!$Z144,IF('Aset Tetap'!$S144="Unit Produksi",99999,'Aset Tetap'!$Y144+'Aset Tetap'!$T144*12-1))),'Aset Tetap'!$AQ144/'Aset Tetap'!$AG144,0)))</f>
        <v/>
      </c>
      <c r="K144" s="22" t="str">
        <f>IF($B144="","",IF(N('Aset Tetap'!$AG144)=0,0,IF(AND((YEAR(K$6)*12+MONTH(K$6))&gt;='Aset Tetap'!$Y144,(YEAR(K$6)*12+MONTH(K$6))&lt;=MIN('Aset Tetap'!$Z144,IF('Aset Tetap'!$S144="Unit Produksi",99999,'Aset Tetap'!$Y144+'Aset Tetap'!$T144*12-1))),'Aset Tetap'!$AQ144/'Aset Tetap'!$AG144,0)))</f>
        <v/>
      </c>
      <c r="L144" s="22" t="str">
        <f>IF($B144="","",IF(N('Aset Tetap'!$AG144)=0,0,IF(AND((YEAR(L$6)*12+MONTH(L$6))&gt;='Aset Tetap'!$Y144,(YEAR(L$6)*12+MONTH(L$6))&lt;=MIN('Aset Tetap'!$Z144,IF('Aset Tetap'!$S144="Unit Produksi",99999,'Aset Tetap'!$Y144+'Aset Tetap'!$T144*12-1))),'Aset Tetap'!$AQ144/'Aset Tetap'!$AG144,0)))</f>
        <v/>
      </c>
      <c r="M144" s="22" t="str">
        <f>IF($B144="","",IF(N('Aset Tetap'!$AG144)=0,0,IF(AND((YEAR(M$6)*12+MONTH(M$6))&gt;='Aset Tetap'!$Y144,(YEAR(M$6)*12+MONTH(M$6))&lt;=MIN('Aset Tetap'!$Z144,IF('Aset Tetap'!$S144="Unit Produksi",99999,'Aset Tetap'!$Y144+'Aset Tetap'!$T144*12-1))),'Aset Tetap'!$AQ144/'Aset Tetap'!$AG144,0)))</f>
        <v/>
      </c>
      <c r="N144" s="22" t="str">
        <f>IF($B144="","",IF(N('Aset Tetap'!$AG144)=0,0,IF(AND((YEAR(N$6)*12+MONTH(N$6))&gt;='Aset Tetap'!$Y144,(YEAR(N$6)*12+MONTH(N$6))&lt;=MIN('Aset Tetap'!$Z144,IF('Aset Tetap'!$S144="Unit Produksi",99999,'Aset Tetap'!$Y144+'Aset Tetap'!$T144*12-1))),'Aset Tetap'!$AQ144/'Aset Tetap'!$AG144,0)))</f>
        <v/>
      </c>
      <c r="O144" s="22" t="str">
        <f>IF($B144="","",IF(N('Aset Tetap'!$AG144)=0,0,IF(AND((YEAR(O$6)*12+MONTH(O$6))&gt;='Aset Tetap'!$Y144,(YEAR(O$6)*12+MONTH(O$6))&lt;=MIN('Aset Tetap'!$Z144,IF('Aset Tetap'!$S144="Unit Produksi",99999,'Aset Tetap'!$Y144+'Aset Tetap'!$T144*12-1))),'Aset Tetap'!$AQ144/'Aset Tetap'!$AG144,0)))</f>
        <v/>
      </c>
      <c r="P144" s="22" t="str">
        <f>IF($B144="","",IF(N('Aset Tetap'!$AG144)=0,0,IF(AND((YEAR(P$6)*12+MONTH(P$6))&gt;='Aset Tetap'!$Y144,(YEAR(P$6)*12+MONTH(P$6))&lt;=MIN('Aset Tetap'!$Z144,IF('Aset Tetap'!$S144="Unit Produksi",99999,'Aset Tetap'!$Y144+'Aset Tetap'!$T144*12-1))),'Aset Tetap'!$AQ144/'Aset Tetap'!$AG144,0)))</f>
        <v/>
      </c>
      <c r="Q144" s="22" t="str">
        <f>IF($B144="","",SUM(E144:P144))</f>
        <v/>
      </c>
      <c r="R144" s="22" t="str">
        <f>IF($B144="","",'Aset Tetap'!AQ144)</f>
        <v/>
      </c>
      <c r="S144" s="22" t="str">
        <f>IF($B144="","",ROUND(Q144-R144,0))</f>
        <v/>
      </c>
    </row>
    <row r="145" spans="1:19" x14ac:dyDescent="0.25">
      <c r="A145" t="str">
        <f>IF('Aset Tetap'!$B145="","",'Aset Tetap'!A145)</f>
        <v/>
      </c>
      <c r="B145" t="str">
        <f>IF('Aset Tetap'!$B145="","",'Aset Tetap'!B145)</f>
        <v/>
      </c>
      <c r="C145" t="str">
        <f>IF('Aset Tetap'!$B145="","",'Aset Tetap'!C145)</f>
        <v/>
      </c>
      <c r="D145" t="str">
        <f>IF('Aset Tetap'!$B145="","",'Aset Tetap'!D145)</f>
        <v/>
      </c>
      <c r="E145" s="22" t="str">
        <f>IF($B145="","",IF(N('Aset Tetap'!$AG145)=0,0,IF(AND((YEAR(E$6)*12+MONTH(E$6))&gt;='Aset Tetap'!$Y145,(YEAR(E$6)*12+MONTH(E$6))&lt;=MIN('Aset Tetap'!$Z145,IF('Aset Tetap'!$S145="Unit Produksi",99999,'Aset Tetap'!$Y145+'Aset Tetap'!$T145*12-1))),'Aset Tetap'!$AQ145/'Aset Tetap'!$AG145,0)))</f>
        <v/>
      </c>
      <c r="F145" s="22" t="str">
        <f>IF($B145="","",IF(N('Aset Tetap'!$AG145)=0,0,IF(AND((YEAR(F$6)*12+MONTH(F$6))&gt;='Aset Tetap'!$Y145,(YEAR(F$6)*12+MONTH(F$6))&lt;=MIN('Aset Tetap'!$Z145,IF('Aset Tetap'!$S145="Unit Produksi",99999,'Aset Tetap'!$Y145+'Aset Tetap'!$T145*12-1))),'Aset Tetap'!$AQ145/'Aset Tetap'!$AG145,0)))</f>
        <v/>
      </c>
      <c r="G145" s="22" t="str">
        <f>IF($B145="","",IF(N('Aset Tetap'!$AG145)=0,0,IF(AND((YEAR(G$6)*12+MONTH(G$6))&gt;='Aset Tetap'!$Y145,(YEAR(G$6)*12+MONTH(G$6))&lt;=MIN('Aset Tetap'!$Z145,IF('Aset Tetap'!$S145="Unit Produksi",99999,'Aset Tetap'!$Y145+'Aset Tetap'!$T145*12-1))),'Aset Tetap'!$AQ145/'Aset Tetap'!$AG145,0)))</f>
        <v/>
      </c>
      <c r="H145" s="22" t="str">
        <f>IF($B145="","",IF(N('Aset Tetap'!$AG145)=0,0,IF(AND((YEAR(H$6)*12+MONTH(H$6))&gt;='Aset Tetap'!$Y145,(YEAR(H$6)*12+MONTH(H$6))&lt;=MIN('Aset Tetap'!$Z145,IF('Aset Tetap'!$S145="Unit Produksi",99999,'Aset Tetap'!$Y145+'Aset Tetap'!$T145*12-1))),'Aset Tetap'!$AQ145/'Aset Tetap'!$AG145,0)))</f>
        <v/>
      </c>
      <c r="I145" s="22" t="str">
        <f>IF($B145="","",IF(N('Aset Tetap'!$AG145)=0,0,IF(AND((YEAR(I$6)*12+MONTH(I$6))&gt;='Aset Tetap'!$Y145,(YEAR(I$6)*12+MONTH(I$6))&lt;=MIN('Aset Tetap'!$Z145,IF('Aset Tetap'!$S145="Unit Produksi",99999,'Aset Tetap'!$Y145+'Aset Tetap'!$T145*12-1))),'Aset Tetap'!$AQ145/'Aset Tetap'!$AG145,0)))</f>
        <v/>
      </c>
      <c r="J145" s="22" t="str">
        <f>IF($B145="","",IF(N('Aset Tetap'!$AG145)=0,0,IF(AND((YEAR(J$6)*12+MONTH(J$6))&gt;='Aset Tetap'!$Y145,(YEAR(J$6)*12+MONTH(J$6))&lt;=MIN('Aset Tetap'!$Z145,IF('Aset Tetap'!$S145="Unit Produksi",99999,'Aset Tetap'!$Y145+'Aset Tetap'!$T145*12-1))),'Aset Tetap'!$AQ145/'Aset Tetap'!$AG145,0)))</f>
        <v/>
      </c>
      <c r="K145" s="22" t="str">
        <f>IF($B145="","",IF(N('Aset Tetap'!$AG145)=0,0,IF(AND((YEAR(K$6)*12+MONTH(K$6))&gt;='Aset Tetap'!$Y145,(YEAR(K$6)*12+MONTH(K$6))&lt;=MIN('Aset Tetap'!$Z145,IF('Aset Tetap'!$S145="Unit Produksi",99999,'Aset Tetap'!$Y145+'Aset Tetap'!$T145*12-1))),'Aset Tetap'!$AQ145/'Aset Tetap'!$AG145,0)))</f>
        <v/>
      </c>
      <c r="L145" s="22" t="str">
        <f>IF($B145="","",IF(N('Aset Tetap'!$AG145)=0,0,IF(AND((YEAR(L$6)*12+MONTH(L$6))&gt;='Aset Tetap'!$Y145,(YEAR(L$6)*12+MONTH(L$6))&lt;=MIN('Aset Tetap'!$Z145,IF('Aset Tetap'!$S145="Unit Produksi",99999,'Aset Tetap'!$Y145+'Aset Tetap'!$T145*12-1))),'Aset Tetap'!$AQ145/'Aset Tetap'!$AG145,0)))</f>
        <v/>
      </c>
      <c r="M145" s="22" t="str">
        <f>IF($B145="","",IF(N('Aset Tetap'!$AG145)=0,0,IF(AND((YEAR(M$6)*12+MONTH(M$6))&gt;='Aset Tetap'!$Y145,(YEAR(M$6)*12+MONTH(M$6))&lt;=MIN('Aset Tetap'!$Z145,IF('Aset Tetap'!$S145="Unit Produksi",99999,'Aset Tetap'!$Y145+'Aset Tetap'!$T145*12-1))),'Aset Tetap'!$AQ145/'Aset Tetap'!$AG145,0)))</f>
        <v/>
      </c>
      <c r="N145" s="22" t="str">
        <f>IF($B145="","",IF(N('Aset Tetap'!$AG145)=0,0,IF(AND((YEAR(N$6)*12+MONTH(N$6))&gt;='Aset Tetap'!$Y145,(YEAR(N$6)*12+MONTH(N$6))&lt;=MIN('Aset Tetap'!$Z145,IF('Aset Tetap'!$S145="Unit Produksi",99999,'Aset Tetap'!$Y145+'Aset Tetap'!$T145*12-1))),'Aset Tetap'!$AQ145/'Aset Tetap'!$AG145,0)))</f>
        <v/>
      </c>
      <c r="O145" s="22" t="str">
        <f>IF($B145="","",IF(N('Aset Tetap'!$AG145)=0,0,IF(AND((YEAR(O$6)*12+MONTH(O$6))&gt;='Aset Tetap'!$Y145,(YEAR(O$6)*12+MONTH(O$6))&lt;=MIN('Aset Tetap'!$Z145,IF('Aset Tetap'!$S145="Unit Produksi",99999,'Aset Tetap'!$Y145+'Aset Tetap'!$T145*12-1))),'Aset Tetap'!$AQ145/'Aset Tetap'!$AG145,0)))</f>
        <v/>
      </c>
      <c r="P145" s="22" t="str">
        <f>IF($B145="","",IF(N('Aset Tetap'!$AG145)=0,0,IF(AND((YEAR(P$6)*12+MONTH(P$6))&gt;='Aset Tetap'!$Y145,(YEAR(P$6)*12+MONTH(P$6))&lt;=MIN('Aset Tetap'!$Z145,IF('Aset Tetap'!$S145="Unit Produksi",99999,'Aset Tetap'!$Y145+'Aset Tetap'!$T145*12-1))),'Aset Tetap'!$AQ145/'Aset Tetap'!$AG145,0)))</f>
        <v/>
      </c>
      <c r="Q145" s="22" t="str">
        <f>IF($B145="","",SUM(E145:P145))</f>
        <v/>
      </c>
      <c r="R145" s="22" t="str">
        <f>IF($B145="","",'Aset Tetap'!AQ145)</f>
        <v/>
      </c>
      <c r="S145" s="22" t="str">
        <f>IF($B145="","",ROUND(Q145-R145,0))</f>
        <v/>
      </c>
    </row>
    <row r="146" spans="1:19" x14ac:dyDescent="0.25">
      <c r="A146" t="str">
        <f>IF('Aset Tetap'!$B146="","",'Aset Tetap'!A146)</f>
        <v/>
      </c>
      <c r="B146" t="str">
        <f>IF('Aset Tetap'!$B146="","",'Aset Tetap'!B146)</f>
        <v/>
      </c>
      <c r="C146" t="str">
        <f>IF('Aset Tetap'!$B146="","",'Aset Tetap'!C146)</f>
        <v/>
      </c>
      <c r="D146" t="str">
        <f>IF('Aset Tetap'!$B146="","",'Aset Tetap'!D146)</f>
        <v/>
      </c>
      <c r="E146" s="22" t="str">
        <f>IF($B146="","",IF(N('Aset Tetap'!$AG146)=0,0,IF(AND((YEAR(E$6)*12+MONTH(E$6))&gt;='Aset Tetap'!$Y146,(YEAR(E$6)*12+MONTH(E$6))&lt;=MIN('Aset Tetap'!$Z146,IF('Aset Tetap'!$S146="Unit Produksi",99999,'Aset Tetap'!$Y146+'Aset Tetap'!$T146*12-1))),'Aset Tetap'!$AQ146/'Aset Tetap'!$AG146,0)))</f>
        <v/>
      </c>
      <c r="F146" s="22" t="str">
        <f>IF($B146="","",IF(N('Aset Tetap'!$AG146)=0,0,IF(AND((YEAR(F$6)*12+MONTH(F$6))&gt;='Aset Tetap'!$Y146,(YEAR(F$6)*12+MONTH(F$6))&lt;=MIN('Aset Tetap'!$Z146,IF('Aset Tetap'!$S146="Unit Produksi",99999,'Aset Tetap'!$Y146+'Aset Tetap'!$T146*12-1))),'Aset Tetap'!$AQ146/'Aset Tetap'!$AG146,0)))</f>
        <v/>
      </c>
      <c r="G146" s="22" t="str">
        <f>IF($B146="","",IF(N('Aset Tetap'!$AG146)=0,0,IF(AND((YEAR(G$6)*12+MONTH(G$6))&gt;='Aset Tetap'!$Y146,(YEAR(G$6)*12+MONTH(G$6))&lt;=MIN('Aset Tetap'!$Z146,IF('Aset Tetap'!$S146="Unit Produksi",99999,'Aset Tetap'!$Y146+'Aset Tetap'!$T146*12-1))),'Aset Tetap'!$AQ146/'Aset Tetap'!$AG146,0)))</f>
        <v/>
      </c>
      <c r="H146" s="22" t="str">
        <f>IF($B146="","",IF(N('Aset Tetap'!$AG146)=0,0,IF(AND((YEAR(H$6)*12+MONTH(H$6))&gt;='Aset Tetap'!$Y146,(YEAR(H$6)*12+MONTH(H$6))&lt;=MIN('Aset Tetap'!$Z146,IF('Aset Tetap'!$S146="Unit Produksi",99999,'Aset Tetap'!$Y146+'Aset Tetap'!$T146*12-1))),'Aset Tetap'!$AQ146/'Aset Tetap'!$AG146,0)))</f>
        <v/>
      </c>
      <c r="I146" s="22" t="str">
        <f>IF($B146="","",IF(N('Aset Tetap'!$AG146)=0,0,IF(AND((YEAR(I$6)*12+MONTH(I$6))&gt;='Aset Tetap'!$Y146,(YEAR(I$6)*12+MONTH(I$6))&lt;=MIN('Aset Tetap'!$Z146,IF('Aset Tetap'!$S146="Unit Produksi",99999,'Aset Tetap'!$Y146+'Aset Tetap'!$T146*12-1))),'Aset Tetap'!$AQ146/'Aset Tetap'!$AG146,0)))</f>
        <v/>
      </c>
      <c r="J146" s="22" t="str">
        <f>IF($B146="","",IF(N('Aset Tetap'!$AG146)=0,0,IF(AND((YEAR(J$6)*12+MONTH(J$6))&gt;='Aset Tetap'!$Y146,(YEAR(J$6)*12+MONTH(J$6))&lt;=MIN('Aset Tetap'!$Z146,IF('Aset Tetap'!$S146="Unit Produksi",99999,'Aset Tetap'!$Y146+'Aset Tetap'!$T146*12-1))),'Aset Tetap'!$AQ146/'Aset Tetap'!$AG146,0)))</f>
        <v/>
      </c>
      <c r="K146" s="22" t="str">
        <f>IF($B146="","",IF(N('Aset Tetap'!$AG146)=0,0,IF(AND((YEAR(K$6)*12+MONTH(K$6))&gt;='Aset Tetap'!$Y146,(YEAR(K$6)*12+MONTH(K$6))&lt;=MIN('Aset Tetap'!$Z146,IF('Aset Tetap'!$S146="Unit Produksi",99999,'Aset Tetap'!$Y146+'Aset Tetap'!$T146*12-1))),'Aset Tetap'!$AQ146/'Aset Tetap'!$AG146,0)))</f>
        <v/>
      </c>
      <c r="L146" s="22" t="str">
        <f>IF($B146="","",IF(N('Aset Tetap'!$AG146)=0,0,IF(AND((YEAR(L$6)*12+MONTH(L$6))&gt;='Aset Tetap'!$Y146,(YEAR(L$6)*12+MONTH(L$6))&lt;=MIN('Aset Tetap'!$Z146,IF('Aset Tetap'!$S146="Unit Produksi",99999,'Aset Tetap'!$Y146+'Aset Tetap'!$T146*12-1))),'Aset Tetap'!$AQ146/'Aset Tetap'!$AG146,0)))</f>
        <v/>
      </c>
      <c r="M146" s="22" t="str">
        <f>IF($B146="","",IF(N('Aset Tetap'!$AG146)=0,0,IF(AND((YEAR(M$6)*12+MONTH(M$6))&gt;='Aset Tetap'!$Y146,(YEAR(M$6)*12+MONTH(M$6))&lt;=MIN('Aset Tetap'!$Z146,IF('Aset Tetap'!$S146="Unit Produksi",99999,'Aset Tetap'!$Y146+'Aset Tetap'!$T146*12-1))),'Aset Tetap'!$AQ146/'Aset Tetap'!$AG146,0)))</f>
        <v/>
      </c>
      <c r="N146" s="22" t="str">
        <f>IF($B146="","",IF(N('Aset Tetap'!$AG146)=0,0,IF(AND((YEAR(N$6)*12+MONTH(N$6))&gt;='Aset Tetap'!$Y146,(YEAR(N$6)*12+MONTH(N$6))&lt;=MIN('Aset Tetap'!$Z146,IF('Aset Tetap'!$S146="Unit Produksi",99999,'Aset Tetap'!$Y146+'Aset Tetap'!$T146*12-1))),'Aset Tetap'!$AQ146/'Aset Tetap'!$AG146,0)))</f>
        <v/>
      </c>
      <c r="O146" s="22" t="str">
        <f>IF($B146="","",IF(N('Aset Tetap'!$AG146)=0,0,IF(AND((YEAR(O$6)*12+MONTH(O$6))&gt;='Aset Tetap'!$Y146,(YEAR(O$6)*12+MONTH(O$6))&lt;=MIN('Aset Tetap'!$Z146,IF('Aset Tetap'!$S146="Unit Produksi",99999,'Aset Tetap'!$Y146+'Aset Tetap'!$T146*12-1))),'Aset Tetap'!$AQ146/'Aset Tetap'!$AG146,0)))</f>
        <v/>
      </c>
      <c r="P146" s="22" t="str">
        <f>IF($B146="","",IF(N('Aset Tetap'!$AG146)=0,0,IF(AND((YEAR(P$6)*12+MONTH(P$6))&gt;='Aset Tetap'!$Y146,(YEAR(P$6)*12+MONTH(P$6))&lt;=MIN('Aset Tetap'!$Z146,IF('Aset Tetap'!$S146="Unit Produksi",99999,'Aset Tetap'!$Y146+'Aset Tetap'!$T146*12-1))),'Aset Tetap'!$AQ146/'Aset Tetap'!$AG146,0)))</f>
        <v/>
      </c>
      <c r="Q146" s="22" t="str">
        <f>IF($B146="","",SUM(E146:P146))</f>
        <v/>
      </c>
      <c r="R146" s="22" t="str">
        <f>IF($B146="","",'Aset Tetap'!AQ146)</f>
        <v/>
      </c>
      <c r="S146" s="22" t="str">
        <f>IF($B146="","",ROUND(Q146-R146,0))</f>
        <v/>
      </c>
    </row>
    <row r="147" spans="1:19" x14ac:dyDescent="0.25">
      <c r="A147" t="str">
        <f>IF('Aset Tetap'!$B147="","",'Aset Tetap'!A147)</f>
        <v/>
      </c>
      <c r="B147" t="str">
        <f>IF('Aset Tetap'!$B147="","",'Aset Tetap'!B147)</f>
        <v/>
      </c>
      <c r="C147" t="str">
        <f>IF('Aset Tetap'!$B147="","",'Aset Tetap'!C147)</f>
        <v/>
      </c>
      <c r="D147" t="str">
        <f>IF('Aset Tetap'!$B147="","",'Aset Tetap'!D147)</f>
        <v/>
      </c>
      <c r="E147" s="22" t="str">
        <f>IF($B147="","",IF(N('Aset Tetap'!$AG147)=0,0,IF(AND((YEAR(E$6)*12+MONTH(E$6))&gt;='Aset Tetap'!$Y147,(YEAR(E$6)*12+MONTH(E$6))&lt;=MIN('Aset Tetap'!$Z147,IF('Aset Tetap'!$S147="Unit Produksi",99999,'Aset Tetap'!$Y147+'Aset Tetap'!$T147*12-1))),'Aset Tetap'!$AQ147/'Aset Tetap'!$AG147,0)))</f>
        <v/>
      </c>
      <c r="F147" s="22" t="str">
        <f>IF($B147="","",IF(N('Aset Tetap'!$AG147)=0,0,IF(AND((YEAR(F$6)*12+MONTH(F$6))&gt;='Aset Tetap'!$Y147,(YEAR(F$6)*12+MONTH(F$6))&lt;=MIN('Aset Tetap'!$Z147,IF('Aset Tetap'!$S147="Unit Produksi",99999,'Aset Tetap'!$Y147+'Aset Tetap'!$T147*12-1))),'Aset Tetap'!$AQ147/'Aset Tetap'!$AG147,0)))</f>
        <v/>
      </c>
      <c r="G147" s="22" t="str">
        <f>IF($B147="","",IF(N('Aset Tetap'!$AG147)=0,0,IF(AND((YEAR(G$6)*12+MONTH(G$6))&gt;='Aset Tetap'!$Y147,(YEAR(G$6)*12+MONTH(G$6))&lt;=MIN('Aset Tetap'!$Z147,IF('Aset Tetap'!$S147="Unit Produksi",99999,'Aset Tetap'!$Y147+'Aset Tetap'!$T147*12-1))),'Aset Tetap'!$AQ147/'Aset Tetap'!$AG147,0)))</f>
        <v/>
      </c>
      <c r="H147" s="22" t="str">
        <f>IF($B147="","",IF(N('Aset Tetap'!$AG147)=0,0,IF(AND((YEAR(H$6)*12+MONTH(H$6))&gt;='Aset Tetap'!$Y147,(YEAR(H$6)*12+MONTH(H$6))&lt;=MIN('Aset Tetap'!$Z147,IF('Aset Tetap'!$S147="Unit Produksi",99999,'Aset Tetap'!$Y147+'Aset Tetap'!$T147*12-1))),'Aset Tetap'!$AQ147/'Aset Tetap'!$AG147,0)))</f>
        <v/>
      </c>
      <c r="I147" s="22" t="str">
        <f>IF($B147="","",IF(N('Aset Tetap'!$AG147)=0,0,IF(AND((YEAR(I$6)*12+MONTH(I$6))&gt;='Aset Tetap'!$Y147,(YEAR(I$6)*12+MONTH(I$6))&lt;=MIN('Aset Tetap'!$Z147,IF('Aset Tetap'!$S147="Unit Produksi",99999,'Aset Tetap'!$Y147+'Aset Tetap'!$T147*12-1))),'Aset Tetap'!$AQ147/'Aset Tetap'!$AG147,0)))</f>
        <v/>
      </c>
      <c r="J147" s="22" t="str">
        <f>IF($B147="","",IF(N('Aset Tetap'!$AG147)=0,0,IF(AND((YEAR(J$6)*12+MONTH(J$6))&gt;='Aset Tetap'!$Y147,(YEAR(J$6)*12+MONTH(J$6))&lt;=MIN('Aset Tetap'!$Z147,IF('Aset Tetap'!$S147="Unit Produksi",99999,'Aset Tetap'!$Y147+'Aset Tetap'!$T147*12-1))),'Aset Tetap'!$AQ147/'Aset Tetap'!$AG147,0)))</f>
        <v/>
      </c>
      <c r="K147" s="22" t="str">
        <f>IF($B147="","",IF(N('Aset Tetap'!$AG147)=0,0,IF(AND((YEAR(K$6)*12+MONTH(K$6))&gt;='Aset Tetap'!$Y147,(YEAR(K$6)*12+MONTH(K$6))&lt;=MIN('Aset Tetap'!$Z147,IF('Aset Tetap'!$S147="Unit Produksi",99999,'Aset Tetap'!$Y147+'Aset Tetap'!$T147*12-1))),'Aset Tetap'!$AQ147/'Aset Tetap'!$AG147,0)))</f>
        <v/>
      </c>
      <c r="L147" s="22" t="str">
        <f>IF($B147="","",IF(N('Aset Tetap'!$AG147)=0,0,IF(AND((YEAR(L$6)*12+MONTH(L$6))&gt;='Aset Tetap'!$Y147,(YEAR(L$6)*12+MONTH(L$6))&lt;=MIN('Aset Tetap'!$Z147,IF('Aset Tetap'!$S147="Unit Produksi",99999,'Aset Tetap'!$Y147+'Aset Tetap'!$T147*12-1))),'Aset Tetap'!$AQ147/'Aset Tetap'!$AG147,0)))</f>
        <v/>
      </c>
      <c r="M147" s="22" t="str">
        <f>IF($B147="","",IF(N('Aset Tetap'!$AG147)=0,0,IF(AND((YEAR(M$6)*12+MONTH(M$6))&gt;='Aset Tetap'!$Y147,(YEAR(M$6)*12+MONTH(M$6))&lt;=MIN('Aset Tetap'!$Z147,IF('Aset Tetap'!$S147="Unit Produksi",99999,'Aset Tetap'!$Y147+'Aset Tetap'!$T147*12-1))),'Aset Tetap'!$AQ147/'Aset Tetap'!$AG147,0)))</f>
        <v/>
      </c>
      <c r="N147" s="22" t="str">
        <f>IF($B147="","",IF(N('Aset Tetap'!$AG147)=0,0,IF(AND((YEAR(N$6)*12+MONTH(N$6))&gt;='Aset Tetap'!$Y147,(YEAR(N$6)*12+MONTH(N$6))&lt;=MIN('Aset Tetap'!$Z147,IF('Aset Tetap'!$S147="Unit Produksi",99999,'Aset Tetap'!$Y147+'Aset Tetap'!$T147*12-1))),'Aset Tetap'!$AQ147/'Aset Tetap'!$AG147,0)))</f>
        <v/>
      </c>
      <c r="O147" s="22" t="str">
        <f>IF($B147="","",IF(N('Aset Tetap'!$AG147)=0,0,IF(AND((YEAR(O$6)*12+MONTH(O$6))&gt;='Aset Tetap'!$Y147,(YEAR(O$6)*12+MONTH(O$6))&lt;=MIN('Aset Tetap'!$Z147,IF('Aset Tetap'!$S147="Unit Produksi",99999,'Aset Tetap'!$Y147+'Aset Tetap'!$T147*12-1))),'Aset Tetap'!$AQ147/'Aset Tetap'!$AG147,0)))</f>
        <v/>
      </c>
      <c r="P147" s="22" t="str">
        <f>IF($B147="","",IF(N('Aset Tetap'!$AG147)=0,0,IF(AND((YEAR(P$6)*12+MONTH(P$6))&gt;='Aset Tetap'!$Y147,(YEAR(P$6)*12+MONTH(P$6))&lt;=MIN('Aset Tetap'!$Z147,IF('Aset Tetap'!$S147="Unit Produksi",99999,'Aset Tetap'!$Y147+'Aset Tetap'!$T147*12-1))),'Aset Tetap'!$AQ147/'Aset Tetap'!$AG147,0)))</f>
        <v/>
      </c>
      <c r="Q147" s="22" t="str">
        <f>IF($B147="","",SUM(E147:P147))</f>
        <v/>
      </c>
      <c r="R147" s="22" t="str">
        <f>IF($B147="","",'Aset Tetap'!AQ147)</f>
        <v/>
      </c>
      <c r="S147" s="22" t="str">
        <f>IF($B147="","",ROUND(Q147-R147,0))</f>
        <v/>
      </c>
    </row>
    <row r="148" spans="1:19" x14ac:dyDescent="0.25">
      <c r="A148" t="str">
        <f>IF('Aset Tetap'!$B148="","",'Aset Tetap'!A148)</f>
        <v/>
      </c>
      <c r="B148" t="str">
        <f>IF('Aset Tetap'!$B148="","",'Aset Tetap'!B148)</f>
        <v/>
      </c>
      <c r="C148" t="str">
        <f>IF('Aset Tetap'!$B148="","",'Aset Tetap'!C148)</f>
        <v/>
      </c>
      <c r="D148" t="str">
        <f>IF('Aset Tetap'!$B148="","",'Aset Tetap'!D148)</f>
        <v/>
      </c>
      <c r="E148" s="22" t="str">
        <f>IF($B148="","",IF(N('Aset Tetap'!$AG148)=0,0,IF(AND((YEAR(E$6)*12+MONTH(E$6))&gt;='Aset Tetap'!$Y148,(YEAR(E$6)*12+MONTH(E$6))&lt;=MIN('Aset Tetap'!$Z148,IF('Aset Tetap'!$S148="Unit Produksi",99999,'Aset Tetap'!$Y148+'Aset Tetap'!$T148*12-1))),'Aset Tetap'!$AQ148/'Aset Tetap'!$AG148,0)))</f>
        <v/>
      </c>
      <c r="F148" s="22" t="str">
        <f>IF($B148="","",IF(N('Aset Tetap'!$AG148)=0,0,IF(AND((YEAR(F$6)*12+MONTH(F$6))&gt;='Aset Tetap'!$Y148,(YEAR(F$6)*12+MONTH(F$6))&lt;=MIN('Aset Tetap'!$Z148,IF('Aset Tetap'!$S148="Unit Produksi",99999,'Aset Tetap'!$Y148+'Aset Tetap'!$T148*12-1))),'Aset Tetap'!$AQ148/'Aset Tetap'!$AG148,0)))</f>
        <v/>
      </c>
      <c r="G148" s="22" t="str">
        <f>IF($B148="","",IF(N('Aset Tetap'!$AG148)=0,0,IF(AND((YEAR(G$6)*12+MONTH(G$6))&gt;='Aset Tetap'!$Y148,(YEAR(G$6)*12+MONTH(G$6))&lt;=MIN('Aset Tetap'!$Z148,IF('Aset Tetap'!$S148="Unit Produksi",99999,'Aset Tetap'!$Y148+'Aset Tetap'!$T148*12-1))),'Aset Tetap'!$AQ148/'Aset Tetap'!$AG148,0)))</f>
        <v/>
      </c>
      <c r="H148" s="22" t="str">
        <f>IF($B148="","",IF(N('Aset Tetap'!$AG148)=0,0,IF(AND((YEAR(H$6)*12+MONTH(H$6))&gt;='Aset Tetap'!$Y148,(YEAR(H$6)*12+MONTH(H$6))&lt;=MIN('Aset Tetap'!$Z148,IF('Aset Tetap'!$S148="Unit Produksi",99999,'Aset Tetap'!$Y148+'Aset Tetap'!$T148*12-1))),'Aset Tetap'!$AQ148/'Aset Tetap'!$AG148,0)))</f>
        <v/>
      </c>
      <c r="I148" s="22" t="str">
        <f>IF($B148="","",IF(N('Aset Tetap'!$AG148)=0,0,IF(AND((YEAR(I$6)*12+MONTH(I$6))&gt;='Aset Tetap'!$Y148,(YEAR(I$6)*12+MONTH(I$6))&lt;=MIN('Aset Tetap'!$Z148,IF('Aset Tetap'!$S148="Unit Produksi",99999,'Aset Tetap'!$Y148+'Aset Tetap'!$T148*12-1))),'Aset Tetap'!$AQ148/'Aset Tetap'!$AG148,0)))</f>
        <v/>
      </c>
      <c r="J148" s="22" t="str">
        <f>IF($B148="","",IF(N('Aset Tetap'!$AG148)=0,0,IF(AND((YEAR(J$6)*12+MONTH(J$6))&gt;='Aset Tetap'!$Y148,(YEAR(J$6)*12+MONTH(J$6))&lt;=MIN('Aset Tetap'!$Z148,IF('Aset Tetap'!$S148="Unit Produksi",99999,'Aset Tetap'!$Y148+'Aset Tetap'!$T148*12-1))),'Aset Tetap'!$AQ148/'Aset Tetap'!$AG148,0)))</f>
        <v/>
      </c>
      <c r="K148" s="22" t="str">
        <f>IF($B148="","",IF(N('Aset Tetap'!$AG148)=0,0,IF(AND((YEAR(K$6)*12+MONTH(K$6))&gt;='Aset Tetap'!$Y148,(YEAR(K$6)*12+MONTH(K$6))&lt;=MIN('Aset Tetap'!$Z148,IF('Aset Tetap'!$S148="Unit Produksi",99999,'Aset Tetap'!$Y148+'Aset Tetap'!$T148*12-1))),'Aset Tetap'!$AQ148/'Aset Tetap'!$AG148,0)))</f>
        <v/>
      </c>
      <c r="L148" s="22" t="str">
        <f>IF($B148="","",IF(N('Aset Tetap'!$AG148)=0,0,IF(AND((YEAR(L$6)*12+MONTH(L$6))&gt;='Aset Tetap'!$Y148,(YEAR(L$6)*12+MONTH(L$6))&lt;=MIN('Aset Tetap'!$Z148,IF('Aset Tetap'!$S148="Unit Produksi",99999,'Aset Tetap'!$Y148+'Aset Tetap'!$T148*12-1))),'Aset Tetap'!$AQ148/'Aset Tetap'!$AG148,0)))</f>
        <v/>
      </c>
      <c r="M148" s="22" t="str">
        <f>IF($B148="","",IF(N('Aset Tetap'!$AG148)=0,0,IF(AND((YEAR(M$6)*12+MONTH(M$6))&gt;='Aset Tetap'!$Y148,(YEAR(M$6)*12+MONTH(M$6))&lt;=MIN('Aset Tetap'!$Z148,IF('Aset Tetap'!$S148="Unit Produksi",99999,'Aset Tetap'!$Y148+'Aset Tetap'!$T148*12-1))),'Aset Tetap'!$AQ148/'Aset Tetap'!$AG148,0)))</f>
        <v/>
      </c>
      <c r="N148" s="22" t="str">
        <f>IF($B148="","",IF(N('Aset Tetap'!$AG148)=0,0,IF(AND((YEAR(N$6)*12+MONTH(N$6))&gt;='Aset Tetap'!$Y148,(YEAR(N$6)*12+MONTH(N$6))&lt;=MIN('Aset Tetap'!$Z148,IF('Aset Tetap'!$S148="Unit Produksi",99999,'Aset Tetap'!$Y148+'Aset Tetap'!$T148*12-1))),'Aset Tetap'!$AQ148/'Aset Tetap'!$AG148,0)))</f>
        <v/>
      </c>
      <c r="O148" s="22" t="str">
        <f>IF($B148="","",IF(N('Aset Tetap'!$AG148)=0,0,IF(AND((YEAR(O$6)*12+MONTH(O$6))&gt;='Aset Tetap'!$Y148,(YEAR(O$6)*12+MONTH(O$6))&lt;=MIN('Aset Tetap'!$Z148,IF('Aset Tetap'!$S148="Unit Produksi",99999,'Aset Tetap'!$Y148+'Aset Tetap'!$T148*12-1))),'Aset Tetap'!$AQ148/'Aset Tetap'!$AG148,0)))</f>
        <v/>
      </c>
      <c r="P148" s="22" t="str">
        <f>IF($B148="","",IF(N('Aset Tetap'!$AG148)=0,0,IF(AND((YEAR(P$6)*12+MONTH(P$6))&gt;='Aset Tetap'!$Y148,(YEAR(P$6)*12+MONTH(P$6))&lt;=MIN('Aset Tetap'!$Z148,IF('Aset Tetap'!$S148="Unit Produksi",99999,'Aset Tetap'!$Y148+'Aset Tetap'!$T148*12-1))),'Aset Tetap'!$AQ148/'Aset Tetap'!$AG148,0)))</f>
        <v/>
      </c>
      <c r="Q148" s="22" t="str">
        <f>IF($B148="","",SUM(E148:P148))</f>
        <v/>
      </c>
      <c r="R148" s="22" t="str">
        <f>IF($B148="","",'Aset Tetap'!AQ148)</f>
        <v/>
      </c>
      <c r="S148" s="22" t="str">
        <f>IF($B148="","",ROUND(Q148-R148,0))</f>
        <v/>
      </c>
    </row>
    <row r="149" spans="1:19" x14ac:dyDescent="0.25">
      <c r="A149" t="str">
        <f>IF('Aset Tetap'!$B149="","",'Aset Tetap'!A149)</f>
        <v/>
      </c>
      <c r="B149" t="str">
        <f>IF('Aset Tetap'!$B149="","",'Aset Tetap'!B149)</f>
        <v/>
      </c>
      <c r="C149" t="str">
        <f>IF('Aset Tetap'!$B149="","",'Aset Tetap'!C149)</f>
        <v/>
      </c>
      <c r="D149" t="str">
        <f>IF('Aset Tetap'!$B149="","",'Aset Tetap'!D149)</f>
        <v/>
      </c>
      <c r="E149" s="22" t="str">
        <f>IF($B149="","",IF(N('Aset Tetap'!$AG149)=0,0,IF(AND((YEAR(E$6)*12+MONTH(E$6))&gt;='Aset Tetap'!$Y149,(YEAR(E$6)*12+MONTH(E$6))&lt;=MIN('Aset Tetap'!$Z149,IF('Aset Tetap'!$S149="Unit Produksi",99999,'Aset Tetap'!$Y149+'Aset Tetap'!$T149*12-1))),'Aset Tetap'!$AQ149/'Aset Tetap'!$AG149,0)))</f>
        <v/>
      </c>
      <c r="F149" s="22" t="str">
        <f>IF($B149="","",IF(N('Aset Tetap'!$AG149)=0,0,IF(AND((YEAR(F$6)*12+MONTH(F$6))&gt;='Aset Tetap'!$Y149,(YEAR(F$6)*12+MONTH(F$6))&lt;=MIN('Aset Tetap'!$Z149,IF('Aset Tetap'!$S149="Unit Produksi",99999,'Aset Tetap'!$Y149+'Aset Tetap'!$T149*12-1))),'Aset Tetap'!$AQ149/'Aset Tetap'!$AG149,0)))</f>
        <v/>
      </c>
      <c r="G149" s="22" t="str">
        <f>IF($B149="","",IF(N('Aset Tetap'!$AG149)=0,0,IF(AND((YEAR(G$6)*12+MONTH(G$6))&gt;='Aset Tetap'!$Y149,(YEAR(G$6)*12+MONTH(G$6))&lt;=MIN('Aset Tetap'!$Z149,IF('Aset Tetap'!$S149="Unit Produksi",99999,'Aset Tetap'!$Y149+'Aset Tetap'!$T149*12-1))),'Aset Tetap'!$AQ149/'Aset Tetap'!$AG149,0)))</f>
        <v/>
      </c>
      <c r="H149" s="22" t="str">
        <f>IF($B149="","",IF(N('Aset Tetap'!$AG149)=0,0,IF(AND((YEAR(H$6)*12+MONTH(H$6))&gt;='Aset Tetap'!$Y149,(YEAR(H$6)*12+MONTH(H$6))&lt;=MIN('Aset Tetap'!$Z149,IF('Aset Tetap'!$S149="Unit Produksi",99999,'Aset Tetap'!$Y149+'Aset Tetap'!$T149*12-1))),'Aset Tetap'!$AQ149/'Aset Tetap'!$AG149,0)))</f>
        <v/>
      </c>
      <c r="I149" s="22" t="str">
        <f>IF($B149="","",IF(N('Aset Tetap'!$AG149)=0,0,IF(AND((YEAR(I$6)*12+MONTH(I$6))&gt;='Aset Tetap'!$Y149,(YEAR(I$6)*12+MONTH(I$6))&lt;=MIN('Aset Tetap'!$Z149,IF('Aset Tetap'!$S149="Unit Produksi",99999,'Aset Tetap'!$Y149+'Aset Tetap'!$T149*12-1))),'Aset Tetap'!$AQ149/'Aset Tetap'!$AG149,0)))</f>
        <v/>
      </c>
      <c r="J149" s="22" t="str">
        <f>IF($B149="","",IF(N('Aset Tetap'!$AG149)=0,0,IF(AND((YEAR(J$6)*12+MONTH(J$6))&gt;='Aset Tetap'!$Y149,(YEAR(J$6)*12+MONTH(J$6))&lt;=MIN('Aset Tetap'!$Z149,IF('Aset Tetap'!$S149="Unit Produksi",99999,'Aset Tetap'!$Y149+'Aset Tetap'!$T149*12-1))),'Aset Tetap'!$AQ149/'Aset Tetap'!$AG149,0)))</f>
        <v/>
      </c>
      <c r="K149" s="22" t="str">
        <f>IF($B149="","",IF(N('Aset Tetap'!$AG149)=0,0,IF(AND((YEAR(K$6)*12+MONTH(K$6))&gt;='Aset Tetap'!$Y149,(YEAR(K$6)*12+MONTH(K$6))&lt;=MIN('Aset Tetap'!$Z149,IF('Aset Tetap'!$S149="Unit Produksi",99999,'Aset Tetap'!$Y149+'Aset Tetap'!$T149*12-1))),'Aset Tetap'!$AQ149/'Aset Tetap'!$AG149,0)))</f>
        <v/>
      </c>
      <c r="L149" s="22" t="str">
        <f>IF($B149="","",IF(N('Aset Tetap'!$AG149)=0,0,IF(AND((YEAR(L$6)*12+MONTH(L$6))&gt;='Aset Tetap'!$Y149,(YEAR(L$6)*12+MONTH(L$6))&lt;=MIN('Aset Tetap'!$Z149,IF('Aset Tetap'!$S149="Unit Produksi",99999,'Aset Tetap'!$Y149+'Aset Tetap'!$T149*12-1))),'Aset Tetap'!$AQ149/'Aset Tetap'!$AG149,0)))</f>
        <v/>
      </c>
      <c r="M149" s="22" t="str">
        <f>IF($B149="","",IF(N('Aset Tetap'!$AG149)=0,0,IF(AND((YEAR(M$6)*12+MONTH(M$6))&gt;='Aset Tetap'!$Y149,(YEAR(M$6)*12+MONTH(M$6))&lt;=MIN('Aset Tetap'!$Z149,IF('Aset Tetap'!$S149="Unit Produksi",99999,'Aset Tetap'!$Y149+'Aset Tetap'!$T149*12-1))),'Aset Tetap'!$AQ149/'Aset Tetap'!$AG149,0)))</f>
        <v/>
      </c>
      <c r="N149" s="22" t="str">
        <f>IF($B149="","",IF(N('Aset Tetap'!$AG149)=0,0,IF(AND((YEAR(N$6)*12+MONTH(N$6))&gt;='Aset Tetap'!$Y149,(YEAR(N$6)*12+MONTH(N$6))&lt;=MIN('Aset Tetap'!$Z149,IF('Aset Tetap'!$S149="Unit Produksi",99999,'Aset Tetap'!$Y149+'Aset Tetap'!$T149*12-1))),'Aset Tetap'!$AQ149/'Aset Tetap'!$AG149,0)))</f>
        <v/>
      </c>
      <c r="O149" s="22" t="str">
        <f>IF($B149="","",IF(N('Aset Tetap'!$AG149)=0,0,IF(AND((YEAR(O$6)*12+MONTH(O$6))&gt;='Aset Tetap'!$Y149,(YEAR(O$6)*12+MONTH(O$6))&lt;=MIN('Aset Tetap'!$Z149,IF('Aset Tetap'!$S149="Unit Produksi",99999,'Aset Tetap'!$Y149+'Aset Tetap'!$T149*12-1))),'Aset Tetap'!$AQ149/'Aset Tetap'!$AG149,0)))</f>
        <v/>
      </c>
      <c r="P149" s="22" t="str">
        <f>IF($B149="","",IF(N('Aset Tetap'!$AG149)=0,0,IF(AND((YEAR(P$6)*12+MONTH(P$6))&gt;='Aset Tetap'!$Y149,(YEAR(P$6)*12+MONTH(P$6))&lt;=MIN('Aset Tetap'!$Z149,IF('Aset Tetap'!$S149="Unit Produksi",99999,'Aset Tetap'!$Y149+'Aset Tetap'!$T149*12-1))),'Aset Tetap'!$AQ149/'Aset Tetap'!$AG149,0)))</f>
        <v/>
      </c>
      <c r="Q149" s="22" t="str">
        <f>IF($B149="","",SUM(E149:P149))</f>
        <v/>
      </c>
      <c r="R149" s="22" t="str">
        <f>IF($B149="","",'Aset Tetap'!AQ149)</f>
        <v/>
      </c>
      <c r="S149" s="22" t="str">
        <f>IF($B149="","",ROUND(Q149-R149,0))</f>
        <v/>
      </c>
    </row>
    <row r="150" spans="1:19" x14ac:dyDescent="0.25">
      <c r="A150" t="str">
        <f>IF('Aset Tetap'!$B150="","",'Aset Tetap'!A150)</f>
        <v/>
      </c>
      <c r="B150" t="str">
        <f>IF('Aset Tetap'!$B150="","",'Aset Tetap'!B150)</f>
        <v/>
      </c>
      <c r="C150" t="str">
        <f>IF('Aset Tetap'!$B150="","",'Aset Tetap'!C150)</f>
        <v/>
      </c>
      <c r="D150" t="str">
        <f>IF('Aset Tetap'!$B150="","",'Aset Tetap'!D150)</f>
        <v/>
      </c>
      <c r="E150" s="22" t="str">
        <f>IF($B150="","",IF(N('Aset Tetap'!$AG150)=0,0,IF(AND((YEAR(E$6)*12+MONTH(E$6))&gt;='Aset Tetap'!$Y150,(YEAR(E$6)*12+MONTH(E$6))&lt;=MIN('Aset Tetap'!$Z150,IF('Aset Tetap'!$S150="Unit Produksi",99999,'Aset Tetap'!$Y150+'Aset Tetap'!$T150*12-1))),'Aset Tetap'!$AQ150/'Aset Tetap'!$AG150,0)))</f>
        <v/>
      </c>
      <c r="F150" s="22" t="str">
        <f>IF($B150="","",IF(N('Aset Tetap'!$AG150)=0,0,IF(AND((YEAR(F$6)*12+MONTH(F$6))&gt;='Aset Tetap'!$Y150,(YEAR(F$6)*12+MONTH(F$6))&lt;=MIN('Aset Tetap'!$Z150,IF('Aset Tetap'!$S150="Unit Produksi",99999,'Aset Tetap'!$Y150+'Aset Tetap'!$T150*12-1))),'Aset Tetap'!$AQ150/'Aset Tetap'!$AG150,0)))</f>
        <v/>
      </c>
      <c r="G150" s="22" t="str">
        <f>IF($B150="","",IF(N('Aset Tetap'!$AG150)=0,0,IF(AND((YEAR(G$6)*12+MONTH(G$6))&gt;='Aset Tetap'!$Y150,(YEAR(G$6)*12+MONTH(G$6))&lt;=MIN('Aset Tetap'!$Z150,IF('Aset Tetap'!$S150="Unit Produksi",99999,'Aset Tetap'!$Y150+'Aset Tetap'!$T150*12-1))),'Aset Tetap'!$AQ150/'Aset Tetap'!$AG150,0)))</f>
        <v/>
      </c>
      <c r="H150" s="22" t="str">
        <f>IF($B150="","",IF(N('Aset Tetap'!$AG150)=0,0,IF(AND((YEAR(H$6)*12+MONTH(H$6))&gt;='Aset Tetap'!$Y150,(YEAR(H$6)*12+MONTH(H$6))&lt;=MIN('Aset Tetap'!$Z150,IF('Aset Tetap'!$S150="Unit Produksi",99999,'Aset Tetap'!$Y150+'Aset Tetap'!$T150*12-1))),'Aset Tetap'!$AQ150/'Aset Tetap'!$AG150,0)))</f>
        <v/>
      </c>
      <c r="I150" s="22" t="str">
        <f>IF($B150="","",IF(N('Aset Tetap'!$AG150)=0,0,IF(AND((YEAR(I$6)*12+MONTH(I$6))&gt;='Aset Tetap'!$Y150,(YEAR(I$6)*12+MONTH(I$6))&lt;=MIN('Aset Tetap'!$Z150,IF('Aset Tetap'!$S150="Unit Produksi",99999,'Aset Tetap'!$Y150+'Aset Tetap'!$T150*12-1))),'Aset Tetap'!$AQ150/'Aset Tetap'!$AG150,0)))</f>
        <v/>
      </c>
      <c r="J150" s="22" t="str">
        <f>IF($B150="","",IF(N('Aset Tetap'!$AG150)=0,0,IF(AND((YEAR(J$6)*12+MONTH(J$6))&gt;='Aset Tetap'!$Y150,(YEAR(J$6)*12+MONTH(J$6))&lt;=MIN('Aset Tetap'!$Z150,IF('Aset Tetap'!$S150="Unit Produksi",99999,'Aset Tetap'!$Y150+'Aset Tetap'!$T150*12-1))),'Aset Tetap'!$AQ150/'Aset Tetap'!$AG150,0)))</f>
        <v/>
      </c>
      <c r="K150" s="22" t="str">
        <f>IF($B150="","",IF(N('Aset Tetap'!$AG150)=0,0,IF(AND((YEAR(K$6)*12+MONTH(K$6))&gt;='Aset Tetap'!$Y150,(YEAR(K$6)*12+MONTH(K$6))&lt;=MIN('Aset Tetap'!$Z150,IF('Aset Tetap'!$S150="Unit Produksi",99999,'Aset Tetap'!$Y150+'Aset Tetap'!$T150*12-1))),'Aset Tetap'!$AQ150/'Aset Tetap'!$AG150,0)))</f>
        <v/>
      </c>
      <c r="L150" s="22" t="str">
        <f>IF($B150="","",IF(N('Aset Tetap'!$AG150)=0,0,IF(AND((YEAR(L$6)*12+MONTH(L$6))&gt;='Aset Tetap'!$Y150,(YEAR(L$6)*12+MONTH(L$6))&lt;=MIN('Aset Tetap'!$Z150,IF('Aset Tetap'!$S150="Unit Produksi",99999,'Aset Tetap'!$Y150+'Aset Tetap'!$T150*12-1))),'Aset Tetap'!$AQ150/'Aset Tetap'!$AG150,0)))</f>
        <v/>
      </c>
      <c r="M150" s="22" t="str">
        <f>IF($B150="","",IF(N('Aset Tetap'!$AG150)=0,0,IF(AND((YEAR(M$6)*12+MONTH(M$6))&gt;='Aset Tetap'!$Y150,(YEAR(M$6)*12+MONTH(M$6))&lt;=MIN('Aset Tetap'!$Z150,IF('Aset Tetap'!$S150="Unit Produksi",99999,'Aset Tetap'!$Y150+'Aset Tetap'!$T150*12-1))),'Aset Tetap'!$AQ150/'Aset Tetap'!$AG150,0)))</f>
        <v/>
      </c>
      <c r="N150" s="22" t="str">
        <f>IF($B150="","",IF(N('Aset Tetap'!$AG150)=0,0,IF(AND((YEAR(N$6)*12+MONTH(N$6))&gt;='Aset Tetap'!$Y150,(YEAR(N$6)*12+MONTH(N$6))&lt;=MIN('Aset Tetap'!$Z150,IF('Aset Tetap'!$S150="Unit Produksi",99999,'Aset Tetap'!$Y150+'Aset Tetap'!$T150*12-1))),'Aset Tetap'!$AQ150/'Aset Tetap'!$AG150,0)))</f>
        <v/>
      </c>
      <c r="O150" s="22" t="str">
        <f>IF($B150="","",IF(N('Aset Tetap'!$AG150)=0,0,IF(AND((YEAR(O$6)*12+MONTH(O$6))&gt;='Aset Tetap'!$Y150,(YEAR(O$6)*12+MONTH(O$6))&lt;=MIN('Aset Tetap'!$Z150,IF('Aset Tetap'!$S150="Unit Produksi",99999,'Aset Tetap'!$Y150+'Aset Tetap'!$T150*12-1))),'Aset Tetap'!$AQ150/'Aset Tetap'!$AG150,0)))</f>
        <v/>
      </c>
      <c r="P150" s="22" t="str">
        <f>IF($B150="","",IF(N('Aset Tetap'!$AG150)=0,0,IF(AND((YEAR(P$6)*12+MONTH(P$6))&gt;='Aset Tetap'!$Y150,(YEAR(P$6)*12+MONTH(P$6))&lt;=MIN('Aset Tetap'!$Z150,IF('Aset Tetap'!$S150="Unit Produksi",99999,'Aset Tetap'!$Y150+'Aset Tetap'!$T150*12-1))),'Aset Tetap'!$AQ150/'Aset Tetap'!$AG150,0)))</f>
        <v/>
      </c>
      <c r="Q150" s="22" t="str">
        <f>IF($B150="","",SUM(E150:P150))</f>
        <v/>
      </c>
      <c r="R150" s="22" t="str">
        <f>IF($B150="","",'Aset Tetap'!AQ150)</f>
        <v/>
      </c>
      <c r="S150" s="22" t="str">
        <f>IF($B150="","",ROUND(Q150-R150,0))</f>
        <v/>
      </c>
    </row>
    <row r="151" spans="1:19" x14ac:dyDescent="0.25">
      <c r="A151" t="str">
        <f>IF('Aset Tetap'!$B151="","",'Aset Tetap'!A151)</f>
        <v/>
      </c>
      <c r="B151" t="str">
        <f>IF('Aset Tetap'!$B151="","",'Aset Tetap'!B151)</f>
        <v/>
      </c>
      <c r="C151" t="str">
        <f>IF('Aset Tetap'!$B151="","",'Aset Tetap'!C151)</f>
        <v/>
      </c>
      <c r="D151" t="str">
        <f>IF('Aset Tetap'!$B151="","",'Aset Tetap'!D151)</f>
        <v/>
      </c>
      <c r="E151" s="22" t="str">
        <f>IF($B151="","",IF(N('Aset Tetap'!$AG151)=0,0,IF(AND((YEAR(E$6)*12+MONTH(E$6))&gt;='Aset Tetap'!$Y151,(YEAR(E$6)*12+MONTH(E$6))&lt;=MIN('Aset Tetap'!$Z151,IF('Aset Tetap'!$S151="Unit Produksi",99999,'Aset Tetap'!$Y151+'Aset Tetap'!$T151*12-1))),'Aset Tetap'!$AQ151/'Aset Tetap'!$AG151,0)))</f>
        <v/>
      </c>
      <c r="F151" s="22" t="str">
        <f>IF($B151="","",IF(N('Aset Tetap'!$AG151)=0,0,IF(AND((YEAR(F$6)*12+MONTH(F$6))&gt;='Aset Tetap'!$Y151,(YEAR(F$6)*12+MONTH(F$6))&lt;=MIN('Aset Tetap'!$Z151,IF('Aset Tetap'!$S151="Unit Produksi",99999,'Aset Tetap'!$Y151+'Aset Tetap'!$T151*12-1))),'Aset Tetap'!$AQ151/'Aset Tetap'!$AG151,0)))</f>
        <v/>
      </c>
      <c r="G151" s="22" t="str">
        <f>IF($B151="","",IF(N('Aset Tetap'!$AG151)=0,0,IF(AND((YEAR(G$6)*12+MONTH(G$6))&gt;='Aset Tetap'!$Y151,(YEAR(G$6)*12+MONTH(G$6))&lt;=MIN('Aset Tetap'!$Z151,IF('Aset Tetap'!$S151="Unit Produksi",99999,'Aset Tetap'!$Y151+'Aset Tetap'!$T151*12-1))),'Aset Tetap'!$AQ151/'Aset Tetap'!$AG151,0)))</f>
        <v/>
      </c>
      <c r="H151" s="22" t="str">
        <f>IF($B151="","",IF(N('Aset Tetap'!$AG151)=0,0,IF(AND((YEAR(H$6)*12+MONTH(H$6))&gt;='Aset Tetap'!$Y151,(YEAR(H$6)*12+MONTH(H$6))&lt;=MIN('Aset Tetap'!$Z151,IF('Aset Tetap'!$S151="Unit Produksi",99999,'Aset Tetap'!$Y151+'Aset Tetap'!$T151*12-1))),'Aset Tetap'!$AQ151/'Aset Tetap'!$AG151,0)))</f>
        <v/>
      </c>
      <c r="I151" s="22" t="str">
        <f>IF($B151="","",IF(N('Aset Tetap'!$AG151)=0,0,IF(AND((YEAR(I$6)*12+MONTH(I$6))&gt;='Aset Tetap'!$Y151,(YEAR(I$6)*12+MONTH(I$6))&lt;=MIN('Aset Tetap'!$Z151,IF('Aset Tetap'!$S151="Unit Produksi",99999,'Aset Tetap'!$Y151+'Aset Tetap'!$T151*12-1))),'Aset Tetap'!$AQ151/'Aset Tetap'!$AG151,0)))</f>
        <v/>
      </c>
      <c r="J151" s="22" t="str">
        <f>IF($B151="","",IF(N('Aset Tetap'!$AG151)=0,0,IF(AND((YEAR(J$6)*12+MONTH(J$6))&gt;='Aset Tetap'!$Y151,(YEAR(J$6)*12+MONTH(J$6))&lt;=MIN('Aset Tetap'!$Z151,IF('Aset Tetap'!$S151="Unit Produksi",99999,'Aset Tetap'!$Y151+'Aset Tetap'!$T151*12-1))),'Aset Tetap'!$AQ151/'Aset Tetap'!$AG151,0)))</f>
        <v/>
      </c>
      <c r="K151" s="22" t="str">
        <f>IF($B151="","",IF(N('Aset Tetap'!$AG151)=0,0,IF(AND((YEAR(K$6)*12+MONTH(K$6))&gt;='Aset Tetap'!$Y151,(YEAR(K$6)*12+MONTH(K$6))&lt;=MIN('Aset Tetap'!$Z151,IF('Aset Tetap'!$S151="Unit Produksi",99999,'Aset Tetap'!$Y151+'Aset Tetap'!$T151*12-1))),'Aset Tetap'!$AQ151/'Aset Tetap'!$AG151,0)))</f>
        <v/>
      </c>
      <c r="L151" s="22" t="str">
        <f>IF($B151="","",IF(N('Aset Tetap'!$AG151)=0,0,IF(AND((YEAR(L$6)*12+MONTH(L$6))&gt;='Aset Tetap'!$Y151,(YEAR(L$6)*12+MONTH(L$6))&lt;=MIN('Aset Tetap'!$Z151,IF('Aset Tetap'!$S151="Unit Produksi",99999,'Aset Tetap'!$Y151+'Aset Tetap'!$T151*12-1))),'Aset Tetap'!$AQ151/'Aset Tetap'!$AG151,0)))</f>
        <v/>
      </c>
      <c r="M151" s="22" t="str">
        <f>IF($B151="","",IF(N('Aset Tetap'!$AG151)=0,0,IF(AND((YEAR(M$6)*12+MONTH(M$6))&gt;='Aset Tetap'!$Y151,(YEAR(M$6)*12+MONTH(M$6))&lt;=MIN('Aset Tetap'!$Z151,IF('Aset Tetap'!$S151="Unit Produksi",99999,'Aset Tetap'!$Y151+'Aset Tetap'!$T151*12-1))),'Aset Tetap'!$AQ151/'Aset Tetap'!$AG151,0)))</f>
        <v/>
      </c>
      <c r="N151" s="22" t="str">
        <f>IF($B151="","",IF(N('Aset Tetap'!$AG151)=0,0,IF(AND((YEAR(N$6)*12+MONTH(N$6))&gt;='Aset Tetap'!$Y151,(YEAR(N$6)*12+MONTH(N$6))&lt;=MIN('Aset Tetap'!$Z151,IF('Aset Tetap'!$S151="Unit Produksi",99999,'Aset Tetap'!$Y151+'Aset Tetap'!$T151*12-1))),'Aset Tetap'!$AQ151/'Aset Tetap'!$AG151,0)))</f>
        <v/>
      </c>
      <c r="O151" s="22" t="str">
        <f>IF($B151="","",IF(N('Aset Tetap'!$AG151)=0,0,IF(AND((YEAR(O$6)*12+MONTH(O$6))&gt;='Aset Tetap'!$Y151,(YEAR(O$6)*12+MONTH(O$6))&lt;=MIN('Aset Tetap'!$Z151,IF('Aset Tetap'!$S151="Unit Produksi",99999,'Aset Tetap'!$Y151+'Aset Tetap'!$T151*12-1))),'Aset Tetap'!$AQ151/'Aset Tetap'!$AG151,0)))</f>
        <v/>
      </c>
      <c r="P151" s="22" t="str">
        <f>IF($B151="","",IF(N('Aset Tetap'!$AG151)=0,0,IF(AND((YEAR(P$6)*12+MONTH(P$6))&gt;='Aset Tetap'!$Y151,(YEAR(P$6)*12+MONTH(P$6))&lt;=MIN('Aset Tetap'!$Z151,IF('Aset Tetap'!$S151="Unit Produksi",99999,'Aset Tetap'!$Y151+'Aset Tetap'!$T151*12-1))),'Aset Tetap'!$AQ151/'Aset Tetap'!$AG151,0)))</f>
        <v/>
      </c>
      <c r="Q151" s="22" t="str">
        <f>IF($B151="","",SUM(E151:P151))</f>
        <v/>
      </c>
      <c r="R151" s="22" t="str">
        <f>IF($B151="","",'Aset Tetap'!AQ151)</f>
        <v/>
      </c>
      <c r="S151" s="22" t="str">
        <f>IF($B151="","",ROUND(Q151-R151,0))</f>
        <v/>
      </c>
    </row>
    <row r="152" spans="1:19" x14ac:dyDescent="0.25">
      <c r="A152" t="str">
        <f>IF('Aset Tetap'!$B152="","",'Aset Tetap'!A152)</f>
        <v/>
      </c>
      <c r="B152" t="str">
        <f>IF('Aset Tetap'!$B152="","",'Aset Tetap'!B152)</f>
        <v/>
      </c>
      <c r="C152" t="str">
        <f>IF('Aset Tetap'!$B152="","",'Aset Tetap'!C152)</f>
        <v/>
      </c>
      <c r="D152" t="str">
        <f>IF('Aset Tetap'!$B152="","",'Aset Tetap'!D152)</f>
        <v/>
      </c>
      <c r="E152" s="22" t="str">
        <f>IF($B152="","",IF(N('Aset Tetap'!$AG152)=0,0,IF(AND((YEAR(E$6)*12+MONTH(E$6))&gt;='Aset Tetap'!$Y152,(YEAR(E$6)*12+MONTH(E$6))&lt;=MIN('Aset Tetap'!$Z152,IF('Aset Tetap'!$S152="Unit Produksi",99999,'Aset Tetap'!$Y152+'Aset Tetap'!$T152*12-1))),'Aset Tetap'!$AQ152/'Aset Tetap'!$AG152,0)))</f>
        <v/>
      </c>
      <c r="F152" s="22" t="str">
        <f>IF($B152="","",IF(N('Aset Tetap'!$AG152)=0,0,IF(AND((YEAR(F$6)*12+MONTH(F$6))&gt;='Aset Tetap'!$Y152,(YEAR(F$6)*12+MONTH(F$6))&lt;=MIN('Aset Tetap'!$Z152,IF('Aset Tetap'!$S152="Unit Produksi",99999,'Aset Tetap'!$Y152+'Aset Tetap'!$T152*12-1))),'Aset Tetap'!$AQ152/'Aset Tetap'!$AG152,0)))</f>
        <v/>
      </c>
      <c r="G152" s="22" t="str">
        <f>IF($B152="","",IF(N('Aset Tetap'!$AG152)=0,0,IF(AND((YEAR(G$6)*12+MONTH(G$6))&gt;='Aset Tetap'!$Y152,(YEAR(G$6)*12+MONTH(G$6))&lt;=MIN('Aset Tetap'!$Z152,IF('Aset Tetap'!$S152="Unit Produksi",99999,'Aset Tetap'!$Y152+'Aset Tetap'!$T152*12-1))),'Aset Tetap'!$AQ152/'Aset Tetap'!$AG152,0)))</f>
        <v/>
      </c>
      <c r="H152" s="22" t="str">
        <f>IF($B152="","",IF(N('Aset Tetap'!$AG152)=0,0,IF(AND((YEAR(H$6)*12+MONTH(H$6))&gt;='Aset Tetap'!$Y152,(YEAR(H$6)*12+MONTH(H$6))&lt;=MIN('Aset Tetap'!$Z152,IF('Aset Tetap'!$S152="Unit Produksi",99999,'Aset Tetap'!$Y152+'Aset Tetap'!$T152*12-1))),'Aset Tetap'!$AQ152/'Aset Tetap'!$AG152,0)))</f>
        <v/>
      </c>
      <c r="I152" s="22" t="str">
        <f>IF($B152="","",IF(N('Aset Tetap'!$AG152)=0,0,IF(AND((YEAR(I$6)*12+MONTH(I$6))&gt;='Aset Tetap'!$Y152,(YEAR(I$6)*12+MONTH(I$6))&lt;=MIN('Aset Tetap'!$Z152,IF('Aset Tetap'!$S152="Unit Produksi",99999,'Aset Tetap'!$Y152+'Aset Tetap'!$T152*12-1))),'Aset Tetap'!$AQ152/'Aset Tetap'!$AG152,0)))</f>
        <v/>
      </c>
      <c r="J152" s="22" t="str">
        <f>IF($B152="","",IF(N('Aset Tetap'!$AG152)=0,0,IF(AND((YEAR(J$6)*12+MONTH(J$6))&gt;='Aset Tetap'!$Y152,(YEAR(J$6)*12+MONTH(J$6))&lt;=MIN('Aset Tetap'!$Z152,IF('Aset Tetap'!$S152="Unit Produksi",99999,'Aset Tetap'!$Y152+'Aset Tetap'!$T152*12-1))),'Aset Tetap'!$AQ152/'Aset Tetap'!$AG152,0)))</f>
        <v/>
      </c>
      <c r="K152" s="22" t="str">
        <f>IF($B152="","",IF(N('Aset Tetap'!$AG152)=0,0,IF(AND((YEAR(K$6)*12+MONTH(K$6))&gt;='Aset Tetap'!$Y152,(YEAR(K$6)*12+MONTH(K$6))&lt;=MIN('Aset Tetap'!$Z152,IF('Aset Tetap'!$S152="Unit Produksi",99999,'Aset Tetap'!$Y152+'Aset Tetap'!$T152*12-1))),'Aset Tetap'!$AQ152/'Aset Tetap'!$AG152,0)))</f>
        <v/>
      </c>
      <c r="L152" s="22" t="str">
        <f>IF($B152="","",IF(N('Aset Tetap'!$AG152)=0,0,IF(AND((YEAR(L$6)*12+MONTH(L$6))&gt;='Aset Tetap'!$Y152,(YEAR(L$6)*12+MONTH(L$6))&lt;=MIN('Aset Tetap'!$Z152,IF('Aset Tetap'!$S152="Unit Produksi",99999,'Aset Tetap'!$Y152+'Aset Tetap'!$T152*12-1))),'Aset Tetap'!$AQ152/'Aset Tetap'!$AG152,0)))</f>
        <v/>
      </c>
      <c r="M152" s="22" t="str">
        <f>IF($B152="","",IF(N('Aset Tetap'!$AG152)=0,0,IF(AND((YEAR(M$6)*12+MONTH(M$6))&gt;='Aset Tetap'!$Y152,(YEAR(M$6)*12+MONTH(M$6))&lt;=MIN('Aset Tetap'!$Z152,IF('Aset Tetap'!$S152="Unit Produksi",99999,'Aset Tetap'!$Y152+'Aset Tetap'!$T152*12-1))),'Aset Tetap'!$AQ152/'Aset Tetap'!$AG152,0)))</f>
        <v/>
      </c>
      <c r="N152" s="22" t="str">
        <f>IF($B152="","",IF(N('Aset Tetap'!$AG152)=0,0,IF(AND((YEAR(N$6)*12+MONTH(N$6))&gt;='Aset Tetap'!$Y152,(YEAR(N$6)*12+MONTH(N$6))&lt;=MIN('Aset Tetap'!$Z152,IF('Aset Tetap'!$S152="Unit Produksi",99999,'Aset Tetap'!$Y152+'Aset Tetap'!$T152*12-1))),'Aset Tetap'!$AQ152/'Aset Tetap'!$AG152,0)))</f>
        <v/>
      </c>
      <c r="O152" s="22" t="str">
        <f>IF($B152="","",IF(N('Aset Tetap'!$AG152)=0,0,IF(AND((YEAR(O$6)*12+MONTH(O$6))&gt;='Aset Tetap'!$Y152,(YEAR(O$6)*12+MONTH(O$6))&lt;=MIN('Aset Tetap'!$Z152,IF('Aset Tetap'!$S152="Unit Produksi",99999,'Aset Tetap'!$Y152+'Aset Tetap'!$T152*12-1))),'Aset Tetap'!$AQ152/'Aset Tetap'!$AG152,0)))</f>
        <v/>
      </c>
      <c r="P152" s="22" t="str">
        <f>IF($B152="","",IF(N('Aset Tetap'!$AG152)=0,0,IF(AND((YEAR(P$6)*12+MONTH(P$6))&gt;='Aset Tetap'!$Y152,(YEAR(P$6)*12+MONTH(P$6))&lt;=MIN('Aset Tetap'!$Z152,IF('Aset Tetap'!$S152="Unit Produksi",99999,'Aset Tetap'!$Y152+'Aset Tetap'!$T152*12-1))),'Aset Tetap'!$AQ152/'Aset Tetap'!$AG152,0)))</f>
        <v/>
      </c>
      <c r="Q152" s="22" t="str">
        <f>IF($B152="","",SUM(E152:P152))</f>
        <v/>
      </c>
      <c r="R152" s="22" t="str">
        <f>IF($B152="","",'Aset Tetap'!AQ152)</f>
        <v/>
      </c>
      <c r="S152" s="22" t="str">
        <f>IF($B152="","",ROUND(Q152-R152,0))</f>
        <v/>
      </c>
    </row>
    <row r="153" spans="1:19" x14ac:dyDescent="0.25">
      <c r="A153" t="str">
        <f>IF('Aset Tetap'!$B153="","",'Aset Tetap'!A153)</f>
        <v/>
      </c>
      <c r="B153" t="str">
        <f>IF('Aset Tetap'!$B153="","",'Aset Tetap'!B153)</f>
        <v/>
      </c>
      <c r="C153" t="str">
        <f>IF('Aset Tetap'!$B153="","",'Aset Tetap'!C153)</f>
        <v/>
      </c>
      <c r="D153" t="str">
        <f>IF('Aset Tetap'!$B153="","",'Aset Tetap'!D153)</f>
        <v/>
      </c>
      <c r="E153" s="22" t="str">
        <f>IF($B153="","",IF(N('Aset Tetap'!$AG153)=0,0,IF(AND((YEAR(E$6)*12+MONTH(E$6))&gt;='Aset Tetap'!$Y153,(YEAR(E$6)*12+MONTH(E$6))&lt;=MIN('Aset Tetap'!$Z153,IF('Aset Tetap'!$S153="Unit Produksi",99999,'Aset Tetap'!$Y153+'Aset Tetap'!$T153*12-1))),'Aset Tetap'!$AQ153/'Aset Tetap'!$AG153,0)))</f>
        <v/>
      </c>
      <c r="F153" s="22" t="str">
        <f>IF($B153="","",IF(N('Aset Tetap'!$AG153)=0,0,IF(AND((YEAR(F$6)*12+MONTH(F$6))&gt;='Aset Tetap'!$Y153,(YEAR(F$6)*12+MONTH(F$6))&lt;=MIN('Aset Tetap'!$Z153,IF('Aset Tetap'!$S153="Unit Produksi",99999,'Aset Tetap'!$Y153+'Aset Tetap'!$T153*12-1))),'Aset Tetap'!$AQ153/'Aset Tetap'!$AG153,0)))</f>
        <v/>
      </c>
      <c r="G153" s="22" t="str">
        <f>IF($B153="","",IF(N('Aset Tetap'!$AG153)=0,0,IF(AND((YEAR(G$6)*12+MONTH(G$6))&gt;='Aset Tetap'!$Y153,(YEAR(G$6)*12+MONTH(G$6))&lt;=MIN('Aset Tetap'!$Z153,IF('Aset Tetap'!$S153="Unit Produksi",99999,'Aset Tetap'!$Y153+'Aset Tetap'!$T153*12-1))),'Aset Tetap'!$AQ153/'Aset Tetap'!$AG153,0)))</f>
        <v/>
      </c>
      <c r="H153" s="22" t="str">
        <f>IF($B153="","",IF(N('Aset Tetap'!$AG153)=0,0,IF(AND((YEAR(H$6)*12+MONTH(H$6))&gt;='Aset Tetap'!$Y153,(YEAR(H$6)*12+MONTH(H$6))&lt;=MIN('Aset Tetap'!$Z153,IF('Aset Tetap'!$S153="Unit Produksi",99999,'Aset Tetap'!$Y153+'Aset Tetap'!$T153*12-1))),'Aset Tetap'!$AQ153/'Aset Tetap'!$AG153,0)))</f>
        <v/>
      </c>
      <c r="I153" s="22" t="str">
        <f>IF($B153="","",IF(N('Aset Tetap'!$AG153)=0,0,IF(AND((YEAR(I$6)*12+MONTH(I$6))&gt;='Aset Tetap'!$Y153,(YEAR(I$6)*12+MONTH(I$6))&lt;=MIN('Aset Tetap'!$Z153,IF('Aset Tetap'!$S153="Unit Produksi",99999,'Aset Tetap'!$Y153+'Aset Tetap'!$T153*12-1))),'Aset Tetap'!$AQ153/'Aset Tetap'!$AG153,0)))</f>
        <v/>
      </c>
      <c r="J153" s="22" t="str">
        <f>IF($B153="","",IF(N('Aset Tetap'!$AG153)=0,0,IF(AND((YEAR(J$6)*12+MONTH(J$6))&gt;='Aset Tetap'!$Y153,(YEAR(J$6)*12+MONTH(J$6))&lt;=MIN('Aset Tetap'!$Z153,IF('Aset Tetap'!$S153="Unit Produksi",99999,'Aset Tetap'!$Y153+'Aset Tetap'!$T153*12-1))),'Aset Tetap'!$AQ153/'Aset Tetap'!$AG153,0)))</f>
        <v/>
      </c>
      <c r="K153" s="22" t="str">
        <f>IF($B153="","",IF(N('Aset Tetap'!$AG153)=0,0,IF(AND((YEAR(K$6)*12+MONTH(K$6))&gt;='Aset Tetap'!$Y153,(YEAR(K$6)*12+MONTH(K$6))&lt;=MIN('Aset Tetap'!$Z153,IF('Aset Tetap'!$S153="Unit Produksi",99999,'Aset Tetap'!$Y153+'Aset Tetap'!$T153*12-1))),'Aset Tetap'!$AQ153/'Aset Tetap'!$AG153,0)))</f>
        <v/>
      </c>
      <c r="L153" s="22" t="str">
        <f>IF($B153="","",IF(N('Aset Tetap'!$AG153)=0,0,IF(AND((YEAR(L$6)*12+MONTH(L$6))&gt;='Aset Tetap'!$Y153,(YEAR(L$6)*12+MONTH(L$6))&lt;=MIN('Aset Tetap'!$Z153,IF('Aset Tetap'!$S153="Unit Produksi",99999,'Aset Tetap'!$Y153+'Aset Tetap'!$T153*12-1))),'Aset Tetap'!$AQ153/'Aset Tetap'!$AG153,0)))</f>
        <v/>
      </c>
      <c r="M153" s="22" t="str">
        <f>IF($B153="","",IF(N('Aset Tetap'!$AG153)=0,0,IF(AND((YEAR(M$6)*12+MONTH(M$6))&gt;='Aset Tetap'!$Y153,(YEAR(M$6)*12+MONTH(M$6))&lt;=MIN('Aset Tetap'!$Z153,IF('Aset Tetap'!$S153="Unit Produksi",99999,'Aset Tetap'!$Y153+'Aset Tetap'!$T153*12-1))),'Aset Tetap'!$AQ153/'Aset Tetap'!$AG153,0)))</f>
        <v/>
      </c>
      <c r="N153" s="22" t="str">
        <f>IF($B153="","",IF(N('Aset Tetap'!$AG153)=0,0,IF(AND((YEAR(N$6)*12+MONTH(N$6))&gt;='Aset Tetap'!$Y153,(YEAR(N$6)*12+MONTH(N$6))&lt;=MIN('Aset Tetap'!$Z153,IF('Aset Tetap'!$S153="Unit Produksi",99999,'Aset Tetap'!$Y153+'Aset Tetap'!$T153*12-1))),'Aset Tetap'!$AQ153/'Aset Tetap'!$AG153,0)))</f>
        <v/>
      </c>
      <c r="O153" s="22" t="str">
        <f>IF($B153="","",IF(N('Aset Tetap'!$AG153)=0,0,IF(AND((YEAR(O$6)*12+MONTH(O$6))&gt;='Aset Tetap'!$Y153,(YEAR(O$6)*12+MONTH(O$6))&lt;=MIN('Aset Tetap'!$Z153,IF('Aset Tetap'!$S153="Unit Produksi",99999,'Aset Tetap'!$Y153+'Aset Tetap'!$T153*12-1))),'Aset Tetap'!$AQ153/'Aset Tetap'!$AG153,0)))</f>
        <v/>
      </c>
      <c r="P153" s="22" t="str">
        <f>IF($B153="","",IF(N('Aset Tetap'!$AG153)=0,0,IF(AND((YEAR(P$6)*12+MONTH(P$6))&gt;='Aset Tetap'!$Y153,(YEAR(P$6)*12+MONTH(P$6))&lt;=MIN('Aset Tetap'!$Z153,IF('Aset Tetap'!$S153="Unit Produksi",99999,'Aset Tetap'!$Y153+'Aset Tetap'!$T153*12-1))),'Aset Tetap'!$AQ153/'Aset Tetap'!$AG153,0)))</f>
        <v/>
      </c>
      <c r="Q153" s="22" t="str">
        <f>IF($B153="","",SUM(E153:P153))</f>
        <v/>
      </c>
      <c r="R153" s="22" t="str">
        <f>IF($B153="","",'Aset Tetap'!AQ153)</f>
        <v/>
      </c>
      <c r="S153" s="22" t="str">
        <f>IF($B153="","",ROUND(Q153-R153,0))</f>
        <v/>
      </c>
    </row>
    <row r="154" spans="1:19" x14ac:dyDescent="0.25">
      <c r="A154" t="str">
        <f>IF('Aset Tetap'!$B154="","",'Aset Tetap'!A154)</f>
        <v/>
      </c>
      <c r="B154" t="str">
        <f>IF('Aset Tetap'!$B154="","",'Aset Tetap'!B154)</f>
        <v/>
      </c>
      <c r="C154" t="str">
        <f>IF('Aset Tetap'!$B154="","",'Aset Tetap'!C154)</f>
        <v/>
      </c>
      <c r="D154" t="str">
        <f>IF('Aset Tetap'!$B154="","",'Aset Tetap'!D154)</f>
        <v/>
      </c>
      <c r="E154" s="22" t="str">
        <f>IF($B154="","",IF(N('Aset Tetap'!$AG154)=0,0,IF(AND((YEAR(E$6)*12+MONTH(E$6))&gt;='Aset Tetap'!$Y154,(YEAR(E$6)*12+MONTH(E$6))&lt;=MIN('Aset Tetap'!$Z154,IF('Aset Tetap'!$S154="Unit Produksi",99999,'Aset Tetap'!$Y154+'Aset Tetap'!$T154*12-1))),'Aset Tetap'!$AQ154/'Aset Tetap'!$AG154,0)))</f>
        <v/>
      </c>
      <c r="F154" s="22" t="str">
        <f>IF($B154="","",IF(N('Aset Tetap'!$AG154)=0,0,IF(AND((YEAR(F$6)*12+MONTH(F$6))&gt;='Aset Tetap'!$Y154,(YEAR(F$6)*12+MONTH(F$6))&lt;=MIN('Aset Tetap'!$Z154,IF('Aset Tetap'!$S154="Unit Produksi",99999,'Aset Tetap'!$Y154+'Aset Tetap'!$T154*12-1))),'Aset Tetap'!$AQ154/'Aset Tetap'!$AG154,0)))</f>
        <v/>
      </c>
      <c r="G154" s="22" t="str">
        <f>IF($B154="","",IF(N('Aset Tetap'!$AG154)=0,0,IF(AND((YEAR(G$6)*12+MONTH(G$6))&gt;='Aset Tetap'!$Y154,(YEAR(G$6)*12+MONTH(G$6))&lt;=MIN('Aset Tetap'!$Z154,IF('Aset Tetap'!$S154="Unit Produksi",99999,'Aset Tetap'!$Y154+'Aset Tetap'!$T154*12-1))),'Aset Tetap'!$AQ154/'Aset Tetap'!$AG154,0)))</f>
        <v/>
      </c>
      <c r="H154" s="22" t="str">
        <f>IF($B154="","",IF(N('Aset Tetap'!$AG154)=0,0,IF(AND((YEAR(H$6)*12+MONTH(H$6))&gt;='Aset Tetap'!$Y154,(YEAR(H$6)*12+MONTH(H$6))&lt;=MIN('Aset Tetap'!$Z154,IF('Aset Tetap'!$S154="Unit Produksi",99999,'Aset Tetap'!$Y154+'Aset Tetap'!$T154*12-1))),'Aset Tetap'!$AQ154/'Aset Tetap'!$AG154,0)))</f>
        <v/>
      </c>
      <c r="I154" s="22" t="str">
        <f>IF($B154="","",IF(N('Aset Tetap'!$AG154)=0,0,IF(AND((YEAR(I$6)*12+MONTH(I$6))&gt;='Aset Tetap'!$Y154,(YEAR(I$6)*12+MONTH(I$6))&lt;=MIN('Aset Tetap'!$Z154,IF('Aset Tetap'!$S154="Unit Produksi",99999,'Aset Tetap'!$Y154+'Aset Tetap'!$T154*12-1))),'Aset Tetap'!$AQ154/'Aset Tetap'!$AG154,0)))</f>
        <v/>
      </c>
      <c r="J154" s="22" t="str">
        <f>IF($B154="","",IF(N('Aset Tetap'!$AG154)=0,0,IF(AND((YEAR(J$6)*12+MONTH(J$6))&gt;='Aset Tetap'!$Y154,(YEAR(J$6)*12+MONTH(J$6))&lt;=MIN('Aset Tetap'!$Z154,IF('Aset Tetap'!$S154="Unit Produksi",99999,'Aset Tetap'!$Y154+'Aset Tetap'!$T154*12-1))),'Aset Tetap'!$AQ154/'Aset Tetap'!$AG154,0)))</f>
        <v/>
      </c>
      <c r="K154" s="22" t="str">
        <f>IF($B154="","",IF(N('Aset Tetap'!$AG154)=0,0,IF(AND((YEAR(K$6)*12+MONTH(K$6))&gt;='Aset Tetap'!$Y154,(YEAR(K$6)*12+MONTH(K$6))&lt;=MIN('Aset Tetap'!$Z154,IF('Aset Tetap'!$S154="Unit Produksi",99999,'Aset Tetap'!$Y154+'Aset Tetap'!$T154*12-1))),'Aset Tetap'!$AQ154/'Aset Tetap'!$AG154,0)))</f>
        <v/>
      </c>
      <c r="L154" s="22" t="str">
        <f>IF($B154="","",IF(N('Aset Tetap'!$AG154)=0,0,IF(AND((YEAR(L$6)*12+MONTH(L$6))&gt;='Aset Tetap'!$Y154,(YEAR(L$6)*12+MONTH(L$6))&lt;=MIN('Aset Tetap'!$Z154,IF('Aset Tetap'!$S154="Unit Produksi",99999,'Aset Tetap'!$Y154+'Aset Tetap'!$T154*12-1))),'Aset Tetap'!$AQ154/'Aset Tetap'!$AG154,0)))</f>
        <v/>
      </c>
      <c r="M154" s="22" t="str">
        <f>IF($B154="","",IF(N('Aset Tetap'!$AG154)=0,0,IF(AND((YEAR(M$6)*12+MONTH(M$6))&gt;='Aset Tetap'!$Y154,(YEAR(M$6)*12+MONTH(M$6))&lt;=MIN('Aset Tetap'!$Z154,IF('Aset Tetap'!$S154="Unit Produksi",99999,'Aset Tetap'!$Y154+'Aset Tetap'!$T154*12-1))),'Aset Tetap'!$AQ154/'Aset Tetap'!$AG154,0)))</f>
        <v/>
      </c>
      <c r="N154" s="22" t="str">
        <f>IF($B154="","",IF(N('Aset Tetap'!$AG154)=0,0,IF(AND((YEAR(N$6)*12+MONTH(N$6))&gt;='Aset Tetap'!$Y154,(YEAR(N$6)*12+MONTH(N$6))&lt;=MIN('Aset Tetap'!$Z154,IF('Aset Tetap'!$S154="Unit Produksi",99999,'Aset Tetap'!$Y154+'Aset Tetap'!$T154*12-1))),'Aset Tetap'!$AQ154/'Aset Tetap'!$AG154,0)))</f>
        <v/>
      </c>
      <c r="O154" s="22" t="str">
        <f>IF($B154="","",IF(N('Aset Tetap'!$AG154)=0,0,IF(AND((YEAR(O$6)*12+MONTH(O$6))&gt;='Aset Tetap'!$Y154,(YEAR(O$6)*12+MONTH(O$6))&lt;=MIN('Aset Tetap'!$Z154,IF('Aset Tetap'!$S154="Unit Produksi",99999,'Aset Tetap'!$Y154+'Aset Tetap'!$T154*12-1))),'Aset Tetap'!$AQ154/'Aset Tetap'!$AG154,0)))</f>
        <v/>
      </c>
      <c r="P154" s="22" t="str">
        <f>IF($B154="","",IF(N('Aset Tetap'!$AG154)=0,0,IF(AND((YEAR(P$6)*12+MONTH(P$6))&gt;='Aset Tetap'!$Y154,(YEAR(P$6)*12+MONTH(P$6))&lt;=MIN('Aset Tetap'!$Z154,IF('Aset Tetap'!$S154="Unit Produksi",99999,'Aset Tetap'!$Y154+'Aset Tetap'!$T154*12-1))),'Aset Tetap'!$AQ154/'Aset Tetap'!$AG154,0)))</f>
        <v/>
      </c>
      <c r="Q154" s="22" t="str">
        <f>IF($B154="","",SUM(E154:P154))</f>
        <v/>
      </c>
      <c r="R154" s="22" t="str">
        <f>IF($B154="","",'Aset Tetap'!AQ154)</f>
        <v/>
      </c>
      <c r="S154" s="22" t="str">
        <f>IF($B154="","",ROUND(Q154-R154,0))</f>
        <v/>
      </c>
    </row>
    <row r="155" spans="1:19" x14ac:dyDescent="0.25">
      <c r="A155" t="str">
        <f>IF('Aset Tetap'!$B155="","",'Aset Tetap'!A155)</f>
        <v/>
      </c>
      <c r="B155" t="str">
        <f>IF('Aset Tetap'!$B155="","",'Aset Tetap'!B155)</f>
        <v/>
      </c>
      <c r="C155" t="str">
        <f>IF('Aset Tetap'!$B155="","",'Aset Tetap'!C155)</f>
        <v/>
      </c>
      <c r="D155" t="str">
        <f>IF('Aset Tetap'!$B155="","",'Aset Tetap'!D155)</f>
        <v/>
      </c>
      <c r="E155" s="22" t="str">
        <f>IF($B155="","",IF(N('Aset Tetap'!$AG155)=0,0,IF(AND((YEAR(E$6)*12+MONTH(E$6))&gt;='Aset Tetap'!$Y155,(YEAR(E$6)*12+MONTH(E$6))&lt;=MIN('Aset Tetap'!$Z155,IF('Aset Tetap'!$S155="Unit Produksi",99999,'Aset Tetap'!$Y155+'Aset Tetap'!$T155*12-1))),'Aset Tetap'!$AQ155/'Aset Tetap'!$AG155,0)))</f>
        <v/>
      </c>
      <c r="F155" s="22" t="str">
        <f>IF($B155="","",IF(N('Aset Tetap'!$AG155)=0,0,IF(AND((YEAR(F$6)*12+MONTH(F$6))&gt;='Aset Tetap'!$Y155,(YEAR(F$6)*12+MONTH(F$6))&lt;=MIN('Aset Tetap'!$Z155,IF('Aset Tetap'!$S155="Unit Produksi",99999,'Aset Tetap'!$Y155+'Aset Tetap'!$T155*12-1))),'Aset Tetap'!$AQ155/'Aset Tetap'!$AG155,0)))</f>
        <v/>
      </c>
      <c r="G155" s="22" t="str">
        <f>IF($B155="","",IF(N('Aset Tetap'!$AG155)=0,0,IF(AND((YEAR(G$6)*12+MONTH(G$6))&gt;='Aset Tetap'!$Y155,(YEAR(G$6)*12+MONTH(G$6))&lt;=MIN('Aset Tetap'!$Z155,IF('Aset Tetap'!$S155="Unit Produksi",99999,'Aset Tetap'!$Y155+'Aset Tetap'!$T155*12-1))),'Aset Tetap'!$AQ155/'Aset Tetap'!$AG155,0)))</f>
        <v/>
      </c>
      <c r="H155" s="22" t="str">
        <f>IF($B155="","",IF(N('Aset Tetap'!$AG155)=0,0,IF(AND((YEAR(H$6)*12+MONTH(H$6))&gt;='Aset Tetap'!$Y155,(YEAR(H$6)*12+MONTH(H$6))&lt;=MIN('Aset Tetap'!$Z155,IF('Aset Tetap'!$S155="Unit Produksi",99999,'Aset Tetap'!$Y155+'Aset Tetap'!$T155*12-1))),'Aset Tetap'!$AQ155/'Aset Tetap'!$AG155,0)))</f>
        <v/>
      </c>
      <c r="I155" s="22" t="str">
        <f>IF($B155="","",IF(N('Aset Tetap'!$AG155)=0,0,IF(AND((YEAR(I$6)*12+MONTH(I$6))&gt;='Aset Tetap'!$Y155,(YEAR(I$6)*12+MONTH(I$6))&lt;=MIN('Aset Tetap'!$Z155,IF('Aset Tetap'!$S155="Unit Produksi",99999,'Aset Tetap'!$Y155+'Aset Tetap'!$T155*12-1))),'Aset Tetap'!$AQ155/'Aset Tetap'!$AG155,0)))</f>
        <v/>
      </c>
      <c r="J155" s="22" t="str">
        <f>IF($B155="","",IF(N('Aset Tetap'!$AG155)=0,0,IF(AND((YEAR(J$6)*12+MONTH(J$6))&gt;='Aset Tetap'!$Y155,(YEAR(J$6)*12+MONTH(J$6))&lt;=MIN('Aset Tetap'!$Z155,IF('Aset Tetap'!$S155="Unit Produksi",99999,'Aset Tetap'!$Y155+'Aset Tetap'!$T155*12-1))),'Aset Tetap'!$AQ155/'Aset Tetap'!$AG155,0)))</f>
        <v/>
      </c>
      <c r="K155" s="22" t="str">
        <f>IF($B155="","",IF(N('Aset Tetap'!$AG155)=0,0,IF(AND((YEAR(K$6)*12+MONTH(K$6))&gt;='Aset Tetap'!$Y155,(YEAR(K$6)*12+MONTH(K$6))&lt;=MIN('Aset Tetap'!$Z155,IF('Aset Tetap'!$S155="Unit Produksi",99999,'Aset Tetap'!$Y155+'Aset Tetap'!$T155*12-1))),'Aset Tetap'!$AQ155/'Aset Tetap'!$AG155,0)))</f>
        <v/>
      </c>
      <c r="L155" s="22" t="str">
        <f>IF($B155="","",IF(N('Aset Tetap'!$AG155)=0,0,IF(AND((YEAR(L$6)*12+MONTH(L$6))&gt;='Aset Tetap'!$Y155,(YEAR(L$6)*12+MONTH(L$6))&lt;=MIN('Aset Tetap'!$Z155,IF('Aset Tetap'!$S155="Unit Produksi",99999,'Aset Tetap'!$Y155+'Aset Tetap'!$T155*12-1))),'Aset Tetap'!$AQ155/'Aset Tetap'!$AG155,0)))</f>
        <v/>
      </c>
      <c r="M155" s="22" t="str">
        <f>IF($B155="","",IF(N('Aset Tetap'!$AG155)=0,0,IF(AND((YEAR(M$6)*12+MONTH(M$6))&gt;='Aset Tetap'!$Y155,(YEAR(M$6)*12+MONTH(M$6))&lt;=MIN('Aset Tetap'!$Z155,IF('Aset Tetap'!$S155="Unit Produksi",99999,'Aset Tetap'!$Y155+'Aset Tetap'!$T155*12-1))),'Aset Tetap'!$AQ155/'Aset Tetap'!$AG155,0)))</f>
        <v/>
      </c>
      <c r="N155" s="22" t="str">
        <f>IF($B155="","",IF(N('Aset Tetap'!$AG155)=0,0,IF(AND((YEAR(N$6)*12+MONTH(N$6))&gt;='Aset Tetap'!$Y155,(YEAR(N$6)*12+MONTH(N$6))&lt;=MIN('Aset Tetap'!$Z155,IF('Aset Tetap'!$S155="Unit Produksi",99999,'Aset Tetap'!$Y155+'Aset Tetap'!$T155*12-1))),'Aset Tetap'!$AQ155/'Aset Tetap'!$AG155,0)))</f>
        <v/>
      </c>
      <c r="O155" s="22" t="str">
        <f>IF($B155="","",IF(N('Aset Tetap'!$AG155)=0,0,IF(AND((YEAR(O$6)*12+MONTH(O$6))&gt;='Aset Tetap'!$Y155,(YEAR(O$6)*12+MONTH(O$6))&lt;=MIN('Aset Tetap'!$Z155,IF('Aset Tetap'!$S155="Unit Produksi",99999,'Aset Tetap'!$Y155+'Aset Tetap'!$T155*12-1))),'Aset Tetap'!$AQ155/'Aset Tetap'!$AG155,0)))</f>
        <v/>
      </c>
      <c r="P155" s="22" t="str">
        <f>IF($B155="","",IF(N('Aset Tetap'!$AG155)=0,0,IF(AND((YEAR(P$6)*12+MONTH(P$6))&gt;='Aset Tetap'!$Y155,(YEAR(P$6)*12+MONTH(P$6))&lt;=MIN('Aset Tetap'!$Z155,IF('Aset Tetap'!$S155="Unit Produksi",99999,'Aset Tetap'!$Y155+'Aset Tetap'!$T155*12-1))),'Aset Tetap'!$AQ155/'Aset Tetap'!$AG155,0)))</f>
        <v/>
      </c>
      <c r="Q155" s="22" t="str">
        <f>IF($B155="","",SUM(E155:P155))</f>
        <v/>
      </c>
      <c r="R155" s="22" t="str">
        <f>IF($B155="","",'Aset Tetap'!AQ155)</f>
        <v/>
      </c>
      <c r="S155" s="22" t="str">
        <f>IF($B155="","",ROUND(Q155-R155,0))</f>
        <v/>
      </c>
    </row>
    <row r="156" spans="1:19" x14ac:dyDescent="0.25">
      <c r="A156" t="str">
        <f>IF('Aset Tetap'!$B156="","",'Aset Tetap'!A156)</f>
        <v/>
      </c>
      <c r="B156" t="str">
        <f>IF('Aset Tetap'!$B156="","",'Aset Tetap'!B156)</f>
        <v/>
      </c>
      <c r="C156" t="str">
        <f>IF('Aset Tetap'!$B156="","",'Aset Tetap'!C156)</f>
        <v/>
      </c>
      <c r="D156" t="str">
        <f>IF('Aset Tetap'!$B156="","",'Aset Tetap'!D156)</f>
        <v/>
      </c>
      <c r="E156" s="22" t="str">
        <f>IF($B156="","",IF(N('Aset Tetap'!$AG156)=0,0,IF(AND((YEAR(E$6)*12+MONTH(E$6))&gt;='Aset Tetap'!$Y156,(YEAR(E$6)*12+MONTH(E$6))&lt;=MIN('Aset Tetap'!$Z156,IF('Aset Tetap'!$S156="Unit Produksi",99999,'Aset Tetap'!$Y156+'Aset Tetap'!$T156*12-1))),'Aset Tetap'!$AQ156/'Aset Tetap'!$AG156,0)))</f>
        <v/>
      </c>
      <c r="F156" s="22" t="str">
        <f>IF($B156="","",IF(N('Aset Tetap'!$AG156)=0,0,IF(AND((YEAR(F$6)*12+MONTH(F$6))&gt;='Aset Tetap'!$Y156,(YEAR(F$6)*12+MONTH(F$6))&lt;=MIN('Aset Tetap'!$Z156,IF('Aset Tetap'!$S156="Unit Produksi",99999,'Aset Tetap'!$Y156+'Aset Tetap'!$T156*12-1))),'Aset Tetap'!$AQ156/'Aset Tetap'!$AG156,0)))</f>
        <v/>
      </c>
      <c r="G156" s="22" t="str">
        <f>IF($B156="","",IF(N('Aset Tetap'!$AG156)=0,0,IF(AND((YEAR(G$6)*12+MONTH(G$6))&gt;='Aset Tetap'!$Y156,(YEAR(G$6)*12+MONTH(G$6))&lt;=MIN('Aset Tetap'!$Z156,IF('Aset Tetap'!$S156="Unit Produksi",99999,'Aset Tetap'!$Y156+'Aset Tetap'!$T156*12-1))),'Aset Tetap'!$AQ156/'Aset Tetap'!$AG156,0)))</f>
        <v/>
      </c>
      <c r="H156" s="22" t="str">
        <f>IF($B156="","",IF(N('Aset Tetap'!$AG156)=0,0,IF(AND((YEAR(H$6)*12+MONTH(H$6))&gt;='Aset Tetap'!$Y156,(YEAR(H$6)*12+MONTH(H$6))&lt;=MIN('Aset Tetap'!$Z156,IF('Aset Tetap'!$S156="Unit Produksi",99999,'Aset Tetap'!$Y156+'Aset Tetap'!$T156*12-1))),'Aset Tetap'!$AQ156/'Aset Tetap'!$AG156,0)))</f>
        <v/>
      </c>
      <c r="I156" s="22" t="str">
        <f>IF($B156="","",IF(N('Aset Tetap'!$AG156)=0,0,IF(AND((YEAR(I$6)*12+MONTH(I$6))&gt;='Aset Tetap'!$Y156,(YEAR(I$6)*12+MONTH(I$6))&lt;=MIN('Aset Tetap'!$Z156,IF('Aset Tetap'!$S156="Unit Produksi",99999,'Aset Tetap'!$Y156+'Aset Tetap'!$T156*12-1))),'Aset Tetap'!$AQ156/'Aset Tetap'!$AG156,0)))</f>
        <v/>
      </c>
      <c r="J156" s="22" t="str">
        <f>IF($B156="","",IF(N('Aset Tetap'!$AG156)=0,0,IF(AND((YEAR(J$6)*12+MONTH(J$6))&gt;='Aset Tetap'!$Y156,(YEAR(J$6)*12+MONTH(J$6))&lt;=MIN('Aset Tetap'!$Z156,IF('Aset Tetap'!$S156="Unit Produksi",99999,'Aset Tetap'!$Y156+'Aset Tetap'!$T156*12-1))),'Aset Tetap'!$AQ156/'Aset Tetap'!$AG156,0)))</f>
        <v/>
      </c>
      <c r="K156" s="22" t="str">
        <f>IF($B156="","",IF(N('Aset Tetap'!$AG156)=0,0,IF(AND((YEAR(K$6)*12+MONTH(K$6))&gt;='Aset Tetap'!$Y156,(YEAR(K$6)*12+MONTH(K$6))&lt;=MIN('Aset Tetap'!$Z156,IF('Aset Tetap'!$S156="Unit Produksi",99999,'Aset Tetap'!$Y156+'Aset Tetap'!$T156*12-1))),'Aset Tetap'!$AQ156/'Aset Tetap'!$AG156,0)))</f>
        <v/>
      </c>
      <c r="L156" s="22" t="str">
        <f>IF($B156="","",IF(N('Aset Tetap'!$AG156)=0,0,IF(AND((YEAR(L$6)*12+MONTH(L$6))&gt;='Aset Tetap'!$Y156,(YEAR(L$6)*12+MONTH(L$6))&lt;=MIN('Aset Tetap'!$Z156,IF('Aset Tetap'!$S156="Unit Produksi",99999,'Aset Tetap'!$Y156+'Aset Tetap'!$T156*12-1))),'Aset Tetap'!$AQ156/'Aset Tetap'!$AG156,0)))</f>
        <v/>
      </c>
      <c r="M156" s="22" t="str">
        <f>IF($B156="","",IF(N('Aset Tetap'!$AG156)=0,0,IF(AND((YEAR(M$6)*12+MONTH(M$6))&gt;='Aset Tetap'!$Y156,(YEAR(M$6)*12+MONTH(M$6))&lt;=MIN('Aset Tetap'!$Z156,IF('Aset Tetap'!$S156="Unit Produksi",99999,'Aset Tetap'!$Y156+'Aset Tetap'!$T156*12-1))),'Aset Tetap'!$AQ156/'Aset Tetap'!$AG156,0)))</f>
        <v/>
      </c>
      <c r="N156" s="22" t="str">
        <f>IF($B156="","",IF(N('Aset Tetap'!$AG156)=0,0,IF(AND((YEAR(N$6)*12+MONTH(N$6))&gt;='Aset Tetap'!$Y156,(YEAR(N$6)*12+MONTH(N$6))&lt;=MIN('Aset Tetap'!$Z156,IF('Aset Tetap'!$S156="Unit Produksi",99999,'Aset Tetap'!$Y156+'Aset Tetap'!$T156*12-1))),'Aset Tetap'!$AQ156/'Aset Tetap'!$AG156,0)))</f>
        <v/>
      </c>
      <c r="O156" s="22" t="str">
        <f>IF($B156="","",IF(N('Aset Tetap'!$AG156)=0,0,IF(AND((YEAR(O$6)*12+MONTH(O$6))&gt;='Aset Tetap'!$Y156,(YEAR(O$6)*12+MONTH(O$6))&lt;=MIN('Aset Tetap'!$Z156,IF('Aset Tetap'!$S156="Unit Produksi",99999,'Aset Tetap'!$Y156+'Aset Tetap'!$T156*12-1))),'Aset Tetap'!$AQ156/'Aset Tetap'!$AG156,0)))</f>
        <v/>
      </c>
      <c r="P156" s="22" t="str">
        <f>IF($B156="","",IF(N('Aset Tetap'!$AG156)=0,0,IF(AND((YEAR(P$6)*12+MONTH(P$6))&gt;='Aset Tetap'!$Y156,(YEAR(P$6)*12+MONTH(P$6))&lt;=MIN('Aset Tetap'!$Z156,IF('Aset Tetap'!$S156="Unit Produksi",99999,'Aset Tetap'!$Y156+'Aset Tetap'!$T156*12-1))),'Aset Tetap'!$AQ156/'Aset Tetap'!$AG156,0)))</f>
        <v/>
      </c>
      <c r="Q156" s="22" t="str">
        <f>IF($B156="","",SUM(E156:P156))</f>
        <v/>
      </c>
      <c r="R156" s="22" t="str">
        <f>IF($B156="","",'Aset Tetap'!AQ156)</f>
        <v/>
      </c>
      <c r="S156" s="22" t="str">
        <f>IF($B156="","",ROUND(Q156-R156,0))</f>
        <v/>
      </c>
    </row>
    <row r="157" spans="1:19" x14ac:dyDescent="0.25">
      <c r="A157" t="str">
        <f>IF('Aset Tetap'!$B157="","",'Aset Tetap'!A157)</f>
        <v/>
      </c>
      <c r="B157" t="str">
        <f>IF('Aset Tetap'!$B157="","",'Aset Tetap'!B157)</f>
        <v/>
      </c>
      <c r="C157" t="str">
        <f>IF('Aset Tetap'!$B157="","",'Aset Tetap'!C157)</f>
        <v/>
      </c>
      <c r="D157" t="str">
        <f>IF('Aset Tetap'!$B157="","",'Aset Tetap'!D157)</f>
        <v/>
      </c>
      <c r="E157" s="22" t="str">
        <f>IF($B157="","",IF(N('Aset Tetap'!$AG157)=0,0,IF(AND((YEAR(E$6)*12+MONTH(E$6))&gt;='Aset Tetap'!$Y157,(YEAR(E$6)*12+MONTH(E$6))&lt;=MIN('Aset Tetap'!$Z157,IF('Aset Tetap'!$S157="Unit Produksi",99999,'Aset Tetap'!$Y157+'Aset Tetap'!$T157*12-1))),'Aset Tetap'!$AQ157/'Aset Tetap'!$AG157,0)))</f>
        <v/>
      </c>
      <c r="F157" s="22" t="str">
        <f>IF($B157="","",IF(N('Aset Tetap'!$AG157)=0,0,IF(AND((YEAR(F$6)*12+MONTH(F$6))&gt;='Aset Tetap'!$Y157,(YEAR(F$6)*12+MONTH(F$6))&lt;=MIN('Aset Tetap'!$Z157,IF('Aset Tetap'!$S157="Unit Produksi",99999,'Aset Tetap'!$Y157+'Aset Tetap'!$T157*12-1))),'Aset Tetap'!$AQ157/'Aset Tetap'!$AG157,0)))</f>
        <v/>
      </c>
      <c r="G157" s="22" t="str">
        <f>IF($B157="","",IF(N('Aset Tetap'!$AG157)=0,0,IF(AND((YEAR(G$6)*12+MONTH(G$6))&gt;='Aset Tetap'!$Y157,(YEAR(G$6)*12+MONTH(G$6))&lt;=MIN('Aset Tetap'!$Z157,IF('Aset Tetap'!$S157="Unit Produksi",99999,'Aset Tetap'!$Y157+'Aset Tetap'!$T157*12-1))),'Aset Tetap'!$AQ157/'Aset Tetap'!$AG157,0)))</f>
        <v/>
      </c>
      <c r="H157" s="22" t="str">
        <f>IF($B157="","",IF(N('Aset Tetap'!$AG157)=0,0,IF(AND((YEAR(H$6)*12+MONTH(H$6))&gt;='Aset Tetap'!$Y157,(YEAR(H$6)*12+MONTH(H$6))&lt;=MIN('Aset Tetap'!$Z157,IF('Aset Tetap'!$S157="Unit Produksi",99999,'Aset Tetap'!$Y157+'Aset Tetap'!$T157*12-1))),'Aset Tetap'!$AQ157/'Aset Tetap'!$AG157,0)))</f>
        <v/>
      </c>
      <c r="I157" s="22" t="str">
        <f>IF($B157="","",IF(N('Aset Tetap'!$AG157)=0,0,IF(AND((YEAR(I$6)*12+MONTH(I$6))&gt;='Aset Tetap'!$Y157,(YEAR(I$6)*12+MONTH(I$6))&lt;=MIN('Aset Tetap'!$Z157,IF('Aset Tetap'!$S157="Unit Produksi",99999,'Aset Tetap'!$Y157+'Aset Tetap'!$T157*12-1))),'Aset Tetap'!$AQ157/'Aset Tetap'!$AG157,0)))</f>
        <v/>
      </c>
      <c r="J157" s="22" t="str">
        <f>IF($B157="","",IF(N('Aset Tetap'!$AG157)=0,0,IF(AND((YEAR(J$6)*12+MONTH(J$6))&gt;='Aset Tetap'!$Y157,(YEAR(J$6)*12+MONTH(J$6))&lt;=MIN('Aset Tetap'!$Z157,IF('Aset Tetap'!$S157="Unit Produksi",99999,'Aset Tetap'!$Y157+'Aset Tetap'!$T157*12-1))),'Aset Tetap'!$AQ157/'Aset Tetap'!$AG157,0)))</f>
        <v/>
      </c>
      <c r="K157" s="22" t="str">
        <f>IF($B157="","",IF(N('Aset Tetap'!$AG157)=0,0,IF(AND((YEAR(K$6)*12+MONTH(K$6))&gt;='Aset Tetap'!$Y157,(YEAR(K$6)*12+MONTH(K$6))&lt;=MIN('Aset Tetap'!$Z157,IF('Aset Tetap'!$S157="Unit Produksi",99999,'Aset Tetap'!$Y157+'Aset Tetap'!$T157*12-1))),'Aset Tetap'!$AQ157/'Aset Tetap'!$AG157,0)))</f>
        <v/>
      </c>
      <c r="L157" s="22" t="str">
        <f>IF($B157="","",IF(N('Aset Tetap'!$AG157)=0,0,IF(AND((YEAR(L$6)*12+MONTH(L$6))&gt;='Aset Tetap'!$Y157,(YEAR(L$6)*12+MONTH(L$6))&lt;=MIN('Aset Tetap'!$Z157,IF('Aset Tetap'!$S157="Unit Produksi",99999,'Aset Tetap'!$Y157+'Aset Tetap'!$T157*12-1))),'Aset Tetap'!$AQ157/'Aset Tetap'!$AG157,0)))</f>
        <v/>
      </c>
      <c r="M157" s="22" t="str">
        <f>IF($B157="","",IF(N('Aset Tetap'!$AG157)=0,0,IF(AND((YEAR(M$6)*12+MONTH(M$6))&gt;='Aset Tetap'!$Y157,(YEAR(M$6)*12+MONTH(M$6))&lt;=MIN('Aset Tetap'!$Z157,IF('Aset Tetap'!$S157="Unit Produksi",99999,'Aset Tetap'!$Y157+'Aset Tetap'!$T157*12-1))),'Aset Tetap'!$AQ157/'Aset Tetap'!$AG157,0)))</f>
        <v/>
      </c>
      <c r="N157" s="22" t="str">
        <f>IF($B157="","",IF(N('Aset Tetap'!$AG157)=0,0,IF(AND((YEAR(N$6)*12+MONTH(N$6))&gt;='Aset Tetap'!$Y157,(YEAR(N$6)*12+MONTH(N$6))&lt;=MIN('Aset Tetap'!$Z157,IF('Aset Tetap'!$S157="Unit Produksi",99999,'Aset Tetap'!$Y157+'Aset Tetap'!$T157*12-1))),'Aset Tetap'!$AQ157/'Aset Tetap'!$AG157,0)))</f>
        <v/>
      </c>
      <c r="O157" s="22" t="str">
        <f>IF($B157="","",IF(N('Aset Tetap'!$AG157)=0,0,IF(AND((YEAR(O$6)*12+MONTH(O$6))&gt;='Aset Tetap'!$Y157,(YEAR(O$6)*12+MONTH(O$6))&lt;=MIN('Aset Tetap'!$Z157,IF('Aset Tetap'!$S157="Unit Produksi",99999,'Aset Tetap'!$Y157+'Aset Tetap'!$T157*12-1))),'Aset Tetap'!$AQ157/'Aset Tetap'!$AG157,0)))</f>
        <v/>
      </c>
      <c r="P157" s="22" t="str">
        <f>IF($B157="","",IF(N('Aset Tetap'!$AG157)=0,0,IF(AND((YEAR(P$6)*12+MONTH(P$6))&gt;='Aset Tetap'!$Y157,(YEAR(P$6)*12+MONTH(P$6))&lt;=MIN('Aset Tetap'!$Z157,IF('Aset Tetap'!$S157="Unit Produksi",99999,'Aset Tetap'!$Y157+'Aset Tetap'!$T157*12-1))),'Aset Tetap'!$AQ157/'Aset Tetap'!$AG157,0)))</f>
        <v/>
      </c>
      <c r="Q157" s="22" t="str">
        <f>IF($B157="","",SUM(E157:P157))</f>
        <v/>
      </c>
      <c r="R157" s="22" t="str">
        <f>IF($B157="","",'Aset Tetap'!AQ157)</f>
        <v/>
      </c>
      <c r="S157" s="22" t="str">
        <f>IF($B157="","",ROUND(Q157-R157,0))</f>
        <v/>
      </c>
    </row>
    <row r="158" spans="1:19" x14ac:dyDescent="0.25">
      <c r="A158" t="str">
        <f>IF('Aset Tetap'!$B158="","",'Aset Tetap'!A158)</f>
        <v/>
      </c>
      <c r="B158" t="str">
        <f>IF('Aset Tetap'!$B158="","",'Aset Tetap'!B158)</f>
        <v/>
      </c>
      <c r="C158" t="str">
        <f>IF('Aset Tetap'!$B158="","",'Aset Tetap'!C158)</f>
        <v/>
      </c>
      <c r="D158" t="str">
        <f>IF('Aset Tetap'!$B158="","",'Aset Tetap'!D158)</f>
        <v/>
      </c>
      <c r="E158" s="22" t="str">
        <f>IF($B158="","",IF(N('Aset Tetap'!$AG158)=0,0,IF(AND((YEAR(E$6)*12+MONTH(E$6))&gt;='Aset Tetap'!$Y158,(YEAR(E$6)*12+MONTH(E$6))&lt;=MIN('Aset Tetap'!$Z158,IF('Aset Tetap'!$S158="Unit Produksi",99999,'Aset Tetap'!$Y158+'Aset Tetap'!$T158*12-1))),'Aset Tetap'!$AQ158/'Aset Tetap'!$AG158,0)))</f>
        <v/>
      </c>
      <c r="F158" s="22" t="str">
        <f>IF($B158="","",IF(N('Aset Tetap'!$AG158)=0,0,IF(AND((YEAR(F$6)*12+MONTH(F$6))&gt;='Aset Tetap'!$Y158,(YEAR(F$6)*12+MONTH(F$6))&lt;=MIN('Aset Tetap'!$Z158,IF('Aset Tetap'!$S158="Unit Produksi",99999,'Aset Tetap'!$Y158+'Aset Tetap'!$T158*12-1))),'Aset Tetap'!$AQ158/'Aset Tetap'!$AG158,0)))</f>
        <v/>
      </c>
      <c r="G158" s="22" t="str">
        <f>IF($B158="","",IF(N('Aset Tetap'!$AG158)=0,0,IF(AND((YEAR(G$6)*12+MONTH(G$6))&gt;='Aset Tetap'!$Y158,(YEAR(G$6)*12+MONTH(G$6))&lt;=MIN('Aset Tetap'!$Z158,IF('Aset Tetap'!$S158="Unit Produksi",99999,'Aset Tetap'!$Y158+'Aset Tetap'!$T158*12-1))),'Aset Tetap'!$AQ158/'Aset Tetap'!$AG158,0)))</f>
        <v/>
      </c>
      <c r="H158" s="22" t="str">
        <f>IF($B158="","",IF(N('Aset Tetap'!$AG158)=0,0,IF(AND((YEAR(H$6)*12+MONTH(H$6))&gt;='Aset Tetap'!$Y158,(YEAR(H$6)*12+MONTH(H$6))&lt;=MIN('Aset Tetap'!$Z158,IF('Aset Tetap'!$S158="Unit Produksi",99999,'Aset Tetap'!$Y158+'Aset Tetap'!$T158*12-1))),'Aset Tetap'!$AQ158/'Aset Tetap'!$AG158,0)))</f>
        <v/>
      </c>
      <c r="I158" s="22" t="str">
        <f>IF($B158="","",IF(N('Aset Tetap'!$AG158)=0,0,IF(AND((YEAR(I$6)*12+MONTH(I$6))&gt;='Aset Tetap'!$Y158,(YEAR(I$6)*12+MONTH(I$6))&lt;=MIN('Aset Tetap'!$Z158,IF('Aset Tetap'!$S158="Unit Produksi",99999,'Aset Tetap'!$Y158+'Aset Tetap'!$T158*12-1))),'Aset Tetap'!$AQ158/'Aset Tetap'!$AG158,0)))</f>
        <v/>
      </c>
      <c r="J158" s="22" t="str">
        <f>IF($B158="","",IF(N('Aset Tetap'!$AG158)=0,0,IF(AND((YEAR(J$6)*12+MONTH(J$6))&gt;='Aset Tetap'!$Y158,(YEAR(J$6)*12+MONTH(J$6))&lt;=MIN('Aset Tetap'!$Z158,IF('Aset Tetap'!$S158="Unit Produksi",99999,'Aset Tetap'!$Y158+'Aset Tetap'!$T158*12-1))),'Aset Tetap'!$AQ158/'Aset Tetap'!$AG158,0)))</f>
        <v/>
      </c>
      <c r="K158" s="22" t="str">
        <f>IF($B158="","",IF(N('Aset Tetap'!$AG158)=0,0,IF(AND((YEAR(K$6)*12+MONTH(K$6))&gt;='Aset Tetap'!$Y158,(YEAR(K$6)*12+MONTH(K$6))&lt;=MIN('Aset Tetap'!$Z158,IF('Aset Tetap'!$S158="Unit Produksi",99999,'Aset Tetap'!$Y158+'Aset Tetap'!$T158*12-1))),'Aset Tetap'!$AQ158/'Aset Tetap'!$AG158,0)))</f>
        <v/>
      </c>
      <c r="L158" s="22" t="str">
        <f>IF($B158="","",IF(N('Aset Tetap'!$AG158)=0,0,IF(AND((YEAR(L$6)*12+MONTH(L$6))&gt;='Aset Tetap'!$Y158,(YEAR(L$6)*12+MONTH(L$6))&lt;=MIN('Aset Tetap'!$Z158,IF('Aset Tetap'!$S158="Unit Produksi",99999,'Aset Tetap'!$Y158+'Aset Tetap'!$T158*12-1))),'Aset Tetap'!$AQ158/'Aset Tetap'!$AG158,0)))</f>
        <v/>
      </c>
      <c r="M158" s="22" t="str">
        <f>IF($B158="","",IF(N('Aset Tetap'!$AG158)=0,0,IF(AND((YEAR(M$6)*12+MONTH(M$6))&gt;='Aset Tetap'!$Y158,(YEAR(M$6)*12+MONTH(M$6))&lt;=MIN('Aset Tetap'!$Z158,IF('Aset Tetap'!$S158="Unit Produksi",99999,'Aset Tetap'!$Y158+'Aset Tetap'!$T158*12-1))),'Aset Tetap'!$AQ158/'Aset Tetap'!$AG158,0)))</f>
        <v/>
      </c>
      <c r="N158" s="22" t="str">
        <f>IF($B158="","",IF(N('Aset Tetap'!$AG158)=0,0,IF(AND((YEAR(N$6)*12+MONTH(N$6))&gt;='Aset Tetap'!$Y158,(YEAR(N$6)*12+MONTH(N$6))&lt;=MIN('Aset Tetap'!$Z158,IF('Aset Tetap'!$S158="Unit Produksi",99999,'Aset Tetap'!$Y158+'Aset Tetap'!$T158*12-1))),'Aset Tetap'!$AQ158/'Aset Tetap'!$AG158,0)))</f>
        <v/>
      </c>
      <c r="O158" s="22" t="str">
        <f>IF($B158="","",IF(N('Aset Tetap'!$AG158)=0,0,IF(AND((YEAR(O$6)*12+MONTH(O$6))&gt;='Aset Tetap'!$Y158,(YEAR(O$6)*12+MONTH(O$6))&lt;=MIN('Aset Tetap'!$Z158,IF('Aset Tetap'!$S158="Unit Produksi",99999,'Aset Tetap'!$Y158+'Aset Tetap'!$T158*12-1))),'Aset Tetap'!$AQ158/'Aset Tetap'!$AG158,0)))</f>
        <v/>
      </c>
      <c r="P158" s="22" t="str">
        <f>IF($B158="","",IF(N('Aset Tetap'!$AG158)=0,0,IF(AND((YEAR(P$6)*12+MONTH(P$6))&gt;='Aset Tetap'!$Y158,(YEAR(P$6)*12+MONTH(P$6))&lt;=MIN('Aset Tetap'!$Z158,IF('Aset Tetap'!$S158="Unit Produksi",99999,'Aset Tetap'!$Y158+'Aset Tetap'!$T158*12-1))),'Aset Tetap'!$AQ158/'Aset Tetap'!$AG158,0)))</f>
        <v/>
      </c>
      <c r="Q158" s="22" t="str">
        <f>IF($B158="","",SUM(E158:P158))</f>
        <v/>
      </c>
      <c r="R158" s="22" t="str">
        <f>IF($B158="","",'Aset Tetap'!AQ158)</f>
        <v/>
      </c>
      <c r="S158" s="22" t="str">
        <f>IF($B158="","",ROUND(Q158-R158,0))</f>
        <v/>
      </c>
    </row>
    <row r="159" spans="1:19" x14ac:dyDescent="0.25">
      <c r="A159" t="str">
        <f>IF('Aset Tetap'!$B159="","",'Aset Tetap'!A159)</f>
        <v/>
      </c>
      <c r="B159" t="str">
        <f>IF('Aset Tetap'!$B159="","",'Aset Tetap'!B159)</f>
        <v/>
      </c>
      <c r="C159" t="str">
        <f>IF('Aset Tetap'!$B159="","",'Aset Tetap'!C159)</f>
        <v/>
      </c>
      <c r="D159" t="str">
        <f>IF('Aset Tetap'!$B159="","",'Aset Tetap'!D159)</f>
        <v/>
      </c>
      <c r="E159" s="22" t="str">
        <f>IF($B159="","",IF(N('Aset Tetap'!$AG159)=0,0,IF(AND((YEAR(E$6)*12+MONTH(E$6))&gt;='Aset Tetap'!$Y159,(YEAR(E$6)*12+MONTH(E$6))&lt;=MIN('Aset Tetap'!$Z159,IF('Aset Tetap'!$S159="Unit Produksi",99999,'Aset Tetap'!$Y159+'Aset Tetap'!$T159*12-1))),'Aset Tetap'!$AQ159/'Aset Tetap'!$AG159,0)))</f>
        <v/>
      </c>
      <c r="F159" s="22" t="str">
        <f>IF($B159="","",IF(N('Aset Tetap'!$AG159)=0,0,IF(AND((YEAR(F$6)*12+MONTH(F$6))&gt;='Aset Tetap'!$Y159,(YEAR(F$6)*12+MONTH(F$6))&lt;=MIN('Aset Tetap'!$Z159,IF('Aset Tetap'!$S159="Unit Produksi",99999,'Aset Tetap'!$Y159+'Aset Tetap'!$T159*12-1))),'Aset Tetap'!$AQ159/'Aset Tetap'!$AG159,0)))</f>
        <v/>
      </c>
      <c r="G159" s="22" t="str">
        <f>IF($B159="","",IF(N('Aset Tetap'!$AG159)=0,0,IF(AND((YEAR(G$6)*12+MONTH(G$6))&gt;='Aset Tetap'!$Y159,(YEAR(G$6)*12+MONTH(G$6))&lt;=MIN('Aset Tetap'!$Z159,IF('Aset Tetap'!$S159="Unit Produksi",99999,'Aset Tetap'!$Y159+'Aset Tetap'!$T159*12-1))),'Aset Tetap'!$AQ159/'Aset Tetap'!$AG159,0)))</f>
        <v/>
      </c>
      <c r="H159" s="22" t="str">
        <f>IF($B159="","",IF(N('Aset Tetap'!$AG159)=0,0,IF(AND((YEAR(H$6)*12+MONTH(H$6))&gt;='Aset Tetap'!$Y159,(YEAR(H$6)*12+MONTH(H$6))&lt;=MIN('Aset Tetap'!$Z159,IF('Aset Tetap'!$S159="Unit Produksi",99999,'Aset Tetap'!$Y159+'Aset Tetap'!$T159*12-1))),'Aset Tetap'!$AQ159/'Aset Tetap'!$AG159,0)))</f>
        <v/>
      </c>
      <c r="I159" s="22" t="str">
        <f>IF($B159="","",IF(N('Aset Tetap'!$AG159)=0,0,IF(AND((YEAR(I$6)*12+MONTH(I$6))&gt;='Aset Tetap'!$Y159,(YEAR(I$6)*12+MONTH(I$6))&lt;=MIN('Aset Tetap'!$Z159,IF('Aset Tetap'!$S159="Unit Produksi",99999,'Aset Tetap'!$Y159+'Aset Tetap'!$T159*12-1))),'Aset Tetap'!$AQ159/'Aset Tetap'!$AG159,0)))</f>
        <v/>
      </c>
      <c r="J159" s="22" t="str">
        <f>IF($B159="","",IF(N('Aset Tetap'!$AG159)=0,0,IF(AND((YEAR(J$6)*12+MONTH(J$6))&gt;='Aset Tetap'!$Y159,(YEAR(J$6)*12+MONTH(J$6))&lt;=MIN('Aset Tetap'!$Z159,IF('Aset Tetap'!$S159="Unit Produksi",99999,'Aset Tetap'!$Y159+'Aset Tetap'!$T159*12-1))),'Aset Tetap'!$AQ159/'Aset Tetap'!$AG159,0)))</f>
        <v/>
      </c>
      <c r="K159" s="22" t="str">
        <f>IF($B159="","",IF(N('Aset Tetap'!$AG159)=0,0,IF(AND((YEAR(K$6)*12+MONTH(K$6))&gt;='Aset Tetap'!$Y159,(YEAR(K$6)*12+MONTH(K$6))&lt;=MIN('Aset Tetap'!$Z159,IF('Aset Tetap'!$S159="Unit Produksi",99999,'Aset Tetap'!$Y159+'Aset Tetap'!$T159*12-1))),'Aset Tetap'!$AQ159/'Aset Tetap'!$AG159,0)))</f>
        <v/>
      </c>
      <c r="L159" s="22" t="str">
        <f>IF($B159="","",IF(N('Aset Tetap'!$AG159)=0,0,IF(AND((YEAR(L$6)*12+MONTH(L$6))&gt;='Aset Tetap'!$Y159,(YEAR(L$6)*12+MONTH(L$6))&lt;=MIN('Aset Tetap'!$Z159,IF('Aset Tetap'!$S159="Unit Produksi",99999,'Aset Tetap'!$Y159+'Aset Tetap'!$T159*12-1))),'Aset Tetap'!$AQ159/'Aset Tetap'!$AG159,0)))</f>
        <v/>
      </c>
      <c r="M159" s="22" t="str">
        <f>IF($B159="","",IF(N('Aset Tetap'!$AG159)=0,0,IF(AND((YEAR(M$6)*12+MONTH(M$6))&gt;='Aset Tetap'!$Y159,(YEAR(M$6)*12+MONTH(M$6))&lt;=MIN('Aset Tetap'!$Z159,IF('Aset Tetap'!$S159="Unit Produksi",99999,'Aset Tetap'!$Y159+'Aset Tetap'!$T159*12-1))),'Aset Tetap'!$AQ159/'Aset Tetap'!$AG159,0)))</f>
        <v/>
      </c>
      <c r="N159" s="22" t="str">
        <f>IF($B159="","",IF(N('Aset Tetap'!$AG159)=0,0,IF(AND((YEAR(N$6)*12+MONTH(N$6))&gt;='Aset Tetap'!$Y159,(YEAR(N$6)*12+MONTH(N$6))&lt;=MIN('Aset Tetap'!$Z159,IF('Aset Tetap'!$S159="Unit Produksi",99999,'Aset Tetap'!$Y159+'Aset Tetap'!$T159*12-1))),'Aset Tetap'!$AQ159/'Aset Tetap'!$AG159,0)))</f>
        <v/>
      </c>
      <c r="O159" s="22" t="str">
        <f>IF($B159="","",IF(N('Aset Tetap'!$AG159)=0,0,IF(AND((YEAR(O$6)*12+MONTH(O$6))&gt;='Aset Tetap'!$Y159,(YEAR(O$6)*12+MONTH(O$6))&lt;=MIN('Aset Tetap'!$Z159,IF('Aset Tetap'!$S159="Unit Produksi",99999,'Aset Tetap'!$Y159+'Aset Tetap'!$T159*12-1))),'Aset Tetap'!$AQ159/'Aset Tetap'!$AG159,0)))</f>
        <v/>
      </c>
      <c r="P159" s="22" t="str">
        <f>IF($B159="","",IF(N('Aset Tetap'!$AG159)=0,0,IF(AND((YEAR(P$6)*12+MONTH(P$6))&gt;='Aset Tetap'!$Y159,(YEAR(P$6)*12+MONTH(P$6))&lt;=MIN('Aset Tetap'!$Z159,IF('Aset Tetap'!$S159="Unit Produksi",99999,'Aset Tetap'!$Y159+'Aset Tetap'!$T159*12-1))),'Aset Tetap'!$AQ159/'Aset Tetap'!$AG159,0)))</f>
        <v/>
      </c>
      <c r="Q159" s="22" t="str">
        <f>IF($B159="","",SUM(E159:P159))</f>
        <v/>
      </c>
      <c r="R159" s="22" t="str">
        <f>IF($B159="","",'Aset Tetap'!AQ159)</f>
        <v/>
      </c>
      <c r="S159" s="22" t="str">
        <f>IF($B159="","",ROUND(Q159-R159,0))</f>
        <v/>
      </c>
    </row>
    <row r="160" spans="1:19" x14ac:dyDescent="0.25">
      <c r="A160" t="str">
        <f>IF('Aset Tetap'!$B160="","",'Aset Tetap'!A160)</f>
        <v/>
      </c>
      <c r="B160" t="str">
        <f>IF('Aset Tetap'!$B160="","",'Aset Tetap'!B160)</f>
        <v/>
      </c>
      <c r="C160" t="str">
        <f>IF('Aset Tetap'!$B160="","",'Aset Tetap'!C160)</f>
        <v/>
      </c>
      <c r="D160" t="str">
        <f>IF('Aset Tetap'!$B160="","",'Aset Tetap'!D160)</f>
        <v/>
      </c>
      <c r="E160" s="22" t="str">
        <f>IF($B160="","",IF(N('Aset Tetap'!$AG160)=0,0,IF(AND((YEAR(E$6)*12+MONTH(E$6))&gt;='Aset Tetap'!$Y160,(YEAR(E$6)*12+MONTH(E$6))&lt;=MIN('Aset Tetap'!$Z160,IF('Aset Tetap'!$S160="Unit Produksi",99999,'Aset Tetap'!$Y160+'Aset Tetap'!$T160*12-1))),'Aset Tetap'!$AQ160/'Aset Tetap'!$AG160,0)))</f>
        <v/>
      </c>
      <c r="F160" s="22" t="str">
        <f>IF($B160="","",IF(N('Aset Tetap'!$AG160)=0,0,IF(AND((YEAR(F$6)*12+MONTH(F$6))&gt;='Aset Tetap'!$Y160,(YEAR(F$6)*12+MONTH(F$6))&lt;=MIN('Aset Tetap'!$Z160,IF('Aset Tetap'!$S160="Unit Produksi",99999,'Aset Tetap'!$Y160+'Aset Tetap'!$T160*12-1))),'Aset Tetap'!$AQ160/'Aset Tetap'!$AG160,0)))</f>
        <v/>
      </c>
      <c r="G160" s="22" t="str">
        <f>IF($B160="","",IF(N('Aset Tetap'!$AG160)=0,0,IF(AND((YEAR(G$6)*12+MONTH(G$6))&gt;='Aset Tetap'!$Y160,(YEAR(G$6)*12+MONTH(G$6))&lt;=MIN('Aset Tetap'!$Z160,IF('Aset Tetap'!$S160="Unit Produksi",99999,'Aset Tetap'!$Y160+'Aset Tetap'!$T160*12-1))),'Aset Tetap'!$AQ160/'Aset Tetap'!$AG160,0)))</f>
        <v/>
      </c>
      <c r="H160" s="22" t="str">
        <f>IF($B160="","",IF(N('Aset Tetap'!$AG160)=0,0,IF(AND((YEAR(H$6)*12+MONTH(H$6))&gt;='Aset Tetap'!$Y160,(YEAR(H$6)*12+MONTH(H$6))&lt;=MIN('Aset Tetap'!$Z160,IF('Aset Tetap'!$S160="Unit Produksi",99999,'Aset Tetap'!$Y160+'Aset Tetap'!$T160*12-1))),'Aset Tetap'!$AQ160/'Aset Tetap'!$AG160,0)))</f>
        <v/>
      </c>
      <c r="I160" s="22" t="str">
        <f>IF($B160="","",IF(N('Aset Tetap'!$AG160)=0,0,IF(AND((YEAR(I$6)*12+MONTH(I$6))&gt;='Aset Tetap'!$Y160,(YEAR(I$6)*12+MONTH(I$6))&lt;=MIN('Aset Tetap'!$Z160,IF('Aset Tetap'!$S160="Unit Produksi",99999,'Aset Tetap'!$Y160+'Aset Tetap'!$T160*12-1))),'Aset Tetap'!$AQ160/'Aset Tetap'!$AG160,0)))</f>
        <v/>
      </c>
      <c r="J160" s="22" t="str">
        <f>IF($B160="","",IF(N('Aset Tetap'!$AG160)=0,0,IF(AND((YEAR(J$6)*12+MONTH(J$6))&gt;='Aset Tetap'!$Y160,(YEAR(J$6)*12+MONTH(J$6))&lt;=MIN('Aset Tetap'!$Z160,IF('Aset Tetap'!$S160="Unit Produksi",99999,'Aset Tetap'!$Y160+'Aset Tetap'!$T160*12-1))),'Aset Tetap'!$AQ160/'Aset Tetap'!$AG160,0)))</f>
        <v/>
      </c>
      <c r="K160" s="22" t="str">
        <f>IF($B160="","",IF(N('Aset Tetap'!$AG160)=0,0,IF(AND((YEAR(K$6)*12+MONTH(K$6))&gt;='Aset Tetap'!$Y160,(YEAR(K$6)*12+MONTH(K$6))&lt;=MIN('Aset Tetap'!$Z160,IF('Aset Tetap'!$S160="Unit Produksi",99999,'Aset Tetap'!$Y160+'Aset Tetap'!$T160*12-1))),'Aset Tetap'!$AQ160/'Aset Tetap'!$AG160,0)))</f>
        <v/>
      </c>
      <c r="L160" s="22" t="str">
        <f>IF($B160="","",IF(N('Aset Tetap'!$AG160)=0,0,IF(AND((YEAR(L$6)*12+MONTH(L$6))&gt;='Aset Tetap'!$Y160,(YEAR(L$6)*12+MONTH(L$6))&lt;=MIN('Aset Tetap'!$Z160,IF('Aset Tetap'!$S160="Unit Produksi",99999,'Aset Tetap'!$Y160+'Aset Tetap'!$T160*12-1))),'Aset Tetap'!$AQ160/'Aset Tetap'!$AG160,0)))</f>
        <v/>
      </c>
      <c r="M160" s="22" t="str">
        <f>IF($B160="","",IF(N('Aset Tetap'!$AG160)=0,0,IF(AND((YEAR(M$6)*12+MONTH(M$6))&gt;='Aset Tetap'!$Y160,(YEAR(M$6)*12+MONTH(M$6))&lt;=MIN('Aset Tetap'!$Z160,IF('Aset Tetap'!$S160="Unit Produksi",99999,'Aset Tetap'!$Y160+'Aset Tetap'!$T160*12-1))),'Aset Tetap'!$AQ160/'Aset Tetap'!$AG160,0)))</f>
        <v/>
      </c>
      <c r="N160" s="22" t="str">
        <f>IF($B160="","",IF(N('Aset Tetap'!$AG160)=0,0,IF(AND((YEAR(N$6)*12+MONTH(N$6))&gt;='Aset Tetap'!$Y160,(YEAR(N$6)*12+MONTH(N$6))&lt;=MIN('Aset Tetap'!$Z160,IF('Aset Tetap'!$S160="Unit Produksi",99999,'Aset Tetap'!$Y160+'Aset Tetap'!$T160*12-1))),'Aset Tetap'!$AQ160/'Aset Tetap'!$AG160,0)))</f>
        <v/>
      </c>
      <c r="O160" s="22" t="str">
        <f>IF($B160="","",IF(N('Aset Tetap'!$AG160)=0,0,IF(AND((YEAR(O$6)*12+MONTH(O$6))&gt;='Aset Tetap'!$Y160,(YEAR(O$6)*12+MONTH(O$6))&lt;=MIN('Aset Tetap'!$Z160,IF('Aset Tetap'!$S160="Unit Produksi",99999,'Aset Tetap'!$Y160+'Aset Tetap'!$T160*12-1))),'Aset Tetap'!$AQ160/'Aset Tetap'!$AG160,0)))</f>
        <v/>
      </c>
      <c r="P160" s="22" t="str">
        <f>IF($B160="","",IF(N('Aset Tetap'!$AG160)=0,0,IF(AND((YEAR(P$6)*12+MONTH(P$6))&gt;='Aset Tetap'!$Y160,(YEAR(P$6)*12+MONTH(P$6))&lt;=MIN('Aset Tetap'!$Z160,IF('Aset Tetap'!$S160="Unit Produksi",99999,'Aset Tetap'!$Y160+'Aset Tetap'!$T160*12-1))),'Aset Tetap'!$AQ160/'Aset Tetap'!$AG160,0)))</f>
        <v/>
      </c>
      <c r="Q160" s="22" t="str">
        <f>IF($B160="","",SUM(E160:P160))</f>
        <v/>
      </c>
      <c r="R160" s="22" t="str">
        <f>IF($B160="","",'Aset Tetap'!AQ160)</f>
        <v/>
      </c>
      <c r="S160" s="22" t="str">
        <f>IF($B160="","",ROUND(Q160-R160,0))</f>
        <v/>
      </c>
    </row>
    <row r="161" spans="1:19" x14ac:dyDescent="0.25">
      <c r="A161" t="str">
        <f>IF('Aset Tetap'!$B161="","",'Aset Tetap'!A161)</f>
        <v/>
      </c>
      <c r="B161" t="str">
        <f>IF('Aset Tetap'!$B161="","",'Aset Tetap'!B161)</f>
        <v/>
      </c>
      <c r="C161" t="str">
        <f>IF('Aset Tetap'!$B161="","",'Aset Tetap'!C161)</f>
        <v/>
      </c>
      <c r="D161" t="str">
        <f>IF('Aset Tetap'!$B161="","",'Aset Tetap'!D161)</f>
        <v/>
      </c>
      <c r="E161" s="22" t="str">
        <f>IF($B161="","",IF(N('Aset Tetap'!$AG161)=0,0,IF(AND((YEAR(E$6)*12+MONTH(E$6))&gt;='Aset Tetap'!$Y161,(YEAR(E$6)*12+MONTH(E$6))&lt;=MIN('Aset Tetap'!$Z161,IF('Aset Tetap'!$S161="Unit Produksi",99999,'Aset Tetap'!$Y161+'Aset Tetap'!$T161*12-1))),'Aset Tetap'!$AQ161/'Aset Tetap'!$AG161,0)))</f>
        <v/>
      </c>
      <c r="F161" s="22" t="str">
        <f>IF($B161="","",IF(N('Aset Tetap'!$AG161)=0,0,IF(AND((YEAR(F$6)*12+MONTH(F$6))&gt;='Aset Tetap'!$Y161,(YEAR(F$6)*12+MONTH(F$6))&lt;=MIN('Aset Tetap'!$Z161,IF('Aset Tetap'!$S161="Unit Produksi",99999,'Aset Tetap'!$Y161+'Aset Tetap'!$T161*12-1))),'Aset Tetap'!$AQ161/'Aset Tetap'!$AG161,0)))</f>
        <v/>
      </c>
      <c r="G161" s="22" t="str">
        <f>IF($B161="","",IF(N('Aset Tetap'!$AG161)=0,0,IF(AND((YEAR(G$6)*12+MONTH(G$6))&gt;='Aset Tetap'!$Y161,(YEAR(G$6)*12+MONTH(G$6))&lt;=MIN('Aset Tetap'!$Z161,IF('Aset Tetap'!$S161="Unit Produksi",99999,'Aset Tetap'!$Y161+'Aset Tetap'!$T161*12-1))),'Aset Tetap'!$AQ161/'Aset Tetap'!$AG161,0)))</f>
        <v/>
      </c>
      <c r="H161" s="22" t="str">
        <f>IF($B161="","",IF(N('Aset Tetap'!$AG161)=0,0,IF(AND((YEAR(H$6)*12+MONTH(H$6))&gt;='Aset Tetap'!$Y161,(YEAR(H$6)*12+MONTH(H$6))&lt;=MIN('Aset Tetap'!$Z161,IF('Aset Tetap'!$S161="Unit Produksi",99999,'Aset Tetap'!$Y161+'Aset Tetap'!$T161*12-1))),'Aset Tetap'!$AQ161/'Aset Tetap'!$AG161,0)))</f>
        <v/>
      </c>
      <c r="I161" s="22" t="str">
        <f>IF($B161="","",IF(N('Aset Tetap'!$AG161)=0,0,IF(AND((YEAR(I$6)*12+MONTH(I$6))&gt;='Aset Tetap'!$Y161,(YEAR(I$6)*12+MONTH(I$6))&lt;=MIN('Aset Tetap'!$Z161,IF('Aset Tetap'!$S161="Unit Produksi",99999,'Aset Tetap'!$Y161+'Aset Tetap'!$T161*12-1))),'Aset Tetap'!$AQ161/'Aset Tetap'!$AG161,0)))</f>
        <v/>
      </c>
      <c r="J161" s="22" t="str">
        <f>IF($B161="","",IF(N('Aset Tetap'!$AG161)=0,0,IF(AND((YEAR(J$6)*12+MONTH(J$6))&gt;='Aset Tetap'!$Y161,(YEAR(J$6)*12+MONTH(J$6))&lt;=MIN('Aset Tetap'!$Z161,IF('Aset Tetap'!$S161="Unit Produksi",99999,'Aset Tetap'!$Y161+'Aset Tetap'!$T161*12-1))),'Aset Tetap'!$AQ161/'Aset Tetap'!$AG161,0)))</f>
        <v/>
      </c>
      <c r="K161" s="22" t="str">
        <f>IF($B161="","",IF(N('Aset Tetap'!$AG161)=0,0,IF(AND((YEAR(K$6)*12+MONTH(K$6))&gt;='Aset Tetap'!$Y161,(YEAR(K$6)*12+MONTH(K$6))&lt;=MIN('Aset Tetap'!$Z161,IF('Aset Tetap'!$S161="Unit Produksi",99999,'Aset Tetap'!$Y161+'Aset Tetap'!$T161*12-1))),'Aset Tetap'!$AQ161/'Aset Tetap'!$AG161,0)))</f>
        <v/>
      </c>
      <c r="L161" s="22" t="str">
        <f>IF($B161="","",IF(N('Aset Tetap'!$AG161)=0,0,IF(AND((YEAR(L$6)*12+MONTH(L$6))&gt;='Aset Tetap'!$Y161,(YEAR(L$6)*12+MONTH(L$6))&lt;=MIN('Aset Tetap'!$Z161,IF('Aset Tetap'!$S161="Unit Produksi",99999,'Aset Tetap'!$Y161+'Aset Tetap'!$T161*12-1))),'Aset Tetap'!$AQ161/'Aset Tetap'!$AG161,0)))</f>
        <v/>
      </c>
      <c r="M161" s="22" t="str">
        <f>IF($B161="","",IF(N('Aset Tetap'!$AG161)=0,0,IF(AND((YEAR(M$6)*12+MONTH(M$6))&gt;='Aset Tetap'!$Y161,(YEAR(M$6)*12+MONTH(M$6))&lt;=MIN('Aset Tetap'!$Z161,IF('Aset Tetap'!$S161="Unit Produksi",99999,'Aset Tetap'!$Y161+'Aset Tetap'!$T161*12-1))),'Aset Tetap'!$AQ161/'Aset Tetap'!$AG161,0)))</f>
        <v/>
      </c>
      <c r="N161" s="22" t="str">
        <f>IF($B161="","",IF(N('Aset Tetap'!$AG161)=0,0,IF(AND((YEAR(N$6)*12+MONTH(N$6))&gt;='Aset Tetap'!$Y161,(YEAR(N$6)*12+MONTH(N$6))&lt;=MIN('Aset Tetap'!$Z161,IF('Aset Tetap'!$S161="Unit Produksi",99999,'Aset Tetap'!$Y161+'Aset Tetap'!$T161*12-1))),'Aset Tetap'!$AQ161/'Aset Tetap'!$AG161,0)))</f>
        <v/>
      </c>
      <c r="O161" s="22" t="str">
        <f>IF($B161="","",IF(N('Aset Tetap'!$AG161)=0,0,IF(AND((YEAR(O$6)*12+MONTH(O$6))&gt;='Aset Tetap'!$Y161,(YEAR(O$6)*12+MONTH(O$6))&lt;=MIN('Aset Tetap'!$Z161,IF('Aset Tetap'!$S161="Unit Produksi",99999,'Aset Tetap'!$Y161+'Aset Tetap'!$T161*12-1))),'Aset Tetap'!$AQ161/'Aset Tetap'!$AG161,0)))</f>
        <v/>
      </c>
      <c r="P161" s="22" t="str">
        <f>IF($B161="","",IF(N('Aset Tetap'!$AG161)=0,0,IF(AND((YEAR(P$6)*12+MONTH(P$6))&gt;='Aset Tetap'!$Y161,(YEAR(P$6)*12+MONTH(P$6))&lt;=MIN('Aset Tetap'!$Z161,IF('Aset Tetap'!$S161="Unit Produksi",99999,'Aset Tetap'!$Y161+'Aset Tetap'!$T161*12-1))),'Aset Tetap'!$AQ161/'Aset Tetap'!$AG161,0)))</f>
        <v/>
      </c>
      <c r="Q161" s="22" t="str">
        <f>IF($B161="","",SUM(E161:P161))</f>
        <v/>
      </c>
      <c r="R161" s="22" t="str">
        <f>IF($B161="","",'Aset Tetap'!AQ161)</f>
        <v/>
      </c>
      <c r="S161" s="22" t="str">
        <f>IF($B161="","",ROUND(Q161-R161,0))</f>
        <v/>
      </c>
    </row>
    <row r="162" spans="1:19" x14ac:dyDescent="0.25">
      <c r="A162" t="str">
        <f>IF('Aset Tetap'!$B162="","",'Aset Tetap'!A162)</f>
        <v/>
      </c>
      <c r="B162" t="str">
        <f>IF('Aset Tetap'!$B162="","",'Aset Tetap'!B162)</f>
        <v/>
      </c>
      <c r="C162" t="str">
        <f>IF('Aset Tetap'!$B162="","",'Aset Tetap'!C162)</f>
        <v/>
      </c>
      <c r="D162" t="str">
        <f>IF('Aset Tetap'!$B162="","",'Aset Tetap'!D162)</f>
        <v/>
      </c>
      <c r="E162" s="22" t="str">
        <f>IF($B162="","",IF(N('Aset Tetap'!$AG162)=0,0,IF(AND((YEAR(E$6)*12+MONTH(E$6))&gt;='Aset Tetap'!$Y162,(YEAR(E$6)*12+MONTH(E$6))&lt;=MIN('Aset Tetap'!$Z162,IF('Aset Tetap'!$S162="Unit Produksi",99999,'Aset Tetap'!$Y162+'Aset Tetap'!$T162*12-1))),'Aset Tetap'!$AQ162/'Aset Tetap'!$AG162,0)))</f>
        <v/>
      </c>
      <c r="F162" s="22" t="str">
        <f>IF($B162="","",IF(N('Aset Tetap'!$AG162)=0,0,IF(AND((YEAR(F$6)*12+MONTH(F$6))&gt;='Aset Tetap'!$Y162,(YEAR(F$6)*12+MONTH(F$6))&lt;=MIN('Aset Tetap'!$Z162,IF('Aset Tetap'!$S162="Unit Produksi",99999,'Aset Tetap'!$Y162+'Aset Tetap'!$T162*12-1))),'Aset Tetap'!$AQ162/'Aset Tetap'!$AG162,0)))</f>
        <v/>
      </c>
      <c r="G162" s="22" t="str">
        <f>IF($B162="","",IF(N('Aset Tetap'!$AG162)=0,0,IF(AND((YEAR(G$6)*12+MONTH(G$6))&gt;='Aset Tetap'!$Y162,(YEAR(G$6)*12+MONTH(G$6))&lt;=MIN('Aset Tetap'!$Z162,IF('Aset Tetap'!$S162="Unit Produksi",99999,'Aset Tetap'!$Y162+'Aset Tetap'!$T162*12-1))),'Aset Tetap'!$AQ162/'Aset Tetap'!$AG162,0)))</f>
        <v/>
      </c>
      <c r="H162" s="22" t="str">
        <f>IF($B162="","",IF(N('Aset Tetap'!$AG162)=0,0,IF(AND((YEAR(H$6)*12+MONTH(H$6))&gt;='Aset Tetap'!$Y162,(YEAR(H$6)*12+MONTH(H$6))&lt;=MIN('Aset Tetap'!$Z162,IF('Aset Tetap'!$S162="Unit Produksi",99999,'Aset Tetap'!$Y162+'Aset Tetap'!$T162*12-1))),'Aset Tetap'!$AQ162/'Aset Tetap'!$AG162,0)))</f>
        <v/>
      </c>
      <c r="I162" s="22" t="str">
        <f>IF($B162="","",IF(N('Aset Tetap'!$AG162)=0,0,IF(AND((YEAR(I$6)*12+MONTH(I$6))&gt;='Aset Tetap'!$Y162,(YEAR(I$6)*12+MONTH(I$6))&lt;=MIN('Aset Tetap'!$Z162,IF('Aset Tetap'!$S162="Unit Produksi",99999,'Aset Tetap'!$Y162+'Aset Tetap'!$T162*12-1))),'Aset Tetap'!$AQ162/'Aset Tetap'!$AG162,0)))</f>
        <v/>
      </c>
      <c r="J162" s="22" t="str">
        <f>IF($B162="","",IF(N('Aset Tetap'!$AG162)=0,0,IF(AND((YEAR(J$6)*12+MONTH(J$6))&gt;='Aset Tetap'!$Y162,(YEAR(J$6)*12+MONTH(J$6))&lt;=MIN('Aset Tetap'!$Z162,IF('Aset Tetap'!$S162="Unit Produksi",99999,'Aset Tetap'!$Y162+'Aset Tetap'!$T162*12-1))),'Aset Tetap'!$AQ162/'Aset Tetap'!$AG162,0)))</f>
        <v/>
      </c>
      <c r="K162" s="22" t="str">
        <f>IF($B162="","",IF(N('Aset Tetap'!$AG162)=0,0,IF(AND((YEAR(K$6)*12+MONTH(K$6))&gt;='Aset Tetap'!$Y162,(YEAR(K$6)*12+MONTH(K$6))&lt;=MIN('Aset Tetap'!$Z162,IF('Aset Tetap'!$S162="Unit Produksi",99999,'Aset Tetap'!$Y162+'Aset Tetap'!$T162*12-1))),'Aset Tetap'!$AQ162/'Aset Tetap'!$AG162,0)))</f>
        <v/>
      </c>
      <c r="L162" s="22" t="str">
        <f>IF($B162="","",IF(N('Aset Tetap'!$AG162)=0,0,IF(AND((YEAR(L$6)*12+MONTH(L$6))&gt;='Aset Tetap'!$Y162,(YEAR(L$6)*12+MONTH(L$6))&lt;=MIN('Aset Tetap'!$Z162,IF('Aset Tetap'!$S162="Unit Produksi",99999,'Aset Tetap'!$Y162+'Aset Tetap'!$T162*12-1))),'Aset Tetap'!$AQ162/'Aset Tetap'!$AG162,0)))</f>
        <v/>
      </c>
      <c r="M162" s="22" t="str">
        <f>IF($B162="","",IF(N('Aset Tetap'!$AG162)=0,0,IF(AND((YEAR(M$6)*12+MONTH(M$6))&gt;='Aset Tetap'!$Y162,(YEAR(M$6)*12+MONTH(M$6))&lt;=MIN('Aset Tetap'!$Z162,IF('Aset Tetap'!$S162="Unit Produksi",99999,'Aset Tetap'!$Y162+'Aset Tetap'!$T162*12-1))),'Aset Tetap'!$AQ162/'Aset Tetap'!$AG162,0)))</f>
        <v/>
      </c>
      <c r="N162" s="22" t="str">
        <f>IF($B162="","",IF(N('Aset Tetap'!$AG162)=0,0,IF(AND((YEAR(N$6)*12+MONTH(N$6))&gt;='Aset Tetap'!$Y162,(YEAR(N$6)*12+MONTH(N$6))&lt;=MIN('Aset Tetap'!$Z162,IF('Aset Tetap'!$S162="Unit Produksi",99999,'Aset Tetap'!$Y162+'Aset Tetap'!$T162*12-1))),'Aset Tetap'!$AQ162/'Aset Tetap'!$AG162,0)))</f>
        <v/>
      </c>
      <c r="O162" s="22" t="str">
        <f>IF($B162="","",IF(N('Aset Tetap'!$AG162)=0,0,IF(AND((YEAR(O$6)*12+MONTH(O$6))&gt;='Aset Tetap'!$Y162,(YEAR(O$6)*12+MONTH(O$6))&lt;=MIN('Aset Tetap'!$Z162,IF('Aset Tetap'!$S162="Unit Produksi",99999,'Aset Tetap'!$Y162+'Aset Tetap'!$T162*12-1))),'Aset Tetap'!$AQ162/'Aset Tetap'!$AG162,0)))</f>
        <v/>
      </c>
      <c r="P162" s="22" t="str">
        <f>IF($B162="","",IF(N('Aset Tetap'!$AG162)=0,0,IF(AND((YEAR(P$6)*12+MONTH(P$6))&gt;='Aset Tetap'!$Y162,(YEAR(P$6)*12+MONTH(P$6))&lt;=MIN('Aset Tetap'!$Z162,IF('Aset Tetap'!$S162="Unit Produksi",99999,'Aset Tetap'!$Y162+'Aset Tetap'!$T162*12-1))),'Aset Tetap'!$AQ162/'Aset Tetap'!$AG162,0)))</f>
        <v/>
      </c>
      <c r="Q162" s="22" t="str">
        <f>IF($B162="","",SUM(E162:P162))</f>
        <v/>
      </c>
      <c r="R162" s="22" t="str">
        <f>IF($B162="","",'Aset Tetap'!AQ162)</f>
        <v/>
      </c>
      <c r="S162" s="22" t="str">
        <f>IF($B162="","",ROUND(Q162-R162,0))</f>
        <v/>
      </c>
    </row>
    <row r="163" spans="1:19" x14ac:dyDescent="0.25">
      <c r="A163" t="str">
        <f>IF('Aset Tetap'!$B163="","",'Aset Tetap'!A163)</f>
        <v/>
      </c>
      <c r="B163" t="str">
        <f>IF('Aset Tetap'!$B163="","",'Aset Tetap'!B163)</f>
        <v/>
      </c>
      <c r="C163" t="str">
        <f>IF('Aset Tetap'!$B163="","",'Aset Tetap'!C163)</f>
        <v/>
      </c>
      <c r="D163" t="str">
        <f>IF('Aset Tetap'!$B163="","",'Aset Tetap'!D163)</f>
        <v/>
      </c>
      <c r="E163" s="22" t="str">
        <f>IF($B163="","",IF(N('Aset Tetap'!$AG163)=0,0,IF(AND((YEAR(E$6)*12+MONTH(E$6))&gt;='Aset Tetap'!$Y163,(YEAR(E$6)*12+MONTH(E$6))&lt;=MIN('Aset Tetap'!$Z163,IF('Aset Tetap'!$S163="Unit Produksi",99999,'Aset Tetap'!$Y163+'Aset Tetap'!$T163*12-1))),'Aset Tetap'!$AQ163/'Aset Tetap'!$AG163,0)))</f>
        <v/>
      </c>
      <c r="F163" s="22" t="str">
        <f>IF($B163="","",IF(N('Aset Tetap'!$AG163)=0,0,IF(AND((YEAR(F$6)*12+MONTH(F$6))&gt;='Aset Tetap'!$Y163,(YEAR(F$6)*12+MONTH(F$6))&lt;=MIN('Aset Tetap'!$Z163,IF('Aset Tetap'!$S163="Unit Produksi",99999,'Aset Tetap'!$Y163+'Aset Tetap'!$T163*12-1))),'Aset Tetap'!$AQ163/'Aset Tetap'!$AG163,0)))</f>
        <v/>
      </c>
      <c r="G163" s="22" t="str">
        <f>IF($B163="","",IF(N('Aset Tetap'!$AG163)=0,0,IF(AND((YEAR(G$6)*12+MONTH(G$6))&gt;='Aset Tetap'!$Y163,(YEAR(G$6)*12+MONTH(G$6))&lt;=MIN('Aset Tetap'!$Z163,IF('Aset Tetap'!$S163="Unit Produksi",99999,'Aset Tetap'!$Y163+'Aset Tetap'!$T163*12-1))),'Aset Tetap'!$AQ163/'Aset Tetap'!$AG163,0)))</f>
        <v/>
      </c>
      <c r="H163" s="22" t="str">
        <f>IF($B163="","",IF(N('Aset Tetap'!$AG163)=0,0,IF(AND((YEAR(H$6)*12+MONTH(H$6))&gt;='Aset Tetap'!$Y163,(YEAR(H$6)*12+MONTH(H$6))&lt;=MIN('Aset Tetap'!$Z163,IF('Aset Tetap'!$S163="Unit Produksi",99999,'Aset Tetap'!$Y163+'Aset Tetap'!$T163*12-1))),'Aset Tetap'!$AQ163/'Aset Tetap'!$AG163,0)))</f>
        <v/>
      </c>
      <c r="I163" s="22" t="str">
        <f>IF($B163="","",IF(N('Aset Tetap'!$AG163)=0,0,IF(AND((YEAR(I$6)*12+MONTH(I$6))&gt;='Aset Tetap'!$Y163,(YEAR(I$6)*12+MONTH(I$6))&lt;=MIN('Aset Tetap'!$Z163,IF('Aset Tetap'!$S163="Unit Produksi",99999,'Aset Tetap'!$Y163+'Aset Tetap'!$T163*12-1))),'Aset Tetap'!$AQ163/'Aset Tetap'!$AG163,0)))</f>
        <v/>
      </c>
      <c r="J163" s="22" t="str">
        <f>IF($B163="","",IF(N('Aset Tetap'!$AG163)=0,0,IF(AND((YEAR(J$6)*12+MONTH(J$6))&gt;='Aset Tetap'!$Y163,(YEAR(J$6)*12+MONTH(J$6))&lt;=MIN('Aset Tetap'!$Z163,IF('Aset Tetap'!$S163="Unit Produksi",99999,'Aset Tetap'!$Y163+'Aset Tetap'!$T163*12-1))),'Aset Tetap'!$AQ163/'Aset Tetap'!$AG163,0)))</f>
        <v/>
      </c>
      <c r="K163" s="22" t="str">
        <f>IF($B163="","",IF(N('Aset Tetap'!$AG163)=0,0,IF(AND((YEAR(K$6)*12+MONTH(K$6))&gt;='Aset Tetap'!$Y163,(YEAR(K$6)*12+MONTH(K$6))&lt;=MIN('Aset Tetap'!$Z163,IF('Aset Tetap'!$S163="Unit Produksi",99999,'Aset Tetap'!$Y163+'Aset Tetap'!$T163*12-1))),'Aset Tetap'!$AQ163/'Aset Tetap'!$AG163,0)))</f>
        <v/>
      </c>
      <c r="L163" s="22" t="str">
        <f>IF($B163="","",IF(N('Aset Tetap'!$AG163)=0,0,IF(AND((YEAR(L$6)*12+MONTH(L$6))&gt;='Aset Tetap'!$Y163,(YEAR(L$6)*12+MONTH(L$6))&lt;=MIN('Aset Tetap'!$Z163,IF('Aset Tetap'!$S163="Unit Produksi",99999,'Aset Tetap'!$Y163+'Aset Tetap'!$T163*12-1))),'Aset Tetap'!$AQ163/'Aset Tetap'!$AG163,0)))</f>
        <v/>
      </c>
      <c r="M163" s="22" t="str">
        <f>IF($B163="","",IF(N('Aset Tetap'!$AG163)=0,0,IF(AND((YEAR(M$6)*12+MONTH(M$6))&gt;='Aset Tetap'!$Y163,(YEAR(M$6)*12+MONTH(M$6))&lt;=MIN('Aset Tetap'!$Z163,IF('Aset Tetap'!$S163="Unit Produksi",99999,'Aset Tetap'!$Y163+'Aset Tetap'!$T163*12-1))),'Aset Tetap'!$AQ163/'Aset Tetap'!$AG163,0)))</f>
        <v/>
      </c>
      <c r="N163" s="22" t="str">
        <f>IF($B163="","",IF(N('Aset Tetap'!$AG163)=0,0,IF(AND((YEAR(N$6)*12+MONTH(N$6))&gt;='Aset Tetap'!$Y163,(YEAR(N$6)*12+MONTH(N$6))&lt;=MIN('Aset Tetap'!$Z163,IF('Aset Tetap'!$S163="Unit Produksi",99999,'Aset Tetap'!$Y163+'Aset Tetap'!$T163*12-1))),'Aset Tetap'!$AQ163/'Aset Tetap'!$AG163,0)))</f>
        <v/>
      </c>
      <c r="O163" s="22" t="str">
        <f>IF($B163="","",IF(N('Aset Tetap'!$AG163)=0,0,IF(AND((YEAR(O$6)*12+MONTH(O$6))&gt;='Aset Tetap'!$Y163,(YEAR(O$6)*12+MONTH(O$6))&lt;=MIN('Aset Tetap'!$Z163,IF('Aset Tetap'!$S163="Unit Produksi",99999,'Aset Tetap'!$Y163+'Aset Tetap'!$T163*12-1))),'Aset Tetap'!$AQ163/'Aset Tetap'!$AG163,0)))</f>
        <v/>
      </c>
      <c r="P163" s="22" t="str">
        <f>IF($B163="","",IF(N('Aset Tetap'!$AG163)=0,0,IF(AND((YEAR(P$6)*12+MONTH(P$6))&gt;='Aset Tetap'!$Y163,(YEAR(P$6)*12+MONTH(P$6))&lt;=MIN('Aset Tetap'!$Z163,IF('Aset Tetap'!$S163="Unit Produksi",99999,'Aset Tetap'!$Y163+'Aset Tetap'!$T163*12-1))),'Aset Tetap'!$AQ163/'Aset Tetap'!$AG163,0)))</f>
        <v/>
      </c>
      <c r="Q163" s="22" t="str">
        <f>IF($B163="","",SUM(E163:P163))</f>
        <v/>
      </c>
      <c r="R163" s="22" t="str">
        <f>IF($B163="","",'Aset Tetap'!AQ163)</f>
        <v/>
      </c>
      <c r="S163" s="22" t="str">
        <f>IF($B163="","",ROUND(Q163-R163,0))</f>
        <v/>
      </c>
    </row>
    <row r="164" spans="1:19" x14ac:dyDescent="0.25">
      <c r="A164" t="str">
        <f>IF('Aset Tetap'!$B164="","",'Aset Tetap'!A164)</f>
        <v/>
      </c>
      <c r="B164" t="str">
        <f>IF('Aset Tetap'!$B164="","",'Aset Tetap'!B164)</f>
        <v/>
      </c>
      <c r="C164" t="str">
        <f>IF('Aset Tetap'!$B164="","",'Aset Tetap'!C164)</f>
        <v/>
      </c>
      <c r="D164" t="str">
        <f>IF('Aset Tetap'!$B164="","",'Aset Tetap'!D164)</f>
        <v/>
      </c>
      <c r="E164" s="22" t="str">
        <f>IF($B164="","",IF(N('Aset Tetap'!$AG164)=0,0,IF(AND((YEAR(E$6)*12+MONTH(E$6))&gt;='Aset Tetap'!$Y164,(YEAR(E$6)*12+MONTH(E$6))&lt;=MIN('Aset Tetap'!$Z164,IF('Aset Tetap'!$S164="Unit Produksi",99999,'Aset Tetap'!$Y164+'Aset Tetap'!$T164*12-1))),'Aset Tetap'!$AQ164/'Aset Tetap'!$AG164,0)))</f>
        <v/>
      </c>
      <c r="F164" s="22" t="str">
        <f>IF($B164="","",IF(N('Aset Tetap'!$AG164)=0,0,IF(AND((YEAR(F$6)*12+MONTH(F$6))&gt;='Aset Tetap'!$Y164,(YEAR(F$6)*12+MONTH(F$6))&lt;=MIN('Aset Tetap'!$Z164,IF('Aset Tetap'!$S164="Unit Produksi",99999,'Aset Tetap'!$Y164+'Aset Tetap'!$T164*12-1))),'Aset Tetap'!$AQ164/'Aset Tetap'!$AG164,0)))</f>
        <v/>
      </c>
      <c r="G164" s="22" t="str">
        <f>IF($B164="","",IF(N('Aset Tetap'!$AG164)=0,0,IF(AND((YEAR(G$6)*12+MONTH(G$6))&gt;='Aset Tetap'!$Y164,(YEAR(G$6)*12+MONTH(G$6))&lt;=MIN('Aset Tetap'!$Z164,IF('Aset Tetap'!$S164="Unit Produksi",99999,'Aset Tetap'!$Y164+'Aset Tetap'!$T164*12-1))),'Aset Tetap'!$AQ164/'Aset Tetap'!$AG164,0)))</f>
        <v/>
      </c>
      <c r="H164" s="22" t="str">
        <f>IF($B164="","",IF(N('Aset Tetap'!$AG164)=0,0,IF(AND((YEAR(H$6)*12+MONTH(H$6))&gt;='Aset Tetap'!$Y164,(YEAR(H$6)*12+MONTH(H$6))&lt;=MIN('Aset Tetap'!$Z164,IF('Aset Tetap'!$S164="Unit Produksi",99999,'Aset Tetap'!$Y164+'Aset Tetap'!$T164*12-1))),'Aset Tetap'!$AQ164/'Aset Tetap'!$AG164,0)))</f>
        <v/>
      </c>
      <c r="I164" s="22" t="str">
        <f>IF($B164="","",IF(N('Aset Tetap'!$AG164)=0,0,IF(AND((YEAR(I$6)*12+MONTH(I$6))&gt;='Aset Tetap'!$Y164,(YEAR(I$6)*12+MONTH(I$6))&lt;=MIN('Aset Tetap'!$Z164,IF('Aset Tetap'!$S164="Unit Produksi",99999,'Aset Tetap'!$Y164+'Aset Tetap'!$T164*12-1))),'Aset Tetap'!$AQ164/'Aset Tetap'!$AG164,0)))</f>
        <v/>
      </c>
      <c r="J164" s="22" t="str">
        <f>IF($B164="","",IF(N('Aset Tetap'!$AG164)=0,0,IF(AND((YEAR(J$6)*12+MONTH(J$6))&gt;='Aset Tetap'!$Y164,(YEAR(J$6)*12+MONTH(J$6))&lt;=MIN('Aset Tetap'!$Z164,IF('Aset Tetap'!$S164="Unit Produksi",99999,'Aset Tetap'!$Y164+'Aset Tetap'!$T164*12-1))),'Aset Tetap'!$AQ164/'Aset Tetap'!$AG164,0)))</f>
        <v/>
      </c>
      <c r="K164" s="22" t="str">
        <f>IF($B164="","",IF(N('Aset Tetap'!$AG164)=0,0,IF(AND((YEAR(K$6)*12+MONTH(K$6))&gt;='Aset Tetap'!$Y164,(YEAR(K$6)*12+MONTH(K$6))&lt;=MIN('Aset Tetap'!$Z164,IF('Aset Tetap'!$S164="Unit Produksi",99999,'Aset Tetap'!$Y164+'Aset Tetap'!$T164*12-1))),'Aset Tetap'!$AQ164/'Aset Tetap'!$AG164,0)))</f>
        <v/>
      </c>
      <c r="L164" s="22" t="str">
        <f>IF($B164="","",IF(N('Aset Tetap'!$AG164)=0,0,IF(AND((YEAR(L$6)*12+MONTH(L$6))&gt;='Aset Tetap'!$Y164,(YEAR(L$6)*12+MONTH(L$6))&lt;=MIN('Aset Tetap'!$Z164,IF('Aset Tetap'!$S164="Unit Produksi",99999,'Aset Tetap'!$Y164+'Aset Tetap'!$T164*12-1))),'Aset Tetap'!$AQ164/'Aset Tetap'!$AG164,0)))</f>
        <v/>
      </c>
      <c r="M164" s="22" t="str">
        <f>IF($B164="","",IF(N('Aset Tetap'!$AG164)=0,0,IF(AND((YEAR(M$6)*12+MONTH(M$6))&gt;='Aset Tetap'!$Y164,(YEAR(M$6)*12+MONTH(M$6))&lt;=MIN('Aset Tetap'!$Z164,IF('Aset Tetap'!$S164="Unit Produksi",99999,'Aset Tetap'!$Y164+'Aset Tetap'!$T164*12-1))),'Aset Tetap'!$AQ164/'Aset Tetap'!$AG164,0)))</f>
        <v/>
      </c>
      <c r="N164" s="22" t="str">
        <f>IF($B164="","",IF(N('Aset Tetap'!$AG164)=0,0,IF(AND((YEAR(N$6)*12+MONTH(N$6))&gt;='Aset Tetap'!$Y164,(YEAR(N$6)*12+MONTH(N$6))&lt;=MIN('Aset Tetap'!$Z164,IF('Aset Tetap'!$S164="Unit Produksi",99999,'Aset Tetap'!$Y164+'Aset Tetap'!$T164*12-1))),'Aset Tetap'!$AQ164/'Aset Tetap'!$AG164,0)))</f>
        <v/>
      </c>
      <c r="O164" s="22" t="str">
        <f>IF($B164="","",IF(N('Aset Tetap'!$AG164)=0,0,IF(AND((YEAR(O$6)*12+MONTH(O$6))&gt;='Aset Tetap'!$Y164,(YEAR(O$6)*12+MONTH(O$6))&lt;=MIN('Aset Tetap'!$Z164,IF('Aset Tetap'!$S164="Unit Produksi",99999,'Aset Tetap'!$Y164+'Aset Tetap'!$T164*12-1))),'Aset Tetap'!$AQ164/'Aset Tetap'!$AG164,0)))</f>
        <v/>
      </c>
      <c r="P164" s="22" t="str">
        <f>IF($B164="","",IF(N('Aset Tetap'!$AG164)=0,0,IF(AND((YEAR(P$6)*12+MONTH(P$6))&gt;='Aset Tetap'!$Y164,(YEAR(P$6)*12+MONTH(P$6))&lt;=MIN('Aset Tetap'!$Z164,IF('Aset Tetap'!$S164="Unit Produksi",99999,'Aset Tetap'!$Y164+'Aset Tetap'!$T164*12-1))),'Aset Tetap'!$AQ164/'Aset Tetap'!$AG164,0)))</f>
        <v/>
      </c>
      <c r="Q164" s="22" t="str">
        <f>IF($B164="","",SUM(E164:P164))</f>
        <v/>
      </c>
      <c r="R164" s="22" t="str">
        <f>IF($B164="","",'Aset Tetap'!AQ164)</f>
        <v/>
      </c>
      <c r="S164" s="22" t="str">
        <f>IF($B164="","",ROUND(Q164-R164,0))</f>
        <v/>
      </c>
    </row>
    <row r="165" spans="1:19" x14ac:dyDescent="0.25">
      <c r="A165" t="str">
        <f>IF('Aset Tetap'!$B165="","",'Aset Tetap'!A165)</f>
        <v/>
      </c>
      <c r="B165" t="str">
        <f>IF('Aset Tetap'!$B165="","",'Aset Tetap'!B165)</f>
        <v/>
      </c>
      <c r="C165" t="str">
        <f>IF('Aset Tetap'!$B165="","",'Aset Tetap'!C165)</f>
        <v/>
      </c>
      <c r="D165" t="str">
        <f>IF('Aset Tetap'!$B165="","",'Aset Tetap'!D165)</f>
        <v/>
      </c>
      <c r="E165" s="22" t="str">
        <f>IF($B165="","",IF(N('Aset Tetap'!$AG165)=0,0,IF(AND((YEAR(E$6)*12+MONTH(E$6))&gt;='Aset Tetap'!$Y165,(YEAR(E$6)*12+MONTH(E$6))&lt;=MIN('Aset Tetap'!$Z165,IF('Aset Tetap'!$S165="Unit Produksi",99999,'Aset Tetap'!$Y165+'Aset Tetap'!$T165*12-1))),'Aset Tetap'!$AQ165/'Aset Tetap'!$AG165,0)))</f>
        <v/>
      </c>
      <c r="F165" s="22" t="str">
        <f>IF($B165="","",IF(N('Aset Tetap'!$AG165)=0,0,IF(AND((YEAR(F$6)*12+MONTH(F$6))&gt;='Aset Tetap'!$Y165,(YEAR(F$6)*12+MONTH(F$6))&lt;=MIN('Aset Tetap'!$Z165,IF('Aset Tetap'!$S165="Unit Produksi",99999,'Aset Tetap'!$Y165+'Aset Tetap'!$T165*12-1))),'Aset Tetap'!$AQ165/'Aset Tetap'!$AG165,0)))</f>
        <v/>
      </c>
      <c r="G165" s="22" t="str">
        <f>IF($B165="","",IF(N('Aset Tetap'!$AG165)=0,0,IF(AND((YEAR(G$6)*12+MONTH(G$6))&gt;='Aset Tetap'!$Y165,(YEAR(G$6)*12+MONTH(G$6))&lt;=MIN('Aset Tetap'!$Z165,IF('Aset Tetap'!$S165="Unit Produksi",99999,'Aset Tetap'!$Y165+'Aset Tetap'!$T165*12-1))),'Aset Tetap'!$AQ165/'Aset Tetap'!$AG165,0)))</f>
        <v/>
      </c>
      <c r="H165" s="22" t="str">
        <f>IF($B165="","",IF(N('Aset Tetap'!$AG165)=0,0,IF(AND((YEAR(H$6)*12+MONTH(H$6))&gt;='Aset Tetap'!$Y165,(YEAR(H$6)*12+MONTH(H$6))&lt;=MIN('Aset Tetap'!$Z165,IF('Aset Tetap'!$S165="Unit Produksi",99999,'Aset Tetap'!$Y165+'Aset Tetap'!$T165*12-1))),'Aset Tetap'!$AQ165/'Aset Tetap'!$AG165,0)))</f>
        <v/>
      </c>
      <c r="I165" s="22" t="str">
        <f>IF($B165="","",IF(N('Aset Tetap'!$AG165)=0,0,IF(AND((YEAR(I$6)*12+MONTH(I$6))&gt;='Aset Tetap'!$Y165,(YEAR(I$6)*12+MONTH(I$6))&lt;=MIN('Aset Tetap'!$Z165,IF('Aset Tetap'!$S165="Unit Produksi",99999,'Aset Tetap'!$Y165+'Aset Tetap'!$T165*12-1))),'Aset Tetap'!$AQ165/'Aset Tetap'!$AG165,0)))</f>
        <v/>
      </c>
      <c r="J165" s="22" t="str">
        <f>IF($B165="","",IF(N('Aset Tetap'!$AG165)=0,0,IF(AND((YEAR(J$6)*12+MONTH(J$6))&gt;='Aset Tetap'!$Y165,(YEAR(J$6)*12+MONTH(J$6))&lt;=MIN('Aset Tetap'!$Z165,IF('Aset Tetap'!$S165="Unit Produksi",99999,'Aset Tetap'!$Y165+'Aset Tetap'!$T165*12-1))),'Aset Tetap'!$AQ165/'Aset Tetap'!$AG165,0)))</f>
        <v/>
      </c>
      <c r="K165" s="22" t="str">
        <f>IF($B165="","",IF(N('Aset Tetap'!$AG165)=0,0,IF(AND((YEAR(K$6)*12+MONTH(K$6))&gt;='Aset Tetap'!$Y165,(YEAR(K$6)*12+MONTH(K$6))&lt;=MIN('Aset Tetap'!$Z165,IF('Aset Tetap'!$S165="Unit Produksi",99999,'Aset Tetap'!$Y165+'Aset Tetap'!$T165*12-1))),'Aset Tetap'!$AQ165/'Aset Tetap'!$AG165,0)))</f>
        <v/>
      </c>
      <c r="L165" s="22" t="str">
        <f>IF($B165="","",IF(N('Aset Tetap'!$AG165)=0,0,IF(AND((YEAR(L$6)*12+MONTH(L$6))&gt;='Aset Tetap'!$Y165,(YEAR(L$6)*12+MONTH(L$6))&lt;=MIN('Aset Tetap'!$Z165,IF('Aset Tetap'!$S165="Unit Produksi",99999,'Aset Tetap'!$Y165+'Aset Tetap'!$T165*12-1))),'Aset Tetap'!$AQ165/'Aset Tetap'!$AG165,0)))</f>
        <v/>
      </c>
      <c r="M165" s="22" t="str">
        <f>IF($B165="","",IF(N('Aset Tetap'!$AG165)=0,0,IF(AND((YEAR(M$6)*12+MONTH(M$6))&gt;='Aset Tetap'!$Y165,(YEAR(M$6)*12+MONTH(M$6))&lt;=MIN('Aset Tetap'!$Z165,IF('Aset Tetap'!$S165="Unit Produksi",99999,'Aset Tetap'!$Y165+'Aset Tetap'!$T165*12-1))),'Aset Tetap'!$AQ165/'Aset Tetap'!$AG165,0)))</f>
        <v/>
      </c>
      <c r="N165" s="22" t="str">
        <f>IF($B165="","",IF(N('Aset Tetap'!$AG165)=0,0,IF(AND((YEAR(N$6)*12+MONTH(N$6))&gt;='Aset Tetap'!$Y165,(YEAR(N$6)*12+MONTH(N$6))&lt;=MIN('Aset Tetap'!$Z165,IF('Aset Tetap'!$S165="Unit Produksi",99999,'Aset Tetap'!$Y165+'Aset Tetap'!$T165*12-1))),'Aset Tetap'!$AQ165/'Aset Tetap'!$AG165,0)))</f>
        <v/>
      </c>
      <c r="O165" s="22" t="str">
        <f>IF($B165="","",IF(N('Aset Tetap'!$AG165)=0,0,IF(AND((YEAR(O$6)*12+MONTH(O$6))&gt;='Aset Tetap'!$Y165,(YEAR(O$6)*12+MONTH(O$6))&lt;=MIN('Aset Tetap'!$Z165,IF('Aset Tetap'!$S165="Unit Produksi",99999,'Aset Tetap'!$Y165+'Aset Tetap'!$T165*12-1))),'Aset Tetap'!$AQ165/'Aset Tetap'!$AG165,0)))</f>
        <v/>
      </c>
      <c r="P165" s="22" t="str">
        <f>IF($B165="","",IF(N('Aset Tetap'!$AG165)=0,0,IF(AND((YEAR(P$6)*12+MONTH(P$6))&gt;='Aset Tetap'!$Y165,(YEAR(P$6)*12+MONTH(P$6))&lt;=MIN('Aset Tetap'!$Z165,IF('Aset Tetap'!$S165="Unit Produksi",99999,'Aset Tetap'!$Y165+'Aset Tetap'!$T165*12-1))),'Aset Tetap'!$AQ165/'Aset Tetap'!$AG165,0)))</f>
        <v/>
      </c>
      <c r="Q165" s="22" t="str">
        <f>IF($B165="","",SUM(E165:P165))</f>
        <v/>
      </c>
      <c r="R165" s="22" t="str">
        <f>IF($B165="","",'Aset Tetap'!AQ165)</f>
        <v/>
      </c>
      <c r="S165" s="22" t="str">
        <f>IF($B165="","",ROUND(Q165-R165,0))</f>
        <v/>
      </c>
    </row>
    <row r="166" spans="1:19" x14ac:dyDescent="0.25">
      <c r="A166" t="str">
        <f>IF('Aset Tetap'!$B166="","",'Aset Tetap'!A166)</f>
        <v/>
      </c>
      <c r="B166" t="str">
        <f>IF('Aset Tetap'!$B166="","",'Aset Tetap'!B166)</f>
        <v/>
      </c>
      <c r="C166" t="str">
        <f>IF('Aset Tetap'!$B166="","",'Aset Tetap'!C166)</f>
        <v/>
      </c>
      <c r="D166" t="str">
        <f>IF('Aset Tetap'!$B166="","",'Aset Tetap'!D166)</f>
        <v/>
      </c>
      <c r="E166" s="22" t="str">
        <f>IF($B166="","",IF(N('Aset Tetap'!$AG166)=0,0,IF(AND((YEAR(E$6)*12+MONTH(E$6))&gt;='Aset Tetap'!$Y166,(YEAR(E$6)*12+MONTH(E$6))&lt;=MIN('Aset Tetap'!$Z166,IF('Aset Tetap'!$S166="Unit Produksi",99999,'Aset Tetap'!$Y166+'Aset Tetap'!$T166*12-1))),'Aset Tetap'!$AQ166/'Aset Tetap'!$AG166,0)))</f>
        <v/>
      </c>
      <c r="F166" s="22" t="str">
        <f>IF($B166="","",IF(N('Aset Tetap'!$AG166)=0,0,IF(AND((YEAR(F$6)*12+MONTH(F$6))&gt;='Aset Tetap'!$Y166,(YEAR(F$6)*12+MONTH(F$6))&lt;=MIN('Aset Tetap'!$Z166,IF('Aset Tetap'!$S166="Unit Produksi",99999,'Aset Tetap'!$Y166+'Aset Tetap'!$T166*12-1))),'Aset Tetap'!$AQ166/'Aset Tetap'!$AG166,0)))</f>
        <v/>
      </c>
      <c r="G166" s="22" t="str">
        <f>IF($B166="","",IF(N('Aset Tetap'!$AG166)=0,0,IF(AND((YEAR(G$6)*12+MONTH(G$6))&gt;='Aset Tetap'!$Y166,(YEAR(G$6)*12+MONTH(G$6))&lt;=MIN('Aset Tetap'!$Z166,IF('Aset Tetap'!$S166="Unit Produksi",99999,'Aset Tetap'!$Y166+'Aset Tetap'!$T166*12-1))),'Aset Tetap'!$AQ166/'Aset Tetap'!$AG166,0)))</f>
        <v/>
      </c>
      <c r="H166" s="22" t="str">
        <f>IF($B166="","",IF(N('Aset Tetap'!$AG166)=0,0,IF(AND((YEAR(H$6)*12+MONTH(H$6))&gt;='Aset Tetap'!$Y166,(YEAR(H$6)*12+MONTH(H$6))&lt;=MIN('Aset Tetap'!$Z166,IF('Aset Tetap'!$S166="Unit Produksi",99999,'Aset Tetap'!$Y166+'Aset Tetap'!$T166*12-1))),'Aset Tetap'!$AQ166/'Aset Tetap'!$AG166,0)))</f>
        <v/>
      </c>
      <c r="I166" s="22" t="str">
        <f>IF($B166="","",IF(N('Aset Tetap'!$AG166)=0,0,IF(AND((YEAR(I$6)*12+MONTH(I$6))&gt;='Aset Tetap'!$Y166,(YEAR(I$6)*12+MONTH(I$6))&lt;=MIN('Aset Tetap'!$Z166,IF('Aset Tetap'!$S166="Unit Produksi",99999,'Aset Tetap'!$Y166+'Aset Tetap'!$T166*12-1))),'Aset Tetap'!$AQ166/'Aset Tetap'!$AG166,0)))</f>
        <v/>
      </c>
      <c r="J166" s="22" t="str">
        <f>IF($B166="","",IF(N('Aset Tetap'!$AG166)=0,0,IF(AND((YEAR(J$6)*12+MONTH(J$6))&gt;='Aset Tetap'!$Y166,(YEAR(J$6)*12+MONTH(J$6))&lt;=MIN('Aset Tetap'!$Z166,IF('Aset Tetap'!$S166="Unit Produksi",99999,'Aset Tetap'!$Y166+'Aset Tetap'!$T166*12-1))),'Aset Tetap'!$AQ166/'Aset Tetap'!$AG166,0)))</f>
        <v/>
      </c>
      <c r="K166" s="22" t="str">
        <f>IF($B166="","",IF(N('Aset Tetap'!$AG166)=0,0,IF(AND((YEAR(K$6)*12+MONTH(K$6))&gt;='Aset Tetap'!$Y166,(YEAR(K$6)*12+MONTH(K$6))&lt;=MIN('Aset Tetap'!$Z166,IF('Aset Tetap'!$S166="Unit Produksi",99999,'Aset Tetap'!$Y166+'Aset Tetap'!$T166*12-1))),'Aset Tetap'!$AQ166/'Aset Tetap'!$AG166,0)))</f>
        <v/>
      </c>
      <c r="L166" s="22" t="str">
        <f>IF($B166="","",IF(N('Aset Tetap'!$AG166)=0,0,IF(AND((YEAR(L$6)*12+MONTH(L$6))&gt;='Aset Tetap'!$Y166,(YEAR(L$6)*12+MONTH(L$6))&lt;=MIN('Aset Tetap'!$Z166,IF('Aset Tetap'!$S166="Unit Produksi",99999,'Aset Tetap'!$Y166+'Aset Tetap'!$T166*12-1))),'Aset Tetap'!$AQ166/'Aset Tetap'!$AG166,0)))</f>
        <v/>
      </c>
      <c r="M166" s="22" t="str">
        <f>IF($B166="","",IF(N('Aset Tetap'!$AG166)=0,0,IF(AND((YEAR(M$6)*12+MONTH(M$6))&gt;='Aset Tetap'!$Y166,(YEAR(M$6)*12+MONTH(M$6))&lt;=MIN('Aset Tetap'!$Z166,IF('Aset Tetap'!$S166="Unit Produksi",99999,'Aset Tetap'!$Y166+'Aset Tetap'!$T166*12-1))),'Aset Tetap'!$AQ166/'Aset Tetap'!$AG166,0)))</f>
        <v/>
      </c>
      <c r="N166" s="22" t="str">
        <f>IF($B166="","",IF(N('Aset Tetap'!$AG166)=0,0,IF(AND((YEAR(N$6)*12+MONTH(N$6))&gt;='Aset Tetap'!$Y166,(YEAR(N$6)*12+MONTH(N$6))&lt;=MIN('Aset Tetap'!$Z166,IF('Aset Tetap'!$S166="Unit Produksi",99999,'Aset Tetap'!$Y166+'Aset Tetap'!$T166*12-1))),'Aset Tetap'!$AQ166/'Aset Tetap'!$AG166,0)))</f>
        <v/>
      </c>
      <c r="O166" s="22" t="str">
        <f>IF($B166="","",IF(N('Aset Tetap'!$AG166)=0,0,IF(AND((YEAR(O$6)*12+MONTH(O$6))&gt;='Aset Tetap'!$Y166,(YEAR(O$6)*12+MONTH(O$6))&lt;=MIN('Aset Tetap'!$Z166,IF('Aset Tetap'!$S166="Unit Produksi",99999,'Aset Tetap'!$Y166+'Aset Tetap'!$T166*12-1))),'Aset Tetap'!$AQ166/'Aset Tetap'!$AG166,0)))</f>
        <v/>
      </c>
      <c r="P166" s="22" t="str">
        <f>IF($B166="","",IF(N('Aset Tetap'!$AG166)=0,0,IF(AND((YEAR(P$6)*12+MONTH(P$6))&gt;='Aset Tetap'!$Y166,(YEAR(P$6)*12+MONTH(P$6))&lt;=MIN('Aset Tetap'!$Z166,IF('Aset Tetap'!$S166="Unit Produksi",99999,'Aset Tetap'!$Y166+'Aset Tetap'!$T166*12-1))),'Aset Tetap'!$AQ166/'Aset Tetap'!$AG166,0)))</f>
        <v/>
      </c>
      <c r="Q166" s="22" t="str">
        <f>IF($B166="","",SUM(E166:P166))</f>
        <v/>
      </c>
      <c r="R166" s="22" t="str">
        <f>IF($B166="","",'Aset Tetap'!AQ166)</f>
        <v/>
      </c>
      <c r="S166" s="22" t="str">
        <f>IF($B166="","",ROUND(Q166-R166,0))</f>
        <v/>
      </c>
    </row>
    <row r="167" spans="1:19" x14ac:dyDescent="0.25">
      <c r="A167" t="str">
        <f>IF('Aset Tetap'!$B167="","",'Aset Tetap'!A167)</f>
        <v/>
      </c>
      <c r="B167" t="str">
        <f>IF('Aset Tetap'!$B167="","",'Aset Tetap'!B167)</f>
        <v/>
      </c>
      <c r="C167" t="str">
        <f>IF('Aset Tetap'!$B167="","",'Aset Tetap'!C167)</f>
        <v/>
      </c>
      <c r="D167" t="str">
        <f>IF('Aset Tetap'!$B167="","",'Aset Tetap'!D167)</f>
        <v/>
      </c>
      <c r="E167" s="22" t="str">
        <f>IF($B167="","",IF(N('Aset Tetap'!$AG167)=0,0,IF(AND((YEAR(E$6)*12+MONTH(E$6))&gt;='Aset Tetap'!$Y167,(YEAR(E$6)*12+MONTH(E$6))&lt;=MIN('Aset Tetap'!$Z167,IF('Aset Tetap'!$S167="Unit Produksi",99999,'Aset Tetap'!$Y167+'Aset Tetap'!$T167*12-1))),'Aset Tetap'!$AQ167/'Aset Tetap'!$AG167,0)))</f>
        <v/>
      </c>
      <c r="F167" s="22" t="str">
        <f>IF($B167="","",IF(N('Aset Tetap'!$AG167)=0,0,IF(AND((YEAR(F$6)*12+MONTH(F$6))&gt;='Aset Tetap'!$Y167,(YEAR(F$6)*12+MONTH(F$6))&lt;=MIN('Aset Tetap'!$Z167,IF('Aset Tetap'!$S167="Unit Produksi",99999,'Aset Tetap'!$Y167+'Aset Tetap'!$T167*12-1))),'Aset Tetap'!$AQ167/'Aset Tetap'!$AG167,0)))</f>
        <v/>
      </c>
      <c r="G167" s="22" t="str">
        <f>IF($B167="","",IF(N('Aset Tetap'!$AG167)=0,0,IF(AND((YEAR(G$6)*12+MONTH(G$6))&gt;='Aset Tetap'!$Y167,(YEAR(G$6)*12+MONTH(G$6))&lt;=MIN('Aset Tetap'!$Z167,IF('Aset Tetap'!$S167="Unit Produksi",99999,'Aset Tetap'!$Y167+'Aset Tetap'!$T167*12-1))),'Aset Tetap'!$AQ167/'Aset Tetap'!$AG167,0)))</f>
        <v/>
      </c>
      <c r="H167" s="22" t="str">
        <f>IF($B167="","",IF(N('Aset Tetap'!$AG167)=0,0,IF(AND((YEAR(H$6)*12+MONTH(H$6))&gt;='Aset Tetap'!$Y167,(YEAR(H$6)*12+MONTH(H$6))&lt;=MIN('Aset Tetap'!$Z167,IF('Aset Tetap'!$S167="Unit Produksi",99999,'Aset Tetap'!$Y167+'Aset Tetap'!$T167*12-1))),'Aset Tetap'!$AQ167/'Aset Tetap'!$AG167,0)))</f>
        <v/>
      </c>
      <c r="I167" s="22" t="str">
        <f>IF($B167="","",IF(N('Aset Tetap'!$AG167)=0,0,IF(AND((YEAR(I$6)*12+MONTH(I$6))&gt;='Aset Tetap'!$Y167,(YEAR(I$6)*12+MONTH(I$6))&lt;=MIN('Aset Tetap'!$Z167,IF('Aset Tetap'!$S167="Unit Produksi",99999,'Aset Tetap'!$Y167+'Aset Tetap'!$T167*12-1))),'Aset Tetap'!$AQ167/'Aset Tetap'!$AG167,0)))</f>
        <v/>
      </c>
      <c r="J167" s="22" t="str">
        <f>IF($B167="","",IF(N('Aset Tetap'!$AG167)=0,0,IF(AND((YEAR(J$6)*12+MONTH(J$6))&gt;='Aset Tetap'!$Y167,(YEAR(J$6)*12+MONTH(J$6))&lt;=MIN('Aset Tetap'!$Z167,IF('Aset Tetap'!$S167="Unit Produksi",99999,'Aset Tetap'!$Y167+'Aset Tetap'!$T167*12-1))),'Aset Tetap'!$AQ167/'Aset Tetap'!$AG167,0)))</f>
        <v/>
      </c>
      <c r="K167" s="22" t="str">
        <f>IF($B167="","",IF(N('Aset Tetap'!$AG167)=0,0,IF(AND((YEAR(K$6)*12+MONTH(K$6))&gt;='Aset Tetap'!$Y167,(YEAR(K$6)*12+MONTH(K$6))&lt;=MIN('Aset Tetap'!$Z167,IF('Aset Tetap'!$S167="Unit Produksi",99999,'Aset Tetap'!$Y167+'Aset Tetap'!$T167*12-1))),'Aset Tetap'!$AQ167/'Aset Tetap'!$AG167,0)))</f>
        <v/>
      </c>
      <c r="L167" s="22" t="str">
        <f>IF($B167="","",IF(N('Aset Tetap'!$AG167)=0,0,IF(AND((YEAR(L$6)*12+MONTH(L$6))&gt;='Aset Tetap'!$Y167,(YEAR(L$6)*12+MONTH(L$6))&lt;=MIN('Aset Tetap'!$Z167,IF('Aset Tetap'!$S167="Unit Produksi",99999,'Aset Tetap'!$Y167+'Aset Tetap'!$T167*12-1))),'Aset Tetap'!$AQ167/'Aset Tetap'!$AG167,0)))</f>
        <v/>
      </c>
      <c r="M167" s="22" t="str">
        <f>IF($B167="","",IF(N('Aset Tetap'!$AG167)=0,0,IF(AND((YEAR(M$6)*12+MONTH(M$6))&gt;='Aset Tetap'!$Y167,(YEAR(M$6)*12+MONTH(M$6))&lt;=MIN('Aset Tetap'!$Z167,IF('Aset Tetap'!$S167="Unit Produksi",99999,'Aset Tetap'!$Y167+'Aset Tetap'!$T167*12-1))),'Aset Tetap'!$AQ167/'Aset Tetap'!$AG167,0)))</f>
        <v/>
      </c>
      <c r="N167" s="22" t="str">
        <f>IF($B167="","",IF(N('Aset Tetap'!$AG167)=0,0,IF(AND((YEAR(N$6)*12+MONTH(N$6))&gt;='Aset Tetap'!$Y167,(YEAR(N$6)*12+MONTH(N$6))&lt;=MIN('Aset Tetap'!$Z167,IF('Aset Tetap'!$S167="Unit Produksi",99999,'Aset Tetap'!$Y167+'Aset Tetap'!$T167*12-1))),'Aset Tetap'!$AQ167/'Aset Tetap'!$AG167,0)))</f>
        <v/>
      </c>
      <c r="O167" s="22" t="str">
        <f>IF($B167="","",IF(N('Aset Tetap'!$AG167)=0,0,IF(AND((YEAR(O$6)*12+MONTH(O$6))&gt;='Aset Tetap'!$Y167,(YEAR(O$6)*12+MONTH(O$6))&lt;=MIN('Aset Tetap'!$Z167,IF('Aset Tetap'!$S167="Unit Produksi",99999,'Aset Tetap'!$Y167+'Aset Tetap'!$T167*12-1))),'Aset Tetap'!$AQ167/'Aset Tetap'!$AG167,0)))</f>
        <v/>
      </c>
      <c r="P167" s="22" t="str">
        <f>IF($B167="","",IF(N('Aset Tetap'!$AG167)=0,0,IF(AND((YEAR(P$6)*12+MONTH(P$6))&gt;='Aset Tetap'!$Y167,(YEAR(P$6)*12+MONTH(P$6))&lt;=MIN('Aset Tetap'!$Z167,IF('Aset Tetap'!$S167="Unit Produksi",99999,'Aset Tetap'!$Y167+'Aset Tetap'!$T167*12-1))),'Aset Tetap'!$AQ167/'Aset Tetap'!$AG167,0)))</f>
        <v/>
      </c>
      <c r="Q167" s="22" t="str">
        <f>IF($B167="","",SUM(E167:P167))</f>
        <v/>
      </c>
      <c r="R167" s="22" t="str">
        <f>IF($B167="","",'Aset Tetap'!AQ167)</f>
        <v/>
      </c>
      <c r="S167" s="22" t="str">
        <f>IF($B167="","",ROUND(Q167-R167,0))</f>
        <v/>
      </c>
    </row>
    <row r="168" spans="1:19" x14ac:dyDescent="0.25">
      <c r="A168" t="str">
        <f>IF('Aset Tetap'!$B168="","",'Aset Tetap'!A168)</f>
        <v/>
      </c>
      <c r="B168" t="str">
        <f>IF('Aset Tetap'!$B168="","",'Aset Tetap'!B168)</f>
        <v/>
      </c>
      <c r="C168" t="str">
        <f>IF('Aset Tetap'!$B168="","",'Aset Tetap'!C168)</f>
        <v/>
      </c>
      <c r="D168" t="str">
        <f>IF('Aset Tetap'!$B168="","",'Aset Tetap'!D168)</f>
        <v/>
      </c>
      <c r="E168" s="22" t="str">
        <f>IF($B168="","",IF(N('Aset Tetap'!$AG168)=0,0,IF(AND((YEAR(E$6)*12+MONTH(E$6))&gt;='Aset Tetap'!$Y168,(YEAR(E$6)*12+MONTH(E$6))&lt;=MIN('Aset Tetap'!$Z168,IF('Aset Tetap'!$S168="Unit Produksi",99999,'Aset Tetap'!$Y168+'Aset Tetap'!$T168*12-1))),'Aset Tetap'!$AQ168/'Aset Tetap'!$AG168,0)))</f>
        <v/>
      </c>
      <c r="F168" s="22" t="str">
        <f>IF($B168="","",IF(N('Aset Tetap'!$AG168)=0,0,IF(AND((YEAR(F$6)*12+MONTH(F$6))&gt;='Aset Tetap'!$Y168,(YEAR(F$6)*12+MONTH(F$6))&lt;=MIN('Aset Tetap'!$Z168,IF('Aset Tetap'!$S168="Unit Produksi",99999,'Aset Tetap'!$Y168+'Aset Tetap'!$T168*12-1))),'Aset Tetap'!$AQ168/'Aset Tetap'!$AG168,0)))</f>
        <v/>
      </c>
      <c r="G168" s="22" t="str">
        <f>IF($B168="","",IF(N('Aset Tetap'!$AG168)=0,0,IF(AND((YEAR(G$6)*12+MONTH(G$6))&gt;='Aset Tetap'!$Y168,(YEAR(G$6)*12+MONTH(G$6))&lt;=MIN('Aset Tetap'!$Z168,IF('Aset Tetap'!$S168="Unit Produksi",99999,'Aset Tetap'!$Y168+'Aset Tetap'!$T168*12-1))),'Aset Tetap'!$AQ168/'Aset Tetap'!$AG168,0)))</f>
        <v/>
      </c>
      <c r="H168" s="22" t="str">
        <f>IF($B168="","",IF(N('Aset Tetap'!$AG168)=0,0,IF(AND((YEAR(H$6)*12+MONTH(H$6))&gt;='Aset Tetap'!$Y168,(YEAR(H$6)*12+MONTH(H$6))&lt;=MIN('Aset Tetap'!$Z168,IF('Aset Tetap'!$S168="Unit Produksi",99999,'Aset Tetap'!$Y168+'Aset Tetap'!$T168*12-1))),'Aset Tetap'!$AQ168/'Aset Tetap'!$AG168,0)))</f>
        <v/>
      </c>
      <c r="I168" s="22" t="str">
        <f>IF($B168="","",IF(N('Aset Tetap'!$AG168)=0,0,IF(AND((YEAR(I$6)*12+MONTH(I$6))&gt;='Aset Tetap'!$Y168,(YEAR(I$6)*12+MONTH(I$6))&lt;=MIN('Aset Tetap'!$Z168,IF('Aset Tetap'!$S168="Unit Produksi",99999,'Aset Tetap'!$Y168+'Aset Tetap'!$T168*12-1))),'Aset Tetap'!$AQ168/'Aset Tetap'!$AG168,0)))</f>
        <v/>
      </c>
      <c r="J168" s="22" t="str">
        <f>IF($B168="","",IF(N('Aset Tetap'!$AG168)=0,0,IF(AND((YEAR(J$6)*12+MONTH(J$6))&gt;='Aset Tetap'!$Y168,(YEAR(J$6)*12+MONTH(J$6))&lt;=MIN('Aset Tetap'!$Z168,IF('Aset Tetap'!$S168="Unit Produksi",99999,'Aset Tetap'!$Y168+'Aset Tetap'!$T168*12-1))),'Aset Tetap'!$AQ168/'Aset Tetap'!$AG168,0)))</f>
        <v/>
      </c>
      <c r="K168" s="22" t="str">
        <f>IF($B168="","",IF(N('Aset Tetap'!$AG168)=0,0,IF(AND((YEAR(K$6)*12+MONTH(K$6))&gt;='Aset Tetap'!$Y168,(YEAR(K$6)*12+MONTH(K$6))&lt;=MIN('Aset Tetap'!$Z168,IF('Aset Tetap'!$S168="Unit Produksi",99999,'Aset Tetap'!$Y168+'Aset Tetap'!$T168*12-1))),'Aset Tetap'!$AQ168/'Aset Tetap'!$AG168,0)))</f>
        <v/>
      </c>
      <c r="L168" s="22" t="str">
        <f>IF($B168="","",IF(N('Aset Tetap'!$AG168)=0,0,IF(AND((YEAR(L$6)*12+MONTH(L$6))&gt;='Aset Tetap'!$Y168,(YEAR(L$6)*12+MONTH(L$6))&lt;=MIN('Aset Tetap'!$Z168,IF('Aset Tetap'!$S168="Unit Produksi",99999,'Aset Tetap'!$Y168+'Aset Tetap'!$T168*12-1))),'Aset Tetap'!$AQ168/'Aset Tetap'!$AG168,0)))</f>
        <v/>
      </c>
      <c r="M168" s="22" t="str">
        <f>IF($B168="","",IF(N('Aset Tetap'!$AG168)=0,0,IF(AND((YEAR(M$6)*12+MONTH(M$6))&gt;='Aset Tetap'!$Y168,(YEAR(M$6)*12+MONTH(M$6))&lt;=MIN('Aset Tetap'!$Z168,IF('Aset Tetap'!$S168="Unit Produksi",99999,'Aset Tetap'!$Y168+'Aset Tetap'!$T168*12-1))),'Aset Tetap'!$AQ168/'Aset Tetap'!$AG168,0)))</f>
        <v/>
      </c>
      <c r="N168" s="22" t="str">
        <f>IF($B168="","",IF(N('Aset Tetap'!$AG168)=0,0,IF(AND((YEAR(N$6)*12+MONTH(N$6))&gt;='Aset Tetap'!$Y168,(YEAR(N$6)*12+MONTH(N$6))&lt;=MIN('Aset Tetap'!$Z168,IF('Aset Tetap'!$S168="Unit Produksi",99999,'Aset Tetap'!$Y168+'Aset Tetap'!$T168*12-1))),'Aset Tetap'!$AQ168/'Aset Tetap'!$AG168,0)))</f>
        <v/>
      </c>
      <c r="O168" s="22" t="str">
        <f>IF($B168="","",IF(N('Aset Tetap'!$AG168)=0,0,IF(AND((YEAR(O$6)*12+MONTH(O$6))&gt;='Aset Tetap'!$Y168,(YEAR(O$6)*12+MONTH(O$6))&lt;=MIN('Aset Tetap'!$Z168,IF('Aset Tetap'!$S168="Unit Produksi",99999,'Aset Tetap'!$Y168+'Aset Tetap'!$T168*12-1))),'Aset Tetap'!$AQ168/'Aset Tetap'!$AG168,0)))</f>
        <v/>
      </c>
      <c r="P168" s="22" t="str">
        <f>IF($B168="","",IF(N('Aset Tetap'!$AG168)=0,0,IF(AND((YEAR(P$6)*12+MONTH(P$6))&gt;='Aset Tetap'!$Y168,(YEAR(P$6)*12+MONTH(P$6))&lt;=MIN('Aset Tetap'!$Z168,IF('Aset Tetap'!$S168="Unit Produksi",99999,'Aset Tetap'!$Y168+'Aset Tetap'!$T168*12-1))),'Aset Tetap'!$AQ168/'Aset Tetap'!$AG168,0)))</f>
        <v/>
      </c>
      <c r="Q168" s="22" t="str">
        <f>IF($B168="","",SUM(E168:P168))</f>
        <v/>
      </c>
      <c r="R168" s="22" t="str">
        <f>IF($B168="","",'Aset Tetap'!AQ168)</f>
        <v/>
      </c>
      <c r="S168" s="22" t="str">
        <f>IF($B168="","",ROUND(Q168-R168,0))</f>
        <v/>
      </c>
    </row>
    <row r="169" spans="1:19" x14ac:dyDescent="0.25">
      <c r="A169" t="str">
        <f>IF('Aset Tetap'!$B169="","",'Aset Tetap'!A169)</f>
        <v/>
      </c>
      <c r="B169" t="str">
        <f>IF('Aset Tetap'!$B169="","",'Aset Tetap'!B169)</f>
        <v/>
      </c>
      <c r="C169" t="str">
        <f>IF('Aset Tetap'!$B169="","",'Aset Tetap'!C169)</f>
        <v/>
      </c>
      <c r="D169" t="str">
        <f>IF('Aset Tetap'!$B169="","",'Aset Tetap'!D169)</f>
        <v/>
      </c>
      <c r="E169" s="22" t="str">
        <f>IF($B169="","",IF(N('Aset Tetap'!$AG169)=0,0,IF(AND((YEAR(E$6)*12+MONTH(E$6))&gt;='Aset Tetap'!$Y169,(YEAR(E$6)*12+MONTH(E$6))&lt;=MIN('Aset Tetap'!$Z169,IF('Aset Tetap'!$S169="Unit Produksi",99999,'Aset Tetap'!$Y169+'Aset Tetap'!$T169*12-1))),'Aset Tetap'!$AQ169/'Aset Tetap'!$AG169,0)))</f>
        <v/>
      </c>
      <c r="F169" s="22" t="str">
        <f>IF($B169="","",IF(N('Aset Tetap'!$AG169)=0,0,IF(AND((YEAR(F$6)*12+MONTH(F$6))&gt;='Aset Tetap'!$Y169,(YEAR(F$6)*12+MONTH(F$6))&lt;=MIN('Aset Tetap'!$Z169,IF('Aset Tetap'!$S169="Unit Produksi",99999,'Aset Tetap'!$Y169+'Aset Tetap'!$T169*12-1))),'Aset Tetap'!$AQ169/'Aset Tetap'!$AG169,0)))</f>
        <v/>
      </c>
      <c r="G169" s="22" t="str">
        <f>IF($B169="","",IF(N('Aset Tetap'!$AG169)=0,0,IF(AND((YEAR(G$6)*12+MONTH(G$6))&gt;='Aset Tetap'!$Y169,(YEAR(G$6)*12+MONTH(G$6))&lt;=MIN('Aset Tetap'!$Z169,IF('Aset Tetap'!$S169="Unit Produksi",99999,'Aset Tetap'!$Y169+'Aset Tetap'!$T169*12-1))),'Aset Tetap'!$AQ169/'Aset Tetap'!$AG169,0)))</f>
        <v/>
      </c>
      <c r="H169" s="22" t="str">
        <f>IF($B169="","",IF(N('Aset Tetap'!$AG169)=0,0,IF(AND((YEAR(H$6)*12+MONTH(H$6))&gt;='Aset Tetap'!$Y169,(YEAR(H$6)*12+MONTH(H$6))&lt;=MIN('Aset Tetap'!$Z169,IF('Aset Tetap'!$S169="Unit Produksi",99999,'Aset Tetap'!$Y169+'Aset Tetap'!$T169*12-1))),'Aset Tetap'!$AQ169/'Aset Tetap'!$AG169,0)))</f>
        <v/>
      </c>
      <c r="I169" s="22" t="str">
        <f>IF($B169="","",IF(N('Aset Tetap'!$AG169)=0,0,IF(AND((YEAR(I$6)*12+MONTH(I$6))&gt;='Aset Tetap'!$Y169,(YEAR(I$6)*12+MONTH(I$6))&lt;=MIN('Aset Tetap'!$Z169,IF('Aset Tetap'!$S169="Unit Produksi",99999,'Aset Tetap'!$Y169+'Aset Tetap'!$T169*12-1))),'Aset Tetap'!$AQ169/'Aset Tetap'!$AG169,0)))</f>
        <v/>
      </c>
      <c r="J169" s="22" t="str">
        <f>IF($B169="","",IF(N('Aset Tetap'!$AG169)=0,0,IF(AND((YEAR(J$6)*12+MONTH(J$6))&gt;='Aset Tetap'!$Y169,(YEAR(J$6)*12+MONTH(J$6))&lt;=MIN('Aset Tetap'!$Z169,IF('Aset Tetap'!$S169="Unit Produksi",99999,'Aset Tetap'!$Y169+'Aset Tetap'!$T169*12-1))),'Aset Tetap'!$AQ169/'Aset Tetap'!$AG169,0)))</f>
        <v/>
      </c>
      <c r="K169" s="22" t="str">
        <f>IF($B169="","",IF(N('Aset Tetap'!$AG169)=0,0,IF(AND((YEAR(K$6)*12+MONTH(K$6))&gt;='Aset Tetap'!$Y169,(YEAR(K$6)*12+MONTH(K$6))&lt;=MIN('Aset Tetap'!$Z169,IF('Aset Tetap'!$S169="Unit Produksi",99999,'Aset Tetap'!$Y169+'Aset Tetap'!$T169*12-1))),'Aset Tetap'!$AQ169/'Aset Tetap'!$AG169,0)))</f>
        <v/>
      </c>
      <c r="L169" s="22" t="str">
        <f>IF($B169="","",IF(N('Aset Tetap'!$AG169)=0,0,IF(AND((YEAR(L$6)*12+MONTH(L$6))&gt;='Aset Tetap'!$Y169,(YEAR(L$6)*12+MONTH(L$6))&lt;=MIN('Aset Tetap'!$Z169,IF('Aset Tetap'!$S169="Unit Produksi",99999,'Aset Tetap'!$Y169+'Aset Tetap'!$T169*12-1))),'Aset Tetap'!$AQ169/'Aset Tetap'!$AG169,0)))</f>
        <v/>
      </c>
      <c r="M169" s="22" t="str">
        <f>IF($B169="","",IF(N('Aset Tetap'!$AG169)=0,0,IF(AND((YEAR(M$6)*12+MONTH(M$6))&gt;='Aset Tetap'!$Y169,(YEAR(M$6)*12+MONTH(M$6))&lt;=MIN('Aset Tetap'!$Z169,IF('Aset Tetap'!$S169="Unit Produksi",99999,'Aset Tetap'!$Y169+'Aset Tetap'!$T169*12-1))),'Aset Tetap'!$AQ169/'Aset Tetap'!$AG169,0)))</f>
        <v/>
      </c>
      <c r="N169" s="22" t="str">
        <f>IF($B169="","",IF(N('Aset Tetap'!$AG169)=0,0,IF(AND((YEAR(N$6)*12+MONTH(N$6))&gt;='Aset Tetap'!$Y169,(YEAR(N$6)*12+MONTH(N$6))&lt;=MIN('Aset Tetap'!$Z169,IF('Aset Tetap'!$S169="Unit Produksi",99999,'Aset Tetap'!$Y169+'Aset Tetap'!$T169*12-1))),'Aset Tetap'!$AQ169/'Aset Tetap'!$AG169,0)))</f>
        <v/>
      </c>
      <c r="O169" s="22" t="str">
        <f>IF($B169="","",IF(N('Aset Tetap'!$AG169)=0,0,IF(AND((YEAR(O$6)*12+MONTH(O$6))&gt;='Aset Tetap'!$Y169,(YEAR(O$6)*12+MONTH(O$6))&lt;=MIN('Aset Tetap'!$Z169,IF('Aset Tetap'!$S169="Unit Produksi",99999,'Aset Tetap'!$Y169+'Aset Tetap'!$T169*12-1))),'Aset Tetap'!$AQ169/'Aset Tetap'!$AG169,0)))</f>
        <v/>
      </c>
      <c r="P169" s="22" t="str">
        <f>IF($B169="","",IF(N('Aset Tetap'!$AG169)=0,0,IF(AND((YEAR(P$6)*12+MONTH(P$6))&gt;='Aset Tetap'!$Y169,(YEAR(P$6)*12+MONTH(P$6))&lt;=MIN('Aset Tetap'!$Z169,IF('Aset Tetap'!$S169="Unit Produksi",99999,'Aset Tetap'!$Y169+'Aset Tetap'!$T169*12-1))),'Aset Tetap'!$AQ169/'Aset Tetap'!$AG169,0)))</f>
        <v/>
      </c>
      <c r="Q169" s="22" t="str">
        <f>IF($B169="","",SUM(E169:P169))</f>
        <v/>
      </c>
      <c r="R169" s="22" t="str">
        <f>IF($B169="","",'Aset Tetap'!AQ169)</f>
        <v/>
      </c>
      <c r="S169" s="22" t="str">
        <f>IF($B169="","",ROUND(Q169-R169,0))</f>
        <v/>
      </c>
    </row>
    <row r="170" spans="1:19" x14ac:dyDescent="0.25">
      <c r="A170" t="str">
        <f>IF('Aset Tetap'!$B170="","",'Aset Tetap'!A170)</f>
        <v/>
      </c>
      <c r="B170" t="str">
        <f>IF('Aset Tetap'!$B170="","",'Aset Tetap'!B170)</f>
        <v/>
      </c>
      <c r="C170" t="str">
        <f>IF('Aset Tetap'!$B170="","",'Aset Tetap'!C170)</f>
        <v/>
      </c>
      <c r="D170" t="str">
        <f>IF('Aset Tetap'!$B170="","",'Aset Tetap'!D170)</f>
        <v/>
      </c>
      <c r="E170" s="22" t="str">
        <f>IF($B170="","",IF(N('Aset Tetap'!$AG170)=0,0,IF(AND((YEAR(E$6)*12+MONTH(E$6))&gt;='Aset Tetap'!$Y170,(YEAR(E$6)*12+MONTH(E$6))&lt;=MIN('Aset Tetap'!$Z170,IF('Aset Tetap'!$S170="Unit Produksi",99999,'Aset Tetap'!$Y170+'Aset Tetap'!$T170*12-1))),'Aset Tetap'!$AQ170/'Aset Tetap'!$AG170,0)))</f>
        <v/>
      </c>
      <c r="F170" s="22" t="str">
        <f>IF($B170="","",IF(N('Aset Tetap'!$AG170)=0,0,IF(AND((YEAR(F$6)*12+MONTH(F$6))&gt;='Aset Tetap'!$Y170,(YEAR(F$6)*12+MONTH(F$6))&lt;=MIN('Aset Tetap'!$Z170,IF('Aset Tetap'!$S170="Unit Produksi",99999,'Aset Tetap'!$Y170+'Aset Tetap'!$T170*12-1))),'Aset Tetap'!$AQ170/'Aset Tetap'!$AG170,0)))</f>
        <v/>
      </c>
      <c r="G170" s="22" t="str">
        <f>IF($B170="","",IF(N('Aset Tetap'!$AG170)=0,0,IF(AND((YEAR(G$6)*12+MONTH(G$6))&gt;='Aset Tetap'!$Y170,(YEAR(G$6)*12+MONTH(G$6))&lt;=MIN('Aset Tetap'!$Z170,IF('Aset Tetap'!$S170="Unit Produksi",99999,'Aset Tetap'!$Y170+'Aset Tetap'!$T170*12-1))),'Aset Tetap'!$AQ170/'Aset Tetap'!$AG170,0)))</f>
        <v/>
      </c>
      <c r="H170" s="22" t="str">
        <f>IF($B170="","",IF(N('Aset Tetap'!$AG170)=0,0,IF(AND((YEAR(H$6)*12+MONTH(H$6))&gt;='Aset Tetap'!$Y170,(YEAR(H$6)*12+MONTH(H$6))&lt;=MIN('Aset Tetap'!$Z170,IF('Aset Tetap'!$S170="Unit Produksi",99999,'Aset Tetap'!$Y170+'Aset Tetap'!$T170*12-1))),'Aset Tetap'!$AQ170/'Aset Tetap'!$AG170,0)))</f>
        <v/>
      </c>
      <c r="I170" s="22" t="str">
        <f>IF($B170="","",IF(N('Aset Tetap'!$AG170)=0,0,IF(AND((YEAR(I$6)*12+MONTH(I$6))&gt;='Aset Tetap'!$Y170,(YEAR(I$6)*12+MONTH(I$6))&lt;=MIN('Aset Tetap'!$Z170,IF('Aset Tetap'!$S170="Unit Produksi",99999,'Aset Tetap'!$Y170+'Aset Tetap'!$T170*12-1))),'Aset Tetap'!$AQ170/'Aset Tetap'!$AG170,0)))</f>
        <v/>
      </c>
      <c r="J170" s="22" t="str">
        <f>IF($B170="","",IF(N('Aset Tetap'!$AG170)=0,0,IF(AND((YEAR(J$6)*12+MONTH(J$6))&gt;='Aset Tetap'!$Y170,(YEAR(J$6)*12+MONTH(J$6))&lt;=MIN('Aset Tetap'!$Z170,IF('Aset Tetap'!$S170="Unit Produksi",99999,'Aset Tetap'!$Y170+'Aset Tetap'!$T170*12-1))),'Aset Tetap'!$AQ170/'Aset Tetap'!$AG170,0)))</f>
        <v/>
      </c>
      <c r="K170" s="22" t="str">
        <f>IF($B170="","",IF(N('Aset Tetap'!$AG170)=0,0,IF(AND((YEAR(K$6)*12+MONTH(K$6))&gt;='Aset Tetap'!$Y170,(YEAR(K$6)*12+MONTH(K$6))&lt;=MIN('Aset Tetap'!$Z170,IF('Aset Tetap'!$S170="Unit Produksi",99999,'Aset Tetap'!$Y170+'Aset Tetap'!$T170*12-1))),'Aset Tetap'!$AQ170/'Aset Tetap'!$AG170,0)))</f>
        <v/>
      </c>
      <c r="L170" s="22" t="str">
        <f>IF($B170="","",IF(N('Aset Tetap'!$AG170)=0,0,IF(AND((YEAR(L$6)*12+MONTH(L$6))&gt;='Aset Tetap'!$Y170,(YEAR(L$6)*12+MONTH(L$6))&lt;=MIN('Aset Tetap'!$Z170,IF('Aset Tetap'!$S170="Unit Produksi",99999,'Aset Tetap'!$Y170+'Aset Tetap'!$T170*12-1))),'Aset Tetap'!$AQ170/'Aset Tetap'!$AG170,0)))</f>
        <v/>
      </c>
      <c r="M170" s="22" t="str">
        <f>IF($B170="","",IF(N('Aset Tetap'!$AG170)=0,0,IF(AND((YEAR(M$6)*12+MONTH(M$6))&gt;='Aset Tetap'!$Y170,(YEAR(M$6)*12+MONTH(M$6))&lt;=MIN('Aset Tetap'!$Z170,IF('Aset Tetap'!$S170="Unit Produksi",99999,'Aset Tetap'!$Y170+'Aset Tetap'!$T170*12-1))),'Aset Tetap'!$AQ170/'Aset Tetap'!$AG170,0)))</f>
        <v/>
      </c>
      <c r="N170" s="22" t="str">
        <f>IF($B170="","",IF(N('Aset Tetap'!$AG170)=0,0,IF(AND((YEAR(N$6)*12+MONTH(N$6))&gt;='Aset Tetap'!$Y170,(YEAR(N$6)*12+MONTH(N$6))&lt;=MIN('Aset Tetap'!$Z170,IF('Aset Tetap'!$S170="Unit Produksi",99999,'Aset Tetap'!$Y170+'Aset Tetap'!$T170*12-1))),'Aset Tetap'!$AQ170/'Aset Tetap'!$AG170,0)))</f>
        <v/>
      </c>
      <c r="O170" s="22" t="str">
        <f>IF($B170="","",IF(N('Aset Tetap'!$AG170)=0,0,IF(AND((YEAR(O$6)*12+MONTH(O$6))&gt;='Aset Tetap'!$Y170,(YEAR(O$6)*12+MONTH(O$6))&lt;=MIN('Aset Tetap'!$Z170,IF('Aset Tetap'!$S170="Unit Produksi",99999,'Aset Tetap'!$Y170+'Aset Tetap'!$T170*12-1))),'Aset Tetap'!$AQ170/'Aset Tetap'!$AG170,0)))</f>
        <v/>
      </c>
      <c r="P170" s="22" t="str">
        <f>IF($B170="","",IF(N('Aset Tetap'!$AG170)=0,0,IF(AND((YEAR(P$6)*12+MONTH(P$6))&gt;='Aset Tetap'!$Y170,(YEAR(P$6)*12+MONTH(P$6))&lt;=MIN('Aset Tetap'!$Z170,IF('Aset Tetap'!$S170="Unit Produksi",99999,'Aset Tetap'!$Y170+'Aset Tetap'!$T170*12-1))),'Aset Tetap'!$AQ170/'Aset Tetap'!$AG170,0)))</f>
        <v/>
      </c>
      <c r="Q170" s="22" t="str">
        <f>IF($B170="","",SUM(E170:P170))</f>
        <v/>
      </c>
      <c r="R170" s="22" t="str">
        <f>IF($B170="","",'Aset Tetap'!AQ170)</f>
        <v/>
      </c>
      <c r="S170" s="22" t="str">
        <f>IF($B170="","",ROUND(Q170-R170,0))</f>
        <v/>
      </c>
    </row>
    <row r="171" spans="1:19" x14ac:dyDescent="0.25">
      <c r="A171" t="str">
        <f>IF('Aset Tetap'!$B171="","",'Aset Tetap'!A171)</f>
        <v/>
      </c>
      <c r="B171" t="str">
        <f>IF('Aset Tetap'!$B171="","",'Aset Tetap'!B171)</f>
        <v/>
      </c>
      <c r="C171" t="str">
        <f>IF('Aset Tetap'!$B171="","",'Aset Tetap'!C171)</f>
        <v/>
      </c>
      <c r="D171" t="str">
        <f>IF('Aset Tetap'!$B171="","",'Aset Tetap'!D171)</f>
        <v/>
      </c>
      <c r="E171" s="22" t="str">
        <f>IF($B171="","",IF(N('Aset Tetap'!$AG171)=0,0,IF(AND((YEAR(E$6)*12+MONTH(E$6))&gt;='Aset Tetap'!$Y171,(YEAR(E$6)*12+MONTH(E$6))&lt;=MIN('Aset Tetap'!$Z171,IF('Aset Tetap'!$S171="Unit Produksi",99999,'Aset Tetap'!$Y171+'Aset Tetap'!$T171*12-1))),'Aset Tetap'!$AQ171/'Aset Tetap'!$AG171,0)))</f>
        <v/>
      </c>
      <c r="F171" s="22" t="str">
        <f>IF($B171="","",IF(N('Aset Tetap'!$AG171)=0,0,IF(AND((YEAR(F$6)*12+MONTH(F$6))&gt;='Aset Tetap'!$Y171,(YEAR(F$6)*12+MONTH(F$6))&lt;=MIN('Aset Tetap'!$Z171,IF('Aset Tetap'!$S171="Unit Produksi",99999,'Aset Tetap'!$Y171+'Aset Tetap'!$T171*12-1))),'Aset Tetap'!$AQ171/'Aset Tetap'!$AG171,0)))</f>
        <v/>
      </c>
      <c r="G171" s="22" t="str">
        <f>IF($B171="","",IF(N('Aset Tetap'!$AG171)=0,0,IF(AND((YEAR(G$6)*12+MONTH(G$6))&gt;='Aset Tetap'!$Y171,(YEAR(G$6)*12+MONTH(G$6))&lt;=MIN('Aset Tetap'!$Z171,IF('Aset Tetap'!$S171="Unit Produksi",99999,'Aset Tetap'!$Y171+'Aset Tetap'!$T171*12-1))),'Aset Tetap'!$AQ171/'Aset Tetap'!$AG171,0)))</f>
        <v/>
      </c>
      <c r="H171" s="22" t="str">
        <f>IF($B171="","",IF(N('Aset Tetap'!$AG171)=0,0,IF(AND((YEAR(H$6)*12+MONTH(H$6))&gt;='Aset Tetap'!$Y171,(YEAR(H$6)*12+MONTH(H$6))&lt;=MIN('Aset Tetap'!$Z171,IF('Aset Tetap'!$S171="Unit Produksi",99999,'Aset Tetap'!$Y171+'Aset Tetap'!$T171*12-1))),'Aset Tetap'!$AQ171/'Aset Tetap'!$AG171,0)))</f>
        <v/>
      </c>
      <c r="I171" s="22" t="str">
        <f>IF($B171="","",IF(N('Aset Tetap'!$AG171)=0,0,IF(AND((YEAR(I$6)*12+MONTH(I$6))&gt;='Aset Tetap'!$Y171,(YEAR(I$6)*12+MONTH(I$6))&lt;=MIN('Aset Tetap'!$Z171,IF('Aset Tetap'!$S171="Unit Produksi",99999,'Aset Tetap'!$Y171+'Aset Tetap'!$T171*12-1))),'Aset Tetap'!$AQ171/'Aset Tetap'!$AG171,0)))</f>
        <v/>
      </c>
      <c r="J171" s="22" t="str">
        <f>IF($B171="","",IF(N('Aset Tetap'!$AG171)=0,0,IF(AND((YEAR(J$6)*12+MONTH(J$6))&gt;='Aset Tetap'!$Y171,(YEAR(J$6)*12+MONTH(J$6))&lt;=MIN('Aset Tetap'!$Z171,IF('Aset Tetap'!$S171="Unit Produksi",99999,'Aset Tetap'!$Y171+'Aset Tetap'!$T171*12-1))),'Aset Tetap'!$AQ171/'Aset Tetap'!$AG171,0)))</f>
        <v/>
      </c>
      <c r="K171" s="22" t="str">
        <f>IF($B171="","",IF(N('Aset Tetap'!$AG171)=0,0,IF(AND((YEAR(K$6)*12+MONTH(K$6))&gt;='Aset Tetap'!$Y171,(YEAR(K$6)*12+MONTH(K$6))&lt;=MIN('Aset Tetap'!$Z171,IF('Aset Tetap'!$S171="Unit Produksi",99999,'Aset Tetap'!$Y171+'Aset Tetap'!$T171*12-1))),'Aset Tetap'!$AQ171/'Aset Tetap'!$AG171,0)))</f>
        <v/>
      </c>
      <c r="L171" s="22" t="str">
        <f>IF($B171="","",IF(N('Aset Tetap'!$AG171)=0,0,IF(AND((YEAR(L$6)*12+MONTH(L$6))&gt;='Aset Tetap'!$Y171,(YEAR(L$6)*12+MONTH(L$6))&lt;=MIN('Aset Tetap'!$Z171,IF('Aset Tetap'!$S171="Unit Produksi",99999,'Aset Tetap'!$Y171+'Aset Tetap'!$T171*12-1))),'Aset Tetap'!$AQ171/'Aset Tetap'!$AG171,0)))</f>
        <v/>
      </c>
      <c r="M171" s="22" t="str">
        <f>IF($B171="","",IF(N('Aset Tetap'!$AG171)=0,0,IF(AND((YEAR(M$6)*12+MONTH(M$6))&gt;='Aset Tetap'!$Y171,(YEAR(M$6)*12+MONTH(M$6))&lt;=MIN('Aset Tetap'!$Z171,IF('Aset Tetap'!$S171="Unit Produksi",99999,'Aset Tetap'!$Y171+'Aset Tetap'!$T171*12-1))),'Aset Tetap'!$AQ171/'Aset Tetap'!$AG171,0)))</f>
        <v/>
      </c>
      <c r="N171" s="22" t="str">
        <f>IF($B171="","",IF(N('Aset Tetap'!$AG171)=0,0,IF(AND((YEAR(N$6)*12+MONTH(N$6))&gt;='Aset Tetap'!$Y171,(YEAR(N$6)*12+MONTH(N$6))&lt;=MIN('Aset Tetap'!$Z171,IF('Aset Tetap'!$S171="Unit Produksi",99999,'Aset Tetap'!$Y171+'Aset Tetap'!$T171*12-1))),'Aset Tetap'!$AQ171/'Aset Tetap'!$AG171,0)))</f>
        <v/>
      </c>
      <c r="O171" s="22" t="str">
        <f>IF($B171="","",IF(N('Aset Tetap'!$AG171)=0,0,IF(AND((YEAR(O$6)*12+MONTH(O$6))&gt;='Aset Tetap'!$Y171,(YEAR(O$6)*12+MONTH(O$6))&lt;=MIN('Aset Tetap'!$Z171,IF('Aset Tetap'!$S171="Unit Produksi",99999,'Aset Tetap'!$Y171+'Aset Tetap'!$T171*12-1))),'Aset Tetap'!$AQ171/'Aset Tetap'!$AG171,0)))</f>
        <v/>
      </c>
      <c r="P171" s="22" t="str">
        <f>IF($B171="","",IF(N('Aset Tetap'!$AG171)=0,0,IF(AND((YEAR(P$6)*12+MONTH(P$6))&gt;='Aset Tetap'!$Y171,(YEAR(P$6)*12+MONTH(P$6))&lt;=MIN('Aset Tetap'!$Z171,IF('Aset Tetap'!$S171="Unit Produksi",99999,'Aset Tetap'!$Y171+'Aset Tetap'!$T171*12-1))),'Aset Tetap'!$AQ171/'Aset Tetap'!$AG171,0)))</f>
        <v/>
      </c>
      <c r="Q171" s="22" t="str">
        <f>IF($B171="","",SUM(E171:P171))</f>
        <v/>
      </c>
      <c r="R171" s="22" t="str">
        <f>IF($B171="","",'Aset Tetap'!AQ171)</f>
        <v/>
      </c>
      <c r="S171" s="22" t="str">
        <f>IF($B171="","",ROUND(Q171-R171,0))</f>
        <v/>
      </c>
    </row>
    <row r="172" spans="1:19" x14ac:dyDescent="0.25">
      <c r="A172" t="str">
        <f>IF('Aset Tetap'!$B172="","",'Aset Tetap'!A172)</f>
        <v/>
      </c>
      <c r="B172" t="str">
        <f>IF('Aset Tetap'!$B172="","",'Aset Tetap'!B172)</f>
        <v/>
      </c>
      <c r="C172" t="str">
        <f>IF('Aset Tetap'!$B172="","",'Aset Tetap'!C172)</f>
        <v/>
      </c>
      <c r="D172" t="str">
        <f>IF('Aset Tetap'!$B172="","",'Aset Tetap'!D172)</f>
        <v/>
      </c>
      <c r="E172" s="22" t="str">
        <f>IF($B172="","",IF(N('Aset Tetap'!$AG172)=0,0,IF(AND((YEAR(E$6)*12+MONTH(E$6))&gt;='Aset Tetap'!$Y172,(YEAR(E$6)*12+MONTH(E$6))&lt;=MIN('Aset Tetap'!$Z172,IF('Aset Tetap'!$S172="Unit Produksi",99999,'Aset Tetap'!$Y172+'Aset Tetap'!$T172*12-1))),'Aset Tetap'!$AQ172/'Aset Tetap'!$AG172,0)))</f>
        <v/>
      </c>
      <c r="F172" s="22" t="str">
        <f>IF($B172="","",IF(N('Aset Tetap'!$AG172)=0,0,IF(AND((YEAR(F$6)*12+MONTH(F$6))&gt;='Aset Tetap'!$Y172,(YEAR(F$6)*12+MONTH(F$6))&lt;=MIN('Aset Tetap'!$Z172,IF('Aset Tetap'!$S172="Unit Produksi",99999,'Aset Tetap'!$Y172+'Aset Tetap'!$T172*12-1))),'Aset Tetap'!$AQ172/'Aset Tetap'!$AG172,0)))</f>
        <v/>
      </c>
      <c r="G172" s="22" t="str">
        <f>IF($B172="","",IF(N('Aset Tetap'!$AG172)=0,0,IF(AND((YEAR(G$6)*12+MONTH(G$6))&gt;='Aset Tetap'!$Y172,(YEAR(G$6)*12+MONTH(G$6))&lt;=MIN('Aset Tetap'!$Z172,IF('Aset Tetap'!$S172="Unit Produksi",99999,'Aset Tetap'!$Y172+'Aset Tetap'!$T172*12-1))),'Aset Tetap'!$AQ172/'Aset Tetap'!$AG172,0)))</f>
        <v/>
      </c>
      <c r="H172" s="22" t="str">
        <f>IF($B172="","",IF(N('Aset Tetap'!$AG172)=0,0,IF(AND((YEAR(H$6)*12+MONTH(H$6))&gt;='Aset Tetap'!$Y172,(YEAR(H$6)*12+MONTH(H$6))&lt;=MIN('Aset Tetap'!$Z172,IF('Aset Tetap'!$S172="Unit Produksi",99999,'Aset Tetap'!$Y172+'Aset Tetap'!$T172*12-1))),'Aset Tetap'!$AQ172/'Aset Tetap'!$AG172,0)))</f>
        <v/>
      </c>
      <c r="I172" s="22" t="str">
        <f>IF($B172="","",IF(N('Aset Tetap'!$AG172)=0,0,IF(AND((YEAR(I$6)*12+MONTH(I$6))&gt;='Aset Tetap'!$Y172,(YEAR(I$6)*12+MONTH(I$6))&lt;=MIN('Aset Tetap'!$Z172,IF('Aset Tetap'!$S172="Unit Produksi",99999,'Aset Tetap'!$Y172+'Aset Tetap'!$T172*12-1))),'Aset Tetap'!$AQ172/'Aset Tetap'!$AG172,0)))</f>
        <v/>
      </c>
      <c r="J172" s="22" t="str">
        <f>IF($B172="","",IF(N('Aset Tetap'!$AG172)=0,0,IF(AND((YEAR(J$6)*12+MONTH(J$6))&gt;='Aset Tetap'!$Y172,(YEAR(J$6)*12+MONTH(J$6))&lt;=MIN('Aset Tetap'!$Z172,IF('Aset Tetap'!$S172="Unit Produksi",99999,'Aset Tetap'!$Y172+'Aset Tetap'!$T172*12-1))),'Aset Tetap'!$AQ172/'Aset Tetap'!$AG172,0)))</f>
        <v/>
      </c>
      <c r="K172" s="22" t="str">
        <f>IF($B172="","",IF(N('Aset Tetap'!$AG172)=0,0,IF(AND((YEAR(K$6)*12+MONTH(K$6))&gt;='Aset Tetap'!$Y172,(YEAR(K$6)*12+MONTH(K$6))&lt;=MIN('Aset Tetap'!$Z172,IF('Aset Tetap'!$S172="Unit Produksi",99999,'Aset Tetap'!$Y172+'Aset Tetap'!$T172*12-1))),'Aset Tetap'!$AQ172/'Aset Tetap'!$AG172,0)))</f>
        <v/>
      </c>
      <c r="L172" s="22" t="str">
        <f>IF($B172="","",IF(N('Aset Tetap'!$AG172)=0,0,IF(AND((YEAR(L$6)*12+MONTH(L$6))&gt;='Aset Tetap'!$Y172,(YEAR(L$6)*12+MONTH(L$6))&lt;=MIN('Aset Tetap'!$Z172,IF('Aset Tetap'!$S172="Unit Produksi",99999,'Aset Tetap'!$Y172+'Aset Tetap'!$T172*12-1))),'Aset Tetap'!$AQ172/'Aset Tetap'!$AG172,0)))</f>
        <v/>
      </c>
      <c r="M172" s="22" t="str">
        <f>IF($B172="","",IF(N('Aset Tetap'!$AG172)=0,0,IF(AND((YEAR(M$6)*12+MONTH(M$6))&gt;='Aset Tetap'!$Y172,(YEAR(M$6)*12+MONTH(M$6))&lt;=MIN('Aset Tetap'!$Z172,IF('Aset Tetap'!$S172="Unit Produksi",99999,'Aset Tetap'!$Y172+'Aset Tetap'!$T172*12-1))),'Aset Tetap'!$AQ172/'Aset Tetap'!$AG172,0)))</f>
        <v/>
      </c>
      <c r="N172" s="22" t="str">
        <f>IF($B172="","",IF(N('Aset Tetap'!$AG172)=0,0,IF(AND((YEAR(N$6)*12+MONTH(N$6))&gt;='Aset Tetap'!$Y172,(YEAR(N$6)*12+MONTH(N$6))&lt;=MIN('Aset Tetap'!$Z172,IF('Aset Tetap'!$S172="Unit Produksi",99999,'Aset Tetap'!$Y172+'Aset Tetap'!$T172*12-1))),'Aset Tetap'!$AQ172/'Aset Tetap'!$AG172,0)))</f>
        <v/>
      </c>
      <c r="O172" s="22" t="str">
        <f>IF($B172="","",IF(N('Aset Tetap'!$AG172)=0,0,IF(AND((YEAR(O$6)*12+MONTH(O$6))&gt;='Aset Tetap'!$Y172,(YEAR(O$6)*12+MONTH(O$6))&lt;=MIN('Aset Tetap'!$Z172,IF('Aset Tetap'!$S172="Unit Produksi",99999,'Aset Tetap'!$Y172+'Aset Tetap'!$T172*12-1))),'Aset Tetap'!$AQ172/'Aset Tetap'!$AG172,0)))</f>
        <v/>
      </c>
      <c r="P172" s="22" t="str">
        <f>IF($B172="","",IF(N('Aset Tetap'!$AG172)=0,0,IF(AND((YEAR(P$6)*12+MONTH(P$6))&gt;='Aset Tetap'!$Y172,(YEAR(P$6)*12+MONTH(P$6))&lt;=MIN('Aset Tetap'!$Z172,IF('Aset Tetap'!$S172="Unit Produksi",99999,'Aset Tetap'!$Y172+'Aset Tetap'!$T172*12-1))),'Aset Tetap'!$AQ172/'Aset Tetap'!$AG172,0)))</f>
        <v/>
      </c>
      <c r="Q172" s="22" t="str">
        <f>IF($B172="","",SUM(E172:P172))</f>
        <v/>
      </c>
      <c r="R172" s="22" t="str">
        <f>IF($B172="","",'Aset Tetap'!AQ172)</f>
        <v/>
      </c>
      <c r="S172" s="22" t="str">
        <f>IF($B172="","",ROUND(Q172-R172,0))</f>
        <v/>
      </c>
    </row>
    <row r="173" spans="1:19" x14ac:dyDescent="0.25">
      <c r="A173" t="str">
        <f>IF('Aset Tetap'!$B173="","",'Aset Tetap'!A173)</f>
        <v/>
      </c>
      <c r="B173" t="str">
        <f>IF('Aset Tetap'!$B173="","",'Aset Tetap'!B173)</f>
        <v/>
      </c>
      <c r="C173" t="str">
        <f>IF('Aset Tetap'!$B173="","",'Aset Tetap'!C173)</f>
        <v/>
      </c>
      <c r="D173" t="str">
        <f>IF('Aset Tetap'!$B173="","",'Aset Tetap'!D173)</f>
        <v/>
      </c>
      <c r="E173" s="22" t="str">
        <f>IF($B173="","",IF(N('Aset Tetap'!$AG173)=0,0,IF(AND((YEAR(E$6)*12+MONTH(E$6))&gt;='Aset Tetap'!$Y173,(YEAR(E$6)*12+MONTH(E$6))&lt;=MIN('Aset Tetap'!$Z173,IF('Aset Tetap'!$S173="Unit Produksi",99999,'Aset Tetap'!$Y173+'Aset Tetap'!$T173*12-1))),'Aset Tetap'!$AQ173/'Aset Tetap'!$AG173,0)))</f>
        <v/>
      </c>
      <c r="F173" s="22" t="str">
        <f>IF($B173="","",IF(N('Aset Tetap'!$AG173)=0,0,IF(AND((YEAR(F$6)*12+MONTH(F$6))&gt;='Aset Tetap'!$Y173,(YEAR(F$6)*12+MONTH(F$6))&lt;=MIN('Aset Tetap'!$Z173,IF('Aset Tetap'!$S173="Unit Produksi",99999,'Aset Tetap'!$Y173+'Aset Tetap'!$T173*12-1))),'Aset Tetap'!$AQ173/'Aset Tetap'!$AG173,0)))</f>
        <v/>
      </c>
      <c r="G173" s="22" t="str">
        <f>IF($B173="","",IF(N('Aset Tetap'!$AG173)=0,0,IF(AND((YEAR(G$6)*12+MONTH(G$6))&gt;='Aset Tetap'!$Y173,(YEAR(G$6)*12+MONTH(G$6))&lt;=MIN('Aset Tetap'!$Z173,IF('Aset Tetap'!$S173="Unit Produksi",99999,'Aset Tetap'!$Y173+'Aset Tetap'!$T173*12-1))),'Aset Tetap'!$AQ173/'Aset Tetap'!$AG173,0)))</f>
        <v/>
      </c>
      <c r="H173" s="22" t="str">
        <f>IF($B173="","",IF(N('Aset Tetap'!$AG173)=0,0,IF(AND((YEAR(H$6)*12+MONTH(H$6))&gt;='Aset Tetap'!$Y173,(YEAR(H$6)*12+MONTH(H$6))&lt;=MIN('Aset Tetap'!$Z173,IF('Aset Tetap'!$S173="Unit Produksi",99999,'Aset Tetap'!$Y173+'Aset Tetap'!$T173*12-1))),'Aset Tetap'!$AQ173/'Aset Tetap'!$AG173,0)))</f>
        <v/>
      </c>
      <c r="I173" s="22" t="str">
        <f>IF($B173="","",IF(N('Aset Tetap'!$AG173)=0,0,IF(AND((YEAR(I$6)*12+MONTH(I$6))&gt;='Aset Tetap'!$Y173,(YEAR(I$6)*12+MONTH(I$6))&lt;=MIN('Aset Tetap'!$Z173,IF('Aset Tetap'!$S173="Unit Produksi",99999,'Aset Tetap'!$Y173+'Aset Tetap'!$T173*12-1))),'Aset Tetap'!$AQ173/'Aset Tetap'!$AG173,0)))</f>
        <v/>
      </c>
      <c r="J173" s="22" t="str">
        <f>IF($B173="","",IF(N('Aset Tetap'!$AG173)=0,0,IF(AND((YEAR(J$6)*12+MONTH(J$6))&gt;='Aset Tetap'!$Y173,(YEAR(J$6)*12+MONTH(J$6))&lt;=MIN('Aset Tetap'!$Z173,IF('Aset Tetap'!$S173="Unit Produksi",99999,'Aset Tetap'!$Y173+'Aset Tetap'!$T173*12-1))),'Aset Tetap'!$AQ173/'Aset Tetap'!$AG173,0)))</f>
        <v/>
      </c>
      <c r="K173" s="22" t="str">
        <f>IF($B173="","",IF(N('Aset Tetap'!$AG173)=0,0,IF(AND((YEAR(K$6)*12+MONTH(K$6))&gt;='Aset Tetap'!$Y173,(YEAR(K$6)*12+MONTH(K$6))&lt;=MIN('Aset Tetap'!$Z173,IF('Aset Tetap'!$S173="Unit Produksi",99999,'Aset Tetap'!$Y173+'Aset Tetap'!$T173*12-1))),'Aset Tetap'!$AQ173/'Aset Tetap'!$AG173,0)))</f>
        <v/>
      </c>
      <c r="L173" s="22" t="str">
        <f>IF($B173="","",IF(N('Aset Tetap'!$AG173)=0,0,IF(AND((YEAR(L$6)*12+MONTH(L$6))&gt;='Aset Tetap'!$Y173,(YEAR(L$6)*12+MONTH(L$6))&lt;=MIN('Aset Tetap'!$Z173,IF('Aset Tetap'!$S173="Unit Produksi",99999,'Aset Tetap'!$Y173+'Aset Tetap'!$T173*12-1))),'Aset Tetap'!$AQ173/'Aset Tetap'!$AG173,0)))</f>
        <v/>
      </c>
      <c r="M173" s="22" t="str">
        <f>IF($B173="","",IF(N('Aset Tetap'!$AG173)=0,0,IF(AND((YEAR(M$6)*12+MONTH(M$6))&gt;='Aset Tetap'!$Y173,(YEAR(M$6)*12+MONTH(M$6))&lt;=MIN('Aset Tetap'!$Z173,IF('Aset Tetap'!$S173="Unit Produksi",99999,'Aset Tetap'!$Y173+'Aset Tetap'!$T173*12-1))),'Aset Tetap'!$AQ173/'Aset Tetap'!$AG173,0)))</f>
        <v/>
      </c>
      <c r="N173" s="22" t="str">
        <f>IF($B173="","",IF(N('Aset Tetap'!$AG173)=0,0,IF(AND((YEAR(N$6)*12+MONTH(N$6))&gt;='Aset Tetap'!$Y173,(YEAR(N$6)*12+MONTH(N$6))&lt;=MIN('Aset Tetap'!$Z173,IF('Aset Tetap'!$S173="Unit Produksi",99999,'Aset Tetap'!$Y173+'Aset Tetap'!$T173*12-1))),'Aset Tetap'!$AQ173/'Aset Tetap'!$AG173,0)))</f>
        <v/>
      </c>
      <c r="O173" s="22" t="str">
        <f>IF($B173="","",IF(N('Aset Tetap'!$AG173)=0,0,IF(AND((YEAR(O$6)*12+MONTH(O$6))&gt;='Aset Tetap'!$Y173,(YEAR(O$6)*12+MONTH(O$6))&lt;=MIN('Aset Tetap'!$Z173,IF('Aset Tetap'!$S173="Unit Produksi",99999,'Aset Tetap'!$Y173+'Aset Tetap'!$T173*12-1))),'Aset Tetap'!$AQ173/'Aset Tetap'!$AG173,0)))</f>
        <v/>
      </c>
      <c r="P173" s="22" t="str">
        <f>IF($B173="","",IF(N('Aset Tetap'!$AG173)=0,0,IF(AND((YEAR(P$6)*12+MONTH(P$6))&gt;='Aset Tetap'!$Y173,(YEAR(P$6)*12+MONTH(P$6))&lt;=MIN('Aset Tetap'!$Z173,IF('Aset Tetap'!$S173="Unit Produksi",99999,'Aset Tetap'!$Y173+'Aset Tetap'!$T173*12-1))),'Aset Tetap'!$AQ173/'Aset Tetap'!$AG173,0)))</f>
        <v/>
      </c>
      <c r="Q173" s="22" t="str">
        <f>IF($B173="","",SUM(E173:P173))</f>
        <v/>
      </c>
      <c r="R173" s="22" t="str">
        <f>IF($B173="","",'Aset Tetap'!AQ173)</f>
        <v/>
      </c>
      <c r="S173" s="22" t="str">
        <f>IF($B173="","",ROUND(Q173-R173,0))</f>
        <v/>
      </c>
    </row>
    <row r="174" spans="1:19" x14ac:dyDescent="0.25">
      <c r="A174" t="str">
        <f>IF('Aset Tetap'!$B174="","",'Aset Tetap'!A174)</f>
        <v/>
      </c>
      <c r="B174" t="str">
        <f>IF('Aset Tetap'!$B174="","",'Aset Tetap'!B174)</f>
        <v/>
      </c>
      <c r="C174" t="str">
        <f>IF('Aset Tetap'!$B174="","",'Aset Tetap'!C174)</f>
        <v/>
      </c>
      <c r="D174" t="str">
        <f>IF('Aset Tetap'!$B174="","",'Aset Tetap'!D174)</f>
        <v/>
      </c>
      <c r="E174" s="22" t="str">
        <f>IF($B174="","",IF(N('Aset Tetap'!$AG174)=0,0,IF(AND((YEAR(E$6)*12+MONTH(E$6))&gt;='Aset Tetap'!$Y174,(YEAR(E$6)*12+MONTH(E$6))&lt;=MIN('Aset Tetap'!$Z174,IF('Aset Tetap'!$S174="Unit Produksi",99999,'Aset Tetap'!$Y174+'Aset Tetap'!$T174*12-1))),'Aset Tetap'!$AQ174/'Aset Tetap'!$AG174,0)))</f>
        <v/>
      </c>
      <c r="F174" s="22" t="str">
        <f>IF($B174="","",IF(N('Aset Tetap'!$AG174)=0,0,IF(AND((YEAR(F$6)*12+MONTH(F$6))&gt;='Aset Tetap'!$Y174,(YEAR(F$6)*12+MONTH(F$6))&lt;=MIN('Aset Tetap'!$Z174,IF('Aset Tetap'!$S174="Unit Produksi",99999,'Aset Tetap'!$Y174+'Aset Tetap'!$T174*12-1))),'Aset Tetap'!$AQ174/'Aset Tetap'!$AG174,0)))</f>
        <v/>
      </c>
      <c r="G174" s="22" t="str">
        <f>IF($B174="","",IF(N('Aset Tetap'!$AG174)=0,0,IF(AND((YEAR(G$6)*12+MONTH(G$6))&gt;='Aset Tetap'!$Y174,(YEAR(G$6)*12+MONTH(G$6))&lt;=MIN('Aset Tetap'!$Z174,IF('Aset Tetap'!$S174="Unit Produksi",99999,'Aset Tetap'!$Y174+'Aset Tetap'!$T174*12-1))),'Aset Tetap'!$AQ174/'Aset Tetap'!$AG174,0)))</f>
        <v/>
      </c>
      <c r="H174" s="22" t="str">
        <f>IF($B174="","",IF(N('Aset Tetap'!$AG174)=0,0,IF(AND((YEAR(H$6)*12+MONTH(H$6))&gt;='Aset Tetap'!$Y174,(YEAR(H$6)*12+MONTH(H$6))&lt;=MIN('Aset Tetap'!$Z174,IF('Aset Tetap'!$S174="Unit Produksi",99999,'Aset Tetap'!$Y174+'Aset Tetap'!$T174*12-1))),'Aset Tetap'!$AQ174/'Aset Tetap'!$AG174,0)))</f>
        <v/>
      </c>
      <c r="I174" s="22" t="str">
        <f>IF($B174="","",IF(N('Aset Tetap'!$AG174)=0,0,IF(AND((YEAR(I$6)*12+MONTH(I$6))&gt;='Aset Tetap'!$Y174,(YEAR(I$6)*12+MONTH(I$6))&lt;=MIN('Aset Tetap'!$Z174,IF('Aset Tetap'!$S174="Unit Produksi",99999,'Aset Tetap'!$Y174+'Aset Tetap'!$T174*12-1))),'Aset Tetap'!$AQ174/'Aset Tetap'!$AG174,0)))</f>
        <v/>
      </c>
      <c r="J174" s="22" t="str">
        <f>IF($B174="","",IF(N('Aset Tetap'!$AG174)=0,0,IF(AND((YEAR(J$6)*12+MONTH(J$6))&gt;='Aset Tetap'!$Y174,(YEAR(J$6)*12+MONTH(J$6))&lt;=MIN('Aset Tetap'!$Z174,IF('Aset Tetap'!$S174="Unit Produksi",99999,'Aset Tetap'!$Y174+'Aset Tetap'!$T174*12-1))),'Aset Tetap'!$AQ174/'Aset Tetap'!$AG174,0)))</f>
        <v/>
      </c>
      <c r="K174" s="22" t="str">
        <f>IF($B174="","",IF(N('Aset Tetap'!$AG174)=0,0,IF(AND((YEAR(K$6)*12+MONTH(K$6))&gt;='Aset Tetap'!$Y174,(YEAR(K$6)*12+MONTH(K$6))&lt;=MIN('Aset Tetap'!$Z174,IF('Aset Tetap'!$S174="Unit Produksi",99999,'Aset Tetap'!$Y174+'Aset Tetap'!$T174*12-1))),'Aset Tetap'!$AQ174/'Aset Tetap'!$AG174,0)))</f>
        <v/>
      </c>
      <c r="L174" s="22" t="str">
        <f>IF($B174="","",IF(N('Aset Tetap'!$AG174)=0,0,IF(AND((YEAR(L$6)*12+MONTH(L$6))&gt;='Aset Tetap'!$Y174,(YEAR(L$6)*12+MONTH(L$6))&lt;=MIN('Aset Tetap'!$Z174,IF('Aset Tetap'!$S174="Unit Produksi",99999,'Aset Tetap'!$Y174+'Aset Tetap'!$T174*12-1))),'Aset Tetap'!$AQ174/'Aset Tetap'!$AG174,0)))</f>
        <v/>
      </c>
      <c r="M174" s="22" t="str">
        <f>IF($B174="","",IF(N('Aset Tetap'!$AG174)=0,0,IF(AND((YEAR(M$6)*12+MONTH(M$6))&gt;='Aset Tetap'!$Y174,(YEAR(M$6)*12+MONTH(M$6))&lt;=MIN('Aset Tetap'!$Z174,IF('Aset Tetap'!$S174="Unit Produksi",99999,'Aset Tetap'!$Y174+'Aset Tetap'!$T174*12-1))),'Aset Tetap'!$AQ174/'Aset Tetap'!$AG174,0)))</f>
        <v/>
      </c>
      <c r="N174" s="22" t="str">
        <f>IF($B174="","",IF(N('Aset Tetap'!$AG174)=0,0,IF(AND((YEAR(N$6)*12+MONTH(N$6))&gt;='Aset Tetap'!$Y174,(YEAR(N$6)*12+MONTH(N$6))&lt;=MIN('Aset Tetap'!$Z174,IF('Aset Tetap'!$S174="Unit Produksi",99999,'Aset Tetap'!$Y174+'Aset Tetap'!$T174*12-1))),'Aset Tetap'!$AQ174/'Aset Tetap'!$AG174,0)))</f>
        <v/>
      </c>
      <c r="O174" s="22" t="str">
        <f>IF($B174="","",IF(N('Aset Tetap'!$AG174)=0,0,IF(AND((YEAR(O$6)*12+MONTH(O$6))&gt;='Aset Tetap'!$Y174,(YEAR(O$6)*12+MONTH(O$6))&lt;=MIN('Aset Tetap'!$Z174,IF('Aset Tetap'!$S174="Unit Produksi",99999,'Aset Tetap'!$Y174+'Aset Tetap'!$T174*12-1))),'Aset Tetap'!$AQ174/'Aset Tetap'!$AG174,0)))</f>
        <v/>
      </c>
      <c r="P174" s="22" t="str">
        <f>IF($B174="","",IF(N('Aset Tetap'!$AG174)=0,0,IF(AND((YEAR(P$6)*12+MONTH(P$6))&gt;='Aset Tetap'!$Y174,(YEAR(P$6)*12+MONTH(P$6))&lt;=MIN('Aset Tetap'!$Z174,IF('Aset Tetap'!$S174="Unit Produksi",99999,'Aset Tetap'!$Y174+'Aset Tetap'!$T174*12-1))),'Aset Tetap'!$AQ174/'Aset Tetap'!$AG174,0)))</f>
        <v/>
      </c>
      <c r="Q174" s="22" t="str">
        <f>IF($B174="","",SUM(E174:P174))</f>
        <v/>
      </c>
      <c r="R174" s="22" t="str">
        <f>IF($B174="","",'Aset Tetap'!AQ174)</f>
        <v/>
      </c>
      <c r="S174" s="22" t="str">
        <f>IF($B174="","",ROUND(Q174-R174,0))</f>
        <v/>
      </c>
    </row>
    <row r="175" spans="1:19" x14ac:dyDescent="0.25">
      <c r="A175" t="str">
        <f>IF('Aset Tetap'!$B175="","",'Aset Tetap'!A175)</f>
        <v/>
      </c>
      <c r="B175" t="str">
        <f>IF('Aset Tetap'!$B175="","",'Aset Tetap'!B175)</f>
        <v/>
      </c>
      <c r="C175" t="str">
        <f>IF('Aset Tetap'!$B175="","",'Aset Tetap'!C175)</f>
        <v/>
      </c>
      <c r="D175" t="str">
        <f>IF('Aset Tetap'!$B175="","",'Aset Tetap'!D175)</f>
        <v/>
      </c>
      <c r="E175" s="22" t="str">
        <f>IF($B175="","",IF(N('Aset Tetap'!$AG175)=0,0,IF(AND((YEAR(E$6)*12+MONTH(E$6))&gt;='Aset Tetap'!$Y175,(YEAR(E$6)*12+MONTH(E$6))&lt;=MIN('Aset Tetap'!$Z175,IF('Aset Tetap'!$S175="Unit Produksi",99999,'Aset Tetap'!$Y175+'Aset Tetap'!$T175*12-1))),'Aset Tetap'!$AQ175/'Aset Tetap'!$AG175,0)))</f>
        <v/>
      </c>
      <c r="F175" s="22" t="str">
        <f>IF($B175="","",IF(N('Aset Tetap'!$AG175)=0,0,IF(AND((YEAR(F$6)*12+MONTH(F$6))&gt;='Aset Tetap'!$Y175,(YEAR(F$6)*12+MONTH(F$6))&lt;=MIN('Aset Tetap'!$Z175,IF('Aset Tetap'!$S175="Unit Produksi",99999,'Aset Tetap'!$Y175+'Aset Tetap'!$T175*12-1))),'Aset Tetap'!$AQ175/'Aset Tetap'!$AG175,0)))</f>
        <v/>
      </c>
      <c r="G175" s="22" t="str">
        <f>IF($B175="","",IF(N('Aset Tetap'!$AG175)=0,0,IF(AND((YEAR(G$6)*12+MONTH(G$6))&gt;='Aset Tetap'!$Y175,(YEAR(G$6)*12+MONTH(G$6))&lt;=MIN('Aset Tetap'!$Z175,IF('Aset Tetap'!$S175="Unit Produksi",99999,'Aset Tetap'!$Y175+'Aset Tetap'!$T175*12-1))),'Aset Tetap'!$AQ175/'Aset Tetap'!$AG175,0)))</f>
        <v/>
      </c>
      <c r="H175" s="22" t="str">
        <f>IF($B175="","",IF(N('Aset Tetap'!$AG175)=0,0,IF(AND((YEAR(H$6)*12+MONTH(H$6))&gt;='Aset Tetap'!$Y175,(YEAR(H$6)*12+MONTH(H$6))&lt;=MIN('Aset Tetap'!$Z175,IF('Aset Tetap'!$S175="Unit Produksi",99999,'Aset Tetap'!$Y175+'Aset Tetap'!$T175*12-1))),'Aset Tetap'!$AQ175/'Aset Tetap'!$AG175,0)))</f>
        <v/>
      </c>
      <c r="I175" s="22" t="str">
        <f>IF($B175="","",IF(N('Aset Tetap'!$AG175)=0,0,IF(AND((YEAR(I$6)*12+MONTH(I$6))&gt;='Aset Tetap'!$Y175,(YEAR(I$6)*12+MONTH(I$6))&lt;=MIN('Aset Tetap'!$Z175,IF('Aset Tetap'!$S175="Unit Produksi",99999,'Aset Tetap'!$Y175+'Aset Tetap'!$T175*12-1))),'Aset Tetap'!$AQ175/'Aset Tetap'!$AG175,0)))</f>
        <v/>
      </c>
      <c r="J175" s="22" t="str">
        <f>IF($B175="","",IF(N('Aset Tetap'!$AG175)=0,0,IF(AND((YEAR(J$6)*12+MONTH(J$6))&gt;='Aset Tetap'!$Y175,(YEAR(J$6)*12+MONTH(J$6))&lt;=MIN('Aset Tetap'!$Z175,IF('Aset Tetap'!$S175="Unit Produksi",99999,'Aset Tetap'!$Y175+'Aset Tetap'!$T175*12-1))),'Aset Tetap'!$AQ175/'Aset Tetap'!$AG175,0)))</f>
        <v/>
      </c>
      <c r="K175" s="22" t="str">
        <f>IF($B175="","",IF(N('Aset Tetap'!$AG175)=0,0,IF(AND((YEAR(K$6)*12+MONTH(K$6))&gt;='Aset Tetap'!$Y175,(YEAR(K$6)*12+MONTH(K$6))&lt;=MIN('Aset Tetap'!$Z175,IF('Aset Tetap'!$S175="Unit Produksi",99999,'Aset Tetap'!$Y175+'Aset Tetap'!$T175*12-1))),'Aset Tetap'!$AQ175/'Aset Tetap'!$AG175,0)))</f>
        <v/>
      </c>
      <c r="L175" s="22" t="str">
        <f>IF($B175="","",IF(N('Aset Tetap'!$AG175)=0,0,IF(AND((YEAR(L$6)*12+MONTH(L$6))&gt;='Aset Tetap'!$Y175,(YEAR(L$6)*12+MONTH(L$6))&lt;=MIN('Aset Tetap'!$Z175,IF('Aset Tetap'!$S175="Unit Produksi",99999,'Aset Tetap'!$Y175+'Aset Tetap'!$T175*12-1))),'Aset Tetap'!$AQ175/'Aset Tetap'!$AG175,0)))</f>
        <v/>
      </c>
      <c r="M175" s="22" t="str">
        <f>IF($B175="","",IF(N('Aset Tetap'!$AG175)=0,0,IF(AND((YEAR(M$6)*12+MONTH(M$6))&gt;='Aset Tetap'!$Y175,(YEAR(M$6)*12+MONTH(M$6))&lt;=MIN('Aset Tetap'!$Z175,IF('Aset Tetap'!$S175="Unit Produksi",99999,'Aset Tetap'!$Y175+'Aset Tetap'!$T175*12-1))),'Aset Tetap'!$AQ175/'Aset Tetap'!$AG175,0)))</f>
        <v/>
      </c>
      <c r="N175" s="22" t="str">
        <f>IF($B175="","",IF(N('Aset Tetap'!$AG175)=0,0,IF(AND((YEAR(N$6)*12+MONTH(N$6))&gt;='Aset Tetap'!$Y175,(YEAR(N$6)*12+MONTH(N$6))&lt;=MIN('Aset Tetap'!$Z175,IF('Aset Tetap'!$S175="Unit Produksi",99999,'Aset Tetap'!$Y175+'Aset Tetap'!$T175*12-1))),'Aset Tetap'!$AQ175/'Aset Tetap'!$AG175,0)))</f>
        <v/>
      </c>
      <c r="O175" s="22" t="str">
        <f>IF($B175="","",IF(N('Aset Tetap'!$AG175)=0,0,IF(AND((YEAR(O$6)*12+MONTH(O$6))&gt;='Aset Tetap'!$Y175,(YEAR(O$6)*12+MONTH(O$6))&lt;=MIN('Aset Tetap'!$Z175,IF('Aset Tetap'!$S175="Unit Produksi",99999,'Aset Tetap'!$Y175+'Aset Tetap'!$T175*12-1))),'Aset Tetap'!$AQ175/'Aset Tetap'!$AG175,0)))</f>
        <v/>
      </c>
      <c r="P175" s="22" t="str">
        <f>IF($B175="","",IF(N('Aset Tetap'!$AG175)=0,0,IF(AND((YEAR(P$6)*12+MONTH(P$6))&gt;='Aset Tetap'!$Y175,(YEAR(P$6)*12+MONTH(P$6))&lt;=MIN('Aset Tetap'!$Z175,IF('Aset Tetap'!$S175="Unit Produksi",99999,'Aset Tetap'!$Y175+'Aset Tetap'!$T175*12-1))),'Aset Tetap'!$AQ175/'Aset Tetap'!$AG175,0)))</f>
        <v/>
      </c>
      <c r="Q175" s="22" t="str">
        <f>IF($B175="","",SUM(E175:P175))</f>
        <v/>
      </c>
      <c r="R175" s="22" t="str">
        <f>IF($B175="","",'Aset Tetap'!AQ175)</f>
        <v/>
      </c>
      <c r="S175" s="22" t="str">
        <f>IF($B175="","",ROUND(Q175-R175,0))</f>
        <v/>
      </c>
    </row>
    <row r="176" spans="1:19" x14ac:dyDescent="0.25">
      <c r="A176" t="str">
        <f>IF('Aset Tetap'!$B176="","",'Aset Tetap'!A176)</f>
        <v/>
      </c>
      <c r="B176" t="str">
        <f>IF('Aset Tetap'!$B176="","",'Aset Tetap'!B176)</f>
        <v/>
      </c>
      <c r="C176" t="str">
        <f>IF('Aset Tetap'!$B176="","",'Aset Tetap'!C176)</f>
        <v/>
      </c>
      <c r="D176" t="str">
        <f>IF('Aset Tetap'!$B176="","",'Aset Tetap'!D176)</f>
        <v/>
      </c>
      <c r="E176" s="22" t="str">
        <f>IF($B176="","",IF(N('Aset Tetap'!$AG176)=0,0,IF(AND((YEAR(E$6)*12+MONTH(E$6))&gt;='Aset Tetap'!$Y176,(YEAR(E$6)*12+MONTH(E$6))&lt;=MIN('Aset Tetap'!$Z176,IF('Aset Tetap'!$S176="Unit Produksi",99999,'Aset Tetap'!$Y176+'Aset Tetap'!$T176*12-1))),'Aset Tetap'!$AQ176/'Aset Tetap'!$AG176,0)))</f>
        <v/>
      </c>
      <c r="F176" s="22" t="str">
        <f>IF($B176="","",IF(N('Aset Tetap'!$AG176)=0,0,IF(AND((YEAR(F$6)*12+MONTH(F$6))&gt;='Aset Tetap'!$Y176,(YEAR(F$6)*12+MONTH(F$6))&lt;=MIN('Aset Tetap'!$Z176,IF('Aset Tetap'!$S176="Unit Produksi",99999,'Aset Tetap'!$Y176+'Aset Tetap'!$T176*12-1))),'Aset Tetap'!$AQ176/'Aset Tetap'!$AG176,0)))</f>
        <v/>
      </c>
      <c r="G176" s="22" t="str">
        <f>IF($B176="","",IF(N('Aset Tetap'!$AG176)=0,0,IF(AND((YEAR(G$6)*12+MONTH(G$6))&gt;='Aset Tetap'!$Y176,(YEAR(G$6)*12+MONTH(G$6))&lt;=MIN('Aset Tetap'!$Z176,IF('Aset Tetap'!$S176="Unit Produksi",99999,'Aset Tetap'!$Y176+'Aset Tetap'!$T176*12-1))),'Aset Tetap'!$AQ176/'Aset Tetap'!$AG176,0)))</f>
        <v/>
      </c>
      <c r="H176" s="22" t="str">
        <f>IF($B176="","",IF(N('Aset Tetap'!$AG176)=0,0,IF(AND((YEAR(H$6)*12+MONTH(H$6))&gt;='Aset Tetap'!$Y176,(YEAR(H$6)*12+MONTH(H$6))&lt;=MIN('Aset Tetap'!$Z176,IF('Aset Tetap'!$S176="Unit Produksi",99999,'Aset Tetap'!$Y176+'Aset Tetap'!$T176*12-1))),'Aset Tetap'!$AQ176/'Aset Tetap'!$AG176,0)))</f>
        <v/>
      </c>
      <c r="I176" s="22" t="str">
        <f>IF($B176="","",IF(N('Aset Tetap'!$AG176)=0,0,IF(AND((YEAR(I$6)*12+MONTH(I$6))&gt;='Aset Tetap'!$Y176,(YEAR(I$6)*12+MONTH(I$6))&lt;=MIN('Aset Tetap'!$Z176,IF('Aset Tetap'!$S176="Unit Produksi",99999,'Aset Tetap'!$Y176+'Aset Tetap'!$T176*12-1))),'Aset Tetap'!$AQ176/'Aset Tetap'!$AG176,0)))</f>
        <v/>
      </c>
      <c r="J176" s="22" t="str">
        <f>IF($B176="","",IF(N('Aset Tetap'!$AG176)=0,0,IF(AND((YEAR(J$6)*12+MONTH(J$6))&gt;='Aset Tetap'!$Y176,(YEAR(J$6)*12+MONTH(J$6))&lt;=MIN('Aset Tetap'!$Z176,IF('Aset Tetap'!$S176="Unit Produksi",99999,'Aset Tetap'!$Y176+'Aset Tetap'!$T176*12-1))),'Aset Tetap'!$AQ176/'Aset Tetap'!$AG176,0)))</f>
        <v/>
      </c>
      <c r="K176" s="22" t="str">
        <f>IF($B176="","",IF(N('Aset Tetap'!$AG176)=0,0,IF(AND((YEAR(K$6)*12+MONTH(K$6))&gt;='Aset Tetap'!$Y176,(YEAR(K$6)*12+MONTH(K$6))&lt;=MIN('Aset Tetap'!$Z176,IF('Aset Tetap'!$S176="Unit Produksi",99999,'Aset Tetap'!$Y176+'Aset Tetap'!$T176*12-1))),'Aset Tetap'!$AQ176/'Aset Tetap'!$AG176,0)))</f>
        <v/>
      </c>
      <c r="L176" s="22" t="str">
        <f>IF($B176="","",IF(N('Aset Tetap'!$AG176)=0,0,IF(AND((YEAR(L$6)*12+MONTH(L$6))&gt;='Aset Tetap'!$Y176,(YEAR(L$6)*12+MONTH(L$6))&lt;=MIN('Aset Tetap'!$Z176,IF('Aset Tetap'!$S176="Unit Produksi",99999,'Aset Tetap'!$Y176+'Aset Tetap'!$T176*12-1))),'Aset Tetap'!$AQ176/'Aset Tetap'!$AG176,0)))</f>
        <v/>
      </c>
      <c r="M176" s="22" t="str">
        <f>IF($B176="","",IF(N('Aset Tetap'!$AG176)=0,0,IF(AND((YEAR(M$6)*12+MONTH(M$6))&gt;='Aset Tetap'!$Y176,(YEAR(M$6)*12+MONTH(M$6))&lt;=MIN('Aset Tetap'!$Z176,IF('Aset Tetap'!$S176="Unit Produksi",99999,'Aset Tetap'!$Y176+'Aset Tetap'!$T176*12-1))),'Aset Tetap'!$AQ176/'Aset Tetap'!$AG176,0)))</f>
        <v/>
      </c>
      <c r="N176" s="22" t="str">
        <f>IF($B176="","",IF(N('Aset Tetap'!$AG176)=0,0,IF(AND((YEAR(N$6)*12+MONTH(N$6))&gt;='Aset Tetap'!$Y176,(YEAR(N$6)*12+MONTH(N$6))&lt;=MIN('Aset Tetap'!$Z176,IF('Aset Tetap'!$S176="Unit Produksi",99999,'Aset Tetap'!$Y176+'Aset Tetap'!$T176*12-1))),'Aset Tetap'!$AQ176/'Aset Tetap'!$AG176,0)))</f>
        <v/>
      </c>
      <c r="O176" s="22" t="str">
        <f>IF($B176="","",IF(N('Aset Tetap'!$AG176)=0,0,IF(AND((YEAR(O$6)*12+MONTH(O$6))&gt;='Aset Tetap'!$Y176,(YEAR(O$6)*12+MONTH(O$6))&lt;=MIN('Aset Tetap'!$Z176,IF('Aset Tetap'!$S176="Unit Produksi",99999,'Aset Tetap'!$Y176+'Aset Tetap'!$T176*12-1))),'Aset Tetap'!$AQ176/'Aset Tetap'!$AG176,0)))</f>
        <v/>
      </c>
      <c r="P176" s="22" t="str">
        <f>IF($B176="","",IF(N('Aset Tetap'!$AG176)=0,0,IF(AND((YEAR(P$6)*12+MONTH(P$6))&gt;='Aset Tetap'!$Y176,(YEAR(P$6)*12+MONTH(P$6))&lt;=MIN('Aset Tetap'!$Z176,IF('Aset Tetap'!$S176="Unit Produksi",99999,'Aset Tetap'!$Y176+'Aset Tetap'!$T176*12-1))),'Aset Tetap'!$AQ176/'Aset Tetap'!$AG176,0)))</f>
        <v/>
      </c>
      <c r="Q176" s="22" t="str">
        <f>IF($B176="","",SUM(E176:P176))</f>
        <v/>
      </c>
      <c r="R176" s="22" t="str">
        <f>IF($B176="","",'Aset Tetap'!AQ176)</f>
        <v/>
      </c>
      <c r="S176" s="22" t="str">
        <f>IF($B176="","",ROUND(Q176-R176,0))</f>
        <v/>
      </c>
    </row>
    <row r="177" spans="1:19" x14ac:dyDescent="0.25">
      <c r="A177" t="str">
        <f>IF('Aset Tetap'!$B177="","",'Aset Tetap'!A177)</f>
        <v/>
      </c>
      <c r="B177" t="str">
        <f>IF('Aset Tetap'!$B177="","",'Aset Tetap'!B177)</f>
        <v/>
      </c>
      <c r="C177" t="str">
        <f>IF('Aset Tetap'!$B177="","",'Aset Tetap'!C177)</f>
        <v/>
      </c>
      <c r="D177" t="str">
        <f>IF('Aset Tetap'!$B177="","",'Aset Tetap'!D177)</f>
        <v/>
      </c>
      <c r="E177" s="22" t="str">
        <f>IF($B177="","",IF(N('Aset Tetap'!$AG177)=0,0,IF(AND((YEAR(E$6)*12+MONTH(E$6))&gt;='Aset Tetap'!$Y177,(YEAR(E$6)*12+MONTH(E$6))&lt;=MIN('Aset Tetap'!$Z177,IF('Aset Tetap'!$S177="Unit Produksi",99999,'Aset Tetap'!$Y177+'Aset Tetap'!$T177*12-1))),'Aset Tetap'!$AQ177/'Aset Tetap'!$AG177,0)))</f>
        <v/>
      </c>
      <c r="F177" s="22" t="str">
        <f>IF($B177="","",IF(N('Aset Tetap'!$AG177)=0,0,IF(AND((YEAR(F$6)*12+MONTH(F$6))&gt;='Aset Tetap'!$Y177,(YEAR(F$6)*12+MONTH(F$6))&lt;=MIN('Aset Tetap'!$Z177,IF('Aset Tetap'!$S177="Unit Produksi",99999,'Aset Tetap'!$Y177+'Aset Tetap'!$T177*12-1))),'Aset Tetap'!$AQ177/'Aset Tetap'!$AG177,0)))</f>
        <v/>
      </c>
      <c r="G177" s="22" t="str">
        <f>IF($B177="","",IF(N('Aset Tetap'!$AG177)=0,0,IF(AND((YEAR(G$6)*12+MONTH(G$6))&gt;='Aset Tetap'!$Y177,(YEAR(G$6)*12+MONTH(G$6))&lt;=MIN('Aset Tetap'!$Z177,IF('Aset Tetap'!$S177="Unit Produksi",99999,'Aset Tetap'!$Y177+'Aset Tetap'!$T177*12-1))),'Aset Tetap'!$AQ177/'Aset Tetap'!$AG177,0)))</f>
        <v/>
      </c>
      <c r="H177" s="22" t="str">
        <f>IF($B177="","",IF(N('Aset Tetap'!$AG177)=0,0,IF(AND((YEAR(H$6)*12+MONTH(H$6))&gt;='Aset Tetap'!$Y177,(YEAR(H$6)*12+MONTH(H$6))&lt;=MIN('Aset Tetap'!$Z177,IF('Aset Tetap'!$S177="Unit Produksi",99999,'Aset Tetap'!$Y177+'Aset Tetap'!$T177*12-1))),'Aset Tetap'!$AQ177/'Aset Tetap'!$AG177,0)))</f>
        <v/>
      </c>
      <c r="I177" s="22" t="str">
        <f>IF($B177="","",IF(N('Aset Tetap'!$AG177)=0,0,IF(AND((YEAR(I$6)*12+MONTH(I$6))&gt;='Aset Tetap'!$Y177,(YEAR(I$6)*12+MONTH(I$6))&lt;=MIN('Aset Tetap'!$Z177,IF('Aset Tetap'!$S177="Unit Produksi",99999,'Aset Tetap'!$Y177+'Aset Tetap'!$T177*12-1))),'Aset Tetap'!$AQ177/'Aset Tetap'!$AG177,0)))</f>
        <v/>
      </c>
      <c r="J177" s="22" t="str">
        <f>IF($B177="","",IF(N('Aset Tetap'!$AG177)=0,0,IF(AND((YEAR(J$6)*12+MONTH(J$6))&gt;='Aset Tetap'!$Y177,(YEAR(J$6)*12+MONTH(J$6))&lt;=MIN('Aset Tetap'!$Z177,IF('Aset Tetap'!$S177="Unit Produksi",99999,'Aset Tetap'!$Y177+'Aset Tetap'!$T177*12-1))),'Aset Tetap'!$AQ177/'Aset Tetap'!$AG177,0)))</f>
        <v/>
      </c>
      <c r="K177" s="22" t="str">
        <f>IF($B177="","",IF(N('Aset Tetap'!$AG177)=0,0,IF(AND((YEAR(K$6)*12+MONTH(K$6))&gt;='Aset Tetap'!$Y177,(YEAR(K$6)*12+MONTH(K$6))&lt;=MIN('Aset Tetap'!$Z177,IF('Aset Tetap'!$S177="Unit Produksi",99999,'Aset Tetap'!$Y177+'Aset Tetap'!$T177*12-1))),'Aset Tetap'!$AQ177/'Aset Tetap'!$AG177,0)))</f>
        <v/>
      </c>
      <c r="L177" s="22" t="str">
        <f>IF($B177="","",IF(N('Aset Tetap'!$AG177)=0,0,IF(AND((YEAR(L$6)*12+MONTH(L$6))&gt;='Aset Tetap'!$Y177,(YEAR(L$6)*12+MONTH(L$6))&lt;=MIN('Aset Tetap'!$Z177,IF('Aset Tetap'!$S177="Unit Produksi",99999,'Aset Tetap'!$Y177+'Aset Tetap'!$T177*12-1))),'Aset Tetap'!$AQ177/'Aset Tetap'!$AG177,0)))</f>
        <v/>
      </c>
      <c r="M177" s="22" t="str">
        <f>IF($B177="","",IF(N('Aset Tetap'!$AG177)=0,0,IF(AND((YEAR(M$6)*12+MONTH(M$6))&gt;='Aset Tetap'!$Y177,(YEAR(M$6)*12+MONTH(M$6))&lt;=MIN('Aset Tetap'!$Z177,IF('Aset Tetap'!$S177="Unit Produksi",99999,'Aset Tetap'!$Y177+'Aset Tetap'!$T177*12-1))),'Aset Tetap'!$AQ177/'Aset Tetap'!$AG177,0)))</f>
        <v/>
      </c>
      <c r="N177" s="22" t="str">
        <f>IF($B177="","",IF(N('Aset Tetap'!$AG177)=0,0,IF(AND((YEAR(N$6)*12+MONTH(N$6))&gt;='Aset Tetap'!$Y177,(YEAR(N$6)*12+MONTH(N$6))&lt;=MIN('Aset Tetap'!$Z177,IF('Aset Tetap'!$S177="Unit Produksi",99999,'Aset Tetap'!$Y177+'Aset Tetap'!$T177*12-1))),'Aset Tetap'!$AQ177/'Aset Tetap'!$AG177,0)))</f>
        <v/>
      </c>
      <c r="O177" s="22" t="str">
        <f>IF($B177="","",IF(N('Aset Tetap'!$AG177)=0,0,IF(AND((YEAR(O$6)*12+MONTH(O$6))&gt;='Aset Tetap'!$Y177,(YEAR(O$6)*12+MONTH(O$6))&lt;=MIN('Aset Tetap'!$Z177,IF('Aset Tetap'!$S177="Unit Produksi",99999,'Aset Tetap'!$Y177+'Aset Tetap'!$T177*12-1))),'Aset Tetap'!$AQ177/'Aset Tetap'!$AG177,0)))</f>
        <v/>
      </c>
      <c r="P177" s="22" t="str">
        <f>IF($B177="","",IF(N('Aset Tetap'!$AG177)=0,0,IF(AND((YEAR(P$6)*12+MONTH(P$6))&gt;='Aset Tetap'!$Y177,(YEAR(P$6)*12+MONTH(P$6))&lt;=MIN('Aset Tetap'!$Z177,IF('Aset Tetap'!$S177="Unit Produksi",99999,'Aset Tetap'!$Y177+'Aset Tetap'!$T177*12-1))),'Aset Tetap'!$AQ177/'Aset Tetap'!$AG177,0)))</f>
        <v/>
      </c>
      <c r="Q177" s="22" t="str">
        <f>IF($B177="","",SUM(E177:P177))</f>
        <v/>
      </c>
      <c r="R177" s="22" t="str">
        <f>IF($B177="","",'Aset Tetap'!AQ177)</f>
        <v/>
      </c>
      <c r="S177" s="22" t="str">
        <f>IF($B177="","",ROUND(Q177-R177,0))</f>
        <v/>
      </c>
    </row>
    <row r="178" spans="1:19" x14ac:dyDescent="0.25">
      <c r="A178" t="str">
        <f>IF('Aset Tetap'!$B178="","",'Aset Tetap'!A178)</f>
        <v/>
      </c>
      <c r="B178" t="str">
        <f>IF('Aset Tetap'!$B178="","",'Aset Tetap'!B178)</f>
        <v/>
      </c>
      <c r="C178" t="str">
        <f>IF('Aset Tetap'!$B178="","",'Aset Tetap'!C178)</f>
        <v/>
      </c>
      <c r="D178" t="str">
        <f>IF('Aset Tetap'!$B178="","",'Aset Tetap'!D178)</f>
        <v/>
      </c>
      <c r="E178" s="22" t="str">
        <f>IF($B178="","",IF(N('Aset Tetap'!$AG178)=0,0,IF(AND((YEAR(E$6)*12+MONTH(E$6))&gt;='Aset Tetap'!$Y178,(YEAR(E$6)*12+MONTH(E$6))&lt;=MIN('Aset Tetap'!$Z178,IF('Aset Tetap'!$S178="Unit Produksi",99999,'Aset Tetap'!$Y178+'Aset Tetap'!$T178*12-1))),'Aset Tetap'!$AQ178/'Aset Tetap'!$AG178,0)))</f>
        <v/>
      </c>
      <c r="F178" s="22" t="str">
        <f>IF($B178="","",IF(N('Aset Tetap'!$AG178)=0,0,IF(AND((YEAR(F$6)*12+MONTH(F$6))&gt;='Aset Tetap'!$Y178,(YEAR(F$6)*12+MONTH(F$6))&lt;=MIN('Aset Tetap'!$Z178,IF('Aset Tetap'!$S178="Unit Produksi",99999,'Aset Tetap'!$Y178+'Aset Tetap'!$T178*12-1))),'Aset Tetap'!$AQ178/'Aset Tetap'!$AG178,0)))</f>
        <v/>
      </c>
      <c r="G178" s="22" t="str">
        <f>IF($B178="","",IF(N('Aset Tetap'!$AG178)=0,0,IF(AND((YEAR(G$6)*12+MONTH(G$6))&gt;='Aset Tetap'!$Y178,(YEAR(G$6)*12+MONTH(G$6))&lt;=MIN('Aset Tetap'!$Z178,IF('Aset Tetap'!$S178="Unit Produksi",99999,'Aset Tetap'!$Y178+'Aset Tetap'!$T178*12-1))),'Aset Tetap'!$AQ178/'Aset Tetap'!$AG178,0)))</f>
        <v/>
      </c>
      <c r="H178" s="22" t="str">
        <f>IF($B178="","",IF(N('Aset Tetap'!$AG178)=0,0,IF(AND((YEAR(H$6)*12+MONTH(H$6))&gt;='Aset Tetap'!$Y178,(YEAR(H$6)*12+MONTH(H$6))&lt;=MIN('Aset Tetap'!$Z178,IF('Aset Tetap'!$S178="Unit Produksi",99999,'Aset Tetap'!$Y178+'Aset Tetap'!$T178*12-1))),'Aset Tetap'!$AQ178/'Aset Tetap'!$AG178,0)))</f>
        <v/>
      </c>
      <c r="I178" s="22" t="str">
        <f>IF($B178="","",IF(N('Aset Tetap'!$AG178)=0,0,IF(AND((YEAR(I$6)*12+MONTH(I$6))&gt;='Aset Tetap'!$Y178,(YEAR(I$6)*12+MONTH(I$6))&lt;=MIN('Aset Tetap'!$Z178,IF('Aset Tetap'!$S178="Unit Produksi",99999,'Aset Tetap'!$Y178+'Aset Tetap'!$T178*12-1))),'Aset Tetap'!$AQ178/'Aset Tetap'!$AG178,0)))</f>
        <v/>
      </c>
      <c r="J178" s="22" t="str">
        <f>IF($B178="","",IF(N('Aset Tetap'!$AG178)=0,0,IF(AND((YEAR(J$6)*12+MONTH(J$6))&gt;='Aset Tetap'!$Y178,(YEAR(J$6)*12+MONTH(J$6))&lt;=MIN('Aset Tetap'!$Z178,IF('Aset Tetap'!$S178="Unit Produksi",99999,'Aset Tetap'!$Y178+'Aset Tetap'!$T178*12-1))),'Aset Tetap'!$AQ178/'Aset Tetap'!$AG178,0)))</f>
        <v/>
      </c>
      <c r="K178" s="22" t="str">
        <f>IF($B178="","",IF(N('Aset Tetap'!$AG178)=0,0,IF(AND((YEAR(K$6)*12+MONTH(K$6))&gt;='Aset Tetap'!$Y178,(YEAR(K$6)*12+MONTH(K$6))&lt;=MIN('Aset Tetap'!$Z178,IF('Aset Tetap'!$S178="Unit Produksi",99999,'Aset Tetap'!$Y178+'Aset Tetap'!$T178*12-1))),'Aset Tetap'!$AQ178/'Aset Tetap'!$AG178,0)))</f>
        <v/>
      </c>
      <c r="L178" s="22" t="str">
        <f>IF($B178="","",IF(N('Aset Tetap'!$AG178)=0,0,IF(AND((YEAR(L$6)*12+MONTH(L$6))&gt;='Aset Tetap'!$Y178,(YEAR(L$6)*12+MONTH(L$6))&lt;=MIN('Aset Tetap'!$Z178,IF('Aset Tetap'!$S178="Unit Produksi",99999,'Aset Tetap'!$Y178+'Aset Tetap'!$T178*12-1))),'Aset Tetap'!$AQ178/'Aset Tetap'!$AG178,0)))</f>
        <v/>
      </c>
      <c r="M178" s="22" t="str">
        <f>IF($B178="","",IF(N('Aset Tetap'!$AG178)=0,0,IF(AND((YEAR(M$6)*12+MONTH(M$6))&gt;='Aset Tetap'!$Y178,(YEAR(M$6)*12+MONTH(M$6))&lt;=MIN('Aset Tetap'!$Z178,IF('Aset Tetap'!$S178="Unit Produksi",99999,'Aset Tetap'!$Y178+'Aset Tetap'!$T178*12-1))),'Aset Tetap'!$AQ178/'Aset Tetap'!$AG178,0)))</f>
        <v/>
      </c>
      <c r="N178" s="22" t="str">
        <f>IF($B178="","",IF(N('Aset Tetap'!$AG178)=0,0,IF(AND((YEAR(N$6)*12+MONTH(N$6))&gt;='Aset Tetap'!$Y178,(YEAR(N$6)*12+MONTH(N$6))&lt;=MIN('Aset Tetap'!$Z178,IF('Aset Tetap'!$S178="Unit Produksi",99999,'Aset Tetap'!$Y178+'Aset Tetap'!$T178*12-1))),'Aset Tetap'!$AQ178/'Aset Tetap'!$AG178,0)))</f>
        <v/>
      </c>
      <c r="O178" s="22" t="str">
        <f>IF($B178="","",IF(N('Aset Tetap'!$AG178)=0,0,IF(AND((YEAR(O$6)*12+MONTH(O$6))&gt;='Aset Tetap'!$Y178,(YEAR(O$6)*12+MONTH(O$6))&lt;=MIN('Aset Tetap'!$Z178,IF('Aset Tetap'!$S178="Unit Produksi",99999,'Aset Tetap'!$Y178+'Aset Tetap'!$T178*12-1))),'Aset Tetap'!$AQ178/'Aset Tetap'!$AG178,0)))</f>
        <v/>
      </c>
      <c r="P178" s="22" t="str">
        <f>IF($B178="","",IF(N('Aset Tetap'!$AG178)=0,0,IF(AND((YEAR(P$6)*12+MONTH(P$6))&gt;='Aset Tetap'!$Y178,(YEAR(P$6)*12+MONTH(P$6))&lt;=MIN('Aset Tetap'!$Z178,IF('Aset Tetap'!$S178="Unit Produksi",99999,'Aset Tetap'!$Y178+'Aset Tetap'!$T178*12-1))),'Aset Tetap'!$AQ178/'Aset Tetap'!$AG178,0)))</f>
        <v/>
      </c>
      <c r="Q178" s="22" t="str">
        <f>IF($B178="","",SUM(E178:P178))</f>
        <v/>
      </c>
      <c r="R178" s="22" t="str">
        <f>IF($B178="","",'Aset Tetap'!AQ178)</f>
        <v/>
      </c>
      <c r="S178" s="22" t="str">
        <f>IF($B178="","",ROUND(Q178-R178,0))</f>
        <v/>
      </c>
    </row>
    <row r="179" spans="1:19" x14ac:dyDescent="0.25">
      <c r="A179" t="str">
        <f>IF('Aset Tetap'!$B179="","",'Aset Tetap'!A179)</f>
        <v/>
      </c>
      <c r="B179" t="str">
        <f>IF('Aset Tetap'!$B179="","",'Aset Tetap'!B179)</f>
        <v/>
      </c>
      <c r="C179" t="str">
        <f>IF('Aset Tetap'!$B179="","",'Aset Tetap'!C179)</f>
        <v/>
      </c>
      <c r="D179" t="str">
        <f>IF('Aset Tetap'!$B179="","",'Aset Tetap'!D179)</f>
        <v/>
      </c>
      <c r="E179" s="22" t="str">
        <f>IF($B179="","",IF(N('Aset Tetap'!$AG179)=0,0,IF(AND((YEAR(E$6)*12+MONTH(E$6))&gt;='Aset Tetap'!$Y179,(YEAR(E$6)*12+MONTH(E$6))&lt;=MIN('Aset Tetap'!$Z179,IF('Aset Tetap'!$S179="Unit Produksi",99999,'Aset Tetap'!$Y179+'Aset Tetap'!$T179*12-1))),'Aset Tetap'!$AQ179/'Aset Tetap'!$AG179,0)))</f>
        <v/>
      </c>
      <c r="F179" s="22" t="str">
        <f>IF($B179="","",IF(N('Aset Tetap'!$AG179)=0,0,IF(AND((YEAR(F$6)*12+MONTH(F$6))&gt;='Aset Tetap'!$Y179,(YEAR(F$6)*12+MONTH(F$6))&lt;=MIN('Aset Tetap'!$Z179,IF('Aset Tetap'!$S179="Unit Produksi",99999,'Aset Tetap'!$Y179+'Aset Tetap'!$T179*12-1))),'Aset Tetap'!$AQ179/'Aset Tetap'!$AG179,0)))</f>
        <v/>
      </c>
      <c r="G179" s="22" t="str">
        <f>IF($B179="","",IF(N('Aset Tetap'!$AG179)=0,0,IF(AND((YEAR(G$6)*12+MONTH(G$6))&gt;='Aset Tetap'!$Y179,(YEAR(G$6)*12+MONTH(G$6))&lt;=MIN('Aset Tetap'!$Z179,IF('Aset Tetap'!$S179="Unit Produksi",99999,'Aset Tetap'!$Y179+'Aset Tetap'!$T179*12-1))),'Aset Tetap'!$AQ179/'Aset Tetap'!$AG179,0)))</f>
        <v/>
      </c>
      <c r="H179" s="22" t="str">
        <f>IF($B179="","",IF(N('Aset Tetap'!$AG179)=0,0,IF(AND((YEAR(H$6)*12+MONTH(H$6))&gt;='Aset Tetap'!$Y179,(YEAR(H$6)*12+MONTH(H$6))&lt;=MIN('Aset Tetap'!$Z179,IF('Aset Tetap'!$S179="Unit Produksi",99999,'Aset Tetap'!$Y179+'Aset Tetap'!$T179*12-1))),'Aset Tetap'!$AQ179/'Aset Tetap'!$AG179,0)))</f>
        <v/>
      </c>
      <c r="I179" s="22" t="str">
        <f>IF($B179="","",IF(N('Aset Tetap'!$AG179)=0,0,IF(AND((YEAR(I$6)*12+MONTH(I$6))&gt;='Aset Tetap'!$Y179,(YEAR(I$6)*12+MONTH(I$6))&lt;=MIN('Aset Tetap'!$Z179,IF('Aset Tetap'!$S179="Unit Produksi",99999,'Aset Tetap'!$Y179+'Aset Tetap'!$T179*12-1))),'Aset Tetap'!$AQ179/'Aset Tetap'!$AG179,0)))</f>
        <v/>
      </c>
      <c r="J179" s="22" t="str">
        <f>IF($B179="","",IF(N('Aset Tetap'!$AG179)=0,0,IF(AND((YEAR(J$6)*12+MONTH(J$6))&gt;='Aset Tetap'!$Y179,(YEAR(J$6)*12+MONTH(J$6))&lt;=MIN('Aset Tetap'!$Z179,IF('Aset Tetap'!$S179="Unit Produksi",99999,'Aset Tetap'!$Y179+'Aset Tetap'!$T179*12-1))),'Aset Tetap'!$AQ179/'Aset Tetap'!$AG179,0)))</f>
        <v/>
      </c>
      <c r="K179" s="22" t="str">
        <f>IF($B179="","",IF(N('Aset Tetap'!$AG179)=0,0,IF(AND((YEAR(K$6)*12+MONTH(K$6))&gt;='Aset Tetap'!$Y179,(YEAR(K$6)*12+MONTH(K$6))&lt;=MIN('Aset Tetap'!$Z179,IF('Aset Tetap'!$S179="Unit Produksi",99999,'Aset Tetap'!$Y179+'Aset Tetap'!$T179*12-1))),'Aset Tetap'!$AQ179/'Aset Tetap'!$AG179,0)))</f>
        <v/>
      </c>
      <c r="L179" s="22" t="str">
        <f>IF($B179="","",IF(N('Aset Tetap'!$AG179)=0,0,IF(AND((YEAR(L$6)*12+MONTH(L$6))&gt;='Aset Tetap'!$Y179,(YEAR(L$6)*12+MONTH(L$6))&lt;=MIN('Aset Tetap'!$Z179,IF('Aset Tetap'!$S179="Unit Produksi",99999,'Aset Tetap'!$Y179+'Aset Tetap'!$T179*12-1))),'Aset Tetap'!$AQ179/'Aset Tetap'!$AG179,0)))</f>
        <v/>
      </c>
      <c r="M179" s="22" t="str">
        <f>IF($B179="","",IF(N('Aset Tetap'!$AG179)=0,0,IF(AND((YEAR(M$6)*12+MONTH(M$6))&gt;='Aset Tetap'!$Y179,(YEAR(M$6)*12+MONTH(M$6))&lt;=MIN('Aset Tetap'!$Z179,IF('Aset Tetap'!$S179="Unit Produksi",99999,'Aset Tetap'!$Y179+'Aset Tetap'!$T179*12-1))),'Aset Tetap'!$AQ179/'Aset Tetap'!$AG179,0)))</f>
        <v/>
      </c>
      <c r="N179" s="22" t="str">
        <f>IF($B179="","",IF(N('Aset Tetap'!$AG179)=0,0,IF(AND((YEAR(N$6)*12+MONTH(N$6))&gt;='Aset Tetap'!$Y179,(YEAR(N$6)*12+MONTH(N$6))&lt;=MIN('Aset Tetap'!$Z179,IF('Aset Tetap'!$S179="Unit Produksi",99999,'Aset Tetap'!$Y179+'Aset Tetap'!$T179*12-1))),'Aset Tetap'!$AQ179/'Aset Tetap'!$AG179,0)))</f>
        <v/>
      </c>
      <c r="O179" s="22" t="str">
        <f>IF($B179="","",IF(N('Aset Tetap'!$AG179)=0,0,IF(AND((YEAR(O$6)*12+MONTH(O$6))&gt;='Aset Tetap'!$Y179,(YEAR(O$6)*12+MONTH(O$6))&lt;=MIN('Aset Tetap'!$Z179,IF('Aset Tetap'!$S179="Unit Produksi",99999,'Aset Tetap'!$Y179+'Aset Tetap'!$T179*12-1))),'Aset Tetap'!$AQ179/'Aset Tetap'!$AG179,0)))</f>
        <v/>
      </c>
      <c r="P179" s="22" t="str">
        <f>IF($B179="","",IF(N('Aset Tetap'!$AG179)=0,0,IF(AND((YEAR(P$6)*12+MONTH(P$6))&gt;='Aset Tetap'!$Y179,(YEAR(P$6)*12+MONTH(P$6))&lt;=MIN('Aset Tetap'!$Z179,IF('Aset Tetap'!$S179="Unit Produksi",99999,'Aset Tetap'!$Y179+'Aset Tetap'!$T179*12-1))),'Aset Tetap'!$AQ179/'Aset Tetap'!$AG179,0)))</f>
        <v/>
      </c>
      <c r="Q179" s="22" t="str">
        <f>IF($B179="","",SUM(E179:P179))</f>
        <v/>
      </c>
      <c r="R179" s="22" t="str">
        <f>IF($B179="","",'Aset Tetap'!AQ179)</f>
        <v/>
      </c>
      <c r="S179" s="22" t="str">
        <f>IF($B179="","",ROUND(Q179-R179,0))</f>
        <v/>
      </c>
    </row>
    <row r="180" spans="1:19" x14ac:dyDescent="0.25">
      <c r="A180" t="str">
        <f>IF('Aset Tetap'!$B180="","",'Aset Tetap'!A180)</f>
        <v/>
      </c>
      <c r="B180" t="str">
        <f>IF('Aset Tetap'!$B180="","",'Aset Tetap'!B180)</f>
        <v/>
      </c>
      <c r="C180" t="str">
        <f>IF('Aset Tetap'!$B180="","",'Aset Tetap'!C180)</f>
        <v/>
      </c>
      <c r="D180" t="str">
        <f>IF('Aset Tetap'!$B180="","",'Aset Tetap'!D180)</f>
        <v/>
      </c>
      <c r="E180" s="22" t="str">
        <f>IF($B180="","",IF(N('Aset Tetap'!$AG180)=0,0,IF(AND((YEAR(E$6)*12+MONTH(E$6))&gt;='Aset Tetap'!$Y180,(YEAR(E$6)*12+MONTH(E$6))&lt;=MIN('Aset Tetap'!$Z180,IF('Aset Tetap'!$S180="Unit Produksi",99999,'Aset Tetap'!$Y180+'Aset Tetap'!$T180*12-1))),'Aset Tetap'!$AQ180/'Aset Tetap'!$AG180,0)))</f>
        <v/>
      </c>
      <c r="F180" s="22" t="str">
        <f>IF($B180="","",IF(N('Aset Tetap'!$AG180)=0,0,IF(AND((YEAR(F$6)*12+MONTH(F$6))&gt;='Aset Tetap'!$Y180,(YEAR(F$6)*12+MONTH(F$6))&lt;=MIN('Aset Tetap'!$Z180,IF('Aset Tetap'!$S180="Unit Produksi",99999,'Aset Tetap'!$Y180+'Aset Tetap'!$T180*12-1))),'Aset Tetap'!$AQ180/'Aset Tetap'!$AG180,0)))</f>
        <v/>
      </c>
      <c r="G180" s="22" t="str">
        <f>IF($B180="","",IF(N('Aset Tetap'!$AG180)=0,0,IF(AND((YEAR(G$6)*12+MONTH(G$6))&gt;='Aset Tetap'!$Y180,(YEAR(G$6)*12+MONTH(G$6))&lt;=MIN('Aset Tetap'!$Z180,IF('Aset Tetap'!$S180="Unit Produksi",99999,'Aset Tetap'!$Y180+'Aset Tetap'!$T180*12-1))),'Aset Tetap'!$AQ180/'Aset Tetap'!$AG180,0)))</f>
        <v/>
      </c>
      <c r="H180" s="22" t="str">
        <f>IF($B180="","",IF(N('Aset Tetap'!$AG180)=0,0,IF(AND((YEAR(H$6)*12+MONTH(H$6))&gt;='Aset Tetap'!$Y180,(YEAR(H$6)*12+MONTH(H$6))&lt;=MIN('Aset Tetap'!$Z180,IF('Aset Tetap'!$S180="Unit Produksi",99999,'Aset Tetap'!$Y180+'Aset Tetap'!$T180*12-1))),'Aset Tetap'!$AQ180/'Aset Tetap'!$AG180,0)))</f>
        <v/>
      </c>
      <c r="I180" s="22" t="str">
        <f>IF($B180="","",IF(N('Aset Tetap'!$AG180)=0,0,IF(AND((YEAR(I$6)*12+MONTH(I$6))&gt;='Aset Tetap'!$Y180,(YEAR(I$6)*12+MONTH(I$6))&lt;=MIN('Aset Tetap'!$Z180,IF('Aset Tetap'!$S180="Unit Produksi",99999,'Aset Tetap'!$Y180+'Aset Tetap'!$T180*12-1))),'Aset Tetap'!$AQ180/'Aset Tetap'!$AG180,0)))</f>
        <v/>
      </c>
      <c r="J180" s="22" t="str">
        <f>IF($B180="","",IF(N('Aset Tetap'!$AG180)=0,0,IF(AND((YEAR(J$6)*12+MONTH(J$6))&gt;='Aset Tetap'!$Y180,(YEAR(J$6)*12+MONTH(J$6))&lt;=MIN('Aset Tetap'!$Z180,IF('Aset Tetap'!$S180="Unit Produksi",99999,'Aset Tetap'!$Y180+'Aset Tetap'!$T180*12-1))),'Aset Tetap'!$AQ180/'Aset Tetap'!$AG180,0)))</f>
        <v/>
      </c>
      <c r="K180" s="22" t="str">
        <f>IF($B180="","",IF(N('Aset Tetap'!$AG180)=0,0,IF(AND((YEAR(K$6)*12+MONTH(K$6))&gt;='Aset Tetap'!$Y180,(YEAR(K$6)*12+MONTH(K$6))&lt;=MIN('Aset Tetap'!$Z180,IF('Aset Tetap'!$S180="Unit Produksi",99999,'Aset Tetap'!$Y180+'Aset Tetap'!$T180*12-1))),'Aset Tetap'!$AQ180/'Aset Tetap'!$AG180,0)))</f>
        <v/>
      </c>
      <c r="L180" s="22" t="str">
        <f>IF($B180="","",IF(N('Aset Tetap'!$AG180)=0,0,IF(AND((YEAR(L$6)*12+MONTH(L$6))&gt;='Aset Tetap'!$Y180,(YEAR(L$6)*12+MONTH(L$6))&lt;=MIN('Aset Tetap'!$Z180,IF('Aset Tetap'!$S180="Unit Produksi",99999,'Aset Tetap'!$Y180+'Aset Tetap'!$T180*12-1))),'Aset Tetap'!$AQ180/'Aset Tetap'!$AG180,0)))</f>
        <v/>
      </c>
      <c r="M180" s="22" t="str">
        <f>IF($B180="","",IF(N('Aset Tetap'!$AG180)=0,0,IF(AND((YEAR(M$6)*12+MONTH(M$6))&gt;='Aset Tetap'!$Y180,(YEAR(M$6)*12+MONTH(M$6))&lt;=MIN('Aset Tetap'!$Z180,IF('Aset Tetap'!$S180="Unit Produksi",99999,'Aset Tetap'!$Y180+'Aset Tetap'!$T180*12-1))),'Aset Tetap'!$AQ180/'Aset Tetap'!$AG180,0)))</f>
        <v/>
      </c>
      <c r="N180" s="22" t="str">
        <f>IF($B180="","",IF(N('Aset Tetap'!$AG180)=0,0,IF(AND((YEAR(N$6)*12+MONTH(N$6))&gt;='Aset Tetap'!$Y180,(YEAR(N$6)*12+MONTH(N$6))&lt;=MIN('Aset Tetap'!$Z180,IF('Aset Tetap'!$S180="Unit Produksi",99999,'Aset Tetap'!$Y180+'Aset Tetap'!$T180*12-1))),'Aset Tetap'!$AQ180/'Aset Tetap'!$AG180,0)))</f>
        <v/>
      </c>
      <c r="O180" s="22" t="str">
        <f>IF($B180="","",IF(N('Aset Tetap'!$AG180)=0,0,IF(AND((YEAR(O$6)*12+MONTH(O$6))&gt;='Aset Tetap'!$Y180,(YEAR(O$6)*12+MONTH(O$6))&lt;=MIN('Aset Tetap'!$Z180,IF('Aset Tetap'!$S180="Unit Produksi",99999,'Aset Tetap'!$Y180+'Aset Tetap'!$T180*12-1))),'Aset Tetap'!$AQ180/'Aset Tetap'!$AG180,0)))</f>
        <v/>
      </c>
      <c r="P180" s="22" t="str">
        <f>IF($B180="","",IF(N('Aset Tetap'!$AG180)=0,0,IF(AND((YEAR(P$6)*12+MONTH(P$6))&gt;='Aset Tetap'!$Y180,(YEAR(P$6)*12+MONTH(P$6))&lt;=MIN('Aset Tetap'!$Z180,IF('Aset Tetap'!$S180="Unit Produksi",99999,'Aset Tetap'!$Y180+'Aset Tetap'!$T180*12-1))),'Aset Tetap'!$AQ180/'Aset Tetap'!$AG180,0)))</f>
        <v/>
      </c>
      <c r="Q180" s="22" t="str">
        <f>IF($B180="","",SUM(E180:P180))</f>
        <v/>
      </c>
      <c r="R180" s="22" t="str">
        <f>IF($B180="","",'Aset Tetap'!AQ180)</f>
        <v/>
      </c>
      <c r="S180" s="22" t="str">
        <f>IF($B180="","",ROUND(Q180-R180,0))</f>
        <v/>
      </c>
    </row>
    <row r="181" spans="1:19" x14ac:dyDescent="0.25">
      <c r="A181" t="str">
        <f>IF('Aset Tetap'!$B181="","",'Aset Tetap'!A181)</f>
        <v/>
      </c>
      <c r="B181" t="str">
        <f>IF('Aset Tetap'!$B181="","",'Aset Tetap'!B181)</f>
        <v/>
      </c>
      <c r="C181" t="str">
        <f>IF('Aset Tetap'!$B181="","",'Aset Tetap'!C181)</f>
        <v/>
      </c>
      <c r="D181" t="str">
        <f>IF('Aset Tetap'!$B181="","",'Aset Tetap'!D181)</f>
        <v/>
      </c>
      <c r="E181" s="22" t="str">
        <f>IF($B181="","",IF(N('Aset Tetap'!$AG181)=0,0,IF(AND((YEAR(E$6)*12+MONTH(E$6))&gt;='Aset Tetap'!$Y181,(YEAR(E$6)*12+MONTH(E$6))&lt;=MIN('Aset Tetap'!$Z181,IF('Aset Tetap'!$S181="Unit Produksi",99999,'Aset Tetap'!$Y181+'Aset Tetap'!$T181*12-1))),'Aset Tetap'!$AQ181/'Aset Tetap'!$AG181,0)))</f>
        <v/>
      </c>
      <c r="F181" s="22" t="str">
        <f>IF($B181="","",IF(N('Aset Tetap'!$AG181)=0,0,IF(AND((YEAR(F$6)*12+MONTH(F$6))&gt;='Aset Tetap'!$Y181,(YEAR(F$6)*12+MONTH(F$6))&lt;=MIN('Aset Tetap'!$Z181,IF('Aset Tetap'!$S181="Unit Produksi",99999,'Aset Tetap'!$Y181+'Aset Tetap'!$T181*12-1))),'Aset Tetap'!$AQ181/'Aset Tetap'!$AG181,0)))</f>
        <v/>
      </c>
      <c r="G181" s="22" t="str">
        <f>IF($B181="","",IF(N('Aset Tetap'!$AG181)=0,0,IF(AND((YEAR(G$6)*12+MONTH(G$6))&gt;='Aset Tetap'!$Y181,(YEAR(G$6)*12+MONTH(G$6))&lt;=MIN('Aset Tetap'!$Z181,IF('Aset Tetap'!$S181="Unit Produksi",99999,'Aset Tetap'!$Y181+'Aset Tetap'!$T181*12-1))),'Aset Tetap'!$AQ181/'Aset Tetap'!$AG181,0)))</f>
        <v/>
      </c>
      <c r="H181" s="22" t="str">
        <f>IF($B181="","",IF(N('Aset Tetap'!$AG181)=0,0,IF(AND((YEAR(H$6)*12+MONTH(H$6))&gt;='Aset Tetap'!$Y181,(YEAR(H$6)*12+MONTH(H$6))&lt;=MIN('Aset Tetap'!$Z181,IF('Aset Tetap'!$S181="Unit Produksi",99999,'Aset Tetap'!$Y181+'Aset Tetap'!$T181*12-1))),'Aset Tetap'!$AQ181/'Aset Tetap'!$AG181,0)))</f>
        <v/>
      </c>
      <c r="I181" s="22" t="str">
        <f>IF($B181="","",IF(N('Aset Tetap'!$AG181)=0,0,IF(AND((YEAR(I$6)*12+MONTH(I$6))&gt;='Aset Tetap'!$Y181,(YEAR(I$6)*12+MONTH(I$6))&lt;=MIN('Aset Tetap'!$Z181,IF('Aset Tetap'!$S181="Unit Produksi",99999,'Aset Tetap'!$Y181+'Aset Tetap'!$T181*12-1))),'Aset Tetap'!$AQ181/'Aset Tetap'!$AG181,0)))</f>
        <v/>
      </c>
      <c r="J181" s="22" t="str">
        <f>IF($B181="","",IF(N('Aset Tetap'!$AG181)=0,0,IF(AND((YEAR(J$6)*12+MONTH(J$6))&gt;='Aset Tetap'!$Y181,(YEAR(J$6)*12+MONTH(J$6))&lt;=MIN('Aset Tetap'!$Z181,IF('Aset Tetap'!$S181="Unit Produksi",99999,'Aset Tetap'!$Y181+'Aset Tetap'!$T181*12-1))),'Aset Tetap'!$AQ181/'Aset Tetap'!$AG181,0)))</f>
        <v/>
      </c>
      <c r="K181" s="22" t="str">
        <f>IF($B181="","",IF(N('Aset Tetap'!$AG181)=0,0,IF(AND((YEAR(K$6)*12+MONTH(K$6))&gt;='Aset Tetap'!$Y181,(YEAR(K$6)*12+MONTH(K$6))&lt;=MIN('Aset Tetap'!$Z181,IF('Aset Tetap'!$S181="Unit Produksi",99999,'Aset Tetap'!$Y181+'Aset Tetap'!$T181*12-1))),'Aset Tetap'!$AQ181/'Aset Tetap'!$AG181,0)))</f>
        <v/>
      </c>
      <c r="L181" s="22" t="str">
        <f>IF($B181="","",IF(N('Aset Tetap'!$AG181)=0,0,IF(AND((YEAR(L$6)*12+MONTH(L$6))&gt;='Aset Tetap'!$Y181,(YEAR(L$6)*12+MONTH(L$6))&lt;=MIN('Aset Tetap'!$Z181,IF('Aset Tetap'!$S181="Unit Produksi",99999,'Aset Tetap'!$Y181+'Aset Tetap'!$T181*12-1))),'Aset Tetap'!$AQ181/'Aset Tetap'!$AG181,0)))</f>
        <v/>
      </c>
      <c r="M181" s="22" t="str">
        <f>IF($B181="","",IF(N('Aset Tetap'!$AG181)=0,0,IF(AND((YEAR(M$6)*12+MONTH(M$6))&gt;='Aset Tetap'!$Y181,(YEAR(M$6)*12+MONTH(M$6))&lt;=MIN('Aset Tetap'!$Z181,IF('Aset Tetap'!$S181="Unit Produksi",99999,'Aset Tetap'!$Y181+'Aset Tetap'!$T181*12-1))),'Aset Tetap'!$AQ181/'Aset Tetap'!$AG181,0)))</f>
        <v/>
      </c>
      <c r="N181" s="22" t="str">
        <f>IF($B181="","",IF(N('Aset Tetap'!$AG181)=0,0,IF(AND((YEAR(N$6)*12+MONTH(N$6))&gt;='Aset Tetap'!$Y181,(YEAR(N$6)*12+MONTH(N$6))&lt;=MIN('Aset Tetap'!$Z181,IF('Aset Tetap'!$S181="Unit Produksi",99999,'Aset Tetap'!$Y181+'Aset Tetap'!$T181*12-1))),'Aset Tetap'!$AQ181/'Aset Tetap'!$AG181,0)))</f>
        <v/>
      </c>
      <c r="O181" s="22" t="str">
        <f>IF($B181="","",IF(N('Aset Tetap'!$AG181)=0,0,IF(AND((YEAR(O$6)*12+MONTH(O$6))&gt;='Aset Tetap'!$Y181,(YEAR(O$6)*12+MONTH(O$6))&lt;=MIN('Aset Tetap'!$Z181,IF('Aset Tetap'!$S181="Unit Produksi",99999,'Aset Tetap'!$Y181+'Aset Tetap'!$T181*12-1))),'Aset Tetap'!$AQ181/'Aset Tetap'!$AG181,0)))</f>
        <v/>
      </c>
      <c r="P181" s="22" t="str">
        <f>IF($B181="","",IF(N('Aset Tetap'!$AG181)=0,0,IF(AND((YEAR(P$6)*12+MONTH(P$6))&gt;='Aset Tetap'!$Y181,(YEAR(P$6)*12+MONTH(P$6))&lt;=MIN('Aset Tetap'!$Z181,IF('Aset Tetap'!$S181="Unit Produksi",99999,'Aset Tetap'!$Y181+'Aset Tetap'!$T181*12-1))),'Aset Tetap'!$AQ181/'Aset Tetap'!$AG181,0)))</f>
        <v/>
      </c>
      <c r="Q181" s="22" t="str">
        <f>IF($B181="","",SUM(E181:P181))</f>
        <v/>
      </c>
      <c r="R181" s="22" t="str">
        <f>IF($B181="","",'Aset Tetap'!AQ181)</f>
        <v/>
      </c>
      <c r="S181" s="22" t="str">
        <f>IF($B181="","",ROUND(Q181-R181,0))</f>
        <v/>
      </c>
    </row>
    <row r="182" spans="1:19" x14ac:dyDescent="0.25">
      <c r="A182" t="str">
        <f>IF('Aset Tetap'!$B182="","",'Aset Tetap'!A182)</f>
        <v/>
      </c>
      <c r="B182" t="str">
        <f>IF('Aset Tetap'!$B182="","",'Aset Tetap'!B182)</f>
        <v/>
      </c>
      <c r="C182" t="str">
        <f>IF('Aset Tetap'!$B182="","",'Aset Tetap'!C182)</f>
        <v/>
      </c>
      <c r="D182" t="str">
        <f>IF('Aset Tetap'!$B182="","",'Aset Tetap'!D182)</f>
        <v/>
      </c>
      <c r="E182" s="22" t="str">
        <f>IF($B182="","",IF(N('Aset Tetap'!$AG182)=0,0,IF(AND((YEAR(E$6)*12+MONTH(E$6))&gt;='Aset Tetap'!$Y182,(YEAR(E$6)*12+MONTH(E$6))&lt;=MIN('Aset Tetap'!$Z182,IF('Aset Tetap'!$S182="Unit Produksi",99999,'Aset Tetap'!$Y182+'Aset Tetap'!$T182*12-1))),'Aset Tetap'!$AQ182/'Aset Tetap'!$AG182,0)))</f>
        <v/>
      </c>
      <c r="F182" s="22" t="str">
        <f>IF($B182="","",IF(N('Aset Tetap'!$AG182)=0,0,IF(AND((YEAR(F$6)*12+MONTH(F$6))&gt;='Aset Tetap'!$Y182,(YEAR(F$6)*12+MONTH(F$6))&lt;=MIN('Aset Tetap'!$Z182,IF('Aset Tetap'!$S182="Unit Produksi",99999,'Aset Tetap'!$Y182+'Aset Tetap'!$T182*12-1))),'Aset Tetap'!$AQ182/'Aset Tetap'!$AG182,0)))</f>
        <v/>
      </c>
      <c r="G182" s="22" t="str">
        <f>IF($B182="","",IF(N('Aset Tetap'!$AG182)=0,0,IF(AND((YEAR(G$6)*12+MONTH(G$6))&gt;='Aset Tetap'!$Y182,(YEAR(G$6)*12+MONTH(G$6))&lt;=MIN('Aset Tetap'!$Z182,IF('Aset Tetap'!$S182="Unit Produksi",99999,'Aset Tetap'!$Y182+'Aset Tetap'!$T182*12-1))),'Aset Tetap'!$AQ182/'Aset Tetap'!$AG182,0)))</f>
        <v/>
      </c>
      <c r="H182" s="22" t="str">
        <f>IF($B182="","",IF(N('Aset Tetap'!$AG182)=0,0,IF(AND((YEAR(H$6)*12+MONTH(H$6))&gt;='Aset Tetap'!$Y182,(YEAR(H$6)*12+MONTH(H$6))&lt;=MIN('Aset Tetap'!$Z182,IF('Aset Tetap'!$S182="Unit Produksi",99999,'Aset Tetap'!$Y182+'Aset Tetap'!$T182*12-1))),'Aset Tetap'!$AQ182/'Aset Tetap'!$AG182,0)))</f>
        <v/>
      </c>
      <c r="I182" s="22" t="str">
        <f>IF($B182="","",IF(N('Aset Tetap'!$AG182)=0,0,IF(AND((YEAR(I$6)*12+MONTH(I$6))&gt;='Aset Tetap'!$Y182,(YEAR(I$6)*12+MONTH(I$6))&lt;=MIN('Aset Tetap'!$Z182,IF('Aset Tetap'!$S182="Unit Produksi",99999,'Aset Tetap'!$Y182+'Aset Tetap'!$T182*12-1))),'Aset Tetap'!$AQ182/'Aset Tetap'!$AG182,0)))</f>
        <v/>
      </c>
      <c r="J182" s="22" t="str">
        <f>IF($B182="","",IF(N('Aset Tetap'!$AG182)=0,0,IF(AND((YEAR(J$6)*12+MONTH(J$6))&gt;='Aset Tetap'!$Y182,(YEAR(J$6)*12+MONTH(J$6))&lt;=MIN('Aset Tetap'!$Z182,IF('Aset Tetap'!$S182="Unit Produksi",99999,'Aset Tetap'!$Y182+'Aset Tetap'!$T182*12-1))),'Aset Tetap'!$AQ182/'Aset Tetap'!$AG182,0)))</f>
        <v/>
      </c>
      <c r="K182" s="22" t="str">
        <f>IF($B182="","",IF(N('Aset Tetap'!$AG182)=0,0,IF(AND((YEAR(K$6)*12+MONTH(K$6))&gt;='Aset Tetap'!$Y182,(YEAR(K$6)*12+MONTH(K$6))&lt;=MIN('Aset Tetap'!$Z182,IF('Aset Tetap'!$S182="Unit Produksi",99999,'Aset Tetap'!$Y182+'Aset Tetap'!$T182*12-1))),'Aset Tetap'!$AQ182/'Aset Tetap'!$AG182,0)))</f>
        <v/>
      </c>
      <c r="L182" s="22" t="str">
        <f>IF($B182="","",IF(N('Aset Tetap'!$AG182)=0,0,IF(AND((YEAR(L$6)*12+MONTH(L$6))&gt;='Aset Tetap'!$Y182,(YEAR(L$6)*12+MONTH(L$6))&lt;=MIN('Aset Tetap'!$Z182,IF('Aset Tetap'!$S182="Unit Produksi",99999,'Aset Tetap'!$Y182+'Aset Tetap'!$T182*12-1))),'Aset Tetap'!$AQ182/'Aset Tetap'!$AG182,0)))</f>
        <v/>
      </c>
      <c r="M182" s="22" t="str">
        <f>IF($B182="","",IF(N('Aset Tetap'!$AG182)=0,0,IF(AND((YEAR(M$6)*12+MONTH(M$6))&gt;='Aset Tetap'!$Y182,(YEAR(M$6)*12+MONTH(M$6))&lt;=MIN('Aset Tetap'!$Z182,IF('Aset Tetap'!$S182="Unit Produksi",99999,'Aset Tetap'!$Y182+'Aset Tetap'!$T182*12-1))),'Aset Tetap'!$AQ182/'Aset Tetap'!$AG182,0)))</f>
        <v/>
      </c>
      <c r="N182" s="22" t="str">
        <f>IF($B182="","",IF(N('Aset Tetap'!$AG182)=0,0,IF(AND((YEAR(N$6)*12+MONTH(N$6))&gt;='Aset Tetap'!$Y182,(YEAR(N$6)*12+MONTH(N$6))&lt;=MIN('Aset Tetap'!$Z182,IF('Aset Tetap'!$S182="Unit Produksi",99999,'Aset Tetap'!$Y182+'Aset Tetap'!$T182*12-1))),'Aset Tetap'!$AQ182/'Aset Tetap'!$AG182,0)))</f>
        <v/>
      </c>
      <c r="O182" s="22" t="str">
        <f>IF($B182="","",IF(N('Aset Tetap'!$AG182)=0,0,IF(AND((YEAR(O$6)*12+MONTH(O$6))&gt;='Aset Tetap'!$Y182,(YEAR(O$6)*12+MONTH(O$6))&lt;=MIN('Aset Tetap'!$Z182,IF('Aset Tetap'!$S182="Unit Produksi",99999,'Aset Tetap'!$Y182+'Aset Tetap'!$T182*12-1))),'Aset Tetap'!$AQ182/'Aset Tetap'!$AG182,0)))</f>
        <v/>
      </c>
      <c r="P182" s="22" t="str">
        <f>IF($B182="","",IF(N('Aset Tetap'!$AG182)=0,0,IF(AND((YEAR(P$6)*12+MONTH(P$6))&gt;='Aset Tetap'!$Y182,(YEAR(P$6)*12+MONTH(P$6))&lt;=MIN('Aset Tetap'!$Z182,IF('Aset Tetap'!$S182="Unit Produksi",99999,'Aset Tetap'!$Y182+'Aset Tetap'!$T182*12-1))),'Aset Tetap'!$AQ182/'Aset Tetap'!$AG182,0)))</f>
        <v/>
      </c>
      <c r="Q182" s="22" t="str">
        <f>IF($B182="","",SUM(E182:P182))</f>
        <v/>
      </c>
      <c r="R182" s="22" t="str">
        <f>IF($B182="","",'Aset Tetap'!AQ182)</f>
        <v/>
      </c>
      <c r="S182" s="22" t="str">
        <f>IF($B182="","",ROUND(Q182-R182,0))</f>
        <v/>
      </c>
    </row>
    <row r="183" spans="1:19" x14ac:dyDescent="0.25">
      <c r="A183" t="str">
        <f>IF('Aset Tetap'!$B183="","",'Aset Tetap'!A183)</f>
        <v/>
      </c>
      <c r="B183" t="str">
        <f>IF('Aset Tetap'!$B183="","",'Aset Tetap'!B183)</f>
        <v/>
      </c>
      <c r="C183" t="str">
        <f>IF('Aset Tetap'!$B183="","",'Aset Tetap'!C183)</f>
        <v/>
      </c>
      <c r="D183" t="str">
        <f>IF('Aset Tetap'!$B183="","",'Aset Tetap'!D183)</f>
        <v/>
      </c>
      <c r="E183" s="22" t="str">
        <f>IF($B183="","",IF(N('Aset Tetap'!$AG183)=0,0,IF(AND((YEAR(E$6)*12+MONTH(E$6))&gt;='Aset Tetap'!$Y183,(YEAR(E$6)*12+MONTH(E$6))&lt;=MIN('Aset Tetap'!$Z183,IF('Aset Tetap'!$S183="Unit Produksi",99999,'Aset Tetap'!$Y183+'Aset Tetap'!$T183*12-1))),'Aset Tetap'!$AQ183/'Aset Tetap'!$AG183,0)))</f>
        <v/>
      </c>
      <c r="F183" s="22" t="str">
        <f>IF($B183="","",IF(N('Aset Tetap'!$AG183)=0,0,IF(AND((YEAR(F$6)*12+MONTH(F$6))&gt;='Aset Tetap'!$Y183,(YEAR(F$6)*12+MONTH(F$6))&lt;=MIN('Aset Tetap'!$Z183,IF('Aset Tetap'!$S183="Unit Produksi",99999,'Aset Tetap'!$Y183+'Aset Tetap'!$T183*12-1))),'Aset Tetap'!$AQ183/'Aset Tetap'!$AG183,0)))</f>
        <v/>
      </c>
      <c r="G183" s="22" t="str">
        <f>IF($B183="","",IF(N('Aset Tetap'!$AG183)=0,0,IF(AND((YEAR(G$6)*12+MONTH(G$6))&gt;='Aset Tetap'!$Y183,(YEAR(G$6)*12+MONTH(G$6))&lt;=MIN('Aset Tetap'!$Z183,IF('Aset Tetap'!$S183="Unit Produksi",99999,'Aset Tetap'!$Y183+'Aset Tetap'!$T183*12-1))),'Aset Tetap'!$AQ183/'Aset Tetap'!$AG183,0)))</f>
        <v/>
      </c>
      <c r="H183" s="22" t="str">
        <f>IF($B183="","",IF(N('Aset Tetap'!$AG183)=0,0,IF(AND((YEAR(H$6)*12+MONTH(H$6))&gt;='Aset Tetap'!$Y183,(YEAR(H$6)*12+MONTH(H$6))&lt;=MIN('Aset Tetap'!$Z183,IF('Aset Tetap'!$S183="Unit Produksi",99999,'Aset Tetap'!$Y183+'Aset Tetap'!$T183*12-1))),'Aset Tetap'!$AQ183/'Aset Tetap'!$AG183,0)))</f>
        <v/>
      </c>
      <c r="I183" s="22" t="str">
        <f>IF($B183="","",IF(N('Aset Tetap'!$AG183)=0,0,IF(AND((YEAR(I$6)*12+MONTH(I$6))&gt;='Aset Tetap'!$Y183,(YEAR(I$6)*12+MONTH(I$6))&lt;=MIN('Aset Tetap'!$Z183,IF('Aset Tetap'!$S183="Unit Produksi",99999,'Aset Tetap'!$Y183+'Aset Tetap'!$T183*12-1))),'Aset Tetap'!$AQ183/'Aset Tetap'!$AG183,0)))</f>
        <v/>
      </c>
      <c r="J183" s="22" t="str">
        <f>IF($B183="","",IF(N('Aset Tetap'!$AG183)=0,0,IF(AND((YEAR(J$6)*12+MONTH(J$6))&gt;='Aset Tetap'!$Y183,(YEAR(J$6)*12+MONTH(J$6))&lt;=MIN('Aset Tetap'!$Z183,IF('Aset Tetap'!$S183="Unit Produksi",99999,'Aset Tetap'!$Y183+'Aset Tetap'!$T183*12-1))),'Aset Tetap'!$AQ183/'Aset Tetap'!$AG183,0)))</f>
        <v/>
      </c>
      <c r="K183" s="22" t="str">
        <f>IF($B183="","",IF(N('Aset Tetap'!$AG183)=0,0,IF(AND((YEAR(K$6)*12+MONTH(K$6))&gt;='Aset Tetap'!$Y183,(YEAR(K$6)*12+MONTH(K$6))&lt;=MIN('Aset Tetap'!$Z183,IF('Aset Tetap'!$S183="Unit Produksi",99999,'Aset Tetap'!$Y183+'Aset Tetap'!$T183*12-1))),'Aset Tetap'!$AQ183/'Aset Tetap'!$AG183,0)))</f>
        <v/>
      </c>
      <c r="L183" s="22" t="str">
        <f>IF($B183="","",IF(N('Aset Tetap'!$AG183)=0,0,IF(AND((YEAR(L$6)*12+MONTH(L$6))&gt;='Aset Tetap'!$Y183,(YEAR(L$6)*12+MONTH(L$6))&lt;=MIN('Aset Tetap'!$Z183,IF('Aset Tetap'!$S183="Unit Produksi",99999,'Aset Tetap'!$Y183+'Aset Tetap'!$T183*12-1))),'Aset Tetap'!$AQ183/'Aset Tetap'!$AG183,0)))</f>
        <v/>
      </c>
      <c r="M183" s="22" t="str">
        <f>IF($B183="","",IF(N('Aset Tetap'!$AG183)=0,0,IF(AND((YEAR(M$6)*12+MONTH(M$6))&gt;='Aset Tetap'!$Y183,(YEAR(M$6)*12+MONTH(M$6))&lt;=MIN('Aset Tetap'!$Z183,IF('Aset Tetap'!$S183="Unit Produksi",99999,'Aset Tetap'!$Y183+'Aset Tetap'!$T183*12-1))),'Aset Tetap'!$AQ183/'Aset Tetap'!$AG183,0)))</f>
        <v/>
      </c>
      <c r="N183" s="22" t="str">
        <f>IF($B183="","",IF(N('Aset Tetap'!$AG183)=0,0,IF(AND((YEAR(N$6)*12+MONTH(N$6))&gt;='Aset Tetap'!$Y183,(YEAR(N$6)*12+MONTH(N$6))&lt;=MIN('Aset Tetap'!$Z183,IF('Aset Tetap'!$S183="Unit Produksi",99999,'Aset Tetap'!$Y183+'Aset Tetap'!$T183*12-1))),'Aset Tetap'!$AQ183/'Aset Tetap'!$AG183,0)))</f>
        <v/>
      </c>
      <c r="O183" s="22" t="str">
        <f>IF($B183="","",IF(N('Aset Tetap'!$AG183)=0,0,IF(AND((YEAR(O$6)*12+MONTH(O$6))&gt;='Aset Tetap'!$Y183,(YEAR(O$6)*12+MONTH(O$6))&lt;=MIN('Aset Tetap'!$Z183,IF('Aset Tetap'!$S183="Unit Produksi",99999,'Aset Tetap'!$Y183+'Aset Tetap'!$T183*12-1))),'Aset Tetap'!$AQ183/'Aset Tetap'!$AG183,0)))</f>
        <v/>
      </c>
      <c r="P183" s="22" t="str">
        <f>IF($B183="","",IF(N('Aset Tetap'!$AG183)=0,0,IF(AND((YEAR(P$6)*12+MONTH(P$6))&gt;='Aset Tetap'!$Y183,(YEAR(P$6)*12+MONTH(P$6))&lt;=MIN('Aset Tetap'!$Z183,IF('Aset Tetap'!$S183="Unit Produksi",99999,'Aset Tetap'!$Y183+'Aset Tetap'!$T183*12-1))),'Aset Tetap'!$AQ183/'Aset Tetap'!$AG183,0)))</f>
        <v/>
      </c>
      <c r="Q183" s="22" t="str">
        <f>IF($B183="","",SUM(E183:P183))</f>
        <v/>
      </c>
      <c r="R183" s="22" t="str">
        <f>IF($B183="","",'Aset Tetap'!AQ183)</f>
        <v/>
      </c>
      <c r="S183" s="22" t="str">
        <f>IF($B183="","",ROUND(Q183-R183,0))</f>
        <v/>
      </c>
    </row>
    <row r="184" spans="1:19" x14ac:dyDescent="0.25">
      <c r="A184" t="str">
        <f>IF('Aset Tetap'!$B184="","",'Aset Tetap'!A184)</f>
        <v/>
      </c>
      <c r="B184" t="str">
        <f>IF('Aset Tetap'!$B184="","",'Aset Tetap'!B184)</f>
        <v/>
      </c>
      <c r="C184" t="str">
        <f>IF('Aset Tetap'!$B184="","",'Aset Tetap'!C184)</f>
        <v/>
      </c>
      <c r="D184" t="str">
        <f>IF('Aset Tetap'!$B184="","",'Aset Tetap'!D184)</f>
        <v/>
      </c>
      <c r="E184" s="22" t="str">
        <f>IF($B184="","",IF(N('Aset Tetap'!$AG184)=0,0,IF(AND((YEAR(E$6)*12+MONTH(E$6))&gt;='Aset Tetap'!$Y184,(YEAR(E$6)*12+MONTH(E$6))&lt;=MIN('Aset Tetap'!$Z184,IF('Aset Tetap'!$S184="Unit Produksi",99999,'Aset Tetap'!$Y184+'Aset Tetap'!$T184*12-1))),'Aset Tetap'!$AQ184/'Aset Tetap'!$AG184,0)))</f>
        <v/>
      </c>
      <c r="F184" s="22" t="str">
        <f>IF($B184="","",IF(N('Aset Tetap'!$AG184)=0,0,IF(AND((YEAR(F$6)*12+MONTH(F$6))&gt;='Aset Tetap'!$Y184,(YEAR(F$6)*12+MONTH(F$6))&lt;=MIN('Aset Tetap'!$Z184,IF('Aset Tetap'!$S184="Unit Produksi",99999,'Aset Tetap'!$Y184+'Aset Tetap'!$T184*12-1))),'Aset Tetap'!$AQ184/'Aset Tetap'!$AG184,0)))</f>
        <v/>
      </c>
      <c r="G184" s="22" t="str">
        <f>IF($B184="","",IF(N('Aset Tetap'!$AG184)=0,0,IF(AND((YEAR(G$6)*12+MONTH(G$6))&gt;='Aset Tetap'!$Y184,(YEAR(G$6)*12+MONTH(G$6))&lt;=MIN('Aset Tetap'!$Z184,IF('Aset Tetap'!$S184="Unit Produksi",99999,'Aset Tetap'!$Y184+'Aset Tetap'!$T184*12-1))),'Aset Tetap'!$AQ184/'Aset Tetap'!$AG184,0)))</f>
        <v/>
      </c>
      <c r="H184" s="22" t="str">
        <f>IF($B184="","",IF(N('Aset Tetap'!$AG184)=0,0,IF(AND((YEAR(H$6)*12+MONTH(H$6))&gt;='Aset Tetap'!$Y184,(YEAR(H$6)*12+MONTH(H$6))&lt;=MIN('Aset Tetap'!$Z184,IF('Aset Tetap'!$S184="Unit Produksi",99999,'Aset Tetap'!$Y184+'Aset Tetap'!$T184*12-1))),'Aset Tetap'!$AQ184/'Aset Tetap'!$AG184,0)))</f>
        <v/>
      </c>
      <c r="I184" s="22" t="str">
        <f>IF($B184="","",IF(N('Aset Tetap'!$AG184)=0,0,IF(AND((YEAR(I$6)*12+MONTH(I$6))&gt;='Aset Tetap'!$Y184,(YEAR(I$6)*12+MONTH(I$6))&lt;=MIN('Aset Tetap'!$Z184,IF('Aset Tetap'!$S184="Unit Produksi",99999,'Aset Tetap'!$Y184+'Aset Tetap'!$T184*12-1))),'Aset Tetap'!$AQ184/'Aset Tetap'!$AG184,0)))</f>
        <v/>
      </c>
      <c r="J184" s="22" t="str">
        <f>IF($B184="","",IF(N('Aset Tetap'!$AG184)=0,0,IF(AND((YEAR(J$6)*12+MONTH(J$6))&gt;='Aset Tetap'!$Y184,(YEAR(J$6)*12+MONTH(J$6))&lt;=MIN('Aset Tetap'!$Z184,IF('Aset Tetap'!$S184="Unit Produksi",99999,'Aset Tetap'!$Y184+'Aset Tetap'!$T184*12-1))),'Aset Tetap'!$AQ184/'Aset Tetap'!$AG184,0)))</f>
        <v/>
      </c>
      <c r="K184" s="22" t="str">
        <f>IF($B184="","",IF(N('Aset Tetap'!$AG184)=0,0,IF(AND((YEAR(K$6)*12+MONTH(K$6))&gt;='Aset Tetap'!$Y184,(YEAR(K$6)*12+MONTH(K$6))&lt;=MIN('Aset Tetap'!$Z184,IF('Aset Tetap'!$S184="Unit Produksi",99999,'Aset Tetap'!$Y184+'Aset Tetap'!$T184*12-1))),'Aset Tetap'!$AQ184/'Aset Tetap'!$AG184,0)))</f>
        <v/>
      </c>
      <c r="L184" s="22" t="str">
        <f>IF($B184="","",IF(N('Aset Tetap'!$AG184)=0,0,IF(AND((YEAR(L$6)*12+MONTH(L$6))&gt;='Aset Tetap'!$Y184,(YEAR(L$6)*12+MONTH(L$6))&lt;=MIN('Aset Tetap'!$Z184,IF('Aset Tetap'!$S184="Unit Produksi",99999,'Aset Tetap'!$Y184+'Aset Tetap'!$T184*12-1))),'Aset Tetap'!$AQ184/'Aset Tetap'!$AG184,0)))</f>
        <v/>
      </c>
      <c r="M184" s="22" t="str">
        <f>IF($B184="","",IF(N('Aset Tetap'!$AG184)=0,0,IF(AND((YEAR(M$6)*12+MONTH(M$6))&gt;='Aset Tetap'!$Y184,(YEAR(M$6)*12+MONTH(M$6))&lt;=MIN('Aset Tetap'!$Z184,IF('Aset Tetap'!$S184="Unit Produksi",99999,'Aset Tetap'!$Y184+'Aset Tetap'!$T184*12-1))),'Aset Tetap'!$AQ184/'Aset Tetap'!$AG184,0)))</f>
        <v/>
      </c>
      <c r="N184" s="22" t="str">
        <f>IF($B184="","",IF(N('Aset Tetap'!$AG184)=0,0,IF(AND((YEAR(N$6)*12+MONTH(N$6))&gt;='Aset Tetap'!$Y184,(YEAR(N$6)*12+MONTH(N$6))&lt;=MIN('Aset Tetap'!$Z184,IF('Aset Tetap'!$S184="Unit Produksi",99999,'Aset Tetap'!$Y184+'Aset Tetap'!$T184*12-1))),'Aset Tetap'!$AQ184/'Aset Tetap'!$AG184,0)))</f>
        <v/>
      </c>
      <c r="O184" s="22" t="str">
        <f>IF($B184="","",IF(N('Aset Tetap'!$AG184)=0,0,IF(AND((YEAR(O$6)*12+MONTH(O$6))&gt;='Aset Tetap'!$Y184,(YEAR(O$6)*12+MONTH(O$6))&lt;=MIN('Aset Tetap'!$Z184,IF('Aset Tetap'!$S184="Unit Produksi",99999,'Aset Tetap'!$Y184+'Aset Tetap'!$T184*12-1))),'Aset Tetap'!$AQ184/'Aset Tetap'!$AG184,0)))</f>
        <v/>
      </c>
      <c r="P184" s="22" t="str">
        <f>IF($B184="","",IF(N('Aset Tetap'!$AG184)=0,0,IF(AND((YEAR(P$6)*12+MONTH(P$6))&gt;='Aset Tetap'!$Y184,(YEAR(P$6)*12+MONTH(P$6))&lt;=MIN('Aset Tetap'!$Z184,IF('Aset Tetap'!$S184="Unit Produksi",99999,'Aset Tetap'!$Y184+'Aset Tetap'!$T184*12-1))),'Aset Tetap'!$AQ184/'Aset Tetap'!$AG184,0)))</f>
        <v/>
      </c>
      <c r="Q184" s="22" t="str">
        <f>IF($B184="","",SUM(E184:P184))</f>
        <v/>
      </c>
      <c r="R184" s="22" t="str">
        <f>IF($B184="","",'Aset Tetap'!AQ184)</f>
        <v/>
      </c>
      <c r="S184" s="22" t="str">
        <f>IF($B184="","",ROUND(Q184-R184,0))</f>
        <v/>
      </c>
    </row>
    <row r="185" spans="1:19" x14ac:dyDescent="0.25">
      <c r="A185" t="str">
        <f>IF('Aset Tetap'!$B185="","",'Aset Tetap'!A185)</f>
        <v/>
      </c>
      <c r="B185" t="str">
        <f>IF('Aset Tetap'!$B185="","",'Aset Tetap'!B185)</f>
        <v/>
      </c>
      <c r="C185" t="str">
        <f>IF('Aset Tetap'!$B185="","",'Aset Tetap'!C185)</f>
        <v/>
      </c>
      <c r="D185" t="str">
        <f>IF('Aset Tetap'!$B185="","",'Aset Tetap'!D185)</f>
        <v/>
      </c>
      <c r="E185" s="22" t="str">
        <f>IF($B185="","",IF(N('Aset Tetap'!$AG185)=0,0,IF(AND((YEAR(E$6)*12+MONTH(E$6))&gt;='Aset Tetap'!$Y185,(YEAR(E$6)*12+MONTH(E$6))&lt;=MIN('Aset Tetap'!$Z185,IF('Aset Tetap'!$S185="Unit Produksi",99999,'Aset Tetap'!$Y185+'Aset Tetap'!$T185*12-1))),'Aset Tetap'!$AQ185/'Aset Tetap'!$AG185,0)))</f>
        <v/>
      </c>
      <c r="F185" s="22" t="str">
        <f>IF($B185="","",IF(N('Aset Tetap'!$AG185)=0,0,IF(AND((YEAR(F$6)*12+MONTH(F$6))&gt;='Aset Tetap'!$Y185,(YEAR(F$6)*12+MONTH(F$6))&lt;=MIN('Aset Tetap'!$Z185,IF('Aset Tetap'!$S185="Unit Produksi",99999,'Aset Tetap'!$Y185+'Aset Tetap'!$T185*12-1))),'Aset Tetap'!$AQ185/'Aset Tetap'!$AG185,0)))</f>
        <v/>
      </c>
      <c r="G185" s="22" t="str">
        <f>IF($B185="","",IF(N('Aset Tetap'!$AG185)=0,0,IF(AND((YEAR(G$6)*12+MONTH(G$6))&gt;='Aset Tetap'!$Y185,(YEAR(G$6)*12+MONTH(G$6))&lt;=MIN('Aset Tetap'!$Z185,IF('Aset Tetap'!$S185="Unit Produksi",99999,'Aset Tetap'!$Y185+'Aset Tetap'!$T185*12-1))),'Aset Tetap'!$AQ185/'Aset Tetap'!$AG185,0)))</f>
        <v/>
      </c>
      <c r="H185" s="22" t="str">
        <f>IF($B185="","",IF(N('Aset Tetap'!$AG185)=0,0,IF(AND((YEAR(H$6)*12+MONTH(H$6))&gt;='Aset Tetap'!$Y185,(YEAR(H$6)*12+MONTH(H$6))&lt;=MIN('Aset Tetap'!$Z185,IF('Aset Tetap'!$S185="Unit Produksi",99999,'Aset Tetap'!$Y185+'Aset Tetap'!$T185*12-1))),'Aset Tetap'!$AQ185/'Aset Tetap'!$AG185,0)))</f>
        <v/>
      </c>
      <c r="I185" s="22" t="str">
        <f>IF($B185="","",IF(N('Aset Tetap'!$AG185)=0,0,IF(AND((YEAR(I$6)*12+MONTH(I$6))&gt;='Aset Tetap'!$Y185,(YEAR(I$6)*12+MONTH(I$6))&lt;=MIN('Aset Tetap'!$Z185,IF('Aset Tetap'!$S185="Unit Produksi",99999,'Aset Tetap'!$Y185+'Aset Tetap'!$T185*12-1))),'Aset Tetap'!$AQ185/'Aset Tetap'!$AG185,0)))</f>
        <v/>
      </c>
      <c r="J185" s="22" t="str">
        <f>IF($B185="","",IF(N('Aset Tetap'!$AG185)=0,0,IF(AND((YEAR(J$6)*12+MONTH(J$6))&gt;='Aset Tetap'!$Y185,(YEAR(J$6)*12+MONTH(J$6))&lt;=MIN('Aset Tetap'!$Z185,IF('Aset Tetap'!$S185="Unit Produksi",99999,'Aset Tetap'!$Y185+'Aset Tetap'!$T185*12-1))),'Aset Tetap'!$AQ185/'Aset Tetap'!$AG185,0)))</f>
        <v/>
      </c>
      <c r="K185" s="22" t="str">
        <f>IF($B185="","",IF(N('Aset Tetap'!$AG185)=0,0,IF(AND((YEAR(K$6)*12+MONTH(K$6))&gt;='Aset Tetap'!$Y185,(YEAR(K$6)*12+MONTH(K$6))&lt;=MIN('Aset Tetap'!$Z185,IF('Aset Tetap'!$S185="Unit Produksi",99999,'Aset Tetap'!$Y185+'Aset Tetap'!$T185*12-1))),'Aset Tetap'!$AQ185/'Aset Tetap'!$AG185,0)))</f>
        <v/>
      </c>
      <c r="L185" s="22" t="str">
        <f>IF($B185="","",IF(N('Aset Tetap'!$AG185)=0,0,IF(AND((YEAR(L$6)*12+MONTH(L$6))&gt;='Aset Tetap'!$Y185,(YEAR(L$6)*12+MONTH(L$6))&lt;=MIN('Aset Tetap'!$Z185,IF('Aset Tetap'!$S185="Unit Produksi",99999,'Aset Tetap'!$Y185+'Aset Tetap'!$T185*12-1))),'Aset Tetap'!$AQ185/'Aset Tetap'!$AG185,0)))</f>
        <v/>
      </c>
      <c r="M185" s="22" t="str">
        <f>IF($B185="","",IF(N('Aset Tetap'!$AG185)=0,0,IF(AND((YEAR(M$6)*12+MONTH(M$6))&gt;='Aset Tetap'!$Y185,(YEAR(M$6)*12+MONTH(M$6))&lt;=MIN('Aset Tetap'!$Z185,IF('Aset Tetap'!$S185="Unit Produksi",99999,'Aset Tetap'!$Y185+'Aset Tetap'!$T185*12-1))),'Aset Tetap'!$AQ185/'Aset Tetap'!$AG185,0)))</f>
        <v/>
      </c>
      <c r="N185" s="22" t="str">
        <f>IF($B185="","",IF(N('Aset Tetap'!$AG185)=0,0,IF(AND((YEAR(N$6)*12+MONTH(N$6))&gt;='Aset Tetap'!$Y185,(YEAR(N$6)*12+MONTH(N$6))&lt;=MIN('Aset Tetap'!$Z185,IF('Aset Tetap'!$S185="Unit Produksi",99999,'Aset Tetap'!$Y185+'Aset Tetap'!$T185*12-1))),'Aset Tetap'!$AQ185/'Aset Tetap'!$AG185,0)))</f>
        <v/>
      </c>
      <c r="O185" s="22" t="str">
        <f>IF($B185="","",IF(N('Aset Tetap'!$AG185)=0,0,IF(AND((YEAR(O$6)*12+MONTH(O$6))&gt;='Aset Tetap'!$Y185,(YEAR(O$6)*12+MONTH(O$6))&lt;=MIN('Aset Tetap'!$Z185,IF('Aset Tetap'!$S185="Unit Produksi",99999,'Aset Tetap'!$Y185+'Aset Tetap'!$T185*12-1))),'Aset Tetap'!$AQ185/'Aset Tetap'!$AG185,0)))</f>
        <v/>
      </c>
      <c r="P185" s="22" t="str">
        <f>IF($B185="","",IF(N('Aset Tetap'!$AG185)=0,0,IF(AND((YEAR(P$6)*12+MONTH(P$6))&gt;='Aset Tetap'!$Y185,(YEAR(P$6)*12+MONTH(P$6))&lt;=MIN('Aset Tetap'!$Z185,IF('Aset Tetap'!$S185="Unit Produksi",99999,'Aset Tetap'!$Y185+'Aset Tetap'!$T185*12-1))),'Aset Tetap'!$AQ185/'Aset Tetap'!$AG185,0)))</f>
        <v/>
      </c>
      <c r="Q185" s="22" t="str">
        <f>IF($B185="","",SUM(E185:P185))</f>
        <v/>
      </c>
      <c r="R185" s="22" t="str">
        <f>IF($B185="","",'Aset Tetap'!AQ185)</f>
        <v/>
      </c>
      <c r="S185" s="22" t="str">
        <f>IF($B185="","",ROUND(Q185-R185,0))</f>
        <v/>
      </c>
    </row>
    <row r="186" spans="1:19" x14ac:dyDescent="0.25">
      <c r="A186" t="str">
        <f>IF('Aset Tetap'!$B186="","",'Aset Tetap'!A186)</f>
        <v/>
      </c>
      <c r="B186" t="str">
        <f>IF('Aset Tetap'!$B186="","",'Aset Tetap'!B186)</f>
        <v/>
      </c>
      <c r="C186" t="str">
        <f>IF('Aset Tetap'!$B186="","",'Aset Tetap'!C186)</f>
        <v/>
      </c>
      <c r="D186" t="str">
        <f>IF('Aset Tetap'!$B186="","",'Aset Tetap'!D186)</f>
        <v/>
      </c>
      <c r="E186" s="22" t="str">
        <f>IF($B186="","",IF(N('Aset Tetap'!$AG186)=0,0,IF(AND((YEAR(E$6)*12+MONTH(E$6))&gt;='Aset Tetap'!$Y186,(YEAR(E$6)*12+MONTH(E$6))&lt;=MIN('Aset Tetap'!$Z186,IF('Aset Tetap'!$S186="Unit Produksi",99999,'Aset Tetap'!$Y186+'Aset Tetap'!$T186*12-1))),'Aset Tetap'!$AQ186/'Aset Tetap'!$AG186,0)))</f>
        <v/>
      </c>
      <c r="F186" s="22" t="str">
        <f>IF($B186="","",IF(N('Aset Tetap'!$AG186)=0,0,IF(AND((YEAR(F$6)*12+MONTH(F$6))&gt;='Aset Tetap'!$Y186,(YEAR(F$6)*12+MONTH(F$6))&lt;=MIN('Aset Tetap'!$Z186,IF('Aset Tetap'!$S186="Unit Produksi",99999,'Aset Tetap'!$Y186+'Aset Tetap'!$T186*12-1))),'Aset Tetap'!$AQ186/'Aset Tetap'!$AG186,0)))</f>
        <v/>
      </c>
      <c r="G186" s="22" t="str">
        <f>IF($B186="","",IF(N('Aset Tetap'!$AG186)=0,0,IF(AND((YEAR(G$6)*12+MONTH(G$6))&gt;='Aset Tetap'!$Y186,(YEAR(G$6)*12+MONTH(G$6))&lt;=MIN('Aset Tetap'!$Z186,IF('Aset Tetap'!$S186="Unit Produksi",99999,'Aset Tetap'!$Y186+'Aset Tetap'!$T186*12-1))),'Aset Tetap'!$AQ186/'Aset Tetap'!$AG186,0)))</f>
        <v/>
      </c>
      <c r="H186" s="22" t="str">
        <f>IF($B186="","",IF(N('Aset Tetap'!$AG186)=0,0,IF(AND((YEAR(H$6)*12+MONTH(H$6))&gt;='Aset Tetap'!$Y186,(YEAR(H$6)*12+MONTH(H$6))&lt;=MIN('Aset Tetap'!$Z186,IF('Aset Tetap'!$S186="Unit Produksi",99999,'Aset Tetap'!$Y186+'Aset Tetap'!$T186*12-1))),'Aset Tetap'!$AQ186/'Aset Tetap'!$AG186,0)))</f>
        <v/>
      </c>
      <c r="I186" s="22" t="str">
        <f>IF($B186="","",IF(N('Aset Tetap'!$AG186)=0,0,IF(AND((YEAR(I$6)*12+MONTH(I$6))&gt;='Aset Tetap'!$Y186,(YEAR(I$6)*12+MONTH(I$6))&lt;=MIN('Aset Tetap'!$Z186,IF('Aset Tetap'!$S186="Unit Produksi",99999,'Aset Tetap'!$Y186+'Aset Tetap'!$T186*12-1))),'Aset Tetap'!$AQ186/'Aset Tetap'!$AG186,0)))</f>
        <v/>
      </c>
      <c r="J186" s="22" t="str">
        <f>IF($B186="","",IF(N('Aset Tetap'!$AG186)=0,0,IF(AND((YEAR(J$6)*12+MONTH(J$6))&gt;='Aset Tetap'!$Y186,(YEAR(J$6)*12+MONTH(J$6))&lt;=MIN('Aset Tetap'!$Z186,IF('Aset Tetap'!$S186="Unit Produksi",99999,'Aset Tetap'!$Y186+'Aset Tetap'!$T186*12-1))),'Aset Tetap'!$AQ186/'Aset Tetap'!$AG186,0)))</f>
        <v/>
      </c>
      <c r="K186" s="22" t="str">
        <f>IF($B186="","",IF(N('Aset Tetap'!$AG186)=0,0,IF(AND((YEAR(K$6)*12+MONTH(K$6))&gt;='Aset Tetap'!$Y186,(YEAR(K$6)*12+MONTH(K$6))&lt;=MIN('Aset Tetap'!$Z186,IF('Aset Tetap'!$S186="Unit Produksi",99999,'Aset Tetap'!$Y186+'Aset Tetap'!$T186*12-1))),'Aset Tetap'!$AQ186/'Aset Tetap'!$AG186,0)))</f>
        <v/>
      </c>
      <c r="L186" s="22" t="str">
        <f>IF($B186="","",IF(N('Aset Tetap'!$AG186)=0,0,IF(AND((YEAR(L$6)*12+MONTH(L$6))&gt;='Aset Tetap'!$Y186,(YEAR(L$6)*12+MONTH(L$6))&lt;=MIN('Aset Tetap'!$Z186,IF('Aset Tetap'!$S186="Unit Produksi",99999,'Aset Tetap'!$Y186+'Aset Tetap'!$T186*12-1))),'Aset Tetap'!$AQ186/'Aset Tetap'!$AG186,0)))</f>
        <v/>
      </c>
      <c r="M186" s="22" t="str">
        <f>IF($B186="","",IF(N('Aset Tetap'!$AG186)=0,0,IF(AND((YEAR(M$6)*12+MONTH(M$6))&gt;='Aset Tetap'!$Y186,(YEAR(M$6)*12+MONTH(M$6))&lt;=MIN('Aset Tetap'!$Z186,IF('Aset Tetap'!$S186="Unit Produksi",99999,'Aset Tetap'!$Y186+'Aset Tetap'!$T186*12-1))),'Aset Tetap'!$AQ186/'Aset Tetap'!$AG186,0)))</f>
        <v/>
      </c>
      <c r="N186" s="22" t="str">
        <f>IF($B186="","",IF(N('Aset Tetap'!$AG186)=0,0,IF(AND((YEAR(N$6)*12+MONTH(N$6))&gt;='Aset Tetap'!$Y186,(YEAR(N$6)*12+MONTH(N$6))&lt;=MIN('Aset Tetap'!$Z186,IF('Aset Tetap'!$S186="Unit Produksi",99999,'Aset Tetap'!$Y186+'Aset Tetap'!$T186*12-1))),'Aset Tetap'!$AQ186/'Aset Tetap'!$AG186,0)))</f>
        <v/>
      </c>
      <c r="O186" s="22" t="str">
        <f>IF($B186="","",IF(N('Aset Tetap'!$AG186)=0,0,IF(AND((YEAR(O$6)*12+MONTH(O$6))&gt;='Aset Tetap'!$Y186,(YEAR(O$6)*12+MONTH(O$6))&lt;=MIN('Aset Tetap'!$Z186,IF('Aset Tetap'!$S186="Unit Produksi",99999,'Aset Tetap'!$Y186+'Aset Tetap'!$T186*12-1))),'Aset Tetap'!$AQ186/'Aset Tetap'!$AG186,0)))</f>
        <v/>
      </c>
      <c r="P186" s="22" t="str">
        <f>IF($B186="","",IF(N('Aset Tetap'!$AG186)=0,0,IF(AND((YEAR(P$6)*12+MONTH(P$6))&gt;='Aset Tetap'!$Y186,(YEAR(P$6)*12+MONTH(P$6))&lt;=MIN('Aset Tetap'!$Z186,IF('Aset Tetap'!$S186="Unit Produksi",99999,'Aset Tetap'!$Y186+'Aset Tetap'!$T186*12-1))),'Aset Tetap'!$AQ186/'Aset Tetap'!$AG186,0)))</f>
        <v/>
      </c>
      <c r="Q186" s="22" t="str">
        <f>IF($B186="","",SUM(E186:P186))</f>
        <v/>
      </c>
      <c r="R186" s="22" t="str">
        <f>IF($B186="","",'Aset Tetap'!AQ186)</f>
        <v/>
      </c>
      <c r="S186" s="22" t="str">
        <f>IF($B186="","",ROUND(Q186-R186,0))</f>
        <v/>
      </c>
    </row>
    <row r="187" spans="1:19" x14ac:dyDescent="0.25">
      <c r="A187" t="str">
        <f>IF('Aset Tetap'!$B187="","",'Aset Tetap'!A187)</f>
        <v/>
      </c>
      <c r="B187" t="str">
        <f>IF('Aset Tetap'!$B187="","",'Aset Tetap'!B187)</f>
        <v/>
      </c>
      <c r="C187" t="str">
        <f>IF('Aset Tetap'!$B187="","",'Aset Tetap'!C187)</f>
        <v/>
      </c>
      <c r="D187" t="str">
        <f>IF('Aset Tetap'!$B187="","",'Aset Tetap'!D187)</f>
        <v/>
      </c>
      <c r="E187" s="22" t="str">
        <f>IF($B187="","",IF(N('Aset Tetap'!$AG187)=0,0,IF(AND((YEAR(E$6)*12+MONTH(E$6))&gt;='Aset Tetap'!$Y187,(YEAR(E$6)*12+MONTH(E$6))&lt;=MIN('Aset Tetap'!$Z187,IF('Aset Tetap'!$S187="Unit Produksi",99999,'Aset Tetap'!$Y187+'Aset Tetap'!$T187*12-1))),'Aset Tetap'!$AQ187/'Aset Tetap'!$AG187,0)))</f>
        <v/>
      </c>
      <c r="F187" s="22" t="str">
        <f>IF($B187="","",IF(N('Aset Tetap'!$AG187)=0,0,IF(AND((YEAR(F$6)*12+MONTH(F$6))&gt;='Aset Tetap'!$Y187,(YEAR(F$6)*12+MONTH(F$6))&lt;=MIN('Aset Tetap'!$Z187,IF('Aset Tetap'!$S187="Unit Produksi",99999,'Aset Tetap'!$Y187+'Aset Tetap'!$T187*12-1))),'Aset Tetap'!$AQ187/'Aset Tetap'!$AG187,0)))</f>
        <v/>
      </c>
      <c r="G187" s="22" t="str">
        <f>IF($B187="","",IF(N('Aset Tetap'!$AG187)=0,0,IF(AND((YEAR(G$6)*12+MONTH(G$6))&gt;='Aset Tetap'!$Y187,(YEAR(G$6)*12+MONTH(G$6))&lt;=MIN('Aset Tetap'!$Z187,IF('Aset Tetap'!$S187="Unit Produksi",99999,'Aset Tetap'!$Y187+'Aset Tetap'!$T187*12-1))),'Aset Tetap'!$AQ187/'Aset Tetap'!$AG187,0)))</f>
        <v/>
      </c>
      <c r="H187" s="22" t="str">
        <f>IF($B187="","",IF(N('Aset Tetap'!$AG187)=0,0,IF(AND((YEAR(H$6)*12+MONTH(H$6))&gt;='Aset Tetap'!$Y187,(YEAR(H$6)*12+MONTH(H$6))&lt;=MIN('Aset Tetap'!$Z187,IF('Aset Tetap'!$S187="Unit Produksi",99999,'Aset Tetap'!$Y187+'Aset Tetap'!$T187*12-1))),'Aset Tetap'!$AQ187/'Aset Tetap'!$AG187,0)))</f>
        <v/>
      </c>
      <c r="I187" s="22" t="str">
        <f>IF($B187="","",IF(N('Aset Tetap'!$AG187)=0,0,IF(AND((YEAR(I$6)*12+MONTH(I$6))&gt;='Aset Tetap'!$Y187,(YEAR(I$6)*12+MONTH(I$6))&lt;=MIN('Aset Tetap'!$Z187,IF('Aset Tetap'!$S187="Unit Produksi",99999,'Aset Tetap'!$Y187+'Aset Tetap'!$T187*12-1))),'Aset Tetap'!$AQ187/'Aset Tetap'!$AG187,0)))</f>
        <v/>
      </c>
      <c r="J187" s="22" t="str">
        <f>IF($B187="","",IF(N('Aset Tetap'!$AG187)=0,0,IF(AND((YEAR(J$6)*12+MONTH(J$6))&gt;='Aset Tetap'!$Y187,(YEAR(J$6)*12+MONTH(J$6))&lt;=MIN('Aset Tetap'!$Z187,IF('Aset Tetap'!$S187="Unit Produksi",99999,'Aset Tetap'!$Y187+'Aset Tetap'!$T187*12-1))),'Aset Tetap'!$AQ187/'Aset Tetap'!$AG187,0)))</f>
        <v/>
      </c>
      <c r="K187" s="22" t="str">
        <f>IF($B187="","",IF(N('Aset Tetap'!$AG187)=0,0,IF(AND((YEAR(K$6)*12+MONTH(K$6))&gt;='Aset Tetap'!$Y187,(YEAR(K$6)*12+MONTH(K$6))&lt;=MIN('Aset Tetap'!$Z187,IF('Aset Tetap'!$S187="Unit Produksi",99999,'Aset Tetap'!$Y187+'Aset Tetap'!$T187*12-1))),'Aset Tetap'!$AQ187/'Aset Tetap'!$AG187,0)))</f>
        <v/>
      </c>
      <c r="L187" s="22" t="str">
        <f>IF($B187="","",IF(N('Aset Tetap'!$AG187)=0,0,IF(AND((YEAR(L$6)*12+MONTH(L$6))&gt;='Aset Tetap'!$Y187,(YEAR(L$6)*12+MONTH(L$6))&lt;=MIN('Aset Tetap'!$Z187,IF('Aset Tetap'!$S187="Unit Produksi",99999,'Aset Tetap'!$Y187+'Aset Tetap'!$T187*12-1))),'Aset Tetap'!$AQ187/'Aset Tetap'!$AG187,0)))</f>
        <v/>
      </c>
      <c r="M187" s="22" t="str">
        <f>IF($B187="","",IF(N('Aset Tetap'!$AG187)=0,0,IF(AND((YEAR(M$6)*12+MONTH(M$6))&gt;='Aset Tetap'!$Y187,(YEAR(M$6)*12+MONTH(M$6))&lt;=MIN('Aset Tetap'!$Z187,IF('Aset Tetap'!$S187="Unit Produksi",99999,'Aset Tetap'!$Y187+'Aset Tetap'!$T187*12-1))),'Aset Tetap'!$AQ187/'Aset Tetap'!$AG187,0)))</f>
        <v/>
      </c>
      <c r="N187" s="22" t="str">
        <f>IF($B187="","",IF(N('Aset Tetap'!$AG187)=0,0,IF(AND((YEAR(N$6)*12+MONTH(N$6))&gt;='Aset Tetap'!$Y187,(YEAR(N$6)*12+MONTH(N$6))&lt;=MIN('Aset Tetap'!$Z187,IF('Aset Tetap'!$S187="Unit Produksi",99999,'Aset Tetap'!$Y187+'Aset Tetap'!$T187*12-1))),'Aset Tetap'!$AQ187/'Aset Tetap'!$AG187,0)))</f>
        <v/>
      </c>
      <c r="O187" s="22" t="str">
        <f>IF($B187="","",IF(N('Aset Tetap'!$AG187)=0,0,IF(AND((YEAR(O$6)*12+MONTH(O$6))&gt;='Aset Tetap'!$Y187,(YEAR(O$6)*12+MONTH(O$6))&lt;=MIN('Aset Tetap'!$Z187,IF('Aset Tetap'!$S187="Unit Produksi",99999,'Aset Tetap'!$Y187+'Aset Tetap'!$T187*12-1))),'Aset Tetap'!$AQ187/'Aset Tetap'!$AG187,0)))</f>
        <v/>
      </c>
      <c r="P187" s="22" t="str">
        <f>IF($B187="","",IF(N('Aset Tetap'!$AG187)=0,0,IF(AND((YEAR(P$6)*12+MONTH(P$6))&gt;='Aset Tetap'!$Y187,(YEAR(P$6)*12+MONTH(P$6))&lt;=MIN('Aset Tetap'!$Z187,IF('Aset Tetap'!$S187="Unit Produksi",99999,'Aset Tetap'!$Y187+'Aset Tetap'!$T187*12-1))),'Aset Tetap'!$AQ187/'Aset Tetap'!$AG187,0)))</f>
        <v/>
      </c>
      <c r="Q187" s="22" t="str">
        <f>IF($B187="","",SUM(E187:P187))</f>
        <v/>
      </c>
      <c r="R187" s="22" t="str">
        <f>IF($B187="","",'Aset Tetap'!AQ187)</f>
        <v/>
      </c>
      <c r="S187" s="22" t="str">
        <f>IF($B187="","",ROUND(Q187-R187,0))</f>
        <v/>
      </c>
    </row>
    <row r="188" spans="1:19" x14ac:dyDescent="0.25">
      <c r="A188" t="str">
        <f>IF('Aset Tetap'!$B188="","",'Aset Tetap'!A188)</f>
        <v/>
      </c>
      <c r="B188" t="str">
        <f>IF('Aset Tetap'!$B188="","",'Aset Tetap'!B188)</f>
        <v/>
      </c>
      <c r="C188" t="str">
        <f>IF('Aset Tetap'!$B188="","",'Aset Tetap'!C188)</f>
        <v/>
      </c>
      <c r="D188" t="str">
        <f>IF('Aset Tetap'!$B188="","",'Aset Tetap'!D188)</f>
        <v/>
      </c>
      <c r="E188" s="22" t="str">
        <f>IF($B188="","",IF(N('Aset Tetap'!$AG188)=0,0,IF(AND((YEAR(E$6)*12+MONTH(E$6))&gt;='Aset Tetap'!$Y188,(YEAR(E$6)*12+MONTH(E$6))&lt;=MIN('Aset Tetap'!$Z188,IF('Aset Tetap'!$S188="Unit Produksi",99999,'Aset Tetap'!$Y188+'Aset Tetap'!$T188*12-1))),'Aset Tetap'!$AQ188/'Aset Tetap'!$AG188,0)))</f>
        <v/>
      </c>
      <c r="F188" s="22" t="str">
        <f>IF($B188="","",IF(N('Aset Tetap'!$AG188)=0,0,IF(AND((YEAR(F$6)*12+MONTH(F$6))&gt;='Aset Tetap'!$Y188,(YEAR(F$6)*12+MONTH(F$6))&lt;=MIN('Aset Tetap'!$Z188,IF('Aset Tetap'!$S188="Unit Produksi",99999,'Aset Tetap'!$Y188+'Aset Tetap'!$T188*12-1))),'Aset Tetap'!$AQ188/'Aset Tetap'!$AG188,0)))</f>
        <v/>
      </c>
      <c r="G188" s="22" t="str">
        <f>IF($B188="","",IF(N('Aset Tetap'!$AG188)=0,0,IF(AND((YEAR(G$6)*12+MONTH(G$6))&gt;='Aset Tetap'!$Y188,(YEAR(G$6)*12+MONTH(G$6))&lt;=MIN('Aset Tetap'!$Z188,IF('Aset Tetap'!$S188="Unit Produksi",99999,'Aset Tetap'!$Y188+'Aset Tetap'!$T188*12-1))),'Aset Tetap'!$AQ188/'Aset Tetap'!$AG188,0)))</f>
        <v/>
      </c>
      <c r="H188" s="22" t="str">
        <f>IF($B188="","",IF(N('Aset Tetap'!$AG188)=0,0,IF(AND((YEAR(H$6)*12+MONTH(H$6))&gt;='Aset Tetap'!$Y188,(YEAR(H$6)*12+MONTH(H$6))&lt;=MIN('Aset Tetap'!$Z188,IF('Aset Tetap'!$S188="Unit Produksi",99999,'Aset Tetap'!$Y188+'Aset Tetap'!$T188*12-1))),'Aset Tetap'!$AQ188/'Aset Tetap'!$AG188,0)))</f>
        <v/>
      </c>
      <c r="I188" s="22" t="str">
        <f>IF($B188="","",IF(N('Aset Tetap'!$AG188)=0,0,IF(AND((YEAR(I$6)*12+MONTH(I$6))&gt;='Aset Tetap'!$Y188,(YEAR(I$6)*12+MONTH(I$6))&lt;=MIN('Aset Tetap'!$Z188,IF('Aset Tetap'!$S188="Unit Produksi",99999,'Aset Tetap'!$Y188+'Aset Tetap'!$T188*12-1))),'Aset Tetap'!$AQ188/'Aset Tetap'!$AG188,0)))</f>
        <v/>
      </c>
      <c r="J188" s="22" t="str">
        <f>IF($B188="","",IF(N('Aset Tetap'!$AG188)=0,0,IF(AND((YEAR(J$6)*12+MONTH(J$6))&gt;='Aset Tetap'!$Y188,(YEAR(J$6)*12+MONTH(J$6))&lt;=MIN('Aset Tetap'!$Z188,IF('Aset Tetap'!$S188="Unit Produksi",99999,'Aset Tetap'!$Y188+'Aset Tetap'!$T188*12-1))),'Aset Tetap'!$AQ188/'Aset Tetap'!$AG188,0)))</f>
        <v/>
      </c>
      <c r="K188" s="22" t="str">
        <f>IF($B188="","",IF(N('Aset Tetap'!$AG188)=0,0,IF(AND((YEAR(K$6)*12+MONTH(K$6))&gt;='Aset Tetap'!$Y188,(YEAR(K$6)*12+MONTH(K$6))&lt;=MIN('Aset Tetap'!$Z188,IF('Aset Tetap'!$S188="Unit Produksi",99999,'Aset Tetap'!$Y188+'Aset Tetap'!$T188*12-1))),'Aset Tetap'!$AQ188/'Aset Tetap'!$AG188,0)))</f>
        <v/>
      </c>
      <c r="L188" s="22" t="str">
        <f>IF($B188="","",IF(N('Aset Tetap'!$AG188)=0,0,IF(AND((YEAR(L$6)*12+MONTH(L$6))&gt;='Aset Tetap'!$Y188,(YEAR(L$6)*12+MONTH(L$6))&lt;=MIN('Aset Tetap'!$Z188,IF('Aset Tetap'!$S188="Unit Produksi",99999,'Aset Tetap'!$Y188+'Aset Tetap'!$T188*12-1))),'Aset Tetap'!$AQ188/'Aset Tetap'!$AG188,0)))</f>
        <v/>
      </c>
      <c r="M188" s="22" t="str">
        <f>IF($B188="","",IF(N('Aset Tetap'!$AG188)=0,0,IF(AND((YEAR(M$6)*12+MONTH(M$6))&gt;='Aset Tetap'!$Y188,(YEAR(M$6)*12+MONTH(M$6))&lt;=MIN('Aset Tetap'!$Z188,IF('Aset Tetap'!$S188="Unit Produksi",99999,'Aset Tetap'!$Y188+'Aset Tetap'!$T188*12-1))),'Aset Tetap'!$AQ188/'Aset Tetap'!$AG188,0)))</f>
        <v/>
      </c>
      <c r="N188" s="22" t="str">
        <f>IF($B188="","",IF(N('Aset Tetap'!$AG188)=0,0,IF(AND((YEAR(N$6)*12+MONTH(N$6))&gt;='Aset Tetap'!$Y188,(YEAR(N$6)*12+MONTH(N$6))&lt;=MIN('Aset Tetap'!$Z188,IF('Aset Tetap'!$S188="Unit Produksi",99999,'Aset Tetap'!$Y188+'Aset Tetap'!$T188*12-1))),'Aset Tetap'!$AQ188/'Aset Tetap'!$AG188,0)))</f>
        <v/>
      </c>
      <c r="O188" s="22" t="str">
        <f>IF($B188="","",IF(N('Aset Tetap'!$AG188)=0,0,IF(AND((YEAR(O$6)*12+MONTH(O$6))&gt;='Aset Tetap'!$Y188,(YEAR(O$6)*12+MONTH(O$6))&lt;=MIN('Aset Tetap'!$Z188,IF('Aset Tetap'!$S188="Unit Produksi",99999,'Aset Tetap'!$Y188+'Aset Tetap'!$T188*12-1))),'Aset Tetap'!$AQ188/'Aset Tetap'!$AG188,0)))</f>
        <v/>
      </c>
      <c r="P188" s="22" t="str">
        <f>IF($B188="","",IF(N('Aset Tetap'!$AG188)=0,0,IF(AND((YEAR(P$6)*12+MONTH(P$6))&gt;='Aset Tetap'!$Y188,(YEAR(P$6)*12+MONTH(P$6))&lt;=MIN('Aset Tetap'!$Z188,IF('Aset Tetap'!$S188="Unit Produksi",99999,'Aset Tetap'!$Y188+'Aset Tetap'!$T188*12-1))),'Aset Tetap'!$AQ188/'Aset Tetap'!$AG188,0)))</f>
        <v/>
      </c>
      <c r="Q188" s="22" t="str">
        <f>IF($B188="","",SUM(E188:P188))</f>
        <v/>
      </c>
      <c r="R188" s="22" t="str">
        <f>IF($B188="","",'Aset Tetap'!AQ188)</f>
        <v/>
      </c>
      <c r="S188" s="22" t="str">
        <f>IF($B188="","",ROUND(Q188-R188,0))</f>
        <v/>
      </c>
    </row>
    <row r="189" spans="1:19" x14ac:dyDescent="0.25">
      <c r="A189" t="str">
        <f>IF('Aset Tetap'!$B189="","",'Aset Tetap'!A189)</f>
        <v/>
      </c>
      <c r="B189" t="str">
        <f>IF('Aset Tetap'!$B189="","",'Aset Tetap'!B189)</f>
        <v/>
      </c>
      <c r="C189" t="str">
        <f>IF('Aset Tetap'!$B189="","",'Aset Tetap'!C189)</f>
        <v/>
      </c>
      <c r="D189" t="str">
        <f>IF('Aset Tetap'!$B189="","",'Aset Tetap'!D189)</f>
        <v/>
      </c>
      <c r="E189" s="22" t="str">
        <f>IF($B189="","",IF(N('Aset Tetap'!$AG189)=0,0,IF(AND((YEAR(E$6)*12+MONTH(E$6))&gt;='Aset Tetap'!$Y189,(YEAR(E$6)*12+MONTH(E$6))&lt;=MIN('Aset Tetap'!$Z189,IF('Aset Tetap'!$S189="Unit Produksi",99999,'Aset Tetap'!$Y189+'Aset Tetap'!$T189*12-1))),'Aset Tetap'!$AQ189/'Aset Tetap'!$AG189,0)))</f>
        <v/>
      </c>
      <c r="F189" s="22" t="str">
        <f>IF($B189="","",IF(N('Aset Tetap'!$AG189)=0,0,IF(AND((YEAR(F$6)*12+MONTH(F$6))&gt;='Aset Tetap'!$Y189,(YEAR(F$6)*12+MONTH(F$6))&lt;=MIN('Aset Tetap'!$Z189,IF('Aset Tetap'!$S189="Unit Produksi",99999,'Aset Tetap'!$Y189+'Aset Tetap'!$T189*12-1))),'Aset Tetap'!$AQ189/'Aset Tetap'!$AG189,0)))</f>
        <v/>
      </c>
      <c r="G189" s="22" t="str">
        <f>IF($B189="","",IF(N('Aset Tetap'!$AG189)=0,0,IF(AND((YEAR(G$6)*12+MONTH(G$6))&gt;='Aset Tetap'!$Y189,(YEAR(G$6)*12+MONTH(G$6))&lt;=MIN('Aset Tetap'!$Z189,IF('Aset Tetap'!$S189="Unit Produksi",99999,'Aset Tetap'!$Y189+'Aset Tetap'!$T189*12-1))),'Aset Tetap'!$AQ189/'Aset Tetap'!$AG189,0)))</f>
        <v/>
      </c>
      <c r="H189" s="22" t="str">
        <f>IF($B189="","",IF(N('Aset Tetap'!$AG189)=0,0,IF(AND((YEAR(H$6)*12+MONTH(H$6))&gt;='Aset Tetap'!$Y189,(YEAR(H$6)*12+MONTH(H$6))&lt;=MIN('Aset Tetap'!$Z189,IF('Aset Tetap'!$S189="Unit Produksi",99999,'Aset Tetap'!$Y189+'Aset Tetap'!$T189*12-1))),'Aset Tetap'!$AQ189/'Aset Tetap'!$AG189,0)))</f>
        <v/>
      </c>
      <c r="I189" s="22" t="str">
        <f>IF($B189="","",IF(N('Aset Tetap'!$AG189)=0,0,IF(AND((YEAR(I$6)*12+MONTH(I$6))&gt;='Aset Tetap'!$Y189,(YEAR(I$6)*12+MONTH(I$6))&lt;=MIN('Aset Tetap'!$Z189,IF('Aset Tetap'!$S189="Unit Produksi",99999,'Aset Tetap'!$Y189+'Aset Tetap'!$T189*12-1))),'Aset Tetap'!$AQ189/'Aset Tetap'!$AG189,0)))</f>
        <v/>
      </c>
      <c r="J189" s="22" t="str">
        <f>IF($B189="","",IF(N('Aset Tetap'!$AG189)=0,0,IF(AND((YEAR(J$6)*12+MONTH(J$6))&gt;='Aset Tetap'!$Y189,(YEAR(J$6)*12+MONTH(J$6))&lt;=MIN('Aset Tetap'!$Z189,IF('Aset Tetap'!$S189="Unit Produksi",99999,'Aset Tetap'!$Y189+'Aset Tetap'!$T189*12-1))),'Aset Tetap'!$AQ189/'Aset Tetap'!$AG189,0)))</f>
        <v/>
      </c>
      <c r="K189" s="22" t="str">
        <f>IF($B189="","",IF(N('Aset Tetap'!$AG189)=0,0,IF(AND((YEAR(K$6)*12+MONTH(K$6))&gt;='Aset Tetap'!$Y189,(YEAR(K$6)*12+MONTH(K$6))&lt;=MIN('Aset Tetap'!$Z189,IF('Aset Tetap'!$S189="Unit Produksi",99999,'Aset Tetap'!$Y189+'Aset Tetap'!$T189*12-1))),'Aset Tetap'!$AQ189/'Aset Tetap'!$AG189,0)))</f>
        <v/>
      </c>
      <c r="L189" s="22" t="str">
        <f>IF($B189="","",IF(N('Aset Tetap'!$AG189)=0,0,IF(AND((YEAR(L$6)*12+MONTH(L$6))&gt;='Aset Tetap'!$Y189,(YEAR(L$6)*12+MONTH(L$6))&lt;=MIN('Aset Tetap'!$Z189,IF('Aset Tetap'!$S189="Unit Produksi",99999,'Aset Tetap'!$Y189+'Aset Tetap'!$T189*12-1))),'Aset Tetap'!$AQ189/'Aset Tetap'!$AG189,0)))</f>
        <v/>
      </c>
      <c r="M189" s="22" t="str">
        <f>IF($B189="","",IF(N('Aset Tetap'!$AG189)=0,0,IF(AND((YEAR(M$6)*12+MONTH(M$6))&gt;='Aset Tetap'!$Y189,(YEAR(M$6)*12+MONTH(M$6))&lt;=MIN('Aset Tetap'!$Z189,IF('Aset Tetap'!$S189="Unit Produksi",99999,'Aset Tetap'!$Y189+'Aset Tetap'!$T189*12-1))),'Aset Tetap'!$AQ189/'Aset Tetap'!$AG189,0)))</f>
        <v/>
      </c>
      <c r="N189" s="22" t="str">
        <f>IF($B189="","",IF(N('Aset Tetap'!$AG189)=0,0,IF(AND((YEAR(N$6)*12+MONTH(N$6))&gt;='Aset Tetap'!$Y189,(YEAR(N$6)*12+MONTH(N$6))&lt;=MIN('Aset Tetap'!$Z189,IF('Aset Tetap'!$S189="Unit Produksi",99999,'Aset Tetap'!$Y189+'Aset Tetap'!$T189*12-1))),'Aset Tetap'!$AQ189/'Aset Tetap'!$AG189,0)))</f>
        <v/>
      </c>
      <c r="O189" s="22" t="str">
        <f>IF($B189="","",IF(N('Aset Tetap'!$AG189)=0,0,IF(AND((YEAR(O$6)*12+MONTH(O$6))&gt;='Aset Tetap'!$Y189,(YEAR(O$6)*12+MONTH(O$6))&lt;=MIN('Aset Tetap'!$Z189,IF('Aset Tetap'!$S189="Unit Produksi",99999,'Aset Tetap'!$Y189+'Aset Tetap'!$T189*12-1))),'Aset Tetap'!$AQ189/'Aset Tetap'!$AG189,0)))</f>
        <v/>
      </c>
      <c r="P189" s="22" t="str">
        <f>IF($B189="","",IF(N('Aset Tetap'!$AG189)=0,0,IF(AND((YEAR(P$6)*12+MONTH(P$6))&gt;='Aset Tetap'!$Y189,(YEAR(P$6)*12+MONTH(P$6))&lt;=MIN('Aset Tetap'!$Z189,IF('Aset Tetap'!$S189="Unit Produksi",99999,'Aset Tetap'!$Y189+'Aset Tetap'!$T189*12-1))),'Aset Tetap'!$AQ189/'Aset Tetap'!$AG189,0)))</f>
        <v/>
      </c>
      <c r="Q189" s="22" t="str">
        <f>IF($B189="","",SUM(E189:P189))</f>
        <v/>
      </c>
      <c r="R189" s="22" t="str">
        <f>IF($B189="","",'Aset Tetap'!AQ189)</f>
        <v/>
      </c>
      <c r="S189" s="22" t="str">
        <f>IF($B189="","",ROUND(Q189-R189,0))</f>
        <v/>
      </c>
    </row>
    <row r="190" spans="1:19" x14ac:dyDescent="0.25">
      <c r="A190" t="str">
        <f>IF('Aset Tetap'!$B190="","",'Aset Tetap'!A190)</f>
        <v/>
      </c>
      <c r="B190" t="str">
        <f>IF('Aset Tetap'!$B190="","",'Aset Tetap'!B190)</f>
        <v/>
      </c>
      <c r="C190" t="str">
        <f>IF('Aset Tetap'!$B190="","",'Aset Tetap'!C190)</f>
        <v/>
      </c>
      <c r="D190" t="str">
        <f>IF('Aset Tetap'!$B190="","",'Aset Tetap'!D190)</f>
        <v/>
      </c>
      <c r="E190" s="22" t="str">
        <f>IF($B190="","",IF(N('Aset Tetap'!$AG190)=0,0,IF(AND((YEAR(E$6)*12+MONTH(E$6))&gt;='Aset Tetap'!$Y190,(YEAR(E$6)*12+MONTH(E$6))&lt;=MIN('Aset Tetap'!$Z190,IF('Aset Tetap'!$S190="Unit Produksi",99999,'Aset Tetap'!$Y190+'Aset Tetap'!$T190*12-1))),'Aset Tetap'!$AQ190/'Aset Tetap'!$AG190,0)))</f>
        <v/>
      </c>
      <c r="F190" s="22" t="str">
        <f>IF($B190="","",IF(N('Aset Tetap'!$AG190)=0,0,IF(AND((YEAR(F$6)*12+MONTH(F$6))&gt;='Aset Tetap'!$Y190,(YEAR(F$6)*12+MONTH(F$6))&lt;=MIN('Aset Tetap'!$Z190,IF('Aset Tetap'!$S190="Unit Produksi",99999,'Aset Tetap'!$Y190+'Aset Tetap'!$T190*12-1))),'Aset Tetap'!$AQ190/'Aset Tetap'!$AG190,0)))</f>
        <v/>
      </c>
      <c r="G190" s="22" t="str">
        <f>IF($B190="","",IF(N('Aset Tetap'!$AG190)=0,0,IF(AND((YEAR(G$6)*12+MONTH(G$6))&gt;='Aset Tetap'!$Y190,(YEAR(G$6)*12+MONTH(G$6))&lt;=MIN('Aset Tetap'!$Z190,IF('Aset Tetap'!$S190="Unit Produksi",99999,'Aset Tetap'!$Y190+'Aset Tetap'!$T190*12-1))),'Aset Tetap'!$AQ190/'Aset Tetap'!$AG190,0)))</f>
        <v/>
      </c>
      <c r="H190" s="22" t="str">
        <f>IF($B190="","",IF(N('Aset Tetap'!$AG190)=0,0,IF(AND((YEAR(H$6)*12+MONTH(H$6))&gt;='Aset Tetap'!$Y190,(YEAR(H$6)*12+MONTH(H$6))&lt;=MIN('Aset Tetap'!$Z190,IF('Aset Tetap'!$S190="Unit Produksi",99999,'Aset Tetap'!$Y190+'Aset Tetap'!$T190*12-1))),'Aset Tetap'!$AQ190/'Aset Tetap'!$AG190,0)))</f>
        <v/>
      </c>
      <c r="I190" s="22" t="str">
        <f>IF($B190="","",IF(N('Aset Tetap'!$AG190)=0,0,IF(AND((YEAR(I$6)*12+MONTH(I$6))&gt;='Aset Tetap'!$Y190,(YEAR(I$6)*12+MONTH(I$6))&lt;=MIN('Aset Tetap'!$Z190,IF('Aset Tetap'!$S190="Unit Produksi",99999,'Aset Tetap'!$Y190+'Aset Tetap'!$T190*12-1))),'Aset Tetap'!$AQ190/'Aset Tetap'!$AG190,0)))</f>
        <v/>
      </c>
      <c r="J190" s="22" t="str">
        <f>IF($B190="","",IF(N('Aset Tetap'!$AG190)=0,0,IF(AND((YEAR(J$6)*12+MONTH(J$6))&gt;='Aset Tetap'!$Y190,(YEAR(J$6)*12+MONTH(J$6))&lt;=MIN('Aset Tetap'!$Z190,IF('Aset Tetap'!$S190="Unit Produksi",99999,'Aset Tetap'!$Y190+'Aset Tetap'!$T190*12-1))),'Aset Tetap'!$AQ190/'Aset Tetap'!$AG190,0)))</f>
        <v/>
      </c>
      <c r="K190" s="22" t="str">
        <f>IF($B190="","",IF(N('Aset Tetap'!$AG190)=0,0,IF(AND((YEAR(K$6)*12+MONTH(K$6))&gt;='Aset Tetap'!$Y190,(YEAR(K$6)*12+MONTH(K$6))&lt;=MIN('Aset Tetap'!$Z190,IF('Aset Tetap'!$S190="Unit Produksi",99999,'Aset Tetap'!$Y190+'Aset Tetap'!$T190*12-1))),'Aset Tetap'!$AQ190/'Aset Tetap'!$AG190,0)))</f>
        <v/>
      </c>
      <c r="L190" s="22" t="str">
        <f>IF($B190="","",IF(N('Aset Tetap'!$AG190)=0,0,IF(AND((YEAR(L$6)*12+MONTH(L$6))&gt;='Aset Tetap'!$Y190,(YEAR(L$6)*12+MONTH(L$6))&lt;=MIN('Aset Tetap'!$Z190,IF('Aset Tetap'!$S190="Unit Produksi",99999,'Aset Tetap'!$Y190+'Aset Tetap'!$T190*12-1))),'Aset Tetap'!$AQ190/'Aset Tetap'!$AG190,0)))</f>
        <v/>
      </c>
      <c r="M190" s="22" t="str">
        <f>IF($B190="","",IF(N('Aset Tetap'!$AG190)=0,0,IF(AND((YEAR(M$6)*12+MONTH(M$6))&gt;='Aset Tetap'!$Y190,(YEAR(M$6)*12+MONTH(M$6))&lt;=MIN('Aset Tetap'!$Z190,IF('Aset Tetap'!$S190="Unit Produksi",99999,'Aset Tetap'!$Y190+'Aset Tetap'!$T190*12-1))),'Aset Tetap'!$AQ190/'Aset Tetap'!$AG190,0)))</f>
        <v/>
      </c>
      <c r="N190" s="22" t="str">
        <f>IF($B190="","",IF(N('Aset Tetap'!$AG190)=0,0,IF(AND((YEAR(N$6)*12+MONTH(N$6))&gt;='Aset Tetap'!$Y190,(YEAR(N$6)*12+MONTH(N$6))&lt;=MIN('Aset Tetap'!$Z190,IF('Aset Tetap'!$S190="Unit Produksi",99999,'Aset Tetap'!$Y190+'Aset Tetap'!$T190*12-1))),'Aset Tetap'!$AQ190/'Aset Tetap'!$AG190,0)))</f>
        <v/>
      </c>
      <c r="O190" s="22" t="str">
        <f>IF($B190="","",IF(N('Aset Tetap'!$AG190)=0,0,IF(AND((YEAR(O$6)*12+MONTH(O$6))&gt;='Aset Tetap'!$Y190,(YEAR(O$6)*12+MONTH(O$6))&lt;=MIN('Aset Tetap'!$Z190,IF('Aset Tetap'!$S190="Unit Produksi",99999,'Aset Tetap'!$Y190+'Aset Tetap'!$T190*12-1))),'Aset Tetap'!$AQ190/'Aset Tetap'!$AG190,0)))</f>
        <v/>
      </c>
      <c r="P190" s="22" t="str">
        <f>IF($B190="","",IF(N('Aset Tetap'!$AG190)=0,0,IF(AND((YEAR(P$6)*12+MONTH(P$6))&gt;='Aset Tetap'!$Y190,(YEAR(P$6)*12+MONTH(P$6))&lt;=MIN('Aset Tetap'!$Z190,IF('Aset Tetap'!$S190="Unit Produksi",99999,'Aset Tetap'!$Y190+'Aset Tetap'!$T190*12-1))),'Aset Tetap'!$AQ190/'Aset Tetap'!$AG190,0)))</f>
        <v/>
      </c>
      <c r="Q190" s="22" t="str">
        <f>IF($B190="","",SUM(E190:P190))</f>
        <v/>
      </c>
      <c r="R190" s="22" t="str">
        <f>IF($B190="","",'Aset Tetap'!AQ190)</f>
        <v/>
      </c>
      <c r="S190" s="22" t="str">
        <f>IF($B190="","",ROUND(Q190-R190,0))</f>
        <v/>
      </c>
    </row>
    <row r="191" spans="1:19" x14ac:dyDescent="0.25">
      <c r="A191" t="str">
        <f>IF('Aset Tetap'!$B191="","",'Aset Tetap'!A191)</f>
        <v/>
      </c>
      <c r="B191" t="str">
        <f>IF('Aset Tetap'!$B191="","",'Aset Tetap'!B191)</f>
        <v/>
      </c>
      <c r="C191" t="str">
        <f>IF('Aset Tetap'!$B191="","",'Aset Tetap'!C191)</f>
        <v/>
      </c>
      <c r="D191" t="str">
        <f>IF('Aset Tetap'!$B191="","",'Aset Tetap'!D191)</f>
        <v/>
      </c>
      <c r="E191" s="22" t="str">
        <f>IF($B191="","",IF(N('Aset Tetap'!$AG191)=0,0,IF(AND((YEAR(E$6)*12+MONTH(E$6))&gt;='Aset Tetap'!$Y191,(YEAR(E$6)*12+MONTH(E$6))&lt;=MIN('Aset Tetap'!$Z191,IF('Aset Tetap'!$S191="Unit Produksi",99999,'Aset Tetap'!$Y191+'Aset Tetap'!$T191*12-1))),'Aset Tetap'!$AQ191/'Aset Tetap'!$AG191,0)))</f>
        <v/>
      </c>
      <c r="F191" s="22" t="str">
        <f>IF($B191="","",IF(N('Aset Tetap'!$AG191)=0,0,IF(AND((YEAR(F$6)*12+MONTH(F$6))&gt;='Aset Tetap'!$Y191,(YEAR(F$6)*12+MONTH(F$6))&lt;=MIN('Aset Tetap'!$Z191,IF('Aset Tetap'!$S191="Unit Produksi",99999,'Aset Tetap'!$Y191+'Aset Tetap'!$T191*12-1))),'Aset Tetap'!$AQ191/'Aset Tetap'!$AG191,0)))</f>
        <v/>
      </c>
      <c r="G191" s="22" t="str">
        <f>IF($B191="","",IF(N('Aset Tetap'!$AG191)=0,0,IF(AND((YEAR(G$6)*12+MONTH(G$6))&gt;='Aset Tetap'!$Y191,(YEAR(G$6)*12+MONTH(G$6))&lt;=MIN('Aset Tetap'!$Z191,IF('Aset Tetap'!$S191="Unit Produksi",99999,'Aset Tetap'!$Y191+'Aset Tetap'!$T191*12-1))),'Aset Tetap'!$AQ191/'Aset Tetap'!$AG191,0)))</f>
        <v/>
      </c>
      <c r="H191" s="22" t="str">
        <f>IF($B191="","",IF(N('Aset Tetap'!$AG191)=0,0,IF(AND((YEAR(H$6)*12+MONTH(H$6))&gt;='Aset Tetap'!$Y191,(YEAR(H$6)*12+MONTH(H$6))&lt;=MIN('Aset Tetap'!$Z191,IF('Aset Tetap'!$S191="Unit Produksi",99999,'Aset Tetap'!$Y191+'Aset Tetap'!$T191*12-1))),'Aset Tetap'!$AQ191/'Aset Tetap'!$AG191,0)))</f>
        <v/>
      </c>
      <c r="I191" s="22" t="str">
        <f>IF($B191="","",IF(N('Aset Tetap'!$AG191)=0,0,IF(AND((YEAR(I$6)*12+MONTH(I$6))&gt;='Aset Tetap'!$Y191,(YEAR(I$6)*12+MONTH(I$6))&lt;=MIN('Aset Tetap'!$Z191,IF('Aset Tetap'!$S191="Unit Produksi",99999,'Aset Tetap'!$Y191+'Aset Tetap'!$T191*12-1))),'Aset Tetap'!$AQ191/'Aset Tetap'!$AG191,0)))</f>
        <v/>
      </c>
      <c r="J191" s="22" t="str">
        <f>IF($B191="","",IF(N('Aset Tetap'!$AG191)=0,0,IF(AND((YEAR(J$6)*12+MONTH(J$6))&gt;='Aset Tetap'!$Y191,(YEAR(J$6)*12+MONTH(J$6))&lt;=MIN('Aset Tetap'!$Z191,IF('Aset Tetap'!$S191="Unit Produksi",99999,'Aset Tetap'!$Y191+'Aset Tetap'!$T191*12-1))),'Aset Tetap'!$AQ191/'Aset Tetap'!$AG191,0)))</f>
        <v/>
      </c>
      <c r="K191" s="22" t="str">
        <f>IF($B191="","",IF(N('Aset Tetap'!$AG191)=0,0,IF(AND((YEAR(K$6)*12+MONTH(K$6))&gt;='Aset Tetap'!$Y191,(YEAR(K$6)*12+MONTH(K$6))&lt;=MIN('Aset Tetap'!$Z191,IF('Aset Tetap'!$S191="Unit Produksi",99999,'Aset Tetap'!$Y191+'Aset Tetap'!$T191*12-1))),'Aset Tetap'!$AQ191/'Aset Tetap'!$AG191,0)))</f>
        <v/>
      </c>
      <c r="L191" s="22" t="str">
        <f>IF($B191="","",IF(N('Aset Tetap'!$AG191)=0,0,IF(AND((YEAR(L$6)*12+MONTH(L$6))&gt;='Aset Tetap'!$Y191,(YEAR(L$6)*12+MONTH(L$6))&lt;=MIN('Aset Tetap'!$Z191,IF('Aset Tetap'!$S191="Unit Produksi",99999,'Aset Tetap'!$Y191+'Aset Tetap'!$T191*12-1))),'Aset Tetap'!$AQ191/'Aset Tetap'!$AG191,0)))</f>
        <v/>
      </c>
      <c r="M191" s="22" t="str">
        <f>IF($B191="","",IF(N('Aset Tetap'!$AG191)=0,0,IF(AND((YEAR(M$6)*12+MONTH(M$6))&gt;='Aset Tetap'!$Y191,(YEAR(M$6)*12+MONTH(M$6))&lt;=MIN('Aset Tetap'!$Z191,IF('Aset Tetap'!$S191="Unit Produksi",99999,'Aset Tetap'!$Y191+'Aset Tetap'!$T191*12-1))),'Aset Tetap'!$AQ191/'Aset Tetap'!$AG191,0)))</f>
        <v/>
      </c>
      <c r="N191" s="22" t="str">
        <f>IF($B191="","",IF(N('Aset Tetap'!$AG191)=0,0,IF(AND((YEAR(N$6)*12+MONTH(N$6))&gt;='Aset Tetap'!$Y191,(YEAR(N$6)*12+MONTH(N$6))&lt;=MIN('Aset Tetap'!$Z191,IF('Aset Tetap'!$S191="Unit Produksi",99999,'Aset Tetap'!$Y191+'Aset Tetap'!$T191*12-1))),'Aset Tetap'!$AQ191/'Aset Tetap'!$AG191,0)))</f>
        <v/>
      </c>
      <c r="O191" s="22" t="str">
        <f>IF($B191="","",IF(N('Aset Tetap'!$AG191)=0,0,IF(AND((YEAR(O$6)*12+MONTH(O$6))&gt;='Aset Tetap'!$Y191,(YEAR(O$6)*12+MONTH(O$6))&lt;=MIN('Aset Tetap'!$Z191,IF('Aset Tetap'!$S191="Unit Produksi",99999,'Aset Tetap'!$Y191+'Aset Tetap'!$T191*12-1))),'Aset Tetap'!$AQ191/'Aset Tetap'!$AG191,0)))</f>
        <v/>
      </c>
      <c r="P191" s="22" t="str">
        <f>IF($B191="","",IF(N('Aset Tetap'!$AG191)=0,0,IF(AND((YEAR(P$6)*12+MONTH(P$6))&gt;='Aset Tetap'!$Y191,(YEAR(P$6)*12+MONTH(P$6))&lt;=MIN('Aset Tetap'!$Z191,IF('Aset Tetap'!$S191="Unit Produksi",99999,'Aset Tetap'!$Y191+'Aset Tetap'!$T191*12-1))),'Aset Tetap'!$AQ191/'Aset Tetap'!$AG191,0)))</f>
        <v/>
      </c>
      <c r="Q191" s="22" t="str">
        <f>IF($B191="","",SUM(E191:P191))</f>
        <v/>
      </c>
      <c r="R191" s="22" t="str">
        <f>IF($B191="","",'Aset Tetap'!AQ191)</f>
        <v/>
      </c>
      <c r="S191" s="22" t="str">
        <f>IF($B191="","",ROUND(Q191-R191,0))</f>
        <v/>
      </c>
    </row>
    <row r="192" spans="1:19" x14ac:dyDescent="0.25">
      <c r="A192" t="str">
        <f>IF('Aset Tetap'!$B192="","",'Aset Tetap'!A192)</f>
        <v/>
      </c>
      <c r="B192" t="str">
        <f>IF('Aset Tetap'!$B192="","",'Aset Tetap'!B192)</f>
        <v/>
      </c>
      <c r="C192" t="str">
        <f>IF('Aset Tetap'!$B192="","",'Aset Tetap'!C192)</f>
        <v/>
      </c>
      <c r="D192" t="str">
        <f>IF('Aset Tetap'!$B192="","",'Aset Tetap'!D192)</f>
        <v/>
      </c>
      <c r="E192" s="22" t="str">
        <f>IF($B192="","",IF(N('Aset Tetap'!$AG192)=0,0,IF(AND((YEAR(E$6)*12+MONTH(E$6))&gt;='Aset Tetap'!$Y192,(YEAR(E$6)*12+MONTH(E$6))&lt;=MIN('Aset Tetap'!$Z192,IF('Aset Tetap'!$S192="Unit Produksi",99999,'Aset Tetap'!$Y192+'Aset Tetap'!$T192*12-1))),'Aset Tetap'!$AQ192/'Aset Tetap'!$AG192,0)))</f>
        <v/>
      </c>
      <c r="F192" s="22" t="str">
        <f>IF($B192="","",IF(N('Aset Tetap'!$AG192)=0,0,IF(AND((YEAR(F$6)*12+MONTH(F$6))&gt;='Aset Tetap'!$Y192,(YEAR(F$6)*12+MONTH(F$6))&lt;=MIN('Aset Tetap'!$Z192,IF('Aset Tetap'!$S192="Unit Produksi",99999,'Aset Tetap'!$Y192+'Aset Tetap'!$T192*12-1))),'Aset Tetap'!$AQ192/'Aset Tetap'!$AG192,0)))</f>
        <v/>
      </c>
      <c r="G192" s="22" t="str">
        <f>IF($B192="","",IF(N('Aset Tetap'!$AG192)=0,0,IF(AND((YEAR(G$6)*12+MONTH(G$6))&gt;='Aset Tetap'!$Y192,(YEAR(G$6)*12+MONTH(G$6))&lt;=MIN('Aset Tetap'!$Z192,IF('Aset Tetap'!$S192="Unit Produksi",99999,'Aset Tetap'!$Y192+'Aset Tetap'!$T192*12-1))),'Aset Tetap'!$AQ192/'Aset Tetap'!$AG192,0)))</f>
        <v/>
      </c>
      <c r="H192" s="22" t="str">
        <f>IF($B192="","",IF(N('Aset Tetap'!$AG192)=0,0,IF(AND((YEAR(H$6)*12+MONTH(H$6))&gt;='Aset Tetap'!$Y192,(YEAR(H$6)*12+MONTH(H$6))&lt;=MIN('Aset Tetap'!$Z192,IF('Aset Tetap'!$S192="Unit Produksi",99999,'Aset Tetap'!$Y192+'Aset Tetap'!$T192*12-1))),'Aset Tetap'!$AQ192/'Aset Tetap'!$AG192,0)))</f>
        <v/>
      </c>
      <c r="I192" s="22" t="str">
        <f>IF($B192="","",IF(N('Aset Tetap'!$AG192)=0,0,IF(AND((YEAR(I$6)*12+MONTH(I$6))&gt;='Aset Tetap'!$Y192,(YEAR(I$6)*12+MONTH(I$6))&lt;=MIN('Aset Tetap'!$Z192,IF('Aset Tetap'!$S192="Unit Produksi",99999,'Aset Tetap'!$Y192+'Aset Tetap'!$T192*12-1))),'Aset Tetap'!$AQ192/'Aset Tetap'!$AG192,0)))</f>
        <v/>
      </c>
      <c r="J192" s="22" t="str">
        <f>IF($B192="","",IF(N('Aset Tetap'!$AG192)=0,0,IF(AND((YEAR(J$6)*12+MONTH(J$6))&gt;='Aset Tetap'!$Y192,(YEAR(J$6)*12+MONTH(J$6))&lt;=MIN('Aset Tetap'!$Z192,IF('Aset Tetap'!$S192="Unit Produksi",99999,'Aset Tetap'!$Y192+'Aset Tetap'!$T192*12-1))),'Aset Tetap'!$AQ192/'Aset Tetap'!$AG192,0)))</f>
        <v/>
      </c>
      <c r="K192" s="22" t="str">
        <f>IF($B192="","",IF(N('Aset Tetap'!$AG192)=0,0,IF(AND((YEAR(K$6)*12+MONTH(K$6))&gt;='Aset Tetap'!$Y192,(YEAR(K$6)*12+MONTH(K$6))&lt;=MIN('Aset Tetap'!$Z192,IF('Aset Tetap'!$S192="Unit Produksi",99999,'Aset Tetap'!$Y192+'Aset Tetap'!$T192*12-1))),'Aset Tetap'!$AQ192/'Aset Tetap'!$AG192,0)))</f>
        <v/>
      </c>
      <c r="L192" s="22" t="str">
        <f>IF($B192="","",IF(N('Aset Tetap'!$AG192)=0,0,IF(AND((YEAR(L$6)*12+MONTH(L$6))&gt;='Aset Tetap'!$Y192,(YEAR(L$6)*12+MONTH(L$6))&lt;=MIN('Aset Tetap'!$Z192,IF('Aset Tetap'!$S192="Unit Produksi",99999,'Aset Tetap'!$Y192+'Aset Tetap'!$T192*12-1))),'Aset Tetap'!$AQ192/'Aset Tetap'!$AG192,0)))</f>
        <v/>
      </c>
      <c r="M192" s="22" t="str">
        <f>IF($B192="","",IF(N('Aset Tetap'!$AG192)=0,0,IF(AND((YEAR(M$6)*12+MONTH(M$6))&gt;='Aset Tetap'!$Y192,(YEAR(M$6)*12+MONTH(M$6))&lt;=MIN('Aset Tetap'!$Z192,IF('Aset Tetap'!$S192="Unit Produksi",99999,'Aset Tetap'!$Y192+'Aset Tetap'!$T192*12-1))),'Aset Tetap'!$AQ192/'Aset Tetap'!$AG192,0)))</f>
        <v/>
      </c>
      <c r="N192" s="22" t="str">
        <f>IF($B192="","",IF(N('Aset Tetap'!$AG192)=0,0,IF(AND((YEAR(N$6)*12+MONTH(N$6))&gt;='Aset Tetap'!$Y192,(YEAR(N$6)*12+MONTH(N$6))&lt;=MIN('Aset Tetap'!$Z192,IF('Aset Tetap'!$S192="Unit Produksi",99999,'Aset Tetap'!$Y192+'Aset Tetap'!$T192*12-1))),'Aset Tetap'!$AQ192/'Aset Tetap'!$AG192,0)))</f>
        <v/>
      </c>
      <c r="O192" s="22" t="str">
        <f>IF($B192="","",IF(N('Aset Tetap'!$AG192)=0,0,IF(AND((YEAR(O$6)*12+MONTH(O$6))&gt;='Aset Tetap'!$Y192,(YEAR(O$6)*12+MONTH(O$6))&lt;=MIN('Aset Tetap'!$Z192,IF('Aset Tetap'!$S192="Unit Produksi",99999,'Aset Tetap'!$Y192+'Aset Tetap'!$T192*12-1))),'Aset Tetap'!$AQ192/'Aset Tetap'!$AG192,0)))</f>
        <v/>
      </c>
      <c r="P192" s="22" t="str">
        <f>IF($B192="","",IF(N('Aset Tetap'!$AG192)=0,0,IF(AND((YEAR(P$6)*12+MONTH(P$6))&gt;='Aset Tetap'!$Y192,(YEAR(P$6)*12+MONTH(P$6))&lt;=MIN('Aset Tetap'!$Z192,IF('Aset Tetap'!$S192="Unit Produksi",99999,'Aset Tetap'!$Y192+'Aset Tetap'!$T192*12-1))),'Aset Tetap'!$AQ192/'Aset Tetap'!$AG192,0)))</f>
        <v/>
      </c>
      <c r="Q192" s="22" t="str">
        <f>IF($B192="","",SUM(E192:P192))</f>
        <v/>
      </c>
      <c r="R192" s="22" t="str">
        <f>IF($B192="","",'Aset Tetap'!AQ192)</f>
        <v/>
      </c>
      <c r="S192" s="22" t="str">
        <f>IF($B192="","",ROUND(Q192-R192,0))</f>
        <v/>
      </c>
    </row>
    <row r="193" spans="1:19" x14ac:dyDescent="0.25">
      <c r="A193" t="str">
        <f>IF('Aset Tetap'!$B193="","",'Aset Tetap'!A193)</f>
        <v/>
      </c>
      <c r="B193" t="str">
        <f>IF('Aset Tetap'!$B193="","",'Aset Tetap'!B193)</f>
        <v/>
      </c>
      <c r="C193" t="str">
        <f>IF('Aset Tetap'!$B193="","",'Aset Tetap'!C193)</f>
        <v/>
      </c>
      <c r="D193" t="str">
        <f>IF('Aset Tetap'!$B193="","",'Aset Tetap'!D193)</f>
        <v/>
      </c>
      <c r="E193" s="22" t="str">
        <f>IF($B193="","",IF(N('Aset Tetap'!$AG193)=0,0,IF(AND((YEAR(E$6)*12+MONTH(E$6))&gt;='Aset Tetap'!$Y193,(YEAR(E$6)*12+MONTH(E$6))&lt;=MIN('Aset Tetap'!$Z193,IF('Aset Tetap'!$S193="Unit Produksi",99999,'Aset Tetap'!$Y193+'Aset Tetap'!$T193*12-1))),'Aset Tetap'!$AQ193/'Aset Tetap'!$AG193,0)))</f>
        <v/>
      </c>
      <c r="F193" s="22" t="str">
        <f>IF($B193="","",IF(N('Aset Tetap'!$AG193)=0,0,IF(AND((YEAR(F$6)*12+MONTH(F$6))&gt;='Aset Tetap'!$Y193,(YEAR(F$6)*12+MONTH(F$6))&lt;=MIN('Aset Tetap'!$Z193,IF('Aset Tetap'!$S193="Unit Produksi",99999,'Aset Tetap'!$Y193+'Aset Tetap'!$T193*12-1))),'Aset Tetap'!$AQ193/'Aset Tetap'!$AG193,0)))</f>
        <v/>
      </c>
      <c r="G193" s="22" t="str">
        <f>IF($B193="","",IF(N('Aset Tetap'!$AG193)=0,0,IF(AND((YEAR(G$6)*12+MONTH(G$6))&gt;='Aset Tetap'!$Y193,(YEAR(G$6)*12+MONTH(G$6))&lt;=MIN('Aset Tetap'!$Z193,IF('Aset Tetap'!$S193="Unit Produksi",99999,'Aset Tetap'!$Y193+'Aset Tetap'!$T193*12-1))),'Aset Tetap'!$AQ193/'Aset Tetap'!$AG193,0)))</f>
        <v/>
      </c>
      <c r="H193" s="22" t="str">
        <f>IF($B193="","",IF(N('Aset Tetap'!$AG193)=0,0,IF(AND((YEAR(H$6)*12+MONTH(H$6))&gt;='Aset Tetap'!$Y193,(YEAR(H$6)*12+MONTH(H$6))&lt;=MIN('Aset Tetap'!$Z193,IF('Aset Tetap'!$S193="Unit Produksi",99999,'Aset Tetap'!$Y193+'Aset Tetap'!$T193*12-1))),'Aset Tetap'!$AQ193/'Aset Tetap'!$AG193,0)))</f>
        <v/>
      </c>
      <c r="I193" s="22" t="str">
        <f>IF($B193="","",IF(N('Aset Tetap'!$AG193)=0,0,IF(AND((YEAR(I$6)*12+MONTH(I$6))&gt;='Aset Tetap'!$Y193,(YEAR(I$6)*12+MONTH(I$6))&lt;=MIN('Aset Tetap'!$Z193,IF('Aset Tetap'!$S193="Unit Produksi",99999,'Aset Tetap'!$Y193+'Aset Tetap'!$T193*12-1))),'Aset Tetap'!$AQ193/'Aset Tetap'!$AG193,0)))</f>
        <v/>
      </c>
      <c r="J193" s="22" t="str">
        <f>IF($B193="","",IF(N('Aset Tetap'!$AG193)=0,0,IF(AND((YEAR(J$6)*12+MONTH(J$6))&gt;='Aset Tetap'!$Y193,(YEAR(J$6)*12+MONTH(J$6))&lt;=MIN('Aset Tetap'!$Z193,IF('Aset Tetap'!$S193="Unit Produksi",99999,'Aset Tetap'!$Y193+'Aset Tetap'!$T193*12-1))),'Aset Tetap'!$AQ193/'Aset Tetap'!$AG193,0)))</f>
        <v/>
      </c>
      <c r="K193" s="22" t="str">
        <f>IF($B193="","",IF(N('Aset Tetap'!$AG193)=0,0,IF(AND((YEAR(K$6)*12+MONTH(K$6))&gt;='Aset Tetap'!$Y193,(YEAR(K$6)*12+MONTH(K$6))&lt;=MIN('Aset Tetap'!$Z193,IF('Aset Tetap'!$S193="Unit Produksi",99999,'Aset Tetap'!$Y193+'Aset Tetap'!$T193*12-1))),'Aset Tetap'!$AQ193/'Aset Tetap'!$AG193,0)))</f>
        <v/>
      </c>
      <c r="L193" s="22" t="str">
        <f>IF($B193="","",IF(N('Aset Tetap'!$AG193)=0,0,IF(AND((YEAR(L$6)*12+MONTH(L$6))&gt;='Aset Tetap'!$Y193,(YEAR(L$6)*12+MONTH(L$6))&lt;=MIN('Aset Tetap'!$Z193,IF('Aset Tetap'!$S193="Unit Produksi",99999,'Aset Tetap'!$Y193+'Aset Tetap'!$T193*12-1))),'Aset Tetap'!$AQ193/'Aset Tetap'!$AG193,0)))</f>
        <v/>
      </c>
      <c r="M193" s="22" t="str">
        <f>IF($B193="","",IF(N('Aset Tetap'!$AG193)=0,0,IF(AND((YEAR(M$6)*12+MONTH(M$6))&gt;='Aset Tetap'!$Y193,(YEAR(M$6)*12+MONTH(M$6))&lt;=MIN('Aset Tetap'!$Z193,IF('Aset Tetap'!$S193="Unit Produksi",99999,'Aset Tetap'!$Y193+'Aset Tetap'!$T193*12-1))),'Aset Tetap'!$AQ193/'Aset Tetap'!$AG193,0)))</f>
        <v/>
      </c>
      <c r="N193" s="22" t="str">
        <f>IF($B193="","",IF(N('Aset Tetap'!$AG193)=0,0,IF(AND((YEAR(N$6)*12+MONTH(N$6))&gt;='Aset Tetap'!$Y193,(YEAR(N$6)*12+MONTH(N$6))&lt;=MIN('Aset Tetap'!$Z193,IF('Aset Tetap'!$S193="Unit Produksi",99999,'Aset Tetap'!$Y193+'Aset Tetap'!$T193*12-1))),'Aset Tetap'!$AQ193/'Aset Tetap'!$AG193,0)))</f>
        <v/>
      </c>
      <c r="O193" s="22" t="str">
        <f>IF($B193="","",IF(N('Aset Tetap'!$AG193)=0,0,IF(AND((YEAR(O$6)*12+MONTH(O$6))&gt;='Aset Tetap'!$Y193,(YEAR(O$6)*12+MONTH(O$6))&lt;=MIN('Aset Tetap'!$Z193,IF('Aset Tetap'!$S193="Unit Produksi",99999,'Aset Tetap'!$Y193+'Aset Tetap'!$T193*12-1))),'Aset Tetap'!$AQ193/'Aset Tetap'!$AG193,0)))</f>
        <v/>
      </c>
      <c r="P193" s="22" t="str">
        <f>IF($B193="","",IF(N('Aset Tetap'!$AG193)=0,0,IF(AND((YEAR(P$6)*12+MONTH(P$6))&gt;='Aset Tetap'!$Y193,(YEAR(P$6)*12+MONTH(P$6))&lt;=MIN('Aset Tetap'!$Z193,IF('Aset Tetap'!$S193="Unit Produksi",99999,'Aset Tetap'!$Y193+'Aset Tetap'!$T193*12-1))),'Aset Tetap'!$AQ193/'Aset Tetap'!$AG193,0)))</f>
        <v/>
      </c>
      <c r="Q193" s="22" t="str">
        <f>IF($B193="","",SUM(E193:P193))</f>
        <v/>
      </c>
      <c r="R193" s="22" t="str">
        <f>IF($B193="","",'Aset Tetap'!AQ193)</f>
        <v/>
      </c>
      <c r="S193" s="22" t="str">
        <f>IF($B193="","",ROUND(Q193-R193,0))</f>
        <v/>
      </c>
    </row>
    <row r="194" spans="1:19" x14ac:dyDescent="0.25">
      <c r="A194" t="str">
        <f>IF('Aset Tetap'!$B194="","",'Aset Tetap'!A194)</f>
        <v/>
      </c>
      <c r="B194" t="str">
        <f>IF('Aset Tetap'!$B194="","",'Aset Tetap'!B194)</f>
        <v/>
      </c>
      <c r="C194" t="str">
        <f>IF('Aset Tetap'!$B194="","",'Aset Tetap'!C194)</f>
        <v/>
      </c>
      <c r="D194" t="str">
        <f>IF('Aset Tetap'!$B194="","",'Aset Tetap'!D194)</f>
        <v/>
      </c>
      <c r="E194" s="22" t="str">
        <f>IF($B194="","",IF(N('Aset Tetap'!$AG194)=0,0,IF(AND((YEAR(E$6)*12+MONTH(E$6))&gt;='Aset Tetap'!$Y194,(YEAR(E$6)*12+MONTH(E$6))&lt;=MIN('Aset Tetap'!$Z194,IF('Aset Tetap'!$S194="Unit Produksi",99999,'Aset Tetap'!$Y194+'Aset Tetap'!$T194*12-1))),'Aset Tetap'!$AQ194/'Aset Tetap'!$AG194,0)))</f>
        <v/>
      </c>
      <c r="F194" s="22" t="str">
        <f>IF($B194="","",IF(N('Aset Tetap'!$AG194)=0,0,IF(AND((YEAR(F$6)*12+MONTH(F$6))&gt;='Aset Tetap'!$Y194,(YEAR(F$6)*12+MONTH(F$6))&lt;=MIN('Aset Tetap'!$Z194,IF('Aset Tetap'!$S194="Unit Produksi",99999,'Aset Tetap'!$Y194+'Aset Tetap'!$T194*12-1))),'Aset Tetap'!$AQ194/'Aset Tetap'!$AG194,0)))</f>
        <v/>
      </c>
      <c r="G194" s="22" t="str">
        <f>IF($B194="","",IF(N('Aset Tetap'!$AG194)=0,0,IF(AND((YEAR(G$6)*12+MONTH(G$6))&gt;='Aset Tetap'!$Y194,(YEAR(G$6)*12+MONTH(G$6))&lt;=MIN('Aset Tetap'!$Z194,IF('Aset Tetap'!$S194="Unit Produksi",99999,'Aset Tetap'!$Y194+'Aset Tetap'!$T194*12-1))),'Aset Tetap'!$AQ194/'Aset Tetap'!$AG194,0)))</f>
        <v/>
      </c>
      <c r="H194" s="22" t="str">
        <f>IF($B194="","",IF(N('Aset Tetap'!$AG194)=0,0,IF(AND((YEAR(H$6)*12+MONTH(H$6))&gt;='Aset Tetap'!$Y194,(YEAR(H$6)*12+MONTH(H$6))&lt;=MIN('Aset Tetap'!$Z194,IF('Aset Tetap'!$S194="Unit Produksi",99999,'Aset Tetap'!$Y194+'Aset Tetap'!$T194*12-1))),'Aset Tetap'!$AQ194/'Aset Tetap'!$AG194,0)))</f>
        <v/>
      </c>
      <c r="I194" s="22" t="str">
        <f>IF($B194="","",IF(N('Aset Tetap'!$AG194)=0,0,IF(AND((YEAR(I$6)*12+MONTH(I$6))&gt;='Aset Tetap'!$Y194,(YEAR(I$6)*12+MONTH(I$6))&lt;=MIN('Aset Tetap'!$Z194,IF('Aset Tetap'!$S194="Unit Produksi",99999,'Aset Tetap'!$Y194+'Aset Tetap'!$T194*12-1))),'Aset Tetap'!$AQ194/'Aset Tetap'!$AG194,0)))</f>
        <v/>
      </c>
      <c r="J194" s="22" t="str">
        <f>IF($B194="","",IF(N('Aset Tetap'!$AG194)=0,0,IF(AND((YEAR(J$6)*12+MONTH(J$6))&gt;='Aset Tetap'!$Y194,(YEAR(J$6)*12+MONTH(J$6))&lt;=MIN('Aset Tetap'!$Z194,IF('Aset Tetap'!$S194="Unit Produksi",99999,'Aset Tetap'!$Y194+'Aset Tetap'!$T194*12-1))),'Aset Tetap'!$AQ194/'Aset Tetap'!$AG194,0)))</f>
        <v/>
      </c>
      <c r="K194" s="22" t="str">
        <f>IF($B194="","",IF(N('Aset Tetap'!$AG194)=0,0,IF(AND((YEAR(K$6)*12+MONTH(K$6))&gt;='Aset Tetap'!$Y194,(YEAR(K$6)*12+MONTH(K$6))&lt;=MIN('Aset Tetap'!$Z194,IF('Aset Tetap'!$S194="Unit Produksi",99999,'Aset Tetap'!$Y194+'Aset Tetap'!$T194*12-1))),'Aset Tetap'!$AQ194/'Aset Tetap'!$AG194,0)))</f>
        <v/>
      </c>
      <c r="L194" s="22" t="str">
        <f>IF($B194="","",IF(N('Aset Tetap'!$AG194)=0,0,IF(AND((YEAR(L$6)*12+MONTH(L$6))&gt;='Aset Tetap'!$Y194,(YEAR(L$6)*12+MONTH(L$6))&lt;=MIN('Aset Tetap'!$Z194,IF('Aset Tetap'!$S194="Unit Produksi",99999,'Aset Tetap'!$Y194+'Aset Tetap'!$T194*12-1))),'Aset Tetap'!$AQ194/'Aset Tetap'!$AG194,0)))</f>
        <v/>
      </c>
      <c r="M194" s="22" t="str">
        <f>IF($B194="","",IF(N('Aset Tetap'!$AG194)=0,0,IF(AND((YEAR(M$6)*12+MONTH(M$6))&gt;='Aset Tetap'!$Y194,(YEAR(M$6)*12+MONTH(M$6))&lt;=MIN('Aset Tetap'!$Z194,IF('Aset Tetap'!$S194="Unit Produksi",99999,'Aset Tetap'!$Y194+'Aset Tetap'!$T194*12-1))),'Aset Tetap'!$AQ194/'Aset Tetap'!$AG194,0)))</f>
        <v/>
      </c>
      <c r="N194" s="22" t="str">
        <f>IF($B194="","",IF(N('Aset Tetap'!$AG194)=0,0,IF(AND((YEAR(N$6)*12+MONTH(N$6))&gt;='Aset Tetap'!$Y194,(YEAR(N$6)*12+MONTH(N$6))&lt;=MIN('Aset Tetap'!$Z194,IF('Aset Tetap'!$S194="Unit Produksi",99999,'Aset Tetap'!$Y194+'Aset Tetap'!$T194*12-1))),'Aset Tetap'!$AQ194/'Aset Tetap'!$AG194,0)))</f>
        <v/>
      </c>
      <c r="O194" s="22" t="str">
        <f>IF($B194="","",IF(N('Aset Tetap'!$AG194)=0,0,IF(AND((YEAR(O$6)*12+MONTH(O$6))&gt;='Aset Tetap'!$Y194,(YEAR(O$6)*12+MONTH(O$6))&lt;=MIN('Aset Tetap'!$Z194,IF('Aset Tetap'!$S194="Unit Produksi",99999,'Aset Tetap'!$Y194+'Aset Tetap'!$T194*12-1))),'Aset Tetap'!$AQ194/'Aset Tetap'!$AG194,0)))</f>
        <v/>
      </c>
      <c r="P194" s="22" t="str">
        <f>IF($B194="","",IF(N('Aset Tetap'!$AG194)=0,0,IF(AND((YEAR(P$6)*12+MONTH(P$6))&gt;='Aset Tetap'!$Y194,(YEAR(P$6)*12+MONTH(P$6))&lt;=MIN('Aset Tetap'!$Z194,IF('Aset Tetap'!$S194="Unit Produksi",99999,'Aset Tetap'!$Y194+'Aset Tetap'!$T194*12-1))),'Aset Tetap'!$AQ194/'Aset Tetap'!$AG194,0)))</f>
        <v/>
      </c>
      <c r="Q194" s="22" t="str">
        <f>IF($B194="","",SUM(E194:P194))</f>
        <v/>
      </c>
      <c r="R194" s="22" t="str">
        <f>IF($B194="","",'Aset Tetap'!AQ194)</f>
        <v/>
      </c>
      <c r="S194" s="22" t="str">
        <f>IF($B194="","",ROUND(Q194-R194,0))</f>
        <v/>
      </c>
    </row>
    <row r="195" spans="1:19" x14ac:dyDescent="0.25">
      <c r="A195" t="str">
        <f>IF('Aset Tetap'!$B195="","",'Aset Tetap'!A195)</f>
        <v/>
      </c>
      <c r="B195" t="str">
        <f>IF('Aset Tetap'!$B195="","",'Aset Tetap'!B195)</f>
        <v/>
      </c>
      <c r="C195" t="str">
        <f>IF('Aset Tetap'!$B195="","",'Aset Tetap'!C195)</f>
        <v/>
      </c>
      <c r="D195" t="str">
        <f>IF('Aset Tetap'!$B195="","",'Aset Tetap'!D195)</f>
        <v/>
      </c>
      <c r="E195" s="22" t="str">
        <f>IF($B195="","",IF(N('Aset Tetap'!$AG195)=0,0,IF(AND((YEAR(E$6)*12+MONTH(E$6))&gt;='Aset Tetap'!$Y195,(YEAR(E$6)*12+MONTH(E$6))&lt;=MIN('Aset Tetap'!$Z195,IF('Aset Tetap'!$S195="Unit Produksi",99999,'Aset Tetap'!$Y195+'Aset Tetap'!$T195*12-1))),'Aset Tetap'!$AQ195/'Aset Tetap'!$AG195,0)))</f>
        <v/>
      </c>
      <c r="F195" s="22" t="str">
        <f>IF($B195="","",IF(N('Aset Tetap'!$AG195)=0,0,IF(AND((YEAR(F$6)*12+MONTH(F$6))&gt;='Aset Tetap'!$Y195,(YEAR(F$6)*12+MONTH(F$6))&lt;=MIN('Aset Tetap'!$Z195,IF('Aset Tetap'!$S195="Unit Produksi",99999,'Aset Tetap'!$Y195+'Aset Tetap'!$T195*12-1))),'Aset Tetap'!$AQ195/'Aset Tetap'!$AG195,0)))</f>
        <v/>
      </c>
      <c r="G195" s="22" t="str">
        <f>IF($B195="","",IF(N('Aset Tetap'!$AG195)=0,0,IF(AND((YEAR(G$6)*12+MONTH(G$6))&gt;='Aset Tetap'!$Y195,(YEAR(G$6)*12+MONTH(G$6))&lt;=MIN('Aset Tetap'!$Z195,IF('Aset Tetap'!$S195="Unit Produksi",99999,'Aset Tetap'!$Y195+'Aset Tetap'!$T195*12-1))),'Aset Tetap'!$AQ195/'Aset Tetap'!$AG195,0)))</f>
        <v/>
      </c>
      <c r="H195" s="22" t="str">
        <f>IF($B195="","",IF(N('Aset Tetap'!$AG195)=0,0,IF(AND((YEAR(H$6)*12+MONTH(H$6))&gt;='Aset Tetap'!$Y195,(YEAR(H$6)*12+MONTH(H$6))&lt;=MIN('Aset Tetap'!$Z195,IF('Aset Tetap'!$S195="Unit Produksi",99999,'Aset Tetap'!$Y195+'Aset Tetap'!$T195*12-1))),'Aset Tetap'!$AQ195/'Aset Tetap'!$AG195,0)))</f>
        <v/>
      </c>
      <c r="I195" s="22" t="str">
        <f>IF($B195="","",IF(N('Aset Tetap'!$AG195)=0,0,IF(AND((YEAR(I$6)*12+MONTH(I$6))&gt;='Aset Tetap'!$Y195,(YEAR(I$6)*12+MONTH(I$6))&lt;=MIN('Aset Tetap'!$Z195,IF('Aset Tetap'!$S195="Unit Produksi",99999,'Aset Tetap'!$Y195+'Aset Tetap'!$T195*12-1))),'Aset Tetap'!$AQ195/'Aset Tetap'!$AG195,0)))</f>
        <v/>
      </c>
      <c r="J195" s="22" t="str">
        <f>IF($B195="","",IF(N('Aset Tetap'!$AG195)=0,0,IF(AND((YEAR(J$6)*12+MONTH(J$6))&gt;='Aset Tetap'!$Y195,(YEAR(J$6)*12+MONTH(J$6))&lt;=MIN('Aset Tetap'!$Z195,IF('Aset Tetap'!$S195="Unit Produksi",99999,'Aset Tetap'!$Y195+'Aset Tetap'!$T195*12-1))),'Aset Tetap'!$AQ195/'Aset Tetap'!$AG195,0)))</f>
        <v/>
      </c>
      <c r="K195" s="22" t="str">
        <f>IF($B195="","",IF(N('Aset Tetap'!$AG195)=0,0,IF(AND((YEAR(K$6)*12+MONTH(K$6))&gt;='Aset Tetap'!$Y195,(YEAR(K$6)*12+MONTH(K$6))&lt;=MIN('Aset Tetap'!$Z195,IF('Aset Tetap'!$S195="Unit Produksi",99999,'Aset Tetap'!$Y195+'Aset Tetap'!$T195*12-1))),'Aset Tetap'!$AQ195/'Aset Tetap'!$AG195,0)))</f>
        <v/>
      </c>
      <c r="L195" s="22" t="str">
        <f>IF($B195="","",IF(N('Aset Tetap'!$AG195)=0,0,IF(AND((YEAR(L$6)*12+MONTH(L$6))&gt;='Aset Tetap'!$Y195,(YEAR(L$6)*12+MONTH(L$6))&lt;=MIN('Aset Tetap'!$Z195,IF('Aset Tetap'!$S195="Unit Produksi",99999,'Aset Tetap'!$Y195+'Aset Tetap'!$T195*12-1))),'Aset Tetap'!$AQ195/'Aset Tetap'!$AG195,0)))</f>
        <v/>
      </c>
      <c r="M195" s="22" t="str">
        <f>IF($B195="","",IF(N('Aset Tetap'!$AG195)=0,0,IF(AND((YEAR(M$6)*12+MONTH(M$6))&gt;='Aset Tetap'!$Y195,(YEAR(M$6)*12+MONTH(M$6))&lt;=MIN('Aset Tetap'!$Z195,IF('Aset Tetap'!$S195="Unit Produksi",99999,'Aset Tetap'!$Y195+'Aset Tetap'!$T195*12-1))),'Aset Tetap'!$AQ195/'Aset Tetap'!$AG195,0)))</f>
        <v/>
      </c>
      <c r="N195" s="22" t="str">
        <f>IF($B195="","",IF(N('Aset Tetap'!$AG195)=0,0,IF(AND((YEAR(N$6)*12+MONTH(N$6))&gt;='Aset Tetap'!$Y195,(YEAR(N$6)*12+MONTH(N$6))&lt;=MIN('Aset Tetap'!$Z195,IF('Aset Tetap'!$S195="Unit Produksi",99999,'Aset Tetap'!$Y195+'Aset Tetap'!$T195*12-1))),'Aset Tetap'!$AQ195/'Aset Tetap'!$AG195,0)))</f>
        <v/>
      </c>
      <c r="O195" s="22" t="str">
        <f>IF($B195="","",IF(N('Aset Tetap'!$AG195)=0,0,IF(AND((YEAR(O$6)*12+MONTH(O$6))&gt;='Aset Tetap'!$Y195,(YEAR(O$6)*12+MONTH(O$6))&lt;=MIN('Aset Tetap'!$Z195,IF('Aset Tetap'!$S195="Unit Produksi",99999,'Aset Tetap'!$Y195+'Aset Tetap'!$T195*12-1))),'Aset Tetap'!$AQ195/'Aset Tetap'!$AG195,0)))</f>
        <v/>
      </c>
      <c r="P195" s="22" t="str">
        <f>IF($B195="","",IF(N('Aset Tetap'!$AG195)=0,0,IF(AND((YEAR(P$6)*12+MONTH(P$6))&gt;='Aset Tetap'!$Y195,(YEAR(P$6)*12+MONTH(P$6))&lt;=MIN('Aset Tetap'!$Z195,IF('Aset Tetap'!$S195="Unit Produksi",99999,'Aset Tetap'!$Y195+'Aset Tetap'!$T195*12-1))),'Aset Tetap'!$AQ195/'Aset Tetap'!$AG195,0)))</f>
        <v/>
      </c>
      <c r="Q195" s="22" t="str">
        <f>IF($B195="","",SUM(E195:P195))</f>
        <v/>
      </c>
      <c r="R195" s="22" t="str">
        <f>IF($B195="","",'Aset Tetap'!AQ195)</f>
        <v/>
      </c>
      <c r="S195" s="22" t="str">
        <f>IF($B195="","",ROUND(Q195-R195,0))</f>
        <v/>
      </c>
    </row>
    <row r="196" spans="1:19" x14ac:dyDescent="0.25">
      <c r="A196" t="str">
        <f>IF('Aset Tetap'!$B196="","",'Aset Tetap'!A196)</f>
        <v/>
      </c>
      <c r="B196" t="str">
        <f>IF('Aset Tetap'!$B196="","",'Aset Tetap'!B196)</f>
        <v/>
      </c>
      <c r="C196" t="str">
        <f>IF('Aset Tetap'!$B196="","",'Aset Tetap'!C196)</f>
        <v/>
      </c>
      <c r="D196" t="str">
        <f>IF('Aset Tetap'!$B196="","",'Aset Tetap'!D196)</f>
        <v/>
      </c>
      <c r="E196" s="22" t="str">
        <f>IF($B196="","",IF(N('Aset Tetap'!$AG196)=0,0,IF(AND((YEAR(E$6)*12+MONTH(E$6))&gt;='Aset Tetap'!$Y196,(YEAR(E$6)*12+MONTH(E$6))&lt;=MIN('Aset Tetap'!$Z196,IF('Aset Tetap'!$S196="Unit Produksi",99999,'Aset Tetap'!$Y196+'Aset Tetap'!$T196*12-1))),'Aset Tetap'!$AQ196/'Aset Tetap'!$AG196,0)))</f>
        <v/>
      </c>
      <c r="F196" s="22" t="str">
        <f>IF($B196="","",IF(N('Aset Tetap'!$AG196)=0,0,IF(AND((YEAR(F$6)*12+MONTH(F$6))&gt;='Aset Tetap'!$Y196,(YEAR(F$6)*12+MONTH(F$6))&lt;=MIN('Aset Tetap'!$Z196,IF('Aset Tetap'!$S196="Unit Produksi",99999,'Aset Tetap'!$Y196+'Aset Tetap'!$T196*12-1))),'Aset Tetap'!$AQ196/'Aset Tetap'!$AG196,0)))</f>
        <v/>
      </c>
      <c r="G196" s="22" t="str">
        <f>IF($B196="","",IF(N('Aset Tetap'!$AG196)=0,0,IF(AND((YEAR(G$6)*12+MONTH(G$6))&gt;='Aset Tetap'!$Y196,(YEAR(G$6)*12+MONTH(G$6))&lt;=MIN('Aset Tetap'!$Z196,IF('Aset Tetap'!$S196="Unit Produksi",99999,'Aset Tetap'!$Y196+'Aset Tetap'!$T196*12-1))),'Aset Tetap'!$AQ196/'Aset Tetap'!$AG196,0)))</f>
        <v/>
      </c>
      <c r="H196" s="22" t="str">
        <f>IF($B196="","",IF(N('Aset Tetap'!$AG196)=0,0,IF(AND((YEAR(H$6)*12+MONTH(H$6))&gt;='Aset Tetap'!$Y196,(YEAR(H$6)*12+MONTH(H$6))&lt;=MIN('Aset Tetap'!$Z196,IF('Aset Tetap'!$S196="Unit Produksi",99999,'Aset Tetap'!$Y196+'Aset Tetap'!$T196*12-1))),'Aset Tetap'!$AQ196/'Aset Tetap'!$AG196,0)))</f>
        <v/>
      </c>
      <c r="I196" s="22" t="str">
        <f>IF($B196="","",IF(N('Aset Tetap'!$AG196)=0,0,IF(AND((YEAR(I$6)*12+MONTH(I$6))&gt;='Aset Tetap'!$Y196,(YEAR(I$6)*12+MONTH(I$6))&lt;=MIN('Aset Tetap'!$Z196,IF('Aset Tetap'!$S196="Unit Produksi",99999,'Aset Tetap'!$Y196+'Aset Tetap'!$T196*12-1))),'Aset Tetap'!$AQ196/'Aset Tetap'!$AG196,0)))</f>
        <v/>
      </c>
      <c r="J196" s="22" t="str">
        <f>IF($B196="","",IF(N('Aset Tetap'!$AG196)=0,0,IF(AND((YEAR(J$6)*12+MONTH(J$6))&gt;='Aset Tetap'!$Y196,(YEAR(J$6)*12+MONTH(J$6))&lt;=MIN('Aset Tetap'!$Z196,IF('Aset Tetap'!$S196="Unit Produksi",99999,'Aset Tetap'!$Y196+'Aset Tetap'!$T196*12-1))),'Aset Tetap'!$AQ196/'Aset Tetap'!$AG196,0)))</f>
        <v/>
      </c>
      <c r="K196" s="22" t="str">
        <f>IF($B196="","",IF(N('Aset Tetap'!$AG196)=0,0,IF(AND((YEAR(K$6)*12+MONTH(K$6))&gt;='Aset Tetap'!$Y196,(YEAR(K$6)*12+MONTH(K$6))&lt;=MIN('Aset Tetap'!$Z196,IF('Aset Tetap'!$S196="Unit Produksi",99999,'Aset Tetap'!$Y196+'Aset Tetap'!$T196*12-1))),'Aset Tetap'!$AQ196/'Aset Tetap'!$AG196,0)))</f>
        <v/>
      </c>
      <c r="L196" s="22" t="str">
        <f>IF($B196="","",IF(N('Aset Tetap'!$AG196)=0,0,IF(AND((YEAR(L$6)*12+MONTH(L$6))&gt;='Aset Tetap'!$Y196,(YEAR(L$6)*12+MONTH(L$6))&lt;=MIN('Aset Tetap'!$Z196,IF('Aset Tetap'!$S196="Unit Produksi",99999,'Aset Tetap'!$Y196+'Aset Tetap'!$T196*12-1))),'Aset Tetap'!$AQ196/'Aset Tetap'!$AG196,0)))</f>
        <v/>
      </c>
      <c r="M196" s="22" t="str">
        <f>IF($B196="","",IF(N('Aset Tetap'!$AG196)=0,0,IF(AND((YEAR(M$6)*12+MONTH(M$6))&gt;='Aset Tetap'!$Y196,(YEAR(M$6)*12+MONTH(M$6))&lt;=MIN('Aset Tetap'!$Z196,IF('Aset Tetap'!$S196="Unit Produksi",99999,'Aset Tetap'!$Y196+'Aset Tetap'!$T196*12-1))),'Aset Tetap'!$AQ196/'Aset Tetap'!$AG196,0)))</f>
        <v/>
      </c>
      <c r="N196" s="22" t="str">
        <f>IF($B196="","",IF(N('Aset Tetap'!$AG196)=0,0,IF(AND((YEAR(N$6)*12+MONTH(N$6))&gt;='Aset Tetap'!$Y196,(YEAR(N$6)*12+MONTH(N$6))&lt;=MIN('Aset Tetap'!$Z196,IF('Aset Tetap'!$S196="Unit Produksi",99999,'Aset Tetap'!$Y196+'Aset Tetap'!$T196*12-1))),'Aset Tetap'!$AQ196/'Aset Tetap'!$AG196,0)))</f>
        <v/>
      </c>
      <c r="O196" s="22" t="str">
        <f>IF($B196="","",IF(N('Aset Tetap'!$AG196)=0,0,IF(AND((YEAR(O$6)*12+MONTH(O$6))&gt;='Aset Tetap'!$Y196,(YEAR(O$6)*12+MONTH(O$6))&lt;=MIN('Aset Tetap'!$Z196,IF('Aset Tetap'!$S196="Unit Produksi",99999,'Aset Tetap'!$Y196+'Aset Tetap'!$T196*12-1))),'Aset Tetap'!$AQ196/'Aset Tetap'!$AG196,0)))</f>
        <v/>
      </c>
      <c r="P196" s="22" t="str">
        <f>IF($B196="","",IF(N('Aset Tetap'!$AG196)=0,0,IF(AND((YEAR(P$6)*12+MONTH(P$6))&gt;='Aset Tetap'!$Y196,(YEAR(P$6)*12+MONTH(P$6))&lt;=MIN('Aset Tetap'!$Z196,IF('Aset Tetap'!$S196="Unit Produksi",99999,'Aset Tetap'!$Y196+'Aset Tetap'!$T196*12-1))),'Aset Tetap'!$AQ196/'Aset Tetap'!$AG196,0)))</f>
        <v/>
      </c>
      <c r="Q196" s="22" t="str">
        <f>IF($B196="","",SUM(E196:P196))</f>
        <v/>
      </c>
      <c r="R196" s="22" t="str">
        <f>IF($B196="","",'Aset Tetap'!AQ196)</f>
        <v/>
      </c>
      <c r="S196" s="22" t="str">
        <f>IF($B196="","",ROUND(Q196-R196,0))</f>
        <v/>
      </c>
    </row>
    <row r="197" spans="1:19" x14ac:dyDescent="0.25">
      <c r="A197" t="str">
        <f>IF('Aset Tetap'!$B197="","",'Aset Tetap'!A197)</f>
        <v/>
      </c>
      <c r="B197" t="str">
        <f>IF('Aset Tetap'!$B197="","",'Aset Tetap'!B197)</f>
        <v/>
      </c>
      <c r="C197" t="str">
        <f>IF('Aset Tetap'!$B197="","",'Aset Tetap'!C197)</f>
        <v/>
      </c>
      <c r="D197" t="str">
        <f>IF('Aset Tetap'!$B197="","",'Aset Tetap'!D197)</f>
        <v/>
      </c>
      <c r="E197" s="22" t="str">
        <f>IF($B197="","",IF(N('Aset Tetap'!$AG197)=0,0,IF(AND((YEAR(E$6)*12+MONTH(E$6))&gt;='Aset Tetap'!$Y197,(YEAR(E$6)*12+MONTH(E$6))&lt;=MIN('Aset Tetap'!$Z197,IF('Aset Tetap'!$S197="Unit Produksi",99999,'Aset Tetap'!$Y197+'Aset Tetap'!$T197*12-1))),'Aset Tetap'!$AQ197/'Aset Tetap'!$AG197,0)))</f>
        <v/>
      </c>
      <c r="F197" s="22" t="str">
        <f>IF($B197="","",IF(N('Aset Tetap'!$AG197)=0,0,IF(AND((YEAR(F$6)*12+MONTH(F$6))&gt;='Aset Tetap'!$Y197,(YEAR(F$6)*12+MONTH(F$6))&lt;=MIN('Aset Tetap'!$Z197,IF('Aset Tetap'!$S197="Unit Produksi",99999,'Aset Tetap'!$Y197+'Aset Tetap'!$T197*12-1))),'Aset Tetap'!$AQ197/'Aset Tetap'!$AG197,0)))</f>
        <v/>
      </c>
      <c r="G197" s="22" t="str">
        <f>IF($B197="","",IF(N('Aset Tetap'!$AG197)=0,0,IF(AND((YEAR(G$6)*12+MONTH(G$6))&gt;='Aset Tetap'!$Y197,(YEAR(G$6)*12+MONTH(G$6))&lt;=MIN('Aset Tetap'!$Z197,IF('Aset Tetap'!$S197="Unit Produksi",99999,'Aset Tetap'!$Y197+'Aset Tetap'!$T197*12-1))),'Aset Tetap'!$AQ197/'Aset Tetap'!$AG197,0)))</f>
        <v/>
      </c>
      <c r="H197" s="22" t="str">
        <f>IF($B197="","",IF(N('Aset Tetap'!$AG197)=0,0,IF(AND((YEAR(H$6)*12+MONTH(H$6))&gt;='Aset Tetap'!$Y197,(YEAR(H$6)*12+MONTH(H$6))&lt;=MIN('Aset Tetap'!$Z197,IF('Aset Tetap'!$S197="Unit Produksi",99999,'Aset Tetap'!$Y197+'Aset Tetap'!$T197*12-1))),'Aset Tetap'!$AQ197/'Aset Tetap'!$AG197,0)))</f>
        <v/>
      </c>
      <c r="I197" s="22" t="str">
        <f>IF($B197="","",IF(N('Aset Tetap'!$AG197)=0,0,IF(AND((YEAR(I$6)*12+MONTH(I$6))&gt;='Aset Tetap'!$Y197,(YEAR(I$6)*12+MONTH(I$6))&lt;=MIN('Aset Tetap'!$Z197,IF('Aset Tetap'!$S197="Unit Produksi",99999,'Aset Tetap'!$Y197+'Aset Tetap'!$T197*12-1))),'Aset Tetap'!$AQ197/'Aset Tetap'!$AG197,0)))</f>
        <v/>
      </c>
      <c r="J197" s="22" t="str">
        <f>IF($B197="","",IF(N('Aset Tetap'!$AG197)=0,0,IF(AND((YEAR(J$6)*12+MONTH(J$6))&gt;='Aset Tetap'!$Y197,(YEAR(J$6)*12+MONTH(J$6))&lt;=MIN('Aset Tetap'!$Z197,IF('Aset Tetap'!$S197="Unit Produksi",99999,'Aset Tetap'!$Y197+'Aset Tetap'!$T197*12-1))),'Aset Tetap'!$AQ197/'Aset Tetap'!$AG197,0)))</f>
        <v/>
      </c>
      <c r="K197" s="22" t="str">
        <f>IF($B197="","",IF(N('Aset Tetap'!$AG197)=0,0,IF(AND((YEAR(K$6)*12+MONTH(K$6))&gt;='Aset Tetap'!$Y197,(YEAR(K$6)*12+MONTH(K$6))&lt;=MIN('Aset Tetap'!$Z197,IF('Aset Tetap'!$S197="Unit Produksi",99999,'Aset Tetap'!$Y197+'Aset Tetap'!$T197*12-1))),'Aset Tetap'!$AQ197/'Aset Tetap'!$AG197,0)))</f>
        <v/>
      </c>
      <c r="L197" s="22" t="str">
        <f>IF($B197="","",IF(N('Aset Tetap'!$AG197)=0,0,IF(AND((YEAR(L$6)*12+MONTH(L$6))&gt;='Aset Tetap'!$Y197,(YEAR(L$6)*12+MONTH(L$6))&lt;=MIN('Aset Tetap'!$Z197,IF('Aset Tetap'!$S197="Unit Produksi",99999,'Aset Tetap'!$Y197+'Aset Tetap'!$T197*12-1))),'Aset Tetap'!$AQ197/'Aset Tetap'!$AG197,0)))</f>
        <v/>
      </c>
      <c r="M197" s="22" t="str">
        <f>IF($B197="","",IF(N('Aset Tetap'!$AG197)=0,0,IF(AND((YEAR(M$6)*12+MONTH(M$6))&gt;='Aset Tetap'!$Y197,(YEAR(M$6)*12+MONTH(M$6))&lt;=MIN('Aset Tetap'!$Z197,IF('Aset Tetap'!$S197="Unit Produksi",99999,'Aset Tetap'!$Y197+'Aset Tetap'!$T197*12-1))),'Aset Tetap'!$AQ197/'Aset Tetap'!$AG197,0)))</f>
        <v/>
      </c>
      <c r="N197" s="22" t="str">
        <f>IF($B197="","",IF(N('Aset Tetap'!$AG197)=0,0,IF(AND((YEAR(N$6)*12+MONTH(N$6))&gt;='Aset Tetap'!$Y197,(YEAR(N$6)*12+MONTH(N$6))&lt;=MIN('Aset Tetap'!$Z197,IF('Aset Tetap'!$S197="Unit Produksi",99999,'Aset Tetap'!$Y197+'Aset Tetap'!$T197*12-1))),'Aset Tetap'!$AQ197/'Aset Tetap'!$AG197,0)))</f>
        <v/>
      </c>
      <c r="O197" s="22" t="str">
        <f>IF($B197="","",IF(N('Aset Tetap'!$AG197)=0,0,IF(AND((YEAR(O$6)*12+MONTH(O$6))&gt;='Aset Tetap'!$Y197,(YEAR(O$6)*12+MONTH(O$6))&lt;=MIN('Aset Tetap'!$Z197,IF('Aset Tetap'!$S197="Unit Produksi",99999,'Aset Tetap'!$Y197+'Aset Tetap'!$T197*12-1))),'Aset Tetap'!$AQ197/'Aset Tetap'!$AG197,0)))</f>
        <v/>
      </c>
      <c r="P197" s="22" t="str">
        <f>IF($B197="","",IF(N('Aset Tetap'!$AG197)=0,0,IF(AND((YEAR(P$6)*12+MONTH(P$6))&gt;='Aset Tetap'!$Y197,(YEAR(P$6)*12+MONTH(P$6))&lt;=MIN('Aset Tetap'!$Z197,IF('Aset Tetap'!$S197="Unit Produksi",99999,'Aset Tetap'!$Y197+'Aset Tetap'!$T197*12-1))),'Aset Tetap'!$AQ197/'Aset Tetap'!$AG197,0)))</f>
        <v/>
      </c>
      <c r="Q197" s="22" t="str">
        <f>IF($B197="","",SUM(E197:P197))</f>
        <v/>
      </c>
      <c r="R197" s="22" t="str">
        <f>IF($B197="","",'Aset Tetap'!AQ197)</f>
        <v/>
      </c>
      <c r="S197" s="22" t="str">
        <f>IF($B197="","",ROUND(Q197-R197,0))</f>
        <v/>
      </c>
    </row>
    <row r="198" spans="1:19" x14ac:dyDescent="0.25">
      <c r="A198" t="str">
        <f>IF('Aset Tetap'!$B198="","",'Aset Tetap'!A198)</f>
        <v/>
      </c>
      <c r="B198" t="str">
        <f>IF('Aset Tetap'!$B198="","",'Aset Tetap'!B198)</f>
        <v/>
      </c>
      <c r="C198" t="str">
        <f>IF('Aset Tetap'!$B198="","",'Aset Tetap'!C198)</f>
        <v/>
      </c>
      <c r="D198" t="str">
        <f>IF('Aset Tetap'!$B198="","",'Aset Tetap'!D198)</f>
        <v/>
      </c>
      <c r="E198" s="22" t="str">
        <f>IF($B198="","",IF(N('Aset Tetap'!$AG198)=0,0,IF(AND((YEAR(E$6)*12+MONTH(E$6))&gt;='Aset Tetap'!$Y198,(YEAR(E$6)*12+MONTH(E$6))&lt;=MIN('Aset Tetap'!$Z198,IF('Aset Tetap'!$S198="Unit Produksi",99999,'Aset Tetap'!$Y198+'Aset Tetap'!$T198*12-1))),'Aset Tetap'!$AQ198/'Aset Tetap'!$AG198,0)))</f>
        <v/>
      </c>
      <c r="F198" s="22" t="str">
        <f>IF($B198="","",IF(N('Aset Tetap'!$AG198)=0,0,IF(AND((YEAR(F$6)*12+MONTH(F$6))&gt;='Aset Tetap'!$Y198,(YEAR(F$6)*12+MONTH(F$6))&lt;=MIN('Aset Tetap'!$Z198,IF('Aset Tetap'!$S198="Unit Produksi",99999,'Aset Tetap'!$Y198+'Aset Tetap'!$T198*12-1))),'Aset Tetap'!$AQ198/'Aset Tetap'!$AG198,0)))</f>
        <v/>
      </c>
      <c r="G198" s="22" t="str">
        <f>IF($B198="","",IF(N('Aset Tetap'!$AG198)=0,0,IF(AND((YEAR(G$6)*12+MONTH(G$6))&gt;='Aset Tetap'!$Y198,(YEAR(G$6)*12+MONTH(G$6))&lt;=MIN('Aset Tetap'!$Z198,IF('Aset Tetap'!$S198="Unit Produksi",99999,'Aset Tetap'!$Y198+'Aset Tetap'!$T198*12-1))),'Aset Tetap'!$AQ198/'Aset Tetap'!$AG198,0)))</f>
        <v/>
      </c>
      <c r="H198" s="22" t="str">
        <f>IF($B198="","",IF(N('Aset Tetap'!$AG198)=0,0,IF(AND((YEAR(H$6)*12+MONTH(H$6))&gt;='Aset Tetap'!$Y198,(YEAR(H$6)*12+MONTH(H$6))&lt;=MIN('Aset Tetap'!$Z198,IF('Aset Tetap'!$S198="Unit Produksi",99999,'Aset Tetap'!$Y198+'Aset Tetap'!$T198*12-1))),'Aset Tetap'!$AQ198/'Aset Tetap'!$AG198,0)))</f>
        <v/>
      </c>
      <c r="I198" s="22" t="str">
        <f>IF($B198="","",IF(N('Aset Tetap'!$AG198)=0,0,IF(AND((YEAR(I$6)*12+MONTH(I$6))&gt;='Aset Tetap'!$Y198,(YEAR(I$6)*12+MONTH(I$6))&lt;=MIN('Aset Tetap'!$Z198,IF('Aset Tetap'!$S198="Unit Produksi",99999,'Aset Tetap'!$Y198+'Aset Tetap'!$T198*12-1))),'Aset Tetap'!$AQ198/'Aset Tetap'!$AG198,0)))</f>
        <v/>
      </c>
      <c r="J198" s="22" t="str">
        <f>IF($B198="","",IF(N('Aset Tetap'!$AG198)=0,0,IF(AND((YEAR(J$6)*12+MONTH(J$6))&gt;='Aset Tetap'!$Y198,(YEAR(J$6)*12+MONTH(J$6))&lt;=MIN('Aset Tetap'!$Z198,IF('Aset Tetap'!$S198="Unit Produksi",99999,'Aset Tetap'!$Y198+'Aset Tetap'!$T198*12-1))),'Aset Tetap'!$AQ198/'Aset Tetap'!$AG198,0)))</f>
        <v/>
      </c>
      <c r="K198" s="22" t="str">
        <f>IF($B198="","",IF(N('Aset Tetap'!$AG198)=0,0,IF(AND((YEAR(K$6)*12+MONTH(K$6))&gt;='Aset Tetap'!$Y198,(YEAR(K$6)*12+MONTH(K$6))&lt;=MIN('Aset Tetap'!$Z198,IF('Aset Tetap'!$S198="Unit Produksi",99999,'Aset Tetap'!$Y198+'Aset Tetap'!$T198*12-1))),'Aset Tetap'!$AQ198/'Aset Tetap'!$AG198,0)))</f>
        <v/>
      </c>
      <c r="L198" s="22" t="str">
        <f>IF($B198="","",IF(N('Aset Tetap'!$AG198)=0,0,IF(AND((YEAR(L$6)*12+MONTH(L$6))&gt;='Aset Tetap'!$Y198,(YEAR(L$6)*12+MONTH(L$6))&lt;=MIN('Aset Tetap'!$Z198,IF('Aset Tetap'!$S198="Unit Produksi",99999,'Aset Tetap'!$Y198+'Aset Tetap'!$T198*12-1))),'Aset Tetap'!$AQ198/'Aset Tetap'!$AG198,0)))</f>
        <v/>
      </c>
      <c r="M198" s="22" t="str">
        <f>IF($B198="","",IF(N('Aset Tetap'!$AG198)=0,0,IF(AND((YEAR(M$6)*12+MONTH(M$6))&gt;='Aset Tetap'!$Y198,(YEAR(M$6)*12+MONTH(M$6))&lt;=MIN('Aset Tetap'!$Z198,IF('Aset Tetap'!$S198="Unit Produksi",99999,'Aset Tetap'!$Y198+'Aset Tetap'!$T198*12-1))),'Aset Tetap'!$AQ198/'Aset Tetap'!$AG198,0)))</f>
        <v/>
      </c>
      <c r="N198" s="22" t="str">
        <f>IF($B198="","",IF(N('Aset Tetap'!$AG198)=0,0,IF(AND((YEAR(N$6)*12+MONTH(N$6))&gt;='Aset Tetap'!$Y198,(YEAR(N$6)*12+MONTH(N$6))&lt;=MIN('Aset Tetap'!$Z198,IF('Aset Tetap'!$S198="Unit Produksi",99999,'Aset Tetap'!$Y198+'Aset Tetap'!$T198*12-1))),'Aset Tetap'!$AQ198/'Aset Tetap'!$AG198,0)))</f>
        <v/>
      </c>
      <c r="O198" s="22" t="str">
        <f>IF($B198="","",IF(N('Aset Tetap'!$AG198)=0,0,IF(AND((YEAR(O$6)*12+MONTH(O$6))&gt;='Aset Tetap'!$Y198,(YEAR(O$6)*12+MONTH(O$6))&lt;=MIN('Aset Tetap'!$Z198,IF('Aset Tetap'!$S198="Unit Produksi",99999,'Aset Tetap'!$Y198+'Aset Tetap'!$T198*12-1))),'Aset Tetap'!$AQ198/'Aset Tetap'!$AG198,0)))</f>
        <v/>
      </c>
      <c r="P198" s="22" t="str">
        <f>IF($B198="","",IF(N('Aset Tetap'!$AG198)=0,0,IF(AND((YEAR(P$6)*12+MONTH(P$6))&gt;='Aset Tetap'!$Y198,(YEAR(P$6)*12+MONTH(P$6))&lt;=MIN('Aset Tetap'!$Z198,IF('Aset Tetap'!$S198="Unit Produksi",99999,'Aset Tetap'!$Y198+'Aset Tetap'!$T198*12-1))),'Aset Tetap'!$AQ198/'Aset Tetap'!$AG198,0)))</f>
        <v/>
      </c>
      <c r="Q198" s="22" t="str">
        <f>IF($B198="","",SUM(E198:P198))</f>
        <v/>
      </c>
      <c r="R198" s="22" t="str">
        <f>IF($B198="","",'Aset Tetap'!AQ198)</f>
        <v/>
      </c>
      <c r="S198" s="22" t="str">
        <f>IF($B198="","",ROUND(Q198-R198,0))</f>
        <v/>
      </c>
    </row>
    <row r="199" spans="1:19" x14ac:dyDescent="0.25">
      <c r="A199" t="str">
        <f>IF('Aset Tetap'!$B199="","",'Aset Tetap'!A199)</f>
        <v/>
      </c>
      <c r="B199" t="str">
        <f>IF('Aset Tetap'!$B199="","",'Aset Tetap'!B199)</f>
        <v/>
      </c>
      <c r="C199" t="str">
        <f>IF('Aset Tetap'!$B199="","",'Aset Tetap'!C199)</f>
        <v/>
      </c>
      <c r="D199" t="str">
        <f>IF('Aset Tetap'!$B199="","",'Aset Tetap'!D199)</f>
        <v/>
      </c>
      <c r="E199" s="22" t="str">
        <f>IF($B199="","",IF(N('Aset Tetap'!$AG199)=0,0,IF(AND((YEAR(E$6)*12+MONTH(E$6))&gt;='Aset Tetap'!$Y199,(YEAR(E$6)*12+MONTH(E$6))&lt;=MIN('Aset Tetap'!$Z199,IF('Aset Tetap'!$S199="Unit Produksi",99999,'Aset Tetap'!$Y199+'Aset Tetap'!$T199*12-1))),'Aset Tetap'!$AQ199/'Aset Tetap'!$AG199,0)))</f>
        <v/>
      </c>
      <c r="F199" s="22" t="str">
        <f>IF($B199="","",IF(N('Aset Tetap'!$AG199)=0,0,IF(AND((YEAR(F$6)*12+MONTH(F$6))&gt;='Aset Tetap'!$Y199,(YEAR(F$6)*12+MONTH(F$6))&lt;=MIN('Aset Tetap'!$Z199,IF('Aset Tetap'!$S199="Unit Produksi",99999,'Aset Tetap'!$Y199+'Aset Tetap'!$T199*12-1))),'Aset Tetap'!$AQ199/'Aset Tetap'!$AG199,0)))</f>
        <v/>
      </c>
      <c r="G199" s="22" t="str">
        <f>IF($B199="","",IF(N('Aset Tetap'!$AG199)=0,0,IF(AND((YEAR(G$6)*12+MONTH(G$6))&gt;='Aset Tetap'!$Y199,(YEAR(G$6)*12+MONTH(G$6))&lt;=MIN('Aset Tetap'!$Z199,IF('Aset Tetap'!$S199="Unit Produksi",99999,'Aset Tetap'!$Y199+'Aset Tetap'!$T199*12-1))),'Aset Tetap'!$AQ199/'Aset Tetap'!$AG199,0)))</f>
        <v/>
      </c>
      <c r="H199" s="22" t="str">
        <f>IF($B199="","",IF(N('Aset Tetap'!$AG199)=0,0,IF(AND((YEAR(H$6)*12+MONTH(H$6))&gt;='Aset Tetap'!$Y199,(YEAR(H$6)*12+MONTH(H$6))&lt;=MIN('Aset Tetap'!$Z199,IF('Aset Tetap'!$S199="Unit Produksi",99999,'Aset Tetap'!$Y199+'Aset Tetap'!$T199*12-1))),'Aset Tetap'!$AQ199/'Aset Tetap'!$AG199,0)))</f>
        <v/>
      </c>
      <c r="I199" s="22" t="str">
        <f>IF($B199="","",IF(N('Aset Tetap'!$AG199)=0,0,IF(AND((YEAR(I$6)*12+MONTH(I$6))&gt;='Aset Tetap'!$Y199,(YEAR(I$6)*12+MONTH(I$6))&lt;=MIN('Aset Tetap'!$Z199,IF('Aset Tetap'!$S199="Unit Produksi",99999,'Aset Tetap'!$Y199+'Aset Tetap'!$T199*12-1))),'Aset Tetap'!$AQ199/'Aset Tetap'!$AG199,0)))</f>
        <v/>
      </c>
      <c r="J199" s="22" t="str">
        <f>IF($B199="","",IF(N('Aset Tetap'!$AG199)=0,0,IF(AND((YEAR(J$6)*12+MONTH(J$6))&gt;='Aset Tetap'!$Y199,(YEAR(J$6)*12+MONTH(J$6))&lt;=MIN('Aset Tetap'!$Z199,IF('Aset Tetap'!$S199="Unit Produksi",99999,'Aset Tetap'!$Y199+'Aset Tetap'!$T199*12-1))),'Aset Tetap'!$AQ199/'Aset Tetap'!$AG199,0)))</f>
        <v/>
      </c>
      <c r="K199" s="22" t="str">
        <f>IF($B199="","",IF(N('Aset Tetap'!$AG199)=0,0,IF(AND((YEAR(K$6)*12+MONTH(K$6))&gt;='Aset Tetap'!$Y199,(YEAR(K$6)*12+MONTH(K$6))&lt;=MIN('Aset Tetap'!$Z199,IF('Aset Tetap'!$S199="Unit Produksi",99999,'Aset Tetap'!$Y199+'Aset Tetap'!$T199*12-1))),'Aset Tetap'!$AQ199/'Aset Tetap'!$AG199,0)))</f>
        <v/>
      </c>
      <c r="L199" s="22" t="str">
        <f>IF($B199="","",IF(N('Aset Tetap'!$AG199)=0,0,IF(AND((YEAR(L$6)*12+MONTH(L$6))&gt;='Aset Tetap'!$Y199,(YEAR(L$6)*12+MONTH(L$6))&lt;=MIN('Aset Tetap'!$Z199,IF('Aset Tetap'!$S199="Unit Produksi",99999,'Aset Tetap'!$Y199+'Aset Tetap'!$T199*12-1))),'Aset Tetap'!$AQ199/'Aset Tetap'!$AG199,0)))</f>
        <v/>
      </c>
      <c r="M199" s="22" t="str">
        <f>IF($B199="","",IF(N('Aset Tetap'!$AG199)=0,0,IF(AND((YEAR(M$6)*12+MONTH(M$6))&gt;='Aset Tetap'!$Y199,(YEAR(M$6)*12+MONTH(M$6))&lt;=MIN('Aset Tetap'!$Z199,IF('Aset Tetap'!$S199="Unit Produksi",99999,'Aset Tetap'!$Y199+'Aset Tetap'!$T199*12-1))),'Aset Tetap'!$AQ199/'Aset Tetap'!$AG199,0)))</f>
        <v/>
      </c>
      <c r="N199" s="22" t="str">
        <f>IF($B199="","",IF(N('Aset Tetap'!$AG199)=0,0,IF(AND((YEAR(N$6)*12+MONTH(N$6))&gt;='Aset Tetap'!$Y199,(YEAR(N$6)*12+MONTH(N$6))&lt;=MIN('Aset Tetap'!$Z199,IF('Aset Tetap'!$S199="Unit Produksi",99999,'Aset Tetap'!$Y199+'Aset Tetap'!$T199*12-1))),'Aset Tetap'!$AQ199/'Aset Tetap'!$AG199,0)))</f>
        <v/>
      </c>
      <c r="O199" s="22" t="str">
        <f>IF($B199="","",IF(N('Aset Tetap'!$AG199)=0,0,IF(AND((YEAR(O$6)*12+MONTH(O$6))&gt;='Aset Tetap'!$Y199,(YEAR(O$6)*12+MONTH(O$6))&lt;=MIN('Aset Tetap'!$Z199,IF('Aset Tetap'!$S199="Unit Produksi",99999,'Aset Tetap'!$Y199+'Aset Tetap'!$T199*12-1))),'Aset Tetap'!$AQ199/'Aset Tetap'!$AG199,0)))</f>
        <v/>
      </c>
      <c r="P199" s="22" t="str">
        <f>IF($B199="","",IF(N('Aset Tetap'!$AG199)=0,0,IF(AND((YEAR(P$6)*12+MONTH(P$6))&gt;='Aset Tetap'!$Y199,(YEAR(P$6)*12+MONTH(P$6))&lt;=MIN('Aset Tetap'!$Z199,IF('Aset Tetap'!$S199="Unit Produksi",99999,'Aset Tetap'!$Y199+'Aset Tetap'!$T199*12-1))),'Aset Tetap'!$AQ199/'Aset Tetap'!$AG199,0)))</f>
        <v/>
      </c>
      <c r="Q199" s="22" t="str">
        <f>IF($B199="","",SUM(E199:P199))</f>
        <v/>
      </c>
      <c r="R199" s="22" t="str">
        <f>IF($B199="","",'Aset Tetap'!AQ199)</f>
        <v/>
      </c>
      <c r="S199" s="22" t="str">
        <f>IF($B199="","",ROUND(Q199-R199,0))</f>
        <v/>
      </c>
    </row>
    <row r="200" spans="1:19" x14ac:dyDescent="0.25">
      <c r="A200" t="str">
        <f>IF('Aset Tetap'!$B200="","",'Aset Tetap'!A200)</f>
        <v/>
      </c>
      <c r="B200" t="str">
        <f>IF('Aset Tetap'!$B200="","",'Aset Tetap'!B200)</f>
        <v/>
      </c>
      <c r="C200" t="str">
        <f>IF('Aset Tetap'!$B200="","",'Aset Tetap'!C200)</f>
        <v/>
      </c>
      <c r="D200" t="str">
        <f>IF('Aset Tetap'!$B200="","",'Aset Tetap'!D200)</f>
        <v/>
      </c>
      <c r="E200" s="22" t="str">
        <f>IF($B200="","",IF(N('Aset Tetap'!$AG200)=0,0,IF(AND((YEAR(E$6)*12+MONTH(E$6))&gt;='Aset Tetap'!$Y200,(YEAR(E$6)*12+MONTH(E$6))&lt;=MIN('Aset Tetap'!$Z200,IF('Aset Tetap'!$S200="Unit Produksi",99999,'Aset Tetap'!$Y200+'Aset Tetap'!$T200*12-1))),'Aset Tetap'!$AQ200/'Aset Tetap'!$AG200,0)))</f>
        <v/>
      </c>
      <c r="F200" s="22" t="str">
        <f>IF($B200="","",IF(N('Aset Tetap'!$AG200)=0,0,IF(AND((YEAR(F$6)*12+MONTH(F$6))&gt;='Aset Tetap'!$Y200,(YEAR(F$6)*12+MONTH(F$6))&lt;=MIN('Aset Tetap'!$Z200,IF('Aset Tetap'!$S200="Unit Produksi",99999,'Aset Tetap'!$Y200+'Aset Tetap'!$T200*12-1))),'Aset Tetap'!$AQ200/'Aset Tetap'!$AG200,0)))</f>
        <v/>
      </c>
      <c r="G200" s="22" t="str">
        <f>IF($B200="","",IF(N('Aset Tetap'!$AG200)=0,0,IF(AND((YEAR(G$6)*12+MONTH(G$6))&gt;='Aset Tetap'!$Y200,(YEAR(G$6)*12+MONTH(G$6))&lt;=MIN('Aset Tetap'!$Z200,IF('Aset Tetap'!$S200="Unit Produksi",99999,'Aset Tetap'!$Y200+'Aset Tetap'!$T200*12-1))),'Aset Tetap'!$AQ200/'Aset Tetap'!$AG200,0)))</f>
        <v/>
      </c>
      <c r="H200" s="22" t="str">
        <f>IF($B200="","",IF(N('Aset Tetap'!$AG200)=0,0,IF(AND((YEAR(H$6)*12+MONTH(H$6))&gt;='Aset Tetap'!$Y200,(YEAR(H$6)*12+MONTH(H$6))&lt;=MIN('Aset Tetap'!$Z200,IF('Aset Tetap'!$S200="Unit Produksi",99999,'Aset Tetap'!$Y200+'Aset Tetap'!$T200*12-1))),'Aset Tetap'!$AQ200/'Aset Tetap'!$AG200,0)))</f>
        <v/>
      </c>
      <c r="I200" s="22" t="str">
        <f>IF($B200="","",IF(N('Aset Tetap'!$AG200)=0,0,IF(AND((YEAR(I$6)*12+MONTH(I$6))&gt;='Aset Tetap'!$Y200,(YEAR(I$6)*12+MONTH(I$6))&lt;=MIN('Aset Tetap'!$Z200,IF('Aset Tetap'!$S200="Unit Produksi",99999,'Aset Tetap'!$Y200+'Aset Tetap'!$T200*12-1))),'Aset Tetap'!$AQ200/'Aset Tetap'!$AG200,0)))</f>
        <v/>
      </c>
      <c r="J200" s="22" t="str">
        <f>IF($B200="","",IF(N('Aset Tetap'!$AG200)=0,0,IF(AND((YEAR(J$6)*12+MONTH(J$6))&gt;='Aset Tetap'!$Y200,(YEAR(J$6)*12+MONTH(J$6))&lt;=MIN('Aset Tetap'!$Z200,IF('Aset Tetap'!$S200="Unit Produksi",99999,'Aset Tetap'!$Y200+'Aset Tetap'!$T200*12-1))),'Aset Tetap'!$AQ200/'Aset Tetap'!$AG200,0)))</f>
        <v/>
      </c>
      <c r="K200" s="22" t="str">
        <f>IF($B200="","",IF(N('Aset Tetap'!$AG200)=0,0,IF(AND((YEAR(K$6)*12+MONTH(K$6))&gt;='Aset Tetap'!$Y200,(YEAR(K$6)*12+MONTH(K$6))&lt;=MIN('Aset Tetap'!$Z200,IF('Aset Tetap'!$S200="Unit Produksi",99999,'Aset Tetap'!$Y200+'Aset Tetap'!$T200*12-1))),'Aset Tetap'!$AQ200/'Aset Tetap'!$AG200,0)))</f>
        <v/>
      </c>
      <c r="L200" s="22" t="str">
        <f>IF($B200="","",IF(N('Aset Tetap'!$AG200)=0,0,IF(AND((YEAR(L$6)*12+MONTH(L$6))&gt;='Aset Tetap'!$Y200,(YEAR(L$6)*12+MONTH(L$6))&lt;=MIN('Aset Tetap'!$Z200,IF('Aset Tetap'!$S200="Unit Produksi",99999,'Aset Tetap'!$Y200+'Aset Tetap'!$T200*12-1))),'Aset Tetap'!$AQ200/'Aset Tetap'!$AG200,0)))</f>
        <v/>
      </c>
      <c r="M200" s="22" t="str">
        <f>IF($B200="","",IF(N('Aset Tetap'!$AG200)=0,0,IF(AND((YEAR(M$6)*12+MONTH(M$6))&gt;='Aset Tetap'!$Y200,(YEAR(M$6)*12+MONTH(M$6))&lt;=MIN('Aset Tetap'!$Z200,IF('Aset Tetap'!$S200="Unit Produksi",99999,'Aset Tetap'!$Y200+'Aset Tetap'!$T200*12-1))),'Aset Tetap'!$AQ200/'Aset Tetap'!$AG200,0)))</f>
        <v/>
      </c>
      <c r="N200" s="22" t="str">
        <f>IF($B200="","",IF(N('Aset Tetap'!$AG200)=0,0,IF(AND((YEAR(N$6)*12+MONTH(N$6))&gt;='Aset Tetap'!$Y200,(YEAR(N$6)*12+MONTH(N$6))&lt;=MIN('Aset Tetap'!$Z200,IF('Aset Tetap'!$S200="Unit Produksi",99999,'Aset Tetap'!$Y200+'Aset Tetap'!$T200*12-1))),'Aset Tetap'!$AQ200/'Aset Tetap'!$AG200,0)))</f>
        <v/>
      </c>
      <c r="O200" s="22" t="str">
        <f>IF($B200="","",IF(N('Aset Tetap'!$AG200)=0,0,IF(AND((YEAR(O$6)*12+MONTH(O$6))&gt;='Aset Tetap'!$Y200,(YEAR(O$6)*12+MONTH(O$6))&lt;=MIN('Aset Tetap'!$Z200,IF('Aset Tetap'!$S200="Unit Produksi",99999,'Aset Tetap'!$Y200+'Aset Tetap'!$T200*12-1))),'Aset Tetap'!$AQ200/'Aset Tetap'!$AG200,0)))</f>
        <v/>
      </c>
      <c r="P200" s="22" t="str">
        <f>IF($B200="","",IF(N('Aset Tetap'!$AG200)=0,0,IF(AND((YEAR(P$6)*12+MONTH(P$6))&gt;='Aset Tetap'!$Y200,(YEAR(P$6)*12+MONTH(P$6))&lt;=MIN('Aset Tetap'!$Z200,IF('Aset Tetap'!$S200="Unit Produksi",99999,'Aset Tetap'!$Y200+'Aset Tetap'!$T200*12-1))),'Aset Tetap'!$AQ200/'Aset Tetap'!$AG200,0)))</f>
        <v/>
      </c>
      <c r="Q200" s="22" t="str">
        <f>IF($B200="","",SUM(E200:P200))</f>
        <v/>
      </c>
      <c r="R200" s="22" t="str">
        <f>IF($B200="","",'Aset Tetap'!AQ200)</f>
        <v/>
      </c>
      <c r="S200" s="22" t="str">
        <f>IF($B200="","",ROUND(Q200-R200,0))</f>
        <v/>
      </c>
    </row>
    <row r="201" spans="1:19" x14ac:dyDescent="0.25">
      <c r="A201" t="str">
        <f>IF('Aset Tetap'!$B201="","",'Aset Tetap'!A201)</f>
        <v/>
      </c>
      <c r="B201" t="str">
        <f>IF('Aset Tetap'!$B201="","",'Aset Tetap'!B201)</f>
        <v/>
      </c>
      <c r="C201" t="str">
        <f>IF('Aset Tetap'!$B201="","",'Aset Tetap'!C201)</f>
        <v/>
      </c>
      <c r="D201" t="str">
        <f>IF('Aset Tetap'!$B201="","",'Aset Tetap'!D201)</f>
        <v/>
      </c>
      <c r="E201" s="22" t="str">
        <f>IF($B201="","",IF(N('Aset Tetap'!$AG201)=0,0,IF(AND((YEAR(E$6)*12+MONTH(E$6))&gt;='Aset Tetap'!$Y201,(YEAR(E$6)*12+MONTH(E$6))&lt;=MIN('Aset Tetap'!$Z201,IF('Aset Tetap'!$S201="Unit Produksi",99999,'Aset Tetap'!$Y201+'Aset Tetap'!$T201*12-1))),'Aset Tetap'!$AQ201/'Aset Tetap'!$AG201,0)))</f>
        <v/>
      </c>
      <c r="F201" s="22" t="str">
        <f>IF($B201="","",IF(N('Aset Tetap'!$AG201)=0,0,IF(AND((YEAR(F$6)*12+MONTH(F$6))&gt;='Aset Tetap'!$Y201,(YEAR(F$6)*12+MONTH(F$6))&lt;=MIN('Aset Tetap'!$Z201,IF('Aset Tetap'!$S201="Unit Produksi",99999,'Aset Tetap'!$Y201+'Aset Tetap'!$T201*12-1))),'Aset Tetap'!$AQ201/'Aset Tetap'!$AG201,0)))</f>
        <v/>
      </c>
      <c r="G201" s="22" t="str">
        <f>IF($B201="","",IF(N('Aset Tetap'!$AG201)=0,0,IF(AND((YEAR(G$6)*12+MONTH(G$6))&gt;='Aset Tetap'!$Y201,(YEAR(G$6)*12+MONTH(G$6))&lt;=MIN('Aset Tetap'!$Z201,IF('Aset Tetap'!$S201="Unit Produksi",99999,'Aset Tetap'!$Y201+'Aset Tetap'!$T201*12-1))),'Aset Tetap'!$AQ201/'Aset Tetap'!$AG201,0)))</f>
        <v/>
      </c>
      <c r="H201" s="22" t="str">
        <f>IF($B201="","",IF(N('Aset Tetap'!$AG201)=0,0,IF(AND((YEAR(H$6)*12+MONTH(H$6))&gt;='Aset Tetap'!$Y201,(YEAR(H$6)*12+MONTH(H$6))&lt;=MIN('Aset Tetap'!$Z201,IF('Aset Tetap'!$S201="Unit Produksi",99999,'Aset Tetap'!$Y201+'Aset Tetap'!$T201*12-1))),'Aset Tetap'!$AQ201/'Aset Tetap'!$AG201,0)))</f>
        <v/>
      </c>
      <c r="I201" s="22" t="str">
        <f>IF($B201="","",IF(N('Aset Tetap'!$AG201)=0,0,IF(AND((YEAR(I$6)*12+MONTH(I$6))&gt;='Aset Tetap'!$Y201,(YEAR(I$6)*12+MONTH(I$6))&lt;=MIN('Aset Tetap'!$Z201,IF('Aset Tetap'!$S201="Unit Produksi",99999,'Aset Tetap'!$Y201+'Aset Tetap'!$T201*12-1))),'Aset Tetap'!$AQ201/'Aset Tetap'!$AG201,0)))</f>
        <v/>
      </c>
      <c r="J201" s="22" t="str">
        <f>IF($B201="","",IF(N('Aset Tetap'!$AG201)=0,0,IF(AND((YEAR(J$6)*12+MONTH(J$6))&gt;='Aset Tetap'!$Y201,(YEAR(J$6)*12+MONTH(J$6))&lt;=MIN('Aset Tetap'!$Z201,IF('Aset Tetap'!$S201="Unit Produksi",99999,'Aset Tetap'!$Y201+'Aset Tetap'!$T201*12-1))),'Aset Tetap'!$AQ201/'Aset Tetap'!$AG201,0)))</f>
        <v/>
      </c>
      <c r="K201" s="22" t="str">
        <f>IF($B201="","",IF(N('Aset Tetap'!$AG201)=0,0,IF(AND((YEAR(K$6)*12+MONTH(K$6))&gt;='Aset Tetap'!$Y201,(YEAR(K$6)*12+MONTH(K$6))&lt;=MIN('Aset Tetap'!$Z201,IF('Aset Tetap'!$S201="Unit Produksi",99999,'Aset Tetap'!$Y201+'Aset Tetap'!$T201*12-1))),'Aset Tetap'!$AQ201/'Aset Tetap'!$AG201,0)))</f>
        <v/>
      </c>
      <c r="L201" s="22" t="str">
        <f>IF($B201="","",IF(N('Aset Tetap'!$AG201)=0,0,IF(AND((YEAR(L$6)*12+MONTH(L$6))&gt;='Aset Tetap'!$Y201,(YEAR(L$6)*12+MONTH(L$6))&lt;=MIN('Aset Tetap'!$Z201,IF('Aset Tetap'!$S201="Unit Produksi",99999,'Aset Tetap'!$Y201+'Aset Tetap'!$T201*12-1))),'Aset Tetap'!$AQ201/'Aset Tetap'!$AG201,0)))</f>
        <v/>
      </c>
      <c r="M201" s="22" t="str">
        <f>IF($B201="","",IF(N('Aset Tetap'!$AG201)=0,0,IF(AND((YEAR(M$6)*12+MONTH(M$6))&gt;='Aset Tetap'!$Y201,(YEAR(M$6)*12+MONTH(M$6))&lt;=MIN('Aset Tetap'!$Z201,IF('Aset Tetap'!$S201="Unit Produksi",99999,'Aset Tetap'!$Y201+'Aset Tetap'!$T201*12-1))),'Aset Tetap'!$AQ201/'Aset Tetap'!$AG201,0)))</f>
        <v/>
      </c>
      <c r="N201" s="22" t="str">
        <f>IF($B201="","",IF(N('Aset Tetap'!$AG201)=0,0,IF(AND((YEAR(N$6)*12+MONTH(N$6))&gt;='Aset Tetap'!$Y201,(YEAR(N$6)*12+MONTH(N$6))&lt;=MIN('Aset Tetap'!$Z201,IF('Aset Tetap'!$S201="Unit Produksi",99999,'Aset Tetap'!$Y201+'Aset Tetap'!$T201*12-1))),'Aset Tetap'!$AQ201/'Aset Tetap'!$AG201,0)))</f>
        <v/>
      </c>
      <c r="O201" s="22" t="str">
        <f>IF($B201="","",IF(N('Aset Tetap'!$AG201)=0,0,IF(AND((YEAR(O$6)*12+MONTH(O$6))&gt;='Aset Tetap'!$Y201,(YEAR(O$6)*12+MONTH(O$6))&lt;=MIN('Aset Tetap'!$Z201,IF('Aset Tetap'!$S201="Unit Produksi",99999,'Aset Tetap'!$Y201+'Aset Tetap'!$T201*12-1))),'Aset Tetap'!$AQ201/'Aset Tetap'!$AG201,0)))</f>
        <v/>
      </c>
      <c r="P201" s="22" t="str">
        <f>IF($B201="","",IF(N('Aset Tetap'!$AG201)=0,0,IF(AND((YEAR(P$6)*12+MONTH(P$6))&gt;='Aset Tetap'!$Y201,(YEAR(P$6)*12+MONTH(P$6))&lt;=MIN('Aset Tetap'!$Z201,IF('Aset Tetap'!$S201="Unit Produksi",99999,'Aset Tetap'!$Y201+'Aset Tetap'!$T201*12-1))),'Aset Tetap'!$AQ201/'Aset Tetap'!$AG201,0)))</f>
        <v/>
      </c>
      <c r="Q201" s="22" t="str">
        <f>IF($B201="","",SUM(E201:P201))</f>
        <v/>
      </c>
      <c r="R201" s="22" t="str">
        <f>IF($B201="","",'Aset Tetap'!AQ201)</f>
        <v/>
      </c>
      <c r="S201" s="22" t="str">
        <f>IF($B201="","",ROUND(Q201-R201,0))</f>
        <v/>
      </c>
    </row>
    <row r="202" spans="1:19" x14ac:dyDescent="0.25">
      <c r="A202" t="str">
        <f>IF('Aset Tetap'!$B202="","",'Aset Tetap'!A202)</f>
        <v/>
      </c>
      <c r="B202" t="str">
        <f>IF('Aset Tetap'!$B202="","",'Aset Tetap'!B202)</f>
        <v/>
      </c>
      <c r="C202" t="str">
        <f>IF('Aset Tetap'!$B202="","",'Aset Tetap'!C202)</f>
        <v/>
      </c>
      <c r="D202" t="str">
        <f>IF('Aset Tetap'!$B202="","",'Aset Tetap'!D202)</f>
        <v/>
      </c>
      <c r="E202" s="22" t="str">
        <f>IF($B202="","",IF(N('Aset Tetap'!$AG202)=0,0,IF(AND((YEAR(E$6)*12+MONTH(E$6))&gt;='Aset Tetap'!$Y202,(YEAR(E$6)*12+MONTH(E$6))&lt;=MIN('Aset Tetap'!$Z202,IF('Aset Tetap'!$S202="Unit Produksi",99999,'Aset Tetap'!$Y202+'Aset Tetap'!$T202*12-1))),'Aset Tetap'!$AQ202/'Aset Tetap'!$AG202,0)))</f>
        <v/>
      </c>
      <c r="F202" s="22" t="str">
        <f>IF($B202="","",IF(N('Aset Tetap'!$AG202)=0,0,IF(AND((YEAR(F$6)*12+MONTH(F$6))&gt;='Aset Tetap'!$Y202,(YEAR(F$6)*12+MONTH(F$6))&lt;=MIN('Aset Tetap'!$Z202,IF('Aset Tetap'!$S202="Unit Produksi",99999,'Aset Tetap'!$Y202+'Aset Tetap'!$T202*12-1))),'Aset Tetap'!$AQ202/'Aset Tetap'!$AG202,0)))</f>
        <v/>
      </c>
      <c r="G202" s="22" t="str">
        <f>IF($B202="","",IF(N('Aset Tetap'!$AG202)=0,0,IF(AND((YEAR(G$6)*12+MONTH(G$6))&gt;='Aset Tetap'!$Y202,(YEAR(G$6)*12+MONTH(G$6))&lt;=MIN('Aset Tetap'!$Z202,IF('Aset Tetap'!$S202="Unit Produksi",99999,'Aset Tetap'!$Y202+'Aset Tetap'!$T202*12-1))),'Aset Tetap'!$AQ202/'Aset Tetap'!$AG202,0)))</f>
        <v/>
      </c>
      <c r="H202" s="22" t="str">
        <f>IF($B202="","",IF(N('Aset Tetap'!$AG202)=0,0,IF(AND((YEAR(H$6)*12+MONTH(H$6))&gt;='Aset Tetap'!$Y202,(YEAR(H$6)*12+MONTH(H$6))&lt;=MIN('Aset Tetap'!$Z202,IF('Aset Tetap'!$S202="Unit Produksi",99999,'Aset Tetap'!$Y202+'Aset Tetap'!$T202*12-1))),'Aset Tetap'!$AQ202/'Aset Tetap'!$AG202,0)))</f>
        <v/>
      </c>
      <c r="I202" s="22" t="str">
        <f>IF($B202="","",IF(N('Aset Tetap'!$AG202)=0,0,IF(AND((YEAR(I$6)*12+MONTH(I$6))&gt;='Aset Tetap'!$Y202,(YEAR(I$6)*12+MONTH(I$6))&lt;=MIN('Aset Tetap'!$Z202,IF('Aset Tetap'!$S202="Unit Produksi",99999,'Aset Tetap'!$Y202+'Aset Tetap'!$T202*12-1))),'Aset Tetap'!$AQ202/'Aset Tetap'!$AG202,0)))</f>
        <v/>
      </c>
      <c r="J202" s="22" t="str">
        <f>IF($B202="","",IF(N('Aset Tetap'!$AG202)=0,0,IF(AND((YEAR(J$6)*12+MONTH(J$6))&gt;='Aset Tetap'!$Y202,(YEAR(J$6)*12+MONTH(J$6))&lt;=MIN('Aset Tetap'!$Z202,IF('Aset Tetap'!$S202="Unit Produksi",99999,'Aset Tetap'!$Y202+'Aset Tetap'!$T202*12-1))),'Aset Tetap'!$AQ202/'Aset Tetap'!$AG202,0)))</f>
        <v/>
      </c>
      <c r="K202" s="22" t="str">
        <f>IF($B202="","",IF(N('Aset Tetap'!$AG202)=0,0,IF(AND((YEAR(K$6)*12+MONTH(K$6))&gt;='Aset Tetap'!$Y202,(YEAR(K$6)*12+MONTH(K$6))&lt;=MIN('Aset Tetap'!$Z202,IF('Aset Tetap'!$S202="Unit Produksi",99999,'Aset Tetap'!$Y202+'Aset Tetap'!$T202*12-1))),'Aset Tetap'!$AQ202/'Aset Tetap'!$AG202,0)))</f>
        <v/>
      </c>
      <c r="L202" s="22" t="str">
        <f>IF($B202="","",IF(N('Aset Tetap'!$AG202)=0,0,IF(AND((YEAR(L$6)*12+MONTH(L$6))&gt;='Aset Tetap'!$Y202,(YEAR(L$6)*12+MONTH(L$6))&lt;=MIN('Aset Tetap'!$Z202,IF('Aset Tetap'!$S202="Unit Produksi",99999,'Aset Tetap'!$Y202+'Aset Tetap'!$T202*12-1))),'Aset Tetap'!$AQ202/'Aset Tetap'!$AG202,0)))</f>
        <v/>
      </c>
      <c r="M202" s="22" t="str">
        <f>IF($B202="","",IF(N('Aset Tetap'!$AG202)=0,0,IF(AND((YEAR(M$6)*12+MONTH(M$6))&gt;='Aset Tetap'!$Y202,(YEAR(M$6)*12+MONTH(M$6))&lt;=MIN('Aset Tetap'!$Z202,IF('Aset Tetap'!$S202="Unit Produksi",99999,'Aset Tetap'!$Y202+'Aset Tetap'!$T202*12-1))),'Aset Tetap'!$AQ202/'Aset Tetap'!$AG202,0)))</f>
        <v/>
      </c>
      <c r="N202" s="22" t="str">
        <f>IF($B202="","",IF(N('Aset Tetap'!$AG202)=0,0,IF(AND((YEAR(N$6)*12+MONTH(N$6))&gt;='Aset Tetap'!$Y202,(YEAR(N$6)*12+MONTH(N$6))&lt;=MIN('Aset Tetap'!$Z202,IF('Aset Tetap'!$S202="Unit Produksi",99999,'Aset Tetap'!$Y202+'Aset Tetap'!$T202*12-1))),'Aset Tetap'!$AQ202/'Aset Tetap'!$AG202,0)))</f>
        <v/>
      </c>
      <c r="O202" s="22" t="str">
        <f>IF($B202="","",IF(N('Aset Tetap'!$AG202)=0,0,IF(AND((YEAR(O$6)*12+MONTH(O$6))&gt;='Aset Tetap'!$Y202,(YEAR(O$6)*12+MONTH(O$6))&lt;=MIN('Aset Tetap'!$Z202,IF('Aset Tetap'!$S202="Unit Produksi",99999,'Aset Tetap'!$Y202+'Aset Tetap'!$T202*12-1))),'Aset Tetap'!$AQ202/'Aset Tetap'!$AG202,0)))</f>
        <v/>
      </c>
      <c r="P202" s="22" t="str">
        <f>IF($B202="","",IF(N('Aset Tetap'!$AG202)=0,0,IF(AND((YEAR(P$6)*12+MONTH(P$6))&gt;='Aset Tetap'!$Y202,(YEAR(P$6)*12+MONTH(P$6))&lt;=MIN('Aset Tetap'!$Z202,IF('Aset Tetap'!$S202="Unit Produksi",99999,'Aset Tetap'!$Y202+'Aset Tetap'!$T202*12-1))),'Aset Tetap'!$AQ202/'Aset Tetap'!$AG202,0)))</f>
        <v/>
      </c>
      <c r="Q202" s="22" t="str">
        <f>IF($B202="","",SUM(E202:P202))</f>
        <v/>
      </c>
      <c r="R202" s="22" t="str">
        <f>IF($B202="","",'Aset Tetap'!AQ202)</f>
        <v/>
      </c>
      <c r="S202" s="22" t="str">
        <f>IF($B202="","",ROUND(Q202-R202,0))</f>
        <v/>
      </c>
    </row>
    <row r="203" spans="1:19" x14ac:dyDescent="0.25">
      <c r="A203" t="str">
        <f>IF('Aset Tetap'!$B203="","",'Aset Tetap'!A203)</f>
        <v/>
      </c>
      <c r="B203" t="str">
        <f>IF('Aset Tetap'!$B203="","",'Aset Tetap'!B203)</f>
        <v/>
      </c>
      <c r="C203" t="str">
        <f>IF('Aset Tetap'!$B203="","",'Aset Tetap'!C203)</f>
        <v/>
      </c>
      <c r="D203" t="str">
        <f>IF('Aset Tetap'!$B203="","",'Aset Tetap'!D203)</f>
        <v/>
      </c>
      <c r="E203" s="22" t="str">
        <f>IF($B203="","",IF(N('Aset Tetap'!$AG203)=0,0,IF(AND((YEAR(E$6)*12+MONTH(E$6))&gt;='Aset Tetap'!$Y203,(YEAR(E$6)*12+MONTH(E$6))&lt;=MIN('Aset Tetap'!$Z203,IF('Aset Tetap'!$S203="Unit Produksi",99999,'Aset Tetap'!$Y203+'Aset Tetap'!$T203*12-1))),'Aset Tetap'!$AQ203/'Aset Tetap'!$AG203,0)))</f>
        <v/>
      </c>
      <c r="F203" s="22" t="str">
        <f>IF($B203="","",IF(N('Aset Tetap'!$AG203)=0,0,IF(AND((YEAR(F$6)*12+MONTH(F$6))&gt;='Aset Tetap'!$Y203,(YEAR(F$6)*12+MONTH(F$6))&lt;=MIN('Aset Tetap'!$Z203,IF('Aset Tetap'!$S203="Unit Produksi",99999,'Aset Tetap'!$Y203+'Aset Tetap'!$T203*12-1))),'Aset Tetap'!$AQ203/'Aset Tetap'!$AG203,0)))</f>
        <v/>
      </c>
      <c r="G203" s="22" t="str">
        <f>IF($B203="","",IF(N('Aset Tetap'!$AG203)=0,0,IF(AND((YEAR(G$6)*12+MONTH(G$6))&gt;='Aset Tetap'!$Y203,(YEAR(G$6)*12+MONTH(G$6))&lt;=MIN('Aset Tetap'!$Z203,IF('Aset Tetap'!$S203="Unit Produksi",99999,'Aset Tetap'!$Y203+'Aset Tetap'!$T203*12-1))),'Aset Tetap'!$AQ203/'Aset Tetap'!$AG203,0)))</f>
        <v/>
      </c>
      <c r="H203" s="22" t="str">
        <f>IF($B203="","",IF(N('Aset Tetap'!$AG203)=0,0,IF(AND((YEAR(H$6)*12+MONTH(H$6))&gt;='Aset Tetap'!$Y203,(YEAR(H$6)*12+MONTH(H$6))&lt;=MIN('Aset Tetap'!$Z203,IF('Aset Tetap'!$S203="Unit Produksi",99999,'Aset Tetap'!$Y203+'Aset Tetap'!$T203*12-1))),'Aset Tetap'!$AQ203/'Aset Tetap'!$AG203,0)))</f>
        <v/>
      </c>
      <c r="I203" s="22" t="str">
        <f>IF($B203="","",IF(N('Aset Tetap'!$AG203)=0,0,IF(AND((YEAR(I$6)*12+MONTH(I$6))&gt;='Aset Tetap'!$Y203,(YEAR(I$6)*12+MONTH(I$6))&lt;=MIN('Aset Tetap'!$Z203,IF('Aset Tetap'!$S203="Unit Produksi",99999,'Aset Tetap'!$Y203+'Aset Tetap'!$T203*12-1))),'Aset Tetap'!$AQ203/'Aset Tetap'!$AG203,0)))</f>
        <v/>
      </c>
      <c r="J203" s="22" t="str">
        <f>IF($B203="","",IF(N('Aset Tetap'!$AG203)=0,0,IF(AND((YEAR(J$6)*12+MONTH(J$6))&gt;='Aset Tetap'!$Y203,(YEAR(J$6)*12+MONTH(J$6))&lt;=MIN('Aset Tetap'!$Z203,IF('Aset Tetap'!$S203="Unit Produksi",99999,'Aset Tetap'!$Y203+'Aset Tetap'!$T203*12-1))),'Aset Tetap'!$AQ203/'Aset Tetap'!$AG203,0)))</f>
        <v/>
      </c>
      <c r="K203" s="22" t="str">
        <f>IF($B203="","",IF(N('Aset Tetap'!$AG203)=0,0,IF(AND((YEAR(K$6)*12+MONTH(K$6))&gt;='Aset Tetap'!$Y203,(YEAR(K$6)*12+MONTH(K$6))&lt;=MIN('Aset Tetap'!$Z203,IF('Aset Tetap'!$S203="Unit Produksi",99999,'Aset Tetap'!$Y203+'Aset Tetap'!$T203*12-1))),'Aset Tetap'!$AQ203/'Aset Tetap'!$AG203,0)))</f>
        <v/>
      </c>
      <c r="L203" s="22" t="str">
        <f>IF($B203="","",IF(N('Aset Tetap'!$AG203)=0,0,IF(AND((YEAR(L$6)*12+MONTH(L$6))&gt;='Aset Tetap'!$Y203,(YEAR(L$6)*12+MONTH(L$6))&lt;=MIN('Aset Tetap'!$Z203,IF('Aset Tetap'!$S203="Unit Produksi",99999,'Aset Tetap'!$Y203+'Aset Tetap'!$T203*12-1))),'Aset Tetap'!$AQ203/'Aset Tetap'!$AG203,0)))</f>
        <v/>
      </c>
      <c r="M203" s="22" t="str">
        <f>IF($B203="","",IF(N('Aset Tetap'!$AG203)=0,0,IF(AND((YEAR(M$6)*12+MONTH(M$6))&gt;='Aset Tetap'!$Y203,(YEAR(M$6)*12+MONTH(M$6))&lt;=MIN('Aset Tetap'!$Z203,IF('Aset Tetap'!$S203="Unit Produksi",99999,'Aset Tetap'!$Y203+'Aset Tetap'!$T203*12-1))),'Aset Tetap'!$AQ203/'Aset Tetap'!$AG203,0)))</f>
        <v/>
      </c>
      <c r="N203" s="22" t="str">
        <f>IF($B203="","",IF(N('Aset Tetap'!$AG203)=0,0,IF(AND((YEAR(N$6)*12+MONTH(N$6))&gt;='Aset Tetap'!$Y203,(YEAR(N$6)*12+MONTH(N$6))&lt;=MIN('Aset Tetap'!$Z203,IF('Aset Tetap'!$S203="Unit Produksi",99999,'Aset Tetap'!$Y203+'Aset Tetap'!$T203*12-1))),'Aset Tetap'!$AQ203/'Aset Tetap'!$AG203,0)))</f>
        <v/>
      </c>
      <c r="O203" s="22" t="str">
        <f>IF($B203="","",IF(N('Aset Tetap'!$AG203)=0,0,IF(AND((YEAR(O$6)*12+MONTH(O$6))&gt;='Aset Tetap'!$Y203,(YEAR(O$6)*12+MONTH(O$6))&lt;=MIN('Aset Tetap'!$Z203,IF('Aset Tetap'!$S203="Unit Produksi",99999,'Aset Tetap'!$Y203+'Aset Tetap'!$T203*12-1))),'Aset Tetap'!$AQ203/'Aset Tetap'!$AG203,0)))</f>
        <v/>
      </c>
      <c r="P203" s="22" t="str">
        <f>IF($B203="","",IF(N('Aset Tetap'!$AG203)=0,0,IF(AND((YEAR(P$6)*12+MONTH(P$6))&gt;='Aset Tetap'!$Y203,(YEAR(P$6)*12+MONTH(P$6))&lt;=MIN('Aset Tetap'!$Z203,IF('Aset Tetap'!$S203="Unit Produksi",99999,'Aset Tetap'!$Y203+'Aset Tetap'!$T203*12-1))),'Aset Tetap'!$AQ203/'Aset Tetap'!$AG203,0)))</f>
        <v/>
      </c>
      <c r="Q203" s="22" t="str">
        <f>IF($B203="","",SUM(E203:P203))</f>
        <v/>
      </c>
      <c r="R203" s="22" t="str">
        <f>IF($B203="","",'Aset Tetap'!AQ203)</f>
        <v/>
      </c>
      <c r="S203" s="22" t="str">
        <f>IF($B203="","",ROUND(Q203-R203,0))</f>
        <v/>
      </c>
    </row>
    <row r="204" spans="1:19" x14ac:dyDescent="0.25">
      <c r="A204" t="str">
        <f>IF('Aset Tetap'!$B204="","",'Aset Tetap'!A204)</f>
        <v/>
      </c>
      <c r="B204" t="str">
        <f>IF('Aset Tetap'!$B204="","",'Aset Tetap'!B204)</f>
        <v/>
      </c>
      <c r="C204" t="str">
        <f>IF('Aset Tetap'!$B204="","",'Aset Tetap'!C204)</f>
        <v/>
      </c>
      <c r="D204" t="str">
        <f>IF('Aset Tetap'!$B204="","",'Aset Tetap'!D204)</f>
        <v/>
      </c>
      <c r="E204" s="22" t="str">
        <f>IF($B204="","",IF(N('Aset Tetap'!$AG204)=0,0,IF(AND((YEAR(E$6)*12+MONTH(E$6))&gt;='Aset Tetap'!$Y204,(YEAR(E$6)*12+MONTH(E$6))&lt;=MIN('Aset Tetap'!$Z204,IF('Aset Tetap'!$S204="Unit Produksi",99999,'Aset Tetap'!$Y204+'Aset Tetap'!$T204*12-1))),'Aset Tetap'!$AQ204/'Aset Tetap'!$AG204,0)))</f>
        <v/>
      </c>
      <c r="F204" s="22" t="str">
        <f>IF($B204="","",IF(N('Aset Tetap'!$AG204)=0,0,IF(AND((YEAR(F$6)*12+MONTH(F$6))&gt;='Aset Tetap'!$Y204,(YEAR(F$6)*12+MONTH(F$6))&lt;=MIN('Aset Tetap'!$Z204,IF('Aset Tetap'!$S204="Unit Produksi",99999,'Aset Tetap'!$Y204+'Aset Tetap'!$T204*12-1))),'Aset Tetap'!$AQ204/'Aset Tetap'!$AG204,0)))</f>
        <v/>
      </c>
      <c r="G204" s="22" t="str">
        <f>IF($B204="","",IF(N('Aset Tetap'!$AG204)=0,0,IF(AND((YEAR(G$6)*12+MONTH(G$6))&gt;='Aset Tetap'!$Y204,(YEAR(G$6)*12+MONTH(G$6))&lt;=MIN('Aset Tetap'!$Z204,IF('Aset Tetap'!$S204="Unit Produksi",99999,'Aset Tetap'!$Y204+'Aset Tetap'!$T204*12-1))),'Aset Tetap'!$AQ204/'Aset Tetap'!$AG204,0)))</f>
        <v/>
      </c>
      <c r="H204" s="22" t="str">
        <f>IF($B204="","",IF(N('Aset Tetap'!$AG204)=0,0,IF(AND((YEAR(H$6)*12+MONTH(H$6))&gt;='Aset Tetap'!$Y204,(YEAR(H$6)*12+MONTH(H$6))&lt;=MIN('Aset Tetap'!$Z204,IF('Aset Tetap'!$S204="Unit Produksi",99999,'Aset Tetap'!$Y204+'Aset Tetap'!$T204*12-1))),'Aset Tetap'!$AQ204/'Aset Tetap'!$AG204,0)))</f>
        <v/>
      </c>
      <c r="I204" s="22" t="str">
        <f>IF($B204="","",IF(N('Aset Tetap'!$AG204)=0,0,IF(AND((YEAR(I$6)*12+MONTH(I$6))&gt;='Aset Tetap'!$Y204,(YEAR(I$6)*12+MONTH(I$6))&lt;=MIN('Aset Tetap'!$Z204,IF('Aset Tetap'!$S204="Unit Produksi",99999,'Aset Tetap'!$Y204+'Aset Tetap'!$T204*12-1))),'Aset Tetap'!$AQ204/'Aset Tetap'!$AG204,0)))</f>
        <v/>
      </c>
      <c r="J204" s="22" t="str">
        <f>IF($B204="","",IF(N('Aset Tetap'!$AG204)=0,0,IF(AND((YEAR(J$6)*12+MONTH(J$6))&gt;='Aset Tetap'!$Y204,(YEAR(J$6)*12+MONTH(J$6))&lt;=MIN('Aset Tetap'!$Z204,IF('Aset Tetap'!$S204="Unit Produksi",99999,'Aset Tetap'!$Y204+'Aset Tetap'!$T204*12-1))),'Aset Tetap'!$AQ204/'Aset Tetap'!$AG204,0)))</f>
        <v/>
      </c>
      <c r="K204" s="22" t="str">
        <f>IF($B204="","",IF(N('Aset Tetap'!$AG204)=0,0,IF(AND((YEAR(K$6)*12+MONTH(K$6))&gt;='Aset Tetap'!$Y204,(YEAR(K$6)*12+MONTH(K$6))&lt;=MIN('Aset Tetap'!$Z204,IF('Aset Tetap'!$S204="Unit Produksi",99999,'Aset Tetap'!$Y204+'Aset Tetap'!$T204*12-1))),'Aset Tetap'!$AQ204/'Aset Tetap'!$AG204,0)))</f>
        <v/>
      </c>
      <c r="L204" s="22" t="str">
        <f>IF($B204="","",IF(N('Aset Tetap'!$AG204)=0,0,IF(AND((YEAR(L$6)*12+MONTH(L$6))&gt;='Aset Tetap'!$Y204,(YEAR(L$6)*12+MONTH(L$6))&lt;=MIN('Aset Tetap'!$Z204,IF('Aset Tetap'!$S204="Unit Produksi",99999,'Aset Tetap'!$Y204+'Aset Tetap'!$T204*12-1))),'Aset Tetap'!$AQ204/'Aset Tetap'!$AG204,0)))</f>
        <v/>
      </c>
      <c r="M204" s="22" t="str">
        <f>IF($B204="","",IF(N('Aset Tetap'!$AG204)=0,0,IF(AND((YEAR(M$6)*12+MONTH(M$6))&gt;='Aset Tetap'!$Y204,(YEAR(M$6)*12+MONTH(M$6))&lt;=MIN('Aset Tetap'!$Z204,IF('Aset Tetap'!$S204="Unit Produksi",99999,'Aset Tetap'!$Y204+'Aset Tetap'!$T204*12-1))),'Aset Tetap'!$AQ204/'Aset Tetap'!$AG204,0)))</f>
        <v/>
      </c>
      <c r="N204" s="22" t="str">
        <f>IF($B204="","",IF(N('Aset Tetap'!$AG204)=0,0,IF(AND((YEAR(N$6)*12+MONTH(N$6))&gt;='Aset Tetap'!$Y204,(YEAR(N$6)*12+MONTH(N$6))&lt;=MIN('Aset Tetap'!$Z204,IF('Aset Tetap'!$S204="Unit Produksi",99999,'Aset Tetap'!$Y204+'Aset Tetap'!$T204*12-1))),'Aset Tetap'!$AQ204/'Aset Tetap'!$AG204,0)))</f>
        <v/>
      </c>
      <c r="O204" s="22" t="str">
        <f>IF($B204="","",IF(N('Aset Tetap'!$AG204)=0,0,IF(AND((YEAR(O$6)*12+MONTH(O$6))&gt;='Aset Tetap'!$Y204,(YEAR(O$6)*12+MONTH(O$6))&lt;=MIN('Aset Tetap'!$Z204,IF('Aset Tetap'!$S204="Unit Produksi",99999,'Aset Tetap'!$Y204+'Aset Tetap'!$T204*12-1))),'Aset Tetap'!$AQ204/'Aset Tetap'!$AG204,0)))</f>
        <v/>
      </c>
      <c r="P204" s="22" t="str">
        <f>IF($B204="","",IF(N('Aset Tetap'!$AG204)=0,0,IF(AND((YEAR(P$6)*12+MONTH(P$6))&gt;='Aset Tetap'!$Y204,(YEAR(P$6)*12+MONTH(P$6))&lt;=MIN('Aset Tetap'!$Z204,IF('Aset Tetap'!$S204="Unit Produksi",99999,'Aset Tetap'!$Y204+'Aset Tetap'!$T204*12-1))),'Aset Tetap'!$AQ204/'Aset Tetap'!$AG204,0)))</f>
        <v/>
      </c>
      <c r="Q204" s="22" t="str">
        <f>IF($B204="","",SUM(E204:P204))</f>
        <v/>
      </c>
      <c r="R204" s="22" t="str">
        <f>IF($B204="","",'Aset Tetap'!AQ204)</f>
        <v/>
      </c>
      <c r="S204" s="22" t="str">
        <f>IF($B204="","",ROUND(Q204-R204,0))</f>
        <v/>
      </c>
    </row>
    <row r="205" spans="1:19" x14ac:dyDescent="0.25">
      <c r="A205" t="str">
        <f>IF('Aset Tetap'!$B205="","",'Aset Tetap'!A205)</f>
        <v/>
      </c>
      <c r="B205" t="str">
        <f>IF('Aset Tetap'!$B205="","",'Aset Tetap'!B205)</f>
        <v/>
      </c>
      <c r="C205" t="str">
        <f>IF('Aset Tetap'!$B205="","",'Aset Tetap'!C205)</f>
        <v/>
      </c>
      <c r="D205" t="str">
        <f>IF('Aset Tetap'!$B205="","",'Aset Tetap'!D205)</f>
        <v/>
      </c>
      <c r="E205" s="22" t="str">
        <f>IF($B205="","",IF(N('Aset Tetap'!$AG205)=0,0,IF(AND((YEAR(E$6)*12+MONTH(E$6))&gt;='Aset Tetap'!$Y205,(YEAR(E$6)*12+MONTH(E$6))&lt;=MIN('Aset Tetap'!$Z205,IF('Aset Tetap'!$S205="Unit Produksi",99999,'Aset Tetap'!$Y205+'Aset Tetap'!$T205*12-1))),'Aset Tetap'!$AQ205/'Aset Tetap'!$AG205,0)))</f>
        <v/>
      </c>
      <c r="F205" s="22" t="str">
        <f>IF($B205="","",IF(N('Aset Tetap'!$AG205)=0,0,IF(AND((YEAR(F$6)*12+MONTH(F$6))&gt;='Aset Tetap'!$Y205,(YEAR(F$6)*12+MONTH(F$6))&lt;=MIN('Aset Tetap'!$Z205,IF('Aset Tetap'!$S205="Unit Produksi",99999,'Aset Tetap'!$Y205+'Aset Tetap'!$T205*12-1))),'Aset Tetap'!$AQ205/'Aset Tetap'!$AG205,0)))</f>
        <v/>
      </c>
      <c r="G205" s="22" t="str">
        <f>IF($B205="","",IF(N('Aset Tetap'!$AG205)=0,0,IF(AND((YEAR(G$6)*12+MONTH(G$6))&gt;='Aset Tetap'!$Y205,(YEAR(G$6)*12+MONTH(G$6))&lt;=MIN('Aset Tetap'!$Z205,IF('Aset Tetap'!$S205="Unit Produksi",99999,'Aset Tetap'!$Y205+'Aset Tetap'!$T205*12-1))),'Aset Tetap'!$AQ205/'Aset Tetap'!$AG205,0)))</f>
        <v/>
      </c>
      <c r="H205" s="22" t="str">
        <f>IF($B205="","",IF(N('Aset Tetap'!$AG205)=0,0,IF(AND((YEAR(H$6)*12+MONTH(H$6))&gt;='Aset Tetap'!$Y205,(YEAR(H$6)*12+MONTH(H$6))&lt;=MIN('Aset Tetap'!$Z205,IF('Aset Tetap'!$S205="Unit Produksi",99999,'Aset Tetap'!$Y205+'Aset Tetap'!$T205*12-1))),'Aset Tetap'!$AQ205/'Aset Tetap'!$AG205,0)))</f>
        <v/>
      </c>
      <c r="I205" s="22" t="str">
        <f>IF($B205="","",IF(N('Aset Tetap'!$AG205)=0,0,IF(AND((YEAR(I$6)*12+MONTH(I$6))&gt;='Aset Tetap'!$Y205,(YEAR(I$6)*12+MONTH(I$6))&lt;=MIN('Aset Tetap'!$Z205,IF('Aset Tetap'!$S205="Unit Produksi",99999,'Aset Tetap'!$Y205+'Aset Tetap'!$T205*12-1))),'Aset Tetap'!$AQ205/'Aset Tetap'!$AG205,0)))</f>
        <v/>
      </c>
      <c r="J205" s="22" t="str">
        <f>IF($B205="","",IF(N('Aset Tetap'!$AG205)=0,0,IF(AND((YEAR(J$6)*12+MONTH(J$6))&gt;='Aset Tetap'!$Y205,(YEAR(J$6)*12+MONTH(J$6))&lt;=MIN('Aset Tetap'!$Z205,IF('Aset Tetap'!$S205="Unit Produksi",99999,'Aset Tetap'!$Y205+'Aset Tetap'!$T205*12-1))),'Aset Tetap'!$AQ205/'Aset Tetap'!$AG205,0)))</f>
        <v/>
      </c>
      <c r="K205" s="22" t="str">
        <f>IF($B205="","",IF(N('Aset Tetap'!$AG205)=0,0,IF(AND((YEAR(K$6)*12+MONTH(K$6))&gt;='Aset Tetap'!$Y205,(YEAR(K$6)*12+MONTH(K$6))&lt;=MIN('Aset Tetap'!$Z205,IF('Aset Tetap'!$S205="Unit Produksi",99999,'Aset Tetap'!$Y205+'Aset Tetap'!$T205*12-1))),'Aset Tetap'!$AQ205/'Aset Tetap'!$AG205,0)))</f>
        <v/>
      </c>
      <c r="L205" s="22" t="str">
        <f>IF($B205="","",IF(N('Aset Tetap'!$AG205)=0,0,IF(AND((YEAR(L$6)*12+MONTH(L$6))&gt;='Aset Tetap'!$Y205,(YEAR(L$6)*12+MONTH(L$6))&lt;=MIN('Aset Tetap'!$Z205,IF('Aset Tetap'!$S205="Unit Produksi",99999,'Aset Tetap'!$Y205+'Aset Tetap'!$T205*12-1))),'Aset Tetap'!$AQ205/'Aset Tetap'!$AG205,0)))</f>
        <v/>
      </c>
      <c r="M205" s="22" t="str">
        <f>IF($B205="","",IF(N('Aset Tetap'!$AG205)=0,0,IF(AND((YEAR(M$6)*12+MONTH(M$6))&gt;='Aset Tetap'!$Y205,(YEAR(M$6)*12+MONTH(M$6))&lt;=MIN('Aset Tetap'!$Z205,IF('Aset Tetap'!$S205="Unit Produksi",99999,'Aset Tetap'!$Y205+'Aset Tetap'!$T205*12-1))),'Aset Tetap'!$AQ205/'Aset Tetap'!$AG205,0)))</f>
        <v/>
      </c>
      <c r="N205" s="22" t="str">
        <f>IF($B205="","",IF(N('Aset Tetap'!$AG205)=0,0,IF(AND((YEAR(N$6)*12+MONTH(N$6))&gt;='Aset Tetap'!$Y205,(YEAR(N$6)*12+MONTH(N$6))&lt;=MIN('Aset Tetap'!$Z205,IF('Aset Tetap'!$S205="Unit Produksi",99999,'Aset Tetap'!$Y205+'Aset Tetap'!$T205*12-1))),'Aset Tetap'!$AQ205/'Aset Tetap'!$AG205,0)))</f>
        <v/>
      </c>
      <c r="O205" s="22" t="str">
        <f>IF($B205="","",IF(N('Aset Tetap'!$AG205)=0,0,IF(AND((YEAR(O$6)*12+MONTH(O$6))&gt;='Aset Tetap'!$Y205,(YEAR(O$6)*12+MONTH(O$6))&lt;=MIN('Aset Tetap'!$Z205,IF('Aset Tetap'!$S205="Unit Produksi",99999,'Aset Tetap'!$Y205+'Aset Tetap'!$T205*12-1))),'Aset Tetap'!$AQ205/'Aset Tetap'!$AG205,0)))</f>
        <v/>
      </c>
      <c r="P205" s="22" t="str">
        <f>IF($B205="","",IF(N('Aset Tetap'!$AG205)=0,0,IF(AND((YEAR(P$6)*12+MONTH(P$6))&gt;='Aset Tetap'!$Y205,(YEAR(P$6)*12+MONTH(P$6))&lt;=MIN('Aset Tetap'!$Z205,IF('Aset Tetap'!$S205="Unit Produksi",99999,'Aset Tetap'!$Y205+'Aset Tetap'!$T205*12-1))),'Aset Tetap'!$AQ205/'Aset Tetap'!$AG205,0)))</f>
        <v/>
      </c>
      <c r="Q205" s="22" t="str">
        <f>IF($B205="","",SUM(E205:P205))</f>
        <v/>
      </c>
      <c r="R205" s="22" t="str">
        <f>IF($B205="","",'Aset Tetap'!AQ205)</f>
        <v/>
      </c>
      <c r="S205" s="22" t="str">
        <f>IF($B205="","",ROUND(Q205-R205,0))</f>
        <v/>
      </c>
    </row>
    <row r="206" spans="1:19" x14ac:dyDescent="0.25">
      <c r="A206" t="str">
        <f>IF('Aset Tetap'!$B206="","",'Aset Tetap'!A206)</f>
        <v/>
      </c>
      <c r="B206" t="str">
        <f>IF('Aset Tetap'!$B206="","",'Aset Tetap'!B206)</f>
        <v/>
      </c>
      <c r="C206" t="str">
        <f>IF('Aset Tetap'!$B206="","",'Aset Tetap'!C206)</f>
        <v/>
      </c>
      <c r="D206" t="str">
        <f>IF('Aset Tetap'!$B206="","",'Aset Tetap'!D206)</f>
        <v/>
      </c>
      <c r="E206" s="22" t="str">
        <f>IF($B206="","",IF(N('Aset Tetap'!$AG206)=0,0,IF(AND((YEAR(E$6)*12+MONTH(E$6))&gt;='Aset Tetap'!$Y206,(YEAR(E$6)*12+MONTH(E$6))&lt;=MIN('Aset Tetap'!$Z206,IF('Aset Tetap'!$S206="Unit Produksi",99999,'Aset Tetap'!$Y206+'Aset Tetap'!$T206*12-1))),'Aset Tetap'!$AQ206/'Aset Tetap'!$AG206,0)))</f>
        <v/>
      </c>
      <c r="F206" s="22" t="str">
        <f>IF($B206="","",IF(N('Aset Tetap'!$AG206)=0,0,IF(AND((YEAR(F$6)*12+MONTH(F$6))&gt;='Aset Tetap'!$Y206,(YEAR(F$6)*12+MONTH(F$6))&lt;=MIN('Aset Tetap'!$Z206,IF('Aset Tetap'!$S206="Unit Produksi",99999,'Aset Tetap'!$Y206+'Aset Tetap'!$T206*12-1))),'Aset Tetap'!$AQ206/'Aset Tetap'!$AG206,0)))</f>
        <v/>
      </c>
      <c r="G206" s="22" t="str">
        <f>IF($B206="","",IF(N('Aset Tetap'!$AG206)=0,0,IF(AND((YEAR(G$6)*12+MONTH(G$6))&gt;='Aset Tetap'!$Y206,(YEAR(G$6)*12+MONTH(G$6))&lt;=MIN('Aset Tetap'!$Z206,IF('Aset Tetap'!$S206="Unit Produksi",99999,'Aset Tetap'!$Y206+'Aset Tetap'!$T206*12-1))),'Aset Tetap'!$AQ206/'Aset Tetap'!$AG206,0)))</f>
        <v/>
      </c>
      <c r="H206" s="22" t="str">
        <f>IF($B206="","",IF(N('Aset Tetap'!$AG206)=0,0,IF(AND((YEAR(H$6)*12+MONTH(H$6))&gt;='Aset Tetap'!$Y206,(YEAR(H$6)*12+MONTH(H$6))&lt;=MIN('Aset Tetap'!$Z206,IF('Aset Tetap'!$S206="Unit Produksi",99999,'Aset Tetap'!$Y206+'Aset Tetap'!$T206*12-1))),'Aset Tetap'!$AQ206/'Aset Tetap'!$AG206,0)))</f>
        <v/>
      </c>
      <c r="I206" s="22" t="str">
        <f>IF($B206="","",IF(N('Aset Tetap'!$AG206)=0,0,IF(AND((YEAR(I$6)*12+MONTH(I$6))&gt;='Aset Tetap'!$Y206,(YEAR(I$6)*12+MONTH(I$6))&lt;=MIN('Aset Tetap'!$Z206,IF('Aset Tetap'!$S206="Unit Produksi",99999,'Aset Tetap'!$Y206+'Aset Tetap'!$T206*12-1))),'Aset Tetap'!$AQ206/'Aset Tetap'!$AG206,0)))</f>
        <v/>
      </c>
      <c r="J206" s="22" t="str">
        <f>IF($B206="","",IF(N('Aset Tetap'!$AG206)=0,0,IF(AND((YEAR(J$6)*12+MONTH(J$6))&gt;='Aset Tetap'!$Y206,(YEAR(J$6)*12+MONTH(J$6))&lt;=MIN('Aset Tetap'!$Z206,IF('Aset Tetap'!$S206="Unit Produksi",99999,'Aset Tetap'!$Y206+'Aset Tetap'!$T206*12-1))),'Aset Tetap'!$AQ206/'Aset Tetap'!$AG206,0)))</f>
        <v/>
      </c>
      <c r="K206" s="22" t="str">
        <f>IF($B206="","",IF(N('Aset Tetap'!$AG206)=0,0,IF(AND((YEAR(K$6)*12+MONTH(K$6))&gt;='Aset Tetap'!$Y206,(YEAR(K$6)*12+MONTH(K$6))&lt;=MIN('Aset Tetap'!$Z206,IF('Aset Tetap'!$S206="Unit Produksi",99999,'Aset Tetap'!$Y206+'Aset Tetap'!$T206*12-1))),'Aset Tetap'!$AQ206/'Aset Tetap'!$AG206,0)))</f>
        <v/>
      </c>
      <c r="L206" s="22" t="str">
        <f>IF($B206="","",IF(N('Aset Tetap'!$AG206)=0,0,IF(AND((YEAR(L$6)*12+MONTH(L$6))&gt;='Aset Tetap'!$Y206,(YEAR(L$6)*12+MONTH(L$6))&lt;=MIN('Aset Tetap'!$Z206,IF('Aset Tetap'!$S206="Unit Produksi",99999,'Aset Tetap'!$Y206+'Aset Tetap'!$T206*12-1))),'Aset Tetap'!$AQ206/'Aset Tetap'!$AG206,0)))</f>
        <v/>
      </c>
      <c r="M206" s="22" t="str">
        <f>IF($B206="","",IF(N('Aset Tetap'!$AG206)=0,0,IF(AND((YEAR(M$6)*12+MONTH(M$6))&gt;='Aset Tetap'!$Y206,(YEAR(M$6)*12+MONTH(M$6))&lt;=MIN('Aset Tetap'!$Z206,IF('Aset Tetap'!$S206="Unit Produksi",99999,'Aset Tetap'!$Y206+'Aset Tetap'!$T206*12-1))),'Aset Tetap'!$AQ206/'Aset Tetap'!$AG206,0)))</f>
        <v/>
      </c>
      <c r="N206" s="22" t="str">
        <f>IF($B206="","",IF(N('Aset Tetap'!$AG206)=0,0,IF(AND((YEAR(N$6)*12+MONTH(N$6))&gt;='Aset Tetap'!$Y206,(YEAR(N$6)*12+MONTH(N$6))&lt;=MIN('Aset Tetap'!$Z206,IF('Aset Tetap'!$S206="Unit Produksi",99999,'Aset Tetap'!$Y206+'Aset Tetap'!$T206*12-1))),'Aset Tetap'!$AQ206/'Aset Tetap'!$AG206,0)))</f>
        <v/>
      </c>
      <c r="O206" s="22" t="str">
        <f>IF($B206="","",IF(N('Aset Tetap'!$AG206)=0,0,IF(AND((YEAR(O$6)*12+MONTH(O$6))&gt;='Aset Tetap'!$Y206,(YEAR(O$6)*12+MONTH(O$6))&lt;=MIN('Aset Tetap'!$Z206,IF('Aset Tetap'!$S206="Unit Produksi",99999,'Aset Tetap'!$Y206+'Aset Tetap'!$T206*12-1))),'Aset Tetap'!$AQ206/'Aset Tetap'!$AG206,0)))</f>
        <v/>
      </c>
      <c r="P206" s="22" t="str">
        <f>IF($B206="","",IF(N('Aset Tetap'!$AG206)=0,0,IF(AND((YEAR(P$6)*12+MONTH(P$6))&gt;='Aset Tetap'!$Y206,(YEAR(P$6)*12+MONTH(P$6))&lt;=MIN('Aset Tetap'!$Z206,IF('Aset Tetap'!$S206="Unit Produksi",99999,'Aset Tetap'!$Y206+'Aset Tetap'!$T206*12-1))),'Aset Tetap'!$AQ206/'Aset Tetap'!$AG206,0)))</f>
        <v/>
      </c>
      <c r="Q206" s="22" t="str">
        <f>IF($B206="","",SUM(E206:P206))</f>
        <v/>
      </c>
      <c r="R206" s="22" t="str">
        <f>IF($B206="","",'Aset Tetap'!AQ206)</f>
        <v/>
      </c>
      <c r="S206" s="22" t="str">
        <f>IF($B206="","",ROUND(Q206-R206,0))</f>
        <v/>
      </c>
    </row>
    <row r="207" spans="1:19" x14ac:dyDescent="0.25">
      <c r="A207" s="23"/>
      <c r="B207" s="23" t="s">
        <v>196</v>
      </c>
      <c r="C207" s="23"/>
      <c r="D207" s="23"/>
      <c r="E207" s="24">
        <f>SUBTOTAL(9,E7:E206)</f>
        <v>0</v>
      </c>
      <c r="F207" s="24">
        <f>SUBTOTAL(9,F7:F206)</f>
        <v>0</v>
      </c>
      <c r="G207" s="24">
        <f>SUBTOTAL(9,G7:G206)</f>
        <v>0</v>
      </c>
      <c r="H207" s="24">
        <f>SUBTOTAL(9,H7:H206)</f>
        <v>0</v>
      </c>
      <c r="I207" s="24">
        <f>SUBTOTAL(9,I7:I206)</f>
        <v>0</v>
      </c>
      <c r="J207" s="24">
        <f>SUBTOTAL(9,J7:J206)</f>
        <v>0</v>
      </c>
      <c r="K207" s="24">
        <f>SUBTOTAL(9,K7:K206)</f>
        <v>0</v>
      </c>
      <c r="L207" s="24">
        <f>SUBTOTAL(9,L7:L206)</f>
        <v>0</v>
      </c>
      <c r="M207" s="24">
        <f>SUBTOTAL(9,M7:M206)</f>
        <v>0</v>
      </c>
      <c r="N207" s="24">
        <f>SUBTOTAL(9,N7:N206)</f>
        <v>0</v>
      </c>
      <c r="O207" s="24">
        <f>SUBTOTAL(9,O7:O206)</f>
        <v>0</v>
      </c>
      <c r="P207" s="24">
        <f>SUBTOTAL(9,P7:P206)</f>
        <v>0</v>
      </c>
      <c r="Q207" s="24">
        <f>SUBTOTAL(9,Q7:Q206)</f>
        <v>0</v>
      </c>
      <c r="R207" s="24">
        <f>SUBTOTAL(9,R7:R206)</f>
        <v>0</v>
      </c>
      <c r="S207" s="24">
        <f>SUBTOTAL(9,S7:S206)</f>
        <v>0</v>
      </c>
    </row>
    <row r="210" spans="1:1" x14ac:dyDescent="0.25">
      <c r="A210" s="12" t="s">
        <v>204</v>
      </c>
    </row>
    <row r="211" spans="1:19" x14ac:dyDescent="0.25">
      <c r="A211" s="13" t="s">
        <v>138</v>
      </c>
      <c r="B211" s="13" t="s">
        <v>139</v>
      </c>
      <c r="C211" s="13" t="s">
        <v>140</v>
      </c>
      <c r="D211" s="13" t="s">
        <v>89</v>
      </c>
      <c r="E211" s="25">
        <f>DATE(TahunBuku,1,1)</f>
        <v>46023</v>
      </c>
      <c r="F211" s="25">
        <f>DATE(TahunBuku,2,1)</f>
        <v>46054</v>
      </c>
      <c r="G211" s="25">
        <f>DATE(TahunBuku,3,1)</f>
        <v>46082</v>
      </c>
      <c r="H211" s="25">
        <f>DATE(TahunBuku,4,1)</f>
        <v>46113</v>
      </c>
      <c r="I211" s="25">
        <f>DATE(TahunBuku,5,1)</f>
        <v>46143</v>
      </c>
      <c r="J211" s="25">
        <f>DATE(TahunBuku,6,1)</f>
        <v>46174</v>
      </c>
      <c r="K211" s="25">
        <f>DATE(TahunBuku,7,1)</f>
        <v>46204</v>
      </c>
      <c r="L211" s="25">
        <f>DATE(TahunBuku,8,1)</f>
        <v>46235</v>
      </c>
      <c r="M211" s="25">
        <f>DATE(TahunBuku,9,1)</f>
        <v>46266</v>
      </c>
      <c r="N211" s="25">
        <f>DATE(TahunBuku,10,1)</f>
        <v>46296</v>
      </c>
      <c r="O211" s="25">
        <f>DATE(TahunBuku,11,1)</f>
        <v>46327</v>
      </c>
      <c r="P211" s="25">
        <f>DATE(TahunBuku,12,1)</f>
        <v>46357</v>
      </c>
      <c r="Q211" s="13" t="s">
        <v>201</v>
      </c>
      <c r="R211" s="13" t="s">
        <v>202</v>
      </c>
      <c r="S211" s="13" t="s">
        <v>203</v>
      </c>
    </row>
    <row r="212" spans="1:19" x14ac:dyDescent="0.25">
      <c r="A212" t="str">
        <f>IF('Aset Takberwujud'!$B7="","",'Aset Takberwujud'!A7)</f>
        <v/>
      </c>
      <c r="B212" t="str">
        <f>IF('Aset Takberwujud'!$B7="","",'Aset Takberwujud'!B7)</f>
        <v/>
      </c>
      <c r="C212" t="str">
        <f>IF('Aset Takberwujud'!$B7="","",'Aset Takberwujud'!C7)</f>
        <v/>
      </c>
      <c r="D212" t="str">
        <f>IF('Aset Takberwujud'!$B7="","",'Aset Takberwujud'!D7)</f>
        <v/>
      </c>
      <c r="E212" s="22" t="str">
        <f>IF($B212="","",IF(N('Aset Takberwujud'!$AG7)=0,0,IF(AND((YEAR(E$211)*12+MONTH(E$211))&gt;='Aset Takberwujud'!$Y7,(YEAR(E$211)*12+MONTH(E$211))&lt;=MIN('Aset Takberwujud'!$Z7,IF('Aset Takberwujud'!$S7="Unit Produksi",99999,'Aset Takberwujud'!$Y7+'Aset Takberwujud'!$T7*12-1))),'Aset Takberwujud'!$AQ7/'Aset Takberwujud'!$AG7,0)))</f>
        <v/>
      </c>
      <c r="F212" s="22" t="str">
        <f>IF($B212="","",IF(N('Aset Takberwujud'!$AG7)=0,0,IF(AND((YEAR(F$211)*12+MONTH(F$211))&gt;='Aset Takberwujud'!$Y7,(YEAR(F$211)*12+MONTH(F$211))&lt;=MIN('Aset Takberwujud'!$Z7,IF('Aset Takberwujud'!$S7="Unit Produksi",99999,'Aset Takberwujud'!$Y7+'Aset Takberwujud'!$T7*12-1))),'Aset Takberwujud'!$AQ7/'Aset Takberwujud'!$AG7,0)))</f>
        <v/>
      </c>
      <c r="G212" s="22" t="str">
        <f>IF($B212="","",IF(N('Aset Takberwujud'!$AG7)=0,0,IF(AND((YEAR(G$211)*12+MONTH(G$211))&gt;='Aset Takberwujud'!$Y7,(YEAR(G$211)*12+MONTH(G$211))&lt;=MIN('Aset Takberwujud'!$Z7,IF('Aset Takberwujud'!$S7="Unit Produksi",99999,'Aset Takberwujud'!$Y7+'Aset Takberwujud'!$T7*12-1))),'Aset Takberwujud'!$AQ7/'Aset Takberwujud'!$AG7,0)))</f>
        <v/>
      </c>
      <c r="H212" s="22" t="str">
        <f>IF($B212="","",IF(N('Aset Takberwujud'!$AG7)=0,0,IF(AND((YEAR(H$211)*12+MONTH(H$211))&gt;='Aset Takberwujud'!$Y7,(YEAR(H$211)*12+MONTH(H$211))&lt;=MIN('Aset Takberwujud'!$Z7,IF('Aset Takberwujud'!$S7="Unit Produksi",99999,'Aset Takberwujud'!$Y7+'Aset Takberwujud'!$T7*12-1))),'Aset Takberwujud'!$AQ7/'Aset Takberwujud'!$AG7,0)))</f>
        <v/>
      </c>
      <c r="I212" s="22" t="str">
        <f>IF($B212="","",IF(N('Aset Takberwujud'!$AG7)=0,0,IF(AND((YEAR(I$211)*12+MONTH(I$211))&gt;='Aset Takberwujud'!$Y7,(YEAR(I$211)*12+MONTH(I$211))&lt;=MIN('Aset Takberwujud'!$Z7,IF('Aset Takberwujud'!$S7="Unit Produksi",99999,'Aset Takberwujud'!$Y7+'Aset Takberwujud'!$T7*12-1))),'Aset Takberwujud'!$AQ7/'Aset Takberwujud'!$AG7,0)))</f>
        <v/>
      </c>
      <c r="J212" s="22" t="str">
        <f>IF($B212="","",IF(N('Aset Takberwujud'!$AG7)=0,0,IF(AND((YEAR(J$211)*12+MONTH(J$211))&gt;='Aset Takberwujud'!$Y7,(YEAR(J$211)*12+MONTH(J$211))&lt;=MIN('Aset Takberwujud'!$Z7,IF('Aset Takberwujud'!$S7="Unit Produksi",99999,'Aset Takberwujud'!$Y7+'Aset Takberwujud'!$T7*12-1))),'Aset Takberwujud'!$AQ7/'Aset Takberwujud'!$AG7,0)))</f>
        <v/>
      </c>
      <c r="K212" s="22" t="str">
        <f>IF($B212="","",IF(N('Aset Takberwujud'!$AG7)=0,0,IF(AND((YEAR(K$211)*12+MONTH(K$211))&gt;='Aset Takberwujud'!$Y7,(YEAR(K$211)*12+MONTH(K$211))&lt;=MIN('Aset Takberwujud'!$Z7,IF('Aset Takberwujud'!$S7="Unit Produksi",99999,'Aset Takberwujud'!$Y7+'Aset Takberwujud'!$T7*12-1))),'Aset Takberwujud'!$AQ7/'Aset Takberwujud'!$AG7,0)))</f>
        <v/>
      </c>
      <c r="L212" s="22" t="str">
        <f>IF($B212="","",IF(N('Aset Takberwujud'!$AG7)=0,0,IF(AND((YEAR(L$211)*12+MONTH(L$211))&gt;='Aset Takberwujud'!$Y7,(YEAR(L$211)*12+MONTH(L$211))&lt;=MIN('Aset Takberwujud'!$Z7,IF('Aset Takberwujud'!$S7="Unit Produksi",99999,'Aset Takberwujud'!$Y7+'Aset Takberwujud'!$T7*12-1))),'Aset Takberwujud'!$AQ7/'Aset Takberwujud'!$AG7,0)))</f>
        <v/>
      </c>
      <c r="M212" s="22" t="str">
        <f>IF($B212="","",IF(N('Aset Takberwujud'!$AG7)=0,0,IF(AND((YEAR(M$211)*12+MONTH(M$211))&gt;='Aset Takberwujud'!$Y7,(YEAR(M$211)*12+MONTH(M$211))&lt;=MIN('Aset Takberwujud'!$Z7,IF('Aset Takberwujud'!$S7="Unit Produksi",99999,'Aset Takberwujud'!$Y7+'Aset Takberwujud'!$T7*12-1))),'Aset Takberwujud'!$AQ7/'Aset Takberwujud'!$AG7,0)))</f>
        <v/>
      </c>
      <c r="N212" s="22" t="str">
        <f>IF($B212="","",IF(N('Aset Takberwujud'!$AG7)=0,0,IF(AND((YEAR(N$211)*12+MONTH(N$211))&gt;='Aset Takberwujud'!$Y7,(YEAR(N$211)*12+MONTH(N$211))&lt;=MIN('Aset Takberwujud'!$Z7,IF('Aset Takberwujud'!$S7="Unit Produksi",99999,'Aset Takberwujud'!$Y7+'Aset Takberwujud'!$T7*12-1))),'Aset Takberwujud'!$AQ7/'Aset Takberwujud'!$AG7,0)))</f>
        <v/>
      </c>
      <c r="O212" s="22" t="str">
        <f>IF($B212="","",IF(N('Aset Takberwujud'!$AG7)=0,0,IF(AND((YEAR(O$211)*12+MONTH(O$211))&gt;='Aset Takberwujud'!$Y7,(YEAR(O$211)*12+MONTH(O$211))&lt;=MIN('Aset Takberwujud'!$Z7,IF('Aset Takberwujud'!$S7="Unit Produksi",99999,'Aset Takberwujud'!$Y7+'Aset Takberwujud'!$T7*12-1))),'Aset Takberwujud'!$AQ7/'Aset Takberwujud'!$AG7,0)))</f>
        <v/>
      </c>
      <c r="P212" s="22" t="str">
        <f>IF($B212="","",IF(N('Aset Takberwujud'!$AG7)=0,0,IF(AND((YEAR(P$211)*12+MONTH(P$211))&gt;='Aset Takberwujud'!$Y7,(YEAR(P$211)*12+MONTH(P$211))&lt;=MIN('Aset Takberwujud'!$Z7,IF('Aset Takberwujud'!$S7="Unit Produksi",99999,'Aset Takberwujud'!$Y7+'Aset Takberwujud'!$T7*12-1))),'Aset Takberwujud'!$AQ7/'Aset Takberwujud'!$AG7,0)))</f>
        <v/>
      </c>
      <c r="Q212" s="22" t="str">
        <f>IF($B212="","",SUM(E212:P212))</f>
        <v/>
      </c>
      <c r="R212" s="22" t="str">
        <f>IF($B212="","",'Aset Takberwujud'!AQ7)</f>
        <v/>
      </c>
      <c r="S212" s="22" t="str">
        <f>IF($B212="","",ROUND(Q212-R212,0))</f>
        <v/>
      </c>
    </row>
    <row r="213" spans="1:19" x14ac:dyDescent="0.25">
      <c r="A213" t="str">
        <f>IF('Aset Takberwujud'!$B8="","",'Aset Takberwujud'!A8)</f>
        <v/>
      </c>
      <c r="B213" t="str">
        <f>IF('Aset Takberwujud'!$B8="","",'Aset Takberwujud'!B8)</f>
        <v/>
      </c>
      <c r="C213" t="str">
        <f>IF('Aset Takberwujud'!$B8="","",'Aset Takberwujud'!C8)</f>
        <v/>
      </c>
      <c r="D213" t="str">
        <f>IF('Aset Takberwujud'!$B8="","",'Aset Takberwujud'!D8)</f>
        <v/>
      </c>
      <c r="E213" s="22" t="str">
        <f>IF($B213="","",IF(N('Aset Takberwujud'!$AG8)=0,0,IF(AND((YEAR(E$211)*12+MONTH(E$211))&gt;='Aset Takberwujud'!$Y8,(YEAR(E$211)*12+MONTH(E$211))&lt;=MIN('Aset Takberwujud'!$Z8,IF('Aset Takberwujud'!$S8="Unit Produksi",99999,'Aset Takberwujud'!$Y8+'Aset Takberwujud'!$T8*12-1))),'Aset Takberwujud'!$AQ8/'Aset Takberwujud'!$AG8,0)))</f>
        <v/>
      </c>
      <c r="F213" s="22" t="str">
        <f>IF($B213="","",IF(N('Aset Takberwujud'!$AG8)=0,0,IF(AND((YEAR(F$211)*12+MONTH(F$211))&gt;='Aset Takberwujud'!$Y8,(YEAR(F$211)*12+MONTH(F$211))&lt;=MIN('Aset Takberwujud'!$Z8,IF('Aset Takberwujud'!$S8="Unit Produksi",99999,'Aset Takberwujud'!$Y8+'Aset Takberwujud'!$T8*12-1))),'Aset Takberwujud'!$AQ8/'Aset Takberwujud'!$AG8,0)))</f>
        <v/>
      </c>
      <c r="G213" s="22" t="str">
        <f>IF($B213="","",IF(N('Aset Takberwujud'!$AG8)=0,0,IF(AND((YEAR(G$211)*12+MONTH(G$211))&gt;='Aset Takberwujud'!$Y8,(YEAR(G$211)*12+MONTH(G$211))&lt;=MIN('Aset Takberwujud'!$Z8,IF('Aset Takberwujud'!$S8="Unit Produksi",99999,'Aset Takberwujud'!$Y8+'Aset Takberwujud'!$T8*12-1))),'Aset Takberwujud'!$AQ8/'Aset Takberwujud'!$AG8,0)))</f>
        <v/>
      </c>
      <c r="H213" s="22" t="str">
        <f>IF($B213="","",IF(N('Aset Takberwujud'!$AG8)=0,0,IF(AND((YEAR(H$211)*12+MONTH(H$211))&gt;='Aset Takberwujud'!$Y8,(YEAR(H$211)*12+MONTH(H$211))&lt;=MIN('Aset Takberwujud'!$Z8,IF('Aset Takberwujud'!$S8="Unit Produksi",99999,'Aset Takberwujud'!$Y8+'Aset Takberwujud'!$T8*12-1))),'Aset Takberwujud'!$AQ8/'Aset Takberwujud'!$AG8,0)))</f>
        <v/>
      </c>
      <c r="I213" s="22" t="str">
        <f>IF($B213="","",IF(N('Aset Takberwujud'!$AG8)=0,0,IF(AND((YEAR(I$211)*12+MONTH(I$211))&gt;='Aset Takberwujud'!$Y8,(YEAR(I$211)*12+MONTH(I$211))&lt;=MIN('Aset Takberwujud'!$Z8,IF('Aset Takberwujud'!$S8="Unit Produksi",99999,'Aset Takberwujud'!$Y8+'Aset Takberwujud'!$T8*12-1))),'Aset Takberwujud'!$AQ8/'Aset Takberwujud'!$AG8,0)))</f>
        <v/>
      </c>
      <c r="J213" s="22" t="str">
        <f>IF($B213="","",IF(N('Aset Takberwujud'!$AG8)=0,0,IF(AND((YEAR(J$211)*12+MONTH(J$211))&gt;='Aset Takberwujud'!$Y8,(YEAR(J$211)*12+MONTH(J$211))&lt;=MIN('Aset Takberwujud'!$Z8,IF('Aset Takberwujud'!$S8="Unit Produksi",99999,'Aset Takberwujud'!$Y8+'Aset Takberwujud'!$T8*12-1))),'Aset Takberwujud'!$AQ8/'Aset Takberwujud'!$AG8,0)))</f>
        <v/>
      </c>
      <c r="K213" s="22" t="str">
        <f>IF($B213="","",IF(N('Aset Takberwujud'!$AG8)=0,0,IF(AND((YEAR(K$211)*12+MONTH(K$211))&gt;='Aset Takberwujud'!$Y8,(YEAR(K$211)*12+MONTH(K$211))&lt;=MIN('Aset Takberwujud'!$Z8,IF('Aset Takberwujud'!$S8="Unit Produksi",99999,'Aset Takberwujud'!$Y8+'Aset Takberwujud'!$T8*12-1))),'Aset Takberwujud'!$AQ8/'Aset Takberwujud'!$AG8,0)))</f>
        <v/>
      </c>
      <c r="L213" s="22" t="str">
        <f>IF($B213="","",IF(N('Aset Takberwujud'!$AG8)=0,0,IF(AND((YEAR(L$211)*12+MONTH(L$211))&gt;='Aset Takberwujud'!$Y8,(YEAR(L$211)*12+MONTH(L$211))&lt;=MIN('Aset Takberwujud'!$Z8,IF('Aset Takberwujud'!$S8="Unit Produksi",99999,'Aset Takberwujud'!$Y8+'Aset Takberwujud'!$T8*12-1))),'Aset Takberwujud'!$AQ8/'Aset Takberwujud'!$AG8,0)))</f>
        <v/>
      </c>
      <c r="M213" s="22" t="str">
        <f>IF($B213="","",IF(N('Aset Takberwujud'!$AG8)=0,0,IF(AND((YEAR(M$211)*12+MONTH(M$211))&gt;='Aset Takberwujud'!$Y8,(YEAR(M$211)*12+MONTH(M$211))&lt;=MIN('Aset Takberwujud'!$Z8,IF('Aset Takberwujud'!$S8="Unit Produksi",99999,'Aset Takberwujud'!$Y8+'Aset Takberwujud'!$T8*12-1))),'Aset Takberwujud'!$AQ8/'Aset Takberwujud'!$AG8,0)))</f>
        <v/>
      </c>
      <c r="N213" s="22" t="str">
        <f>IF($B213="","",IF(N('Aset Takberwujud'!$AG8)=0,0,IF(AND((YEAR(N$211)*12+MONTH(N$211))&gt;='Aset Takberwujud'!$Y8,(YEAR(N$211)*12+MONTH(N$211))&lt;=MIN('Aset Takberwujud'!$Z8,IF('Aset Takberwujud'!$S8="Unit Produksi",99999,'Aset Takberwujud'!$Y8+'Aset Takberwujud'!$T8*12-1))),'Aset Takberwujud'!$AQ8/'Aset Takberwujud'!$AG8,0)))</f>
        <v/>
      </c>
      <c r="O213" s="22" t="str">
        <f>IF($B213="","",IF(N('Aset Takberwujud'!$AG8)=0,0,IF(AND((YEAR(O$211)*12+MONTH(O$211))&gt;='Aset Takberwujud'!$Y8,(YEAR(O$211)*12+MONTH(O$211))&lt;=MIN('Aset Takberwujud'!$Z8,IF('Aset Takberwujud'!$S8="Unit Produksi",99999,'Aset Takberwujud'!$Y8+'Aset Takberwujud'!$T8*12-1))),'Aset Takberwujud'!$AQ8/'Aset Takberwujud'!$AG8,0)))</f>
        <v/>
      </c>
      <c r="P213" s="22" t="str">
        <f>IF($B213="","",IF(N('Aset Takberwujud'!$AG8)=0,0,IF(AND((YEAR(P$211)*12+MONTH(P$211))&gt;='Aset Takberwujud'!$Y8,(YEAR(P$211)*12+MONTH(P$211))&lt;=MIN('Aset Takberwujud'!$Z8,IF('Aset Takberwujud'!$S8="Unit Produksi",99999,'Aset Takberwujud'!$Y8+'Aset Takberwujud'!$T8*12-1))),'Aset Takberwujud'!$AQ8/'Aset Takberwujud'!$AG8,0)))</f>
        <v/>
      </c>
      <c r="Q213" s="22" t="str">
        <f>IF($B213="","",SUM(E213:P213))</f>
        <v/>
      </c>
      <c r="R213" s="22" t="str">
        <f>IF($B213="","",'Aset Takberwujud'!AQ8)</f>
        <v/>
      </c>
      <c r="S213" s="22" t="str">
        <f>IF($B213="","",ROUND(Q213-R213,0))</f>
        <v/>
      </c>
    </row>
    <row r="214" spans="1:19" x14ac:dyDescent="0.25">
      <c r="A214" t="str">
        <f>IF('Aset Takberwujud'!$B9="","",'Aset Takberwujud'!A9)</f>
        <v/>
      </c>
      <c r="B214" t="str">
        <f>IF('Aset Takberwujud'!$B9="","",'Aset Takberwujud'!B9)</f>
        <v/>
      </c>
      <c r="C214" t="str">
        <f>IF('Aset Takberwujud'!$B9="","",'Aset Takberwujud'!C9)</f>
        <v/>
      </c>
      <c r="D214" t="str">
        <f>IF('Aset Takberwujud'!$B9="","",'Aset Takberwujud'!D9)</f>
        <v/>
      </c>
      <c r="E214" s="22" t="str">
        <f>IF($B214="","",IF(N('Aset Takberwujud'!$AG9)=0,0,IF(AND((YEAR(E$211)*12+MONTH(E$211))&gt;='Aset Takberwujud'!$Y9,(YEAR(E$211)*12+MONTH(E$211))&lt;=MIN('Aset Takberwujud'!$Z9,IF('Aset Takberwujud'!$S9="Unit Produksi",99999,'Aset Takberwujud'!$Y9+'Aset Takberwujud'!$T9*12-1))),'Aset Takberwujud'!$AQ9/'Aset Takberwujud'!$AG9,0)))</f>
        <v/>
      </c>
      <c r="F214" s="22" t="str">
        <f>IF($B214="","",IF(N('Aset Takberwujud'!$AG9)=0,0,IF(AND((YEAR(F$211)*12+MONTH(F$211))&gt;='Aset Takberwujud'!$Y9,(YEAR(F$211)*12+MONTH(F$211))&lt;=MIN('Aset Takberwujud'!$Z9,IF('Aset Takberwujud'!$S9="Unit Produksi",99999,'Aset Takberwujud'!$Y9+'Aset Takberwujud'!$T9*12-1))),'Aset Takberwujud'!$AQ9/'Aset Takberwujud'!$AG9,0)))</f>
        <v/>
      </c>
      <c r="G214" s="22" t="str">
        <f>IF($B214="","",IF(N('Aset Takberwujud'!$AG9)=0,0,IF(AND((YEAR(G$211)*12+MONTH(G$211))&gt;='Aset Takberwujud'!$Y9,(YEAR(G$211)*12+MONTH(G$211))&lt;=MIN('Aset Takberwujud'!$Z9,IF('Aset Takberwujud'!$S9="Unit Produksi",99999,'Aset Takberwujud'!$Y9+'Aset Takberwujud'!$T9*12-1))),'Aset Takberwujud'!$AQ9/'Aset Takberwujud'!$AG9,0)))</f>
        <v/>
      </c>
      <c r="H214" s="22" t="str">
        <f>IF($B214="","",IF(N('Aset Takberwujud'!$AG9)=0,0,IF(AND((YEAR(H$211)*12+MONTH(H$211))&gt;='Aset Takberwujud'!$Y9,(YEAR(H$211)*12+MONTH(H$211))&lt;=MIN('Aset Takberwujud'!$Z9,IF('Aset Takberwujud'!$S9="Unit Produksi",99999,'Aset Takberwujud'!$Y9+'Aset Takberwujud'!$T9*12-1))),'Aset Takberwujud'!$AQ9/'Aset Takberwujud'!$AG9,0)))</f>
        <v/>
      </c>
      <c r="I214" s="22" t="str">
        <f>IF($B214="","",IF(N('Aset Takberwujud'!$AG9)=0,0,IF(AND((YEAR(I$211)*12+MONTH(I$211))&gt;='Aset Takberwujud'!$Y9,(YEAR(I$211)*12+MONTH(I$211))&lt;=MIN('Aset Takberwujud'!$Z9,IF('Aset Takberwujud'!$S9="Unit Produksi",99999,'Aset Takberwujud'!$Y9+'Aset Takberwujud'!$T9*12-1))),'Aset Takberwujud'!$AQ9/'Aset Takberwujud'!$AG9,0)))</f>
        <v/>
      </c>
      <c r="J214" s="22" t="str">
        <f>IF($B214="","",IF(N('Aset Takberwujud'!$AG9)=0,0,IF(AND((YEAR(J$211)*12+MONTH(J$211))&gt;='Aset Takberwujud'!$Y9,(YEAR(J$211)*12+MONTH(J$211))&lt;=MIN('Aset Takberwujud'!$Z9,IF('Aset Takberwujud'!$S9="Unit Produksi",99999,'Aset Takberwujud'!$Y9+'Aset Takberwujud'!$T9*12-1))),'Aset Takberwujud'!$AQ9/'Aset Takberwujud'!$AG9,0)))</f>
        <v/>
      </c>
      <c r="K214" s="22" t="str">
        <f>IF($B214="","",IF(N('Aset Takberwujud'!$AG9)=0,0,IF(AND((YEAR(K$211)*12+MONTH(K$211))&gt;='Aset Takberwujud'!$Y9,(YEAR(K$211)*12+MONTH(K$211))&lt;=MIN('Aset Takberwujud'!$Z9,IF('Aset Takberwujud'!$S9="Unit Produksi",99999,'Aset Takberwujud'!$Y9+'Aset Takberwujud'!$T9*12-1))),'Aset Takberwujud'!$AQ9/'Aset Takberwujud'!$AG9,0)))</f>
        <v/>
      </c>
      <c r="L214" s="22" t="str">
        <f>IF($B214="","",IF(N('Aset Takberwujud'!$AG9)=0,0,IF(AND((YEAR(L$211)*12+MONTH(L$211))&gt;='Aset Takberwujud'!$Y9,(YEAR(L$211)*12+MONTH(L$211))&lt;=MIN('Aset Takberwujud'!$Z9,IF('Aset Takberwujud'!$S9="Unit Produksi",99999,'Aset Takberwujud'!$Y9+'Aset Takberwujud'!$T9*12-1))),'Aset Takberwujud'!$AQ9/'Aset Takberwujud'!$AG9,0)))</f>
        <v/>
      </c>
      <c r="M214" s="22" t="str">
        <f>IF($B214="","",IF(N('Aset Takberwujud'!$AG9)=0,0,IF(AND((YEAR(M$211)*12+MONTH(M$211))&gt;='Aset Takberwujud'!$Y9,(YEAR(M$211)*12+MONTH(M$211))&lt;=MIN('Aset Takberwujud'!$Z9,IF('Aset Takberwujud'!$S9="Unit Produksi",99999,'Aset Takberwujud'!$Y9+'Aset Takberwujud'!$T9*12-1))),'Aset Takberwujud'!$AQ9/'Aset Takberwujud'!$AG9,0)))</f>
        <v/>
      </c>
      <c r="N214" s="22" t="str">
        <f>IF($B214="","",IF(N('Aset Takberwujud'!$AG9)=0,0,IF(AND((YEAR(N$211)*12+MONTH(N$211))&gt;='Aset Takberwujud'!$Y9,(YEAR(N$211)*12+MONTH(N$211))&lt;=MIN('Aset Takberwujud'!$Z9,IF('Aset Takberwujud'!$S9="Unit Produksi",99999,'Aset Takberwujud'!$Y9+'Aset Takberwujud'!$T9*12-1))),'Aset Takberwujud'!$AQ9/'Aset Takberwujud'!$AG9,0)))</f>
        <v/>
      </c>
      <c r="O214" s="22" t="str">
        <f>IF($B214="","",IF(N('Aset Takberwujud'!$AG9)=0,0,IF(AND((YEAR(O$211)*12+MONTH(O$211))&gt;='Aset Takberwujud'!$Y9,(YEAR(O$211)*12+MONTH(O$211))&lt;=MIN('Aset Takberwujud'!$Z9,IF('Aset Takberwujud'!$S9="Unit Produksi",99999,'Aset Takberwujud'!$Y9+'Aset Takberwujud'!$T9*12-1))),'Aset Takberwujud'!$AQ9/'Aset Takberwujud'!$AG9,0)))</f>
        <v/>
      </c>
      <c r="P214" s="22" t="str">
        <f>IF($B214="","",IF(N('Aset Takberwujud'!$AG9)=0,0,IF(AND((YEAR(P$211)*12+MONTH(P$211))&gt;='Aset Takberwujud'!$Y9,(YEAR(P$211)*12+MONTH(P$211))&lt;=MIN('Aset Takberwujud'!$Z9,IF('Aset Takberwujud'!$S9="Unit Produksi",99999,'Aset Takberwujud'!$Y9+'Aset Takberwujud'!$T9*12-1))),'Aset Takberwujud'!$AQ9/'Aset Takberwujud'!$AG9,0)))</f>
        <v/>
      </c>
      <c r="Q214" s="22" t="str">
        <f>IF($B214="","",SUM(E214:P214))</f>
        <v/>
      </c>
      <c r="R214" s="22" t="str">
        <f>IF($B214="","",'Aset Takberwujud'!AQ9)</f>
        <v/>
      </c>
      <c r="S214" s="22" t="str">
        <f>IF($B214="","",ROUND(Q214-R214,0))</f>
        <v/>
      </c>
    </row>
    <row r="215" spans="1:19" x14ac:dyDescent="0.25">
      <c r="A215" t="str">
        <f>IF('Aset Takberwujud'!$B10="","",'Aset Takberwujud'!A10)</f>
        <v/>
      </c>
      <c r="B215" t="str">
        <f>IF('Aset Takberwujud'!$B10="","",'Aset Takberwujud'!B10)</f>
        <v/>
      </c>
      <c r="C215" t="str">
        <f>IF('Aset Takberwujud'!$B10="","",'Aset Takberwujud'!C10)</f>
        <v/>
      </c>
      <c r="D215" t="str">
        <f>IF('Aset Takberwujud'!$B10="","",'Aset Takberwujud'!D10)</f>
        <v/>
      </c>
      <c r="E215" s="22" t="str">
        <f>IF($B215="","",IF(N('Aset Takberwujud'!$AG10)=0,0,IF(AND((YEAR(E$211)*12+MONTH(E$211))&gt;='Aset Takberwujud'!$Y10,(YEAR(E$211)*12+MONTH(E$211))&lt;=MIN('Aset Takberwujud'!$Z10,IF('Aset Takberwujud'!$S10="Unit Produksi",99999,'Aset Takberwujud'!$Y10+'Aset Takberwujud'!$T10*12-1))),'Aset Takberwujud'!$AQ10/'Aset Takberwujud'!$AG10,0)))</f>
        <v/>
      </c>
      <c r="F215" s="22" t="str">
        <f>IF($B215="","",IF(N('Aset Takberwujud'!$AG10)=0,0,IF(AND((YEAR(F$211)*12+MONTH(F$211))&gt;='Aset Takberwujud'!$Y10,(YEAR(F$211)*12+MONTH(F$211))&lt;=MIN('Aset Takberwujud'!$Z10,IF('Aset Takberwujud'!$S10="Unit Produksi",99999,'Aset Takberwujud'!$Y10+'Aset Takberwujud'!$T10*12-1))),'Aset Takberwujud'!$AQ10/'Aset Takberwujud'!$AG10,0)))</f>
        <v/>
      </c>
      <c r="G215" s="22" t="str">
        <f>IF($B215="","",IF(N('Aset Takberwujud'!$AG10)=0,0,IF(AND((YEAR(G$211)*12+MONTH(G$211))&gt;='Aset Takberwujud'!$Y10,(YEAR(G$211)*12+MONTH(G$211))&lt;=MIN('Aset Takberwujud'!$Z10,IF('Aset Takberwujud'!$S10="Unit Produksi",99999,'Aset Takberwujud'!$Y10+'Aset Takberwujud'!$T10*12-1))),'Aset Takberwujud'!$AQ10/'Aset Takberwujud'!$AG10,0)))</f>
        <v/>
      </c>
      <c r="H215" s="22" t="str">
        <f>IF($B215="","",IF(N('Aset Takberwujud'!$AG10)=0,0,IF(AND((YEAR(H$211)*12+MONTH(H$211))&gt;='Aset Takberwujud'!$Y10,(YEAR(H$211)*12+MONTH(H$211))&lt;=MIN('Aset Takberwujud'!$Z10,IF('Aset Takberwujud'!$S10="Unit Produksi",99999,'Aset Takberwujud'!$Y10+'Aset Takberwujud'!$T10*12-1))),'Aset Takberwujud'!$AQ10/'Aset Takberwujud'!$AG10,0)))</f>
        <v/>
      </c>
      <c r="I215" s="22" t="str">
        <f>IF($B215="","",IF(N('Aset Takberwujud'!$AG10)=0,0,IF(AND((YEAR(I$211)*12+MONTH(I$211))&gt;='Aset Takberwujud'!$Y10,(YEAR(I$211)*12+MONTH(I$211))&lt;=MIN('Aset Takberwujud'!$Z10,IF('Aset Takberwujud'!$S10="Unit Produksi",99999,'Aset Takberwujud'!$Y10+'Aset Takberwujud'!$T10*12-1))),'Aset Takberwujud'!$AQ10/'Aset Takberwujud'!$AG10,0)))</f>
        <v/>
      </c>
      <c r="J215" s="22" t="str">
        <f>IF($B215="","",IF(N('Aset Takberwujud'!$AG10)=0,0,IF(AND((YEAR(J$211)*12+MONTH(J$211))&gt;='Aset Takberwujud'!$Y10,(YEAR(J$211)*12+MONTH(J$211))&lt;=MIN('Aset Takberwujud'!$Z10,IF('Aset Takberwujud'!$S10="Unit Produksi",99999,'Aset Takberwujud'!$Y10+'Aset Takberwujud'!$T10*12-1))),'Aset Takberwujud'!$AQ10/'Aset Takberwujud'!$AG10,0)))</f>
        <v/>
      </c>
      <c r="K215" s="22" t="str">
        <f>IF($B215="","",IF(N('Aset Takberwujud'!$AG10)=0,0,IF(AND((YEAR(K$211)*12+MONTH(K$211))&gt;='Aset Takberwujud'!$Y10,(YEAR(K$211)*12+MONTH(K$211))&lt;=MIN('Aset Takberwujud'!$Z10,IF('Aset Takberwujud'!$S10="Unit Produksi",99999,'Aset Takberwujud'!$Y10+'Aset Takberwujud'!$T10*12-1))),'Aset Takberwujud'!$AQ10/'Aset Takberwujud'!$AG10,0)))</f>
        <v/>
      </c>
      <c r="L215" s="22" t="str">
        <f>IF($B215="","",IF(N('Aset Takberwujud'!$AG10)=0,0,IF(AND((YEAR(L$211)*12+MONTH(L$211))&gt;='Aset Takberwujud'!$Y10,(YEAR(L$211)*12+MONTH(L$211))&lt;=MIN('Aset Takberwujud'!$Z10,IF('Aset Takberwujud'!$S10="Unit Produksi",99999,'Aset Takberwujud'!$Y10+'Aset Takberwujud'!$T10*12-1))),'Aset Takberwujud'!$AQ10/'Aset Takberwujud'!$AG10,0)))</f>
        <v/>
      </c>
      <c r="M215" s="22" t="str">
        <f>IF($B215="","",IF(N('Aset Takberwujud'!$AG10)=0,0,IF(AND((YEAR(M$211)*12+MONTH(M$211))&gt;='Aset Takberwujud'!$Y10,(YEAR(M$211)*12+MONTH(M$211))&lt;=MIN('Aset Takberwujud'!$Z10,IF('Aset Takberwujud'!$S10="Unit Produksi",99999,'Aset Takberwujud'!$Y10+'Aset Takberwujud'!$T10*12-1))),'Aset Takberwujud'!$AQ10/'Aset Takberwujud'!$AG10,0)))</f>
        <v/>
      </c>
      <c r="N215" s="22" t="str">
        <f>IF($B215="","",IF(N('Aset Takberwujud'!$AG10)=0,0,IF(AND((YEAR(N$211)*12+MONTH(N$211))&gt;='Aset Takberwujud'!$Y10,(YEAR(N$211)*12+MONTH(N$211))&lt;=MIN('Aset Takberwujud'!$Z10,IF('Aset Takberwujud'!$S10="Unit Produksi",99999,'Aset Takberwujud'!$Y10+'Aset Takberwujud'!$T10*12-1))),'Aset Takberwujud'!$AQ10/'Aset Takberwujud'!$AG10,0)))</f>
        <v/>
      </c>
      <c r="O215" s="22" t="str">
        <f>IF($B215="","",IF(N('Aset Takberwujud'!$AG10)=0,0,IF(AND((YEAR(O$211)*12+MONTH(O$211))&gt;='Aset Takberwujud'!$Y10,(YEAR(O$211)*12+MONTH(O$211))&lt;=MIN('Aset Takberwujud'!$Z10,IF('Aset Takberwujud'!$S10="Unit Produksi",99999,'Aset Takberwujud'!$Y10+'Aset Takberwujud'!$T10*12-1))),'Aset Takberwujud'!$AQ10/'Aset Takberwujud'!$AG10,0)))</f>
        <v/>
      </c>
      <c r="P215" s="22" t="str">
        <f>IF($B215="","",IF(N('Aset Takberwujud'!$AG10)=0,0,IF(AND((YEAR(P$211)*12+MONTH(P$211))&gt;='Aset Takberwujud'!$Y10,(YEAR(P$211)*12+MONTH(P$211))&lt;=MIN('Aset Takberwujud'!$Z10,IF('Aset Takberwujud'!$S10="Unit Produksi",99999,'Aset Takberwujud'!$Y10+'Aset Takberwujud'!$T10*12-1))),'Aset Takberwujud'!$AQ10/'Aset Takberwujud'!$AG10,0)))</f>
        <v/>
      </c>
      <c r="Q215" s="22" t="str">
        <f>IF($B215="","",SUM(E215:P215))</f>
        <v/>
      </c>
      <c r="R215" s="22" t="str">
        <f>IF($B215="","",'Aset Takberwujud'!AQ10)</f>
        <v/>
      </c>
      <c r="S215" s="22" t="str">
        <f>IF($B215="","",ROUND(Q215-R215,0))</f>
        <v/>
      </c>
    </row>
    <row r="216" spans="1:19" x14ac:dyDescent="0.25">
      <c r="A216" t="str">
        <f>IF('Aset Takberwujud'!$B11="","",'Aset Takberwujud'!A11)</f>
        <v/>
      </c>
      <c r="B216" t="str">
        <f>IF('Aset Takberwujud'!$B11="","",'Aset Takberwujud'!B11)</f>
        <v/>
      </c>
      <c r="C216" t="str">
        <f>IF('Aset Takberwujud'!$B11="","",'Aset Takberwujud'!C11)</f>
        <v/>
      </c>
      <c r="D216" t="str">
        <f>IF('Aset Takberwujud'!$B11="","",'Aset Takberwujud'!D11)</f>
        <v/>
      </c>
      <c r="E216" s="22" t="str">
        <f>IF($B216="","",IF(N('Aset Takberwujud'!$AG11)=0,0,IF(AND((YEAR(E$211)*12+MONTH(E$211))&gt;='Aset Takberwujud'!$Y11,(YEAR(E$211)*12+MONTH(E$211))&lt;=MIN('Aset Takberwujud'!$Z11,IF('Aset Takberwujud'!$S11="Unit Produksi",99999,'Aset Takberwujud'!$Y11+'Aset Takberwujud'!$T11*12-1))),'Aset Takberwujud'!$AQ11/'Aset Takberwujud'!$AG11,0)))</f>
        <v/>
      </c>
      <c r="F216" s="22" t="str">
        <f>IF($B216="","",IF(N('Aset Takberwujud'!$AG11)=0,0,IF(AND((YEAR(F$211)*12+MONTH(F$211))&gt;='Aset Takberwujud'!$Y11,(YEAR(F$211)*12+MONTH(F$211))&lt;=MIN('Aset Takberwujud'!$Z11,IF('Aset Takberwujud'!$S11="Unit Produksi",99999,'Aset Takberwujud'!$Y11+'Aset Takberwujud'!$T11*12-1))),'Aset Takberwujud'!$AQ11/'Aset Takberwujud'!$AG11,0)))</f>
        <v/>
      </c>
      <c r="G216" s="22" t="str">
        <f>IF($B216="","",IF(N('Aset Takberwujud'!$AG11)=0,0,IF(AND((YEAR(G$211)*12+MONTH(G$211))&gt;='Aset Takberwujud'!$Y11,(YEAR(G$211)*12+MONTH(G$211))&lt;=MIN('Aset Takberwujud'!$Z11,IF('Aset Takberwujud'!$S11="Unit Produksi",99999,'Aset Takberwujud'!$Y11+'Aset Takberwujud'!$T11*12-1))),'Aset Takberwujud'!$AQ11/'Aset Takberwujud'!$AG11,0)))</f>
        <v/>
      </c>
      <c r="H216" s="22" t="str">
        <f>IF($B216="","",IF(N('Aset Takberwujud'!$AG11)=0,0,IF(AND((YEAR(H$211)*12+MONTH(H$211))&gt;='Aset Takberwujud'!$Y11,(YEAR(H$211)*12+MONTH(H$211))&lt;=MIN('Aset Takberwujud'!$Z11,IF('Aset Takberwujud'!$S11="Unit Produksi",99999,'Aset Takberwujud'!$Y11+'Aset Takberwujud'!$T11*12-1))),'Aset Takberwujud'!$AQ11/'Aset Takberwujud'!$AG11,0)))</f>
        <v/>
      </c>
      <c r="I216" s="22" t="str">
        <f>IF($B216="","",IF(N('Aset Takberwujud'!$AG11)=0,0,IF(AND((YEAR(I$211)*12+MONTH(I$211))&gt;='Aset Takberwujud'!$Y11,(YEAR(I$211)*12+MONTH(I$211))&lt;=MIN('Aset Takberwujud'!$Z11,IF('Aset Takberwujud'!$S11="Unit Produksi",99999,'Aset Takberwujud'!$Y11+'Aset Takberwujud'!$T11*12-1))),'Aset Takberwujud'!$AQ11/'Aset Takberwujud'!$AG11,0)))</f>
        <v/>
      </c>
      <c r="J216" s="22" t="str">
        <f>IF($B216="","",IF(N('Aset Takberwujud'!$AG11)=0,0,IF(AND((YEAR(J$211)*12+MONTH(J$211))&gt;='Aset Takberwujud'!$Y11,(YEAR(J$211)*12+MONTH(J$211))&lt;=MIN('Aset Takberwujud'!$Z11,IF('Aset Takberwujud'!$S11="Unit Produksi",99999,'Aset Takberwujud'!$Y11+'Aset Takberwujud'!$T11*12-1))),'Aset Takberwujud'!$AQ11/'Aset Takberwujud'!$AG11,0)))</f>
        <v/>
      </c>
      <c r="K216" s="22" t="str">
        <f>IF($B216="","",IF(N('Aset Takberwujud'!$AG11)=0,0,IF(AND((YEAR(K$211)*12+MONTH(K$211))&gt;='Aset Takberwujud'!$Y11,(YEAR(K$211)*12+MONTH(K$211))&lt;=MIN('Aset Takberwujud'!$Z11,IF('Aset Takberwujud'!$S11="Unit Produksi",99999,'Aset Takberwujud'!$Y11+'Aset Takberwujud'!$T11*12-1))),'Aset Takberwujud'!$AQ11/'Aset Takberwujud'!$AG11,0)))</f>
        <v/>
      </c>
      <c r="L216" s="22" t="str">
        <f>IF($B216="","",IF(N('Aset Takberwujud'!$AG11)=0,0,IF(AND((YEAR(L$211)*12+MONTH(L$211))&gt;='Aset Takberwujud'!$Y11,(YEAR(L$211)*12+MONTH(L$211))&lt;=MIN('Aset Takberwujud'!$Z11,IF('Aset Takberwujud'!$S11="Unit Produksi",99999,'Aset Takberwujud'!$Y11+'Aset Takberwujud'!$T11*12-1))),'Aset Takberwujud'!$AQ11/'Aset Takberwujud'!$AG11,0)))</f>
        <v/>
      </c>
      <c r="M216" s="22" t="str">
        <f>IF($B216="","",IF(N('Aset Takberwujud'!$AG11)=0,0,IF(AND((YEAR(M$211)*12+MONTH(M$211))&gt;='Aset Takberwujud'!$Y11,(YEAR(M$211)*12+MONTH(M$211))&lt;=MIN('Aset Takberwujud'!$Z11,IF('Aset Takberwujud'!$S11="Unit Produksi",99999,'Aset Takberwujud'!$Y11+'Aset Takberwujud'!$T11*12-1))),'Aset Takberwujud'!$AQ11/'Aset Takberwujud'!$AG11,0)))</f>
        <v/>
      </c>
      <c r="N216" s="22" t="str">
        <f>IF($B216="","",IF(N('Aset Takberwujud'!$AG11)=0,0,IF(AND((YEAR(N$211)*12+MONTH(N$211))&gt;='Aset Takberwujud'!$Y11,(YEAR(N$211)*12+MONTH(N$211))&lt;=MIN('Aset Takberwujud'!$Z11,IF('Aset Takberwujud'!$S11="Unit Produksi",99999,'Aset Takberwujud'!$Y11+'Aset Takberwujud'!$T11*12-1))),'Aset Takberwujud'!$AQ11/'Aset Takberwujud'!$AG11,0)))</f>
        <v/>
      </c>
      <c r="O216" s="22" t="str">
        <f>IF($B216="","",IF(N('Aset Takberwujud'!$AG11)=0,0,IF(AND((YEAR(O$211)*12+MONTH(O$211))&gt;='Aset Takberwujud'!$Y11,(YEAR(O$211)*12+MONTH(O$211))&lt;=MIN('Aset Takberwujud'!$Z11,IF('Aset Takberwujud'!$S11="Unit Produksi",99999,'Aset Takberwujud'!$Y11+'Aset Takberwujud'!$T11*12-1))),'Aset Takberwujud'!$AQ11/'Aset Takberwujud'!$AG11,0)))</f>
        <v/>
      </c>
      <c r="P216" s="22" t="str">
        <f>IF($B216="","",IF(N('Aset Takberwujud'!$AG11)=0,0,IF(AND((YEAR(P$211)*12+MONTH(P$211))&gt;='Aset Takberwujud'!$Y11,(YEAR(P$211)*12+MONTH(P$211))&lt;=MIN('Aset Takberwujud'!$Z11,IF('Aset Takberwujud'!$S11="Unit Produksi",99999,'Aset Takberwujud'!$Y11+'Aset Takberwujud'!$T11*12-1))),'Aset Takberwujud'!$AQ11/'Aset Takberwujud'!$AG11,0)))</f>
        <v/>
      </c>
      <c r="Q216" s="22" t="str">
        <f>IF($B216="","",SUM(E216:P216))</f>
        <v/>
      </c>
      <c r="R216" s="22" t="str">
        <f>IF($B216="","",'Aset Takberwujud'!AQ11)</f>
        <v/>
      </c>
      <c r="S216" s="22" t="str">
        <f>IF($B216="","",ROUND(Q216-R216,0))</f>
        <v/>
      </c>
    </row>
    <row r="217" spans="1:19" x14ac:dyDescent="0.25">
      <c r="A217" t="str">
        <f>IF('Aset Takberwujud'!$B12="","",'Aset Takberwujud'!A12)</f>
        <v/>
      </c>
      <c r="B217" t="str">
        <f>IF('Aset Takberwujud'!$B12="","",'Aset Takberwujud'!B12)</f>
        <v/>
      </c>
      <c r="C217" t="str">
        <f>IF('Aset Takberwujud'!$B12="","",'Aset Takberwujud'!C12)</f>
        <v/>
      </c>
      <c r="D217" t="str">
        <f>IF('Aset Takberwujud'!$B12="","",'Aset Takberwujud'!D12)</f>
        <v/>
      </c>
      <c r="E217" s="22" t="str">
        <f>IF($B217="","",IF(N('Aset Takberwujud'!$AG12)=0,0,IF(AND((YEAR(E$211)*12+MONTH(E$211))&gt;='Aset Takberwujud'!$Y12,(YEAR(E$211)*12+MONTH(E$211))&lt;=MIN('Aset Takberwujud'!$Z12,IF('Aset Takberwujud'!$S12="Unit Produksi",99999,'Aset Takberwujud'!$Y12+'Aset Takberwujud'!$T12*12-1))),'Aset Takberwujud'!$AQ12/'Aset Takberwujud'!$AG12,0)))</f>
        <v/>
      </c>
      <c r="F217" s="22" t="str">
        <f>IF($B217="","",IF(N('Aset Takberwujud'!$AG12)=0,0,IF(AND((YEAR(F$211)*12+MONTH(F$211))&gt;='Aset Takberwujud'!$Y12,(YEAR(F$211)*12+MONTH(F$211))&lt;=MIN('Aset Takberwujud'!$Z12,IF('Aset Takberwujud'!$S12="Unit Produksi",99999,'Aset Takberwujud'!$Y12+'Aset Takberwujud'!$T12*12-1))),'Aset Takberwujud'!$AQ12/'Aset Takberwujud'!$AG12,0)))</f>
        <v/>
      </c>
      <c r="G217" s="22" t="str">
        <f>IF($B217="","",IF(N('Aset Takberwujud'!$AG12)=0,0,IF(AND((YEAR(G$211)*12+MONTH(G$211))&gt;='Aset Takberwujud'!$Y12,(YEAR(G$211)*12+MONTH(G$211))&lt;=MIN('Aset Takberwujud'!$Z12,IF('Aset Takberwujud'!$S12="Unit Produksi",99999,'Aset Takberwujud'!$Y12+'Aset Takberwujud'!$T12*12-1))),'Aset Takberwujud'!$AQ12/'Aset Takberwujud'!$AG12,0)))</f>
        <v/>
      </c>
      <c r="H217" s="22" t="str">
        <f>IF($B217="","",IF(N('Aset Takberwujud'!$AG12)=0,0,IF(AND((YEAR(H$211)*12+MONTH(H$211))&gt;='Aset Takberwujud'!$Y12,(YEAR(H$211)*12+MONTH(H$211))&lt;=MIN('Aset Takberwujud'!$Z12,IF('Aset Takberwujud'!$S12="Unit Produksi",99999,'Aset Takberwujud'!$Y12+'Aset Takberwujud'!$T12*12-1))),'Aset Takberwujud'!$AQ12/'Aset Takberwujud'!$AG12,0)))</f>
        <v/>
      </c>
      <c r="I217" s="22" t="str">
        <f>IF($B217="","",IF(N('Aset Takberwujud'!$AG12)=0,0,IF(AND((YEAR(I$211)*12+MONTH(I$211))&gt;='Aset Takberwujud'!$Y12,(YEAR(I$211)*12+MONTH(I$211))&lt;=MIN('Aset Takberwujud'!$Z12,IF('Aset Takberwujud'!$S12="Unit Produksi",99999,'Aset Takberwujud'!$Y12+'Aset Takberwujud'!$T12*12-1))),'Aset Takberwujud'!$AQ12/'Aset Takberwujud'!$AG12,0)))</f>
        <v/>
      </c>
      <c r="J217" s="22" t="str">
        <f>IF($B217="","",IF(N('Aset Takberwujud'!$AG12)=0,0,IF(AND((YEAR(J$211)*12+MONTH(J$211))&gt;='Aset Takberwujud'!$Y12,(YEAR(J$211)*12+MONTH(J$211))&lt;=MIN('Aset Takberwujud'!$Z12,IF('Aset Takberwujud'!$S12="Unit Produksi",99999,'Aset Takberwujud'!$Y12+'Aset Takberwujud'!$T12*12-1))),'Aset Takberwujud'!$AQ12/'Aset Takberwujud'!$AG12,0)))</f>
        <v/>
      </c>
      <c r="K217" s="22" t="str">
        <f>IF($B217="","",IF(N('Aset Takberwujud'!$AG12)=0,0,IF(AND((YEAR(K$211)*12+MONTH(K$211))&gt;='Aset Takberwujud'!$Y12,(YEAR(K$211)*12+MONTH(K$211))&lt;=MIN('Aset Takberwujud'!$Z12,IF('Aset Takberwujud'!$S12="Unit Produksi",99999,'Aset Takberwujud'!$Y12+'Aset Takberwujud'!$T12*12-1))),'Aset Takberwujud'!$AQ12/'Aset Takberwujud'!$AG12,0)))</f>
        <v/>
      </c>
      <c r="L217" s="22" t="str">
        <f>IF($B217="","",IF(N('Aset Takberwujud'!$AG12)=0,0,IF(AND((YEAR(L$211)*12+MONTH(L$211))&gt;='Aset Takberwujud'!$Y12,(YEAR(L$211)*12+MONTH(L$211))&lt;=MIN('Aset Takberwujud'!$Z12,IF('Aset Takberwujud'!$S12="Unit Produksi",99999,'Aset Takberwujud'!$Y12+'Aset Takberwujud'!$T12*12-1))),'Aset Takberwujud'!$AQ12/'Aset Takberwujud'!$AG12,0)))</f>
        <v/>
      </c>
      <c r="M217" s="22" t="str">
        <f>IF($B217="","",IF(N('Aset Takberwujud'!$AG12)=0,0,IF(AND((YEAR(M$211)*12+MONTH(M$211))&gt;='Aset Takberwujud'!$Y12,(YEAR(M$211)*12+MONTH(M$211))&lt;=MIN('Aset Takberwujud'!$Z12,IF('Aset Takberwujud'!$S12="Unit Produksi",99999,'Aset Takberwujud'!$Y12+'Aset Takberwujud'!$T12*12-1))),'Aset Takberwujud'!$AQ12/'Aset Takberwujud'!$AG12,0)))</f>
        <v/>
      </c>
      <c r="N217" s="22" t="str">
        <f>IF($B217="","",IF(N('Aset Takberwujud'!$AG12)=0,0,IF(AND((YEAR(N$211)*12+MONTH(N$211))&gt;='Aset Takberwujud'!$Y12,(YEAR(N$211)*12+MONTH(N$211))&lt;=MIN('Aset Takberwujud'!$Z12,IF('Aset Takberwujud'!$S12="Unit Produksi",99999,'Aset Takberwujud'!$Y12+'Aset Takberwujud'!$T12*12-1))),'Aset Takberwujud'!$AQ12/'Aset Takberwujud'!$AG12,0)))</f>
        <v/>
      </c>
      <c r="O217" s="22" t="str">
        <f>IF($B217="","",IF(N('Aset Takberwujud'!$AG12)=0,0,IF(AND((YEAR(O$211)*12+MONTH(O$211))&gt;='Aset Takberwujud'!$Y12,(YEAR(O$211)*12+MONTH(O$211))&lt;=MIN('Aset Takberwujud'!$Z12,IF('Aset Takberwujud'!$S12="Unit Produksi",99999,'Aset Takberwujud'!$Y12+'Aset Takberwujud'!$T12*12-1))),'Aset Takberwujud'!$AQ12/'Aset Takberwujud'!$AG12,0)))</f>
        <v/>
      </c>
      <c r="P217" s="22" t="str">
        <f>IF($B217="","",IF(N('Aset Takberwujud'!$AG12)=0,0,IF(AND((YEAR(P$211)*12+MONTH(P$211))&gt;='Aset Takberwujud'!$Y12,(YEAR(P$211)*12+MONTH(P$211))&lt;=MIN('Aset Takberwujud'!$Z12,IF('Aset Takberwujud'!$S12="Unit Produksi",99999,'Aset Takberwujud'!$Y12+'Aset Takberwujud'!$T12*12-1))),'Aset Takberwujud'!$AQ12/'Aset Takberwujud'!$AG12,0)))</f>
        <v/>
      </c>
      <c r="Q217" s="22" t="str">
        <f>IF($B217="","",SUM(E217:P217))</f>
        <v/>
      </c>
      <c r="R217" s="22" t="str">
        <f>IF($B217="","",'Aset Takberwujud'!AQ12)</f>
        <v/>
      </c>
      <c r="S217" s="22" t="str">
        <f>IF($B217="","",ROUND(Q217-R217,0))</f>
        <v/>
      </c>
    </row>
    <row r="218" spans="1:19" x14ac:dyDescent="0.25">
      <c r="A218" t="str">
        <f>IF('Aset Takberwujud'!$B13="","",'Aset Takberwujud'!A13)</f>
        <v/>
      </c>
      <c r="B218" t="str">
        <f>IF('Aset Takberwujud'!$B13="","",'Aset Takberwujud'!B13)</f>
        <v/>
      </c>
      <c r="C218" t="str">
        <f>IF('Aset Takberwujud'!$B13="","",'Aset Takberwujud'!C13)</f>
        <v/>
      </c>
      <c r="D218" t="str">
        <f>IF('Aset Takberwujud'!$B13="","",'Aset Takberwujud'!D13)</f>
        <v/>
      </c>
      <c r="E218" s="22" t="str">
        <f>IF($B218="","",IF(N('Aset Takberwujud'!$AG13)=0,0,IF(AND((YEAR(E$211)*12+MONTH(E$211))&gt;='Aset Takberwujud'!$Y13,(YEAR(E$211)*12+MONTH(E$211))&lt;=MIN('Aset Takberwujud'!$Z13,IF('Aset Takberwujud'!$S13="Unit Produksi",99999,'Aset Takberwujud'!$Y13+'Aset Takberwujud'!$T13*12-1))),'Aset Takberwujud'!$AQ13/'Aset Takberwujud'!$AG13,0)))</f>
        <v/>
      </c>
      <c r="F218" s="22" t="str">
        <f>IF($B218="","",IF(N('Aset Takberwujud'!$AG13)=0,0,IF(AND((YEAR(F$211)*12+MONTH(F$211))&gt;='Aset Takberwujud'!$Y13,(YEAR(F$211)*12+MONTH(F$211))&lt;=MIN('Aset Takberwujud'!$Z13,IF('Aset Takberwujud'!$S13="Unit Produksi",99999,'Aset Takberwujud'!$Y13+'Aset Takberwujud'!$T13*12-1))),'Aset Takberwujud'!$AQ13/'Aset Takberwujud'!$AG13,0)))</f>
        <v/>
      </c>
      <c r="G218" s="22" t="str">
        <f>IF($B218="","",IF(N('Aset Takberwujud'!$AG13)=0,0,IF(AND((YEAR(G$211)*12+MONTH(G$211))&gt;='Aset Takberwujud'!$Y13,(YEAR(G$211)*12+MONTH(G$211))&lt;=MIN('Aset Takberwujud'!$Z13,IF('Aset Takberwujud'!$S13="Unit Produksi",99999,'Aset Takberwujud'!$Y13+'Aset Takberwujud'!$T13*12-1))),'Aset Takberwujud'!$AQ13/'Aset Takberwujud'!$AG13,0)))</f>
        <v/>
      </c>
      <c r="H218" s="22" t="str">
        <f>IF($B218="","",IF(N('Aset Takberwujud'!$AG13)=0,0,IF(AND((YEAR(H$211)*12+MONTH(H$211))&gt;='Aset Takberwujud'!$Y13,(YEAR(H$211)*12+MONTH(H$211))&lt;=MIN('Aset Takberwujud'!$Z13,IF('Aset Takberwujud'!$S13="Unit Produksi",99999,'Aset Takberwujud'!$Y13+'Aset Takberwujud'!$T13*12-1))),'Aset Takberwujud'!$AQ13/'Aset Takberwujud'!$AG13,0)))</f>
        <v/>
      </c>
      <c r="I218" s="22" t="str">
        <f>IF($B218="","",IF(N('Aset Takberwujud'!$AG13)=0,0,IF(AND((YEAR(I$211)*12+MONTH(I$211))&gt;='Aset Takberwujud'!$Y13,(YEAR(I$211)*12+MONTH(I$211))&lt;=MIN('Aset Takberwujud'!$Z13,IF('Aset Takberwujud'!$S13="Unit Produksi",99999,'Aset Takberwujud'!$Y13+'Aset Takberwujud'!$T13*12-1))),'Aset Takberwujud'!$AQ13/'Aset Takberwujud'!$AG13,0)))</f>
        <v/>
      </c>
      <c r="J218" s="22" t="str">
        <f>IF($B218="","",IF(N('Aset Takberwujud'!$AG13)=0,0,IF(AND((YEAR(J$211)*12+MONTH(J$211))&gt;='Aset Takberwujud'!$Y13,(YEAR(J$211)*12+MONTH(J$211))&lt;=MIN('Aset Takberwujud'!$Z13,IF('Aset Takberwujud'!$S13="Unit Produksi",99999,'Aset Takberwujud'!$Y13+'Aset Takberwujud'!$T13*12-1))),'Aset Takberwujud'!$AQ13/'Aset Takberwujud'!$AG13,0)))</f>
        <v/>
      </c>
      <c r="K218" s="22" t="str">
        <f>IF($B218="","",IF(N('Aset Takberwujud'!$AG13)=0,0,IF(AND((YEAR(K$211)*12+MONTH(K$211))&gt;='Aset Takberwujud'!$Y13,(YEAR(K$211)*12+MONTH(K$211))&lt;=MIN('Aset Takberwujud'!$Z13,IF('Aset Takberwujud'!$S13="Unit Produksi",99999,'Aset Takberwujud'!$Y13+'Aset Takberwujud'!$T13*12-1))),'Aset Takberwujud'!$AQ13/'Aset Takberwujud'!$AG13,0)))</f>
        <v/>
      </c>
      <c r="L218" s="22" t="str">
        <f>IF($B218="","",IF(N('Aset Takberwujud'!$AG13)=0,0,IF(AND((YEAR(L$211)*12+MONTH(L$211))&gt;='Aset Takberwujud'!$Y13,(YEAR(L$211)*12+MONTH(L$211))&lt;=MIN('Aset Takberwujud'!$Z13,IF('Aset Takberwujud'!$S13="Unit Produksi",99999,'Aset Takberwujud'!$Y13+'Aset Takberwujud'!$T13*12-1))),'Aset Takberwujud'!$AQ13/'Aset Takberwujud'!$AG13,0)))</f>
        <v/>
      </c>
      <c r="M218" s="22" t="str">
        <f>IF($B218="","",IF(N('Aset Takberwujud'!$AG13)=0,0,IF(AND((YEAR(M$211)*12+MONTH(M$211))&gt;='Aset Takberwujud'!$Y13,(YEAR(M$211)*12+MONTH(M$211))&lt;=MIN('Aset Takberwujud'!$Z13,IF('Aset Takberwujud'!$S13="Unit Produksi",99999,'Aset Takberwujud'!$Y13+'Aset Takberwujud'!$T13*12-1))),'Aset Takberwujud'!$AQ13/'Aset Takberwujud'!$AG13,0)))</f>
        <v/>
      </c>
      <c r="N218" s="22" t="str">
        <f>IF($B218="","",IF(N('Aset Takberwujud'!$AG13)=0,0,IF(AND((YEAR(N$211)*12+MONTH(N$211))&gt;='Aset Takberwujud'!$Y13,(YEAR(N$211)*12+MONTH(N$211))&lt;=MIN('Aset Takberwujud'!$Z13,IF('Aset Takberwujud'!$S13="Unit Produksi",99999,'Aset Takberwujud'!$Y13+'Aset Takberwujud'!$T13*12-1))),'Aset Takberwujud'!$AQ13/'Aset Takberwujud'!$AG13,0)))</f>
        <v/>
      </c>
      <c r="O218" s="22" t="str">
        <f>IF($B218="","",IF(N('Aset Takberwujud'!$AG13)=0,0,IF(AND((YEAR(O$211)*12+MONTH(O$211))&gt;='Aset Takberwujud'!$Y13,(YEAR(O$211)*12+MONTH(O$211))&lt;=MIN('Aset Takberwujud'!$Z13,IF('Aset Takberwujud'!$S13="Unit Produksi",99999,'Aset Takberwujud'!$Y13+'Aset Takberwujud'!$T13*12-1))),'Aset Takberwujud'!$AQ13/'Aset Takberwujud'!$AG13,0)))</f>
        <v/>
      </c>
      <c r="P218" s="22" t="str">
        <f>IF($B218="","",IF(N('Aset Takberwujud'!$AG13)=0,0,IF(AND((YEAR(P$211)*12+MONTH(P$211))&gt;='Aset Takberwujud'!$Y13,(YEAR(P$211)*12+MONTH(P$211))&lt;=MIN('Aset Takberwujud'!$Z13,IF('Aset Takberwujud'!$S13="Unit Produksi",99999,'Aset Takberwujud'!$Y13+'Aset Takberwujud'!$T13*12-1))),'Aset Takberwujud'!$AQ13/'Aset Takberwujud'!$AG13,0)))</f>
        <v/>
      </c>
      <c r="Q218" s="22" t="str">
        <f>IF($B218="","",SUM(E218:P218))</f>
        <v/>
      </c>
      <c r="R218" s="22" t="str">
        <f>IF($B218="","",'Aset Takberwujud'!AQ13)</f>
        <v/>
      </c>
      <c r="S218" s="22" t="str">
        <f>IF($B218="","",ROUND(Q218-R218,0))</f>
        <v/>
      </c>
    </row>
    <row r="219" spans="1:19" x14ac:dyDescent="0.25">
      <c r="A219" t="str">
        <f>IF('Aset Takberwujud'!$B14="","",'Aset Takberwujud'!A14)</f>
        <v/>
      </c>
      <c r="B219" t="str">
        <f>IF('Aset Takberwujud'!$B14="","",'Aset Takberwujud'!B14)</f>
        <v/>
      </c>
      <c r="C219" t="str">
        <f>IF('Aset Takberwujud'!$B14="","",'Aset Takberwujud'!C14)</f>
        <v/>
      </c>
      <c r="D219" t="str">
        <f>IF('Aset Takberwujud'!$B14="","",'Aset Takberwujud'!D14)</f>
        <v/>
      </c>
      <c r="E219" s="22" t="str">
        <f>IF($B219="","",IF(N('Aset Takberwujud'!$AG14)=0,0,IF(AND((YEAR(E$211)*12+MONTH(E$211))&gt;='Aset Takberwujud'!$Y14,(YEAR(E$211)*12+MONTH(E$211))&lt;=MIN('Aset Takberwujud'!$Z14,IF('Aset Takberwujud'!$S14="Unit Produksi",99999,'Aset Takberwujud'!$Y14+'Aset Takberwujud'!$T14*12-1))),'Aset Takberwujud'!$AQ14/'Aset Takberwujud'!$AG14,0)))</f>
        <v/>
      </c>
      <c r="F219" s="22" t="str">
        <f>IF($B219="","",IF(N('Aset Takberwujud'!$AG14)=0,0,IF(AND((YEAR(F$211)*12+MONTH(F$211))&gt;='Aset Takberwujud'!$Y14,(YEAR(F$211)*12+MONTH(F$211))&lt;=MIN('Aset Takberwujud'!$Z14,IF('Aset Takberwujud'!$S14="Unit Produksi",99999,'Aset Takberwujud'!$Y14+'Aset Takberwujud'!$T14*12-1))),'Aset Takberwujud'!$AQ14/'Aset Takberwujud'!$AG14,0)))</f>
        <v/>
      </c>
      <c r="G219" s="22" t="str">
        <f>IF($B219="","",IF(N('Aset Takberwujud'!$AG14)=0,0,IF(AND((YEAR(G$211)*12+MONTH(G$211))&gt;='Aset Takberwujud'!$Y14,(YEAR(G$211)*12+MONTH(G$211))&lt;=MIN('Aset Takberwujud'!$Z14,IF('Aset Takberwujud'!$S14="Unit Produksi",99999,'Aset Takberwujud'!$Y14+'Aset Takberwujud'!$T14*12-1))),'Aset Takberwujud'!$AQ14/'Aset Takberwujud'!$AG14,0)))</f>
        <v/>
      </c>
      <c r="H219" s="22" t="str">
        <f>IF($B219="","",IF(N('Aset Takberwujud'!$AG14)=0,0,IF(AND((YEAR(H$211)*12+MONTH(H$211))&gt;='Aset Takberwujud'!$Y14,(YEAR(H$211)*12+MONTH(H$211))&lt;=MIN('Aset Takberwujud'!$Z14,IF('Aset Takberwujud'!$S14="Unit Produksi",99999,'Aset Takberwujud'!$Y14+'Aset Takberwujud'!$T14*12-1))),'Aset Takberwujud'!$AQ14/'Aset Takberwujud'!$AG14,0)))</f>
        <v/>
      </c>
      <c r="I219" s="22" t="str">
        <f>IF($B219="","",IF(N('Aset Takberwujud'!$AG14)=0,0,IF(AND((YEAR(I$211)*12+MONTH(I$211))&gt;='Aset Takberwujud'!$Y14,(YEAR(I$211)*12+MONTH(I$211))&lt;=MIN('Aset Takberwujud'!$Z14,IF('Aset Takberwujud'!$S14="Unit Produksi",99999,'Aset Takberwujud'!$Y14+'Aset Takberwujud'!$T14*12-1))),'Aset Takberwujud'!$AQ14/'Aset Takberwujud'!$AG14,0)))</f>
        <v/>
      </c>
      <c r="J219" s="22" t="str">
        <f>IF($B219="","",IF(N('Aset Takberwujud'!$AG14)=0,0,IF(AND((YEAR(J$211)*12+MONTH(J$211))&gt;='Aset Takberwujud'!$Y14,(YEAR(J$211)*12+MONTH(J$211))&lt;=MIN('Aset Takberwujud'!$Z14,IF('Aset Takberwujud'!$S14="Unit Produksi",99999,'Aset Takberwujud'!$Y14+'Aset Takberwujud'!$T14*12-1))),'Aset Takberwujud'!$AQ14/'Aset Takberwujud'!$AG14,0)))</f>
        <v/>
      </c>
      <c r="K219" s="22" t="str">
        <f>IF($B219="","",IF(N('Aset Takberwujud'!$AG14)=0,0,IF(AND((YEAR(K$211)*12+MONTH(K$211))&gt;='Aset Takberwujud'!$Y14,(YEAR(K$211)*12+MONTH(K$211))&lt;=MIN('Aset Takberwujud'!$Z14,IF('Aset Takberwujud'!$S14="Unit Produksi",99999,'Aset Takberwujud'!$Y14+'Aset Takberwujud'!$T14*12-1))),'Aset Takberwujud'!$AQ14/'Aset Takberwujud'!$AG14,0)))</f>
        <v/>
      </c>
      <c r="L219" s="22" t="str">
        <f>IF($B219="","",IF(N('Aset Takberwujud'!$AG14)=0,0,IF(AND((YEAR(L$211)*12+MONTH(L$211))&gt;='Aset Takberwujud'!$Y14,(YEAR(L$211)*12+MONTH(L$211))&lt;=MIN('Aset Takberwujud'!$Z14,IF('Aset Takberwujud'!$S14="Unit Produksi",99999,'Aset Takberwujud'!$Y14+'Aset Takberwujud'!$T14*12-1))),'Aset Takberwujud'!$AQ14/'Aset Takberwujud'!$AG14,0)))</f>
        <v/>
      </c>
      <c r="M219" s="22" t="str">
        <f>IF($B219="","",IF(N('Aset Takberwujud'!$AG14)=0,0,IF(AND((YEAR(M$211)*12+MONTH(M$211))&gt;='Aset Takberwujud'!$Y14,(YEAR(M$211)*12+MONTH(M$211))&lt;=MIN('Aset Takberwujud'!$Z14,IF('Aset Takberwujud'!$S14="Unit Produksi",99999,'Aset Takberwujud'!$Y14+'Aset Takberwujud'!$T14*12-1))),'Aset Takberwujud'!$AQ14/'Aset Takberwujud'!$AG14,0)))</f>
        <v/>
      </c>
      <c r="N219" s="22" t="str">
        <f>IF($B219="","",IF(N('Aset Takberwujud'!$AG14)=0,0,IF(AND((YEAR(N$211)*12+MONTH(N$211))&gt;='Aset Takberwujud'!$Y14,(YEAR(N$211)*12+MONTH(N$211))&lt;=MIN('Aset Takberwujud'!$Z14,IF('Aset Takberwujud'!$S14="Unit Produksi",99999,'Aset Takberwujud'!$Y14+'Aset Takberwujud'!$T14*12-1))),'Aset Takberwujud'!$AQ14/'Aset Takberwujud'!$AG14,0)))</f>
        <v/>
      </c>
      <c r="O219" s="22" t="str">
        <f>IF($B219="","",IF(N('Aset Takberwujud'!$AG14)=0,0,IF(AND((YEAR(O$211)*12+MONTH(O$211))&gt;='Aset Takberwujud'!$Y14,(YEAR(O$211)*12+MONTH(O$211))&lt;=MIN('Aset Takberwujud'!$Z14,IF('Aset Takberwujud'!$S14="Unit Produksi",99999,'Aset Takberwujud'!$Y14+'Aset Takberwujud'!$T14*12-1))),'Aset Takberwujud'!$AQ14/'Aset Takberwujud'!$AG14,0)))</f>
        <v/>
      </c>
      <c r="P219" s="22" t="str">
        <f>IF($B219="","",IF(N('Aset Takberwujud'!$AG14)=0,0,IF(AND((YEAR(P$211)*12+MONTH(P$211))&gt;='Aset Takberwujud'!$Y14,(YEAR(P$211)*12+MONTH(P$211))&lt;=MIN('Aset Takberwujud'!$Z14,IF('Aset Takberwujud'!$S14="Unit Produksi",99999,'Aset Takberwujud'!$Y14+'Aset Takberwujud'!$T14*12-1))),'Aset Takberwujud'!$AQ14/'Aset Takberwujud'!$AG14,0)))</f>
        <v/>
      </c>
      <c r="Q219" s="22" t="str">
        <f>IF($B219="","",SUM(E219:P219))</f>
        <v/>
      </c>
      <c r="R219" s="22" t="str">
        <f>IF($B219="","",'Aset Takberwujud'!AQ14)</f>
        <v/>
      </c>
      <c r="S219" s="22" t="str">
        <f>IF($B219="","",ROUND(Q219-R219,0))</f>
        <v/>
      </c>
    </row>
    <row r="220" spans="1:19" x14ac:dyDescent="0.25">
      <c r="A220" t="str">
        <f>IF('Aset Takberwujud'!$B15="","",'Aset Takberwujud'!A15)</f>
        <v/>
      </c>
      <c r="B220" t="str">
        <f>IF('Aset Takberwujud'!$B15="","",'Aset Takberwujud'!B15)</f>
        <v/>
      </c>
      <c r="C220" t="str">
        <f>IF('Aset Takberwujud'!$B15="","",'Aset Takberwujud'!C15)</f>
        <v/>
      </c>
      <c r="D220" t="str">
        <f>IF('Aset Takberwujud'!$B15="","",'Aset Takberwujud'!D15)</f>
        <v/>
      </c>
      <c r="E220" s="22" t="str">
        <f>IF($B220="","",IF(N('Aset Takberwujud'!$AG15)=0,0,IF(AND((YEAR(E$211)*12+MONTH(E$211))&gt;='Aset Takberwujud'!$Y15,(YEAR(E$211)*12+MONTH(E$211))&lt;=MIN('Aset Takberwujud'!$Z15,IF('Aset Takberwujud'!$S15="Unit Produksi",99999,'Aset Takberwujud'!$Y15+'Aset Takberwujud'!$T15*12-1))),'Aset Takberwujud'!$AQ15/'Aset Takberwujud'!$AG15,0)))</f>
        <v/>
      </c>
      <c r="F220" s="22" t="str">
        <f>IF($B220="","",IF(N('Aset Takberwujud'!$AG15)=0,0,IF(AND((YEAR(F$211)*12+MONTH(F$211))&gt;='Aset Takberwujud'!$Y15,(YEAR(F$211)*12+MONTH(F$211))&lt;=MIN('Aset Takberwujud'!$Z15,IF('Aset Takberwujud'!$S15="Unit Produksi",99999,'Aset Takberwujud'!$Y15+'Aset Takberwujud'!$T15*12-1))),'Aset Takberwujud'!$AQ15/'Aset Takberwujud'!$AG15,0)))</f>
        <v/>
      </c>
      <c r="G220" s="22" t="str">
        <f>IF($B220="","",IF(N('Aset Takberwujud'!$AG15)=0,0,IF(AND((YEAR(G$211)*12+MONTH(G$211))&gt;='Aset Takberwujud'!$Y15,(YEAR(G$211)*12+MONTH(G$211))&lt;=MIN('Aset Takberwujud'!$Z15,IF('Aset Takberwujud'!$S15="Unit Produksi",99999,'Aset Takberwujud'!$Y15+'Aset Takberwujud'!$T15*12-1))),'Aset Takberwujud'!$AQ15/'Aset Takberwujud'!$AG15,0)))</f>
        <v/>
      </c>
      <c r="H220" s="22" t="str">
        <f>IF($B220="","",IF(N('Aset Takberwujud'!$AG15)=0,0,IF(AND((YEAR(H$211)*12+MONTH(H$211))&gt;='Aset Takberwujud'!$Y15,(YEAR(H$211)*12+MONTH(H$211))&lt;=MIN('Aset Takberwujud'!$Z15,IF('Aset Takberwujud'!$S15="Unit Produksi",99999,'Aset Takberwujud'!$Y15+'Aset Takberwujud'!$T15*12-1))),'Aset Takberwujud'!$AQ15/'Aset Takberwujud'!$AG15,0)))</f>
        <v/>
      </c>
      <c r="I220" s="22" t="str">
        <f>IF($B220="","",IF(N('Aset Takberwujud'!$AG15)=0,0,IF(AND((YEAR(I$211)*12+MONTH(I$211))&gt;='Aset Takberwujud'!$Y15,(YEAR(I$211)*12+MONTH(I$211))&lt;=MIN('Aset Takberwujud'!$Z15,IF('Aset Takberwujud'!$S15="Unit Produksi",99999,'Aset Takberwujud'!$Y15+'Aset Takberwujud'!$T15*12-1))),'Aset Takberwujud'!$AQ15/'Aset Takberwujud'!$AG15,0)))</f>
        <v/>
      </c>
      <c r="J220" s="22" t="str">
        <f>IF($B220="","",IF(N('Aset Takberwujud'!$AG15)=0,0,IF(AND((YEAR(J$211)*12+MONTH(J$211))&gt;='Aset Takberwujud'!$Y15,(YEAR(J$211)*12+MONTH(J$211))&lt;=MIN('Aset Takberwujud'!$Z15,IF('Aset Takberwujud'!$S15="Unit Produksi",99999,'Aset Takberwujud'!$Y15+'Aset Takberwujud'!$T15*12-1))),'Aset Takberwujud'!$AQ15/'Aset Takberwujud'!$AG15,0)))</f>
        <v/>
      </c>
      <c r="K220" s="22" t="str">
        <f>IF($B220="","",IF(N('Aset Takberwujud'!$AG15)=0,0,IF(AND((YEAR(K$211)*12+MONTH(K$211))&gt;='Aset Takberwujud'!$Y15,(YEAR(K$211)*12+MONTH(K$211))&lt;=MIN('Aset Takberwujud'!$Z15,IF('Aset Takberwujud'!$S15="Unit Produksi",99999,'Aset Takberwujud'!$Y15+'Aset Takberwujud'!$T15*12-1))),'Aset Takberwujud'!$AQ15/'Aset Takberwujud'!$AG15,0)))</f>
        <v/>
      </c>
      <c r="L220" s="22" t="str">
        <f>IF($B220="","",IF(N('Aset Takberwujud'!$AG15)=0,0,IF(AND((YEAR(L$211)*12+MONTH(L$211))&gt;='Aset Takberwujud'!$Y15,(YEAR(L$211)*12+MONTH(L$211))&lt;=MIN('Aset Takberwujud'!$Z15,IF('Aset Takberwujud'!$S15="Unit Produksi",99999,'Aset Takberwujud'!$Y15+'Aset Takberwujud'!$T15*12-1))),'Aset Takberwujud'!$AQ15/'Aset Takberwujud'!$AG15,0)))</f>
        <v/>
      </c>
      <c r="M220" s="22" t="str">
        <f>IF($B220="","",IF(N('Aset Takberwujud'!$AG15)=0,0,IF(AND((YEAR(M$211)*12+MONTH(M$211))&gt;='Aset Takberwujud'!$Y15,(YEAR(M$211)*12+MONTH(M$211))&lt;=MIN('Aset Takberwujud'!$Z15,IF('Aset Takberwujud'!$S15="Unit Produksi",99999,'Aset Takberwujud'!$Y15+'Aset Takberwujud'!$T15*12-1))),'Aset Takberwujud'!$AQ15/'Aset Takberwujud'!$AG15,0)))</f>
        <v/>
      </c>
      <c r="N220" s="22" t="str">
        <f>IF($B220="","",IF(N('Aset Takberwujud'!$AG15)=0,0,IF(AND((YEAR(N$211)*12+MONTH(N$211))&gt;='Aset Takberwujud'!$Y15,(YEAR(N$211)*12+MONTH(N$211))&lt;=MIN('Aset Takberwujud'!$Z15,IF('Aset Takberwujud'!$S15="Unit Produksi",99999,'Aset Takberwujud'!$Y15+'Aset Takberwujud'!$T15*12-1))),'Aset Takberwujud'!$AQ15/'Aset Takberwujud'!$AG15,0)))</f>
        <v/>
      </c>
      <c r="O220" s="22" t="str">
        <f>IF($B220="","",IF(N('Aset Takberwujud'!$AG15)=0,0,IF(AND((YEAR(O$211)*12+MONTH(O$211))&gt;='Aset Takberwujud'!$Y15,(YEAR(O$211)*12+MONTH(O$211))&lt;=MIN('Aset Takberwujud'!$Z15,IF('Aset Takberwujud'!$S15="Unit Produksi",99999,'Aset Takberwujud'!$Y15+'Aset Takberwujud'!$T15*12-1))),'Aset Takberwujud'!$AQ15/'Aset Takberwujud'!$AG15,0)))</f>
        <v/>
      </c>
      <c r="P220" s="22" t="str">
        <f>IF($B220="","",IF(N('Aset Takberwujud'!$AG15)=0,0,IF(AND((YEAR(P$211)*12+MONTH(P$211))&gt;='Aset Takberwujud'!$Y15,(YEAR(P$211)*12+MONTH(P$211))&lt;=MIN('Aset Takberwujud'!$Z15,IF('Aset Takberwujud'!$S15="Unit Produksi",99999,'Aset Takberwujud'!$Y15+'Aset Takberwujud'!$T15*12-1))),'Aset Takberwujud'!$AQ15/'Aset Takberwujud'!$AG15,0)))</f>
        <v/>
      </c>
      <c r="Q220" s="22" t="str">
        <f>IF($B220="","",SUM(E220:P220))</f>
        <v/>
      </c>
      <c r="R220" s="22" t="str">
        <f>IF($B220="","",'Aset Takberwujud'!AQ15)</f>
        <v/>
      </c>
      <c r="S220" s="22" t="str">
        <f>IF($B220="","",ROUND(Q220-R220,0))</f>
        <v/>
      </c>
    </row>
    <row r="221" spans="1:19" x14ac:dyDescent="0.25">
      <c r="A221" t="str">
        <f>IF('Aset Takberwujud'!$B16="","",'Aset Takberwujud'!A16)</f>
        <v/>
      </c>
      <c r="B221" t="str">
        <f>IF('Aset Takberwujud'!$B16="","",'Aset Takberwujud'!B16)</f>
        <v/>
      </c>
      <c r="C221" t="str">
        <f>IF('Aset Takberwujud'!$B16="","",'Aset Takberwujud'!C16)</f>
        <v/>
      </c>
      <c r="D221" t="str">
        <f>IF('Aset Takberwujud'!$B16="","",'Aset Takberwujud'!D16)</f>
        <v/>
      </c>
      <c r="E221" s="22" t="str">
        <f>IF($B221="","",IF(N('Aset Takberwujud'!$AG16)=0,0,IF(AND((YEAR(E$211)*12+MONTH(E$211))&gt;='Aset Takberwujud'!$Y16,(YEAR(E$211)*12+MONTH(E$211))&lt;=MIN('Aset Takberwujud'!$Z16,IF('Aset Takberwujud'!$S16="Unit Produksi",99999,'Aset Takberwujud'!$Y16+'Aset Takberwujud'!$T16*12-1))),'Aset Takberwujud'!$AQ16/'Aset Takberwujud'!$AG16,0)))</f>
        <v/>
      </c>
      <c r="F221" s="22" t="str">
        <f>IF($B221="","",IF(N('Aset Takberwujud'!$AG16)=0,0,IF(AND((YEAR(F$211)*12+MONTH(F$211))&gt;='Aset Takberwujud'!$Y16,(YEAR(F$211)*12+MONTH(F$211))&lt;=MIN('Aset Takberwujud'!$Z16,IF('Aset Takberwujud'!$S16="Unit Produksi",99999,'Aset Takberwujud'!$Y16+'Aset Takberwujud'!$T16*12-1))),'Aset Takberwujud'!$AQ16/'Aset Takberwujud'!$AG16,0)))</f>
        <v/>
      </c>
      <c r="G221" s="22" t="str">
        <f>IF($B221="","",IF(N('Aset Takberwujud'!$AG16)=0,0,IF(AND((YEAR(G$211)*12+MONTH(G$211))&gt;='Aset Takberwujud'!$Y16,(YEAR(G$211)*12+MONTH(G$211))&lt;=MIN('Aset Takberwujud'!$Z16,IF('Aset Takberwujud'!$S16="Unit Produksi",99999,'Aset Takberwujud'!$Y16+'Aset Takberwujud'!$T16*12-1))),'Aset Takberwujud'!$AQ16/'Aset Takberwujud'!$AG16,0)))</f>
        <v/>
      </c>
      <c r="H221" s="22" t="str">
        <f>IF($B221="","",IF(N('Aset Takberwujud'!$AG16)=0,0,IF(AND((YEAR(H$211)*12+MONTH(H$211))&gt;='Aset Takberwujud'!$Y16,(YEAR(H$211)*12+MONTH(H$211))&lt;=MIN('Aset Takberwujud'!$Z16,IF('Aset Takberwujud'!$S16="Unit Produksi",99999,'Aset Takberwujud'!$Y16+'Aset Takberwujud'!$T16*12-1))),'Aset Takberwujud'!$AQ16/'Aset Takberwujud'!$AG16,0)))</f>
        <v/>
      </c>
      <c r="I221" s="22" t="str">
        <f>IF($B221="","",IF(N('Aset Takberwujud'!$AG16)=0,0,IF(AND((YEAR(I$211)*12+MONTH(I$211))&gt;='Aset Takberwujud'!$Y16,(YEAR(I$211)*12+MONTH(I$211))&lt;=MIN('Aset Takberwujud'!$Z16,IF('Aset Takberwujud'!$S16="Unit Produksi",99999,'Aset Takberwujud'!$Y16+'Aset Takberwujud'!$T16*12-1))),'Aset Takberwujud'!$AQ16/'Aset Takberwujud'!$AG16,0)))</f>
        <v/>
      </c>
      <c r="J221" s="22" t="str">
        <f>IF($B221="","",IF(N('Aset Takberwujud'!$AG16)=0,0,IF(AND((YEAR(J$211)*12+MONTH(J$211))&gt;='Aset Takberwujud'!$Y16,(YEAR(J$211)*12+MONTH(J$211))&lt;=MIN('Aset Takberwujud'!$Z16,IF('Aset Takberwujud'!$S16="Unit Produksi",99999,'Aset Takberwujud'!$Y16+'Aset Takberwujud'!$T16*12-1))),'Aset Takberwujud'!$AQ16/'Aset Takberwujud'!$AG16,0)))</f>
        <v/>
      </c>
      <c r="K221" s="22" t="str">
        <f>IF($B221="","",IF(N('Aset Takberwujud'!$AG16)=0,0,IF(AND((YEAR(K$211)*12+MONTH(K$211))&gt;='Aset Takberwujud'!$Y16,(YEAR(K$211)*12+MONTH(K$211))&lt;=MIN('Aset Takberwujud'!$Z16,IF('Aset Takberwujud'!$S16="Unit Produksi",99999,'Aset Takberwujud'!$Y16+'Aset Takberwujud'!$T16*12-1))),'Aset Takberwujud'!$AQ16/'Aset Takberwujud'!$AG16,0)))</f>
        <v/>
      </c>
      <c r="L221" s="22" t="str">
        <f>IF($B221="","",IF(N('Aset Takberwujud'!$AG16)=0,0,IF(AND((YEAR(L$211)*12+MONTH(L$211))&gt;='Aset Takberwujud'!$Y16,(YEAR(L$211)*12+MONTH(L$211))&lt;=MIN('Aset Takberwujud'!$Z16,IF('Aset Takberwujud'!$S16="Unit Produksi",99999,'Aset Takberwujud'!$Y16+'Aset Takberwujud'!$T16*12-1))),'Aset Takberwujud'!$AQ16/'Aset Takberwujud'!$AG16,0)))</f>
        <v/>
      </c>
      <c r="M221" s="22" t="str">
        <f>IF($B221="","",IF(N('Aset Takberwujud'!$AG16)=0,0,IF(AND((YEAR(M$211)*12+MONTH(M$211))&gt;='Aset Takberwujud'!$Y16,(YEAR(M$211)*12+MONTH(M$211))&lt;=MIN('Aset Takberwujud'!$Z16,IF('Aset Takberwujud'!$S16="Unit Produksi",99999,'Aset Takberwujud'!$Y16+'Aset Takberwujud'!$T16*12-1))),'Aset Takberwujud'!$AQ16/'Aset Takberwujud'!$AG16,0)))</f>
        <v/>
      </c>
      <c r="N221" s="22" t="str">
        <f>IF($B221="","",IF(N('Aset Takberwujud'!$AG16)=0,0,IF(AND((YEAR(N$211)*12+MONTH(N$211))&gt;='Aset Takberwujud'!$Y16,(YEAR(N$211)*12+MONTH(N$211))&lt;=MIN('Aset Takberwujud'!$Z16,IF('Aset Takberwujud'!$S16="Unit Produksi",99999,'Aset Takberwujud'!$Y16+'Aset Takberwujud'!$T16*12-1))),'Aset Takberwujud'!$AQ16/'Aset Takberwujud'!$AG16,0)))</f>
        <v/>
      </c>
      <c r="O221" s="22" t="str">
        <f>IF($B221="","",IF(N('Aset Takberwujud'!$AG16)=0,0,IF(AND((YEAR(O$211)*12+MONTH(O$211))&gt;='Aset Takberwujud'!$Y16,(YEAR(O$211)*12+MONTH(O$211))&lt;=MIN('Aset Takberwujud'!$Z16,IF('Aset Takberwujud'!$S16="Unit Produksi",99999,'Aset Takberwujud'!$Y16+'Aset Takberwujud'!$T16*12-1))),'Aset Takberwujud'!$AQ16/'Aset Takberwujud'!$AG16,0)))</f>
        <v/>
      </c>
      <c r="P221" s="22" t="str">
        <f>IF($B221="","",IF(N('Aset Takberwujud'!$AG16)=0,0,IF(AND((YEAR(P$211)*12+MONTH(P$211))&gt;='Aset Takberwujud'!$Y16,(YEAR(P$211)*12+MONTH(P$211))&lt;=MIN('Aset Takberwujud'!$Z16,IF('Aset Takberwujud'!$S16="Unit Produksi",99999,'Aset Takberwujud'!$Y16+'Aset Takberwujud'!$T16*12-1))),'Aset Takberwujud'!$AQ16/'Aset Takberwujud'!$AG16,0)))</f>
        <v/>
      </c>
      <c r="Q221" s="22" t="str">
        <f>IF($B221="","",SUM(E221:P221))</f>
        <v/>
      </c>
      <c r="R221" s="22" t="str">
        <f>IF($B221="","",'Aset Takberwujud'!AQ16)</f>
        <v/>
      </c>
      <c r="S221" s="22" t="str">
        <f>IF($B221="","",ROUND(Q221-R221,0))</f>
        <v/>
      </c>
    </row>
    <row r="222" spans="1:19" x14ac:dyDescent="0.25">
      <c r="A222" t="str">
        <f>IF('Aset Takberwujud'!$B17="","",'Aset Takberwujud'!A17)</f>
        <v/>
      </c>
      <c r="B222" t="str">
        <f>IF('Aset Takberwujud'!$B17="","",'Aset Takberwujud'!B17)</f>
        <v/>
      </c>
      <c r="C222" t="str">
        <f>IF('Aset Takberwujud'!$B17="","",'Aset Takberwujud'!C17)</f>
        <v/>
      </c>
      <c r="D222" t="str">
        <f>IF('Aset Takberwujud'!$B17="","",'Aset Takberwujud'!D17)</f>
        <v/>
      </c>
      <c r="E222" s="22" t="str">
        <f>IF($B222="","",IF(N('Aset Takberwujud'!$AG17)=0,0,IF(AND((YEAR(E$211)*12+MONTH(E$211))&gt;='Aset Takberwujud'!$Y17,(YEAR(E$211)*12+MONTH(E$211))&lt;=MIN('Aset Takberwujud'!$Z17,IF('Aset Takberwujud'!$S17="Unit Produksi",99999,'Aset Takberwujud'!$Y17+'Aset Takberwujud'!$T17*12-1))),'Aset Takberwujud'!$AQ17/'Aset Takberwujud'!$AG17,0)))</f>
        <v/>
      </c>
      <c r="F222" s="22" t="str">
        <f>IF($B222="","",IF(N('Aset Takberwujud'!$AG17)=0,0,IF(AND((YEAR(F$211)*12+MONTH(F$211))&gt;='Aset Takberwujud'!$Y17,(YEAR(F$211)*12+MONTH(F$211))&lt;=MIN('Aset Takberwujud'!$Z17,IF('Aset Takberwujud'!$S17="Unit Produksi",99999,'Aset Takberwujud'!$Y17+'Aset Takberwujud'!$T17*12-1))),'Aset Takberwujud'!$AQ17/'Aset Takberwujud'!$AG17,0)))</f>
        <v/>
      </c>
      <c r="G222" s="22" t="str">
        <f>IF($B222="","",IF(N('Aset Takberwujud'!$AG17)=0,0,IF(AND((YEAR(G$211)*12+MONTH(G$211))&gt;='Aset Takberwujud'!$Y17,(YEAR(G$211)*12+MONTH(G$211))&lt;=MIN('Aset Takberwujud'!$Z17,IF('Aset Takberwujud'!$S17="Unit Produksi",99999,'Aset Takberwujud'!$Y17+'Aset Takberwujud'!$T17*12-1))),'Aset Takberwujud'!$AQ17/'Aset Takberwujud'!$AG17,0)))</f>
        <v/>
      </c>
      <c r="H222" s="22" t="str">
        <f>IF($B222="","",IF(N('Aset Takberwujud'!$AG17)=0,0,IF(AND((YEAR(H$211)*12+MONTH(H$211))&gt;='Aset Takberwujud'!$Y17,(YEAR(H$211)*12+MONTH(H$211))&lt;=MIN('Aset Takberwujud'!$Z17,IF('Aset Takberwujud'!$S17="Unit Produksi",99999,'Aset Takberwujud'!$Y17+'Aset Takberwujud'!$T17*12-1))),'Aset Takberwujud'!$AQ17/'Aset Takberwujud'!$AG17,0)))</f>
        <v/>
      </c>
      <c r="I222" s="22" t="str">
        <f>IF($B222="","",IF(N('Aset Takberwujud'!$AG17)=0,0,IF(AND((YEAR(I$211)*12+MONTH(I$211))&gt;='Aset Takberwujud'!$Y17,(YEAR(I$211)*12+MONTH(I$211))&lt;=MIN('Aset Takberwujud'!$Z17,IF('Aset Takberwujud'!$S17="Unit Produksi",99999,'Aset Takberwujud'!$Y17+'Aset Takberwujud'!$T17*12-1))),'Aset Takberwujud'!$AQ17/'Aset Takberwujud'!$AG17,0)))</f>
        <v/>
      </c>
      <c r="J222" s="22" t="str">
        <f>IF($B222="","",IF(N('Aset Takberwujud'!$AG17)=0,0,IF(AND((YEAR(J$211)*12+MONTH(J$211))&gt;='Aset Takberwujud'!$Y17,(YEAR(J$211)*12+MONTH(J$211))&lt;=MIN('Aset Takberwujud'!$Z17,IF('Aset Takberwujud'!$S17="Unit Produksi",99999,'Aset Takberwujud'!$Y17+'Aset Takberwujud'!$T17*12-1))),'Aset Takberwujud'!$AQ17/'Aset Takberwujud'!$AG17,0)))</f>
        <v/>
      </c>
      <c r="K222" s="22" t="str">
        <f>IF($B222="","",IF(N('Aset Takberwujud'!$AG17)=0,0,IF(AND((YEAR(K$211)*12+MONTH(K$211))&gt;='Aset Takberwujud'!$Y17,(YEAR(K$211)*12+MONTH(K$211))&lt;=MIN('Aset Takberwujud'!$Z17,IF('Aset Takberwujud'!$S17="Unit Produksi",99999,'Aset Takberwujud'!$Y17+'Aset Takberwujud'!$T17*12-1))),'Aset Takberwujud'!$AQ17/'Aset Takberwujud'!$AG17,0)))</f>
        <v/>
      </c>
      <c r="L222" s="22" t="str">
        <f>IF($B222="","",IF(N('Aset Takberwujud'!$AG17)=0,0,IF(AND((YEAR(L$211)*12+MONTH(L$211))&gt;='Aset Takberwujud'!$Y17,(YEAR(L$211)*12+MONTH(L$211))&lt;=MIN('Aset Takberwujud'!$Z17,IF('Aset Takberwujud'!$S17="Unit Produksi",99999,'Aset Takberwujud'!$Y17+'Aset Takberwujud'!$T17*12-1))),'Aset Takberwujud'!$AQ17/'Aset Takberwujud'!$AG17,0)))</f>
        <v/>
      </c>
      <c r="M222" s="22" t="str">
        <f>IF($B222="","",IF(N('Aset Takberwujud'!$AG17)=0,0,IF(AND((YEAR(M$211)*12+MONTH(M$211))&gt;='Aset Takberwujud'!$Y17,(YEAR(M$211)*12+MONTH(M$211))&lt;=MIN('Aset Takberwujud'!$Z17,IF('Aset Takberwujud'!$S17="Unit Produksi",99999,'Aset Takberwujud'!$Y17+'Aset Takberwujud'!$T17*12-1))),'Aset Takberwujud'!$AQ17/'Aset Takberwujud'!$AG17,0)))</f>
        <v/>
      </c>
      <c r="N222" s="22" t="str">
        <f>IF($B222="","",IF(N('Aset Takberwujud'!$AG17)=0,0,IF(AND((YEAR(N$211)*12+MONTH(N$211))&gt;='Aset Takberwujud'!$Y17,(YEAR(N$211)*12+MONTH(N$211))&lt;=MIN('Aset Takberwujud'!$Z17,IF('Aset Takberwujud'!$S17="Unit Produksi",99999,'Aset Takberwujud'!$Y17+'Aset Takberwujud'!$T17*12-1))),'Aset Takberwujud'!$AQ17/'Aset Takberwujud'!$AG17,0)))</f>
        <v/>
      </c>
      <c r="O222" s="22" t="str">
        <f>IF($B222="","",IF(N('Aset Takberwujud'!$AG17)=0,0,IF(AND((YEAR(O$211)*12+MONTH(O$211))&gt;='Aset Takberwujud'!$Y17,(YEAR(O$211)*12+MONTH(O$211))&lt;=MIN('Aset Takberwujud'!$Z17,IF('Aset Takberwujud'!$S17="Unit Produksi",99999,'Aset Takberwujud'!$Y17+'Aset Takberwujud'!$T17*12-1))),'Aset Takberwujud'!$AQ17/'Aset Takberwujud'!$AG17,0)))</f>
        <v/>
      </c>
      <c r="P222" s="22" t="str">
        <f>IF($B222="","",IF(N('Aset Takberwujud'!$AG17)=0,0,IF(AND((YEAR(P$211)*12+MONTH(P$211))&gt;='Aset Takberwujud'!$Y17,(YEAR(P$211)*12+MONTH(P$211))&lt;=MIN('Aset Takberwujud'!$Z17,IF('Aset Takberwujud'!$S17="Unit Produksi",99999,'Aset Takberwujud'!$Y17+'Aset Takberwujud'!$T17*12-1))),'Aset Takberwujud'!$AQ17/'Aset Takberwujud'!$AG17,0)))</f>
        <v/>
      </c>
      <c r="Q222" s="22" t="str">
        <f>IF($B222="","",SUM(E222:P222))</f>
        <v/>
      </c>
      <c r="R222" s="22" t="str">
        <f>IF($B222="","",'Aset Takberwujud'!AQ17)</f>
        <v/>
      </c>
      <c r="S222" s="22" t="str">
        <f>IF($B222="","",ROUND(Q222-R222,0))</f>
        <v/>
      </c>
    </row>
    <row r="223" spans="1:19" x14ac:dyDescent="0.25">
      <c r="A223" t="str">
        <f>IF('Aset Takberwujud'!$B18="","",'Aset Takberwujud'!A18)</f>
        <v/>
      </c>
      <c r="B223" t="str">
        <f>IF('Aset Takberwujud'!$B18="","",'Aset Takberwujud'!B18)</f>
        <v/>
      </c>
      <c r="C223" t="str">
        <f>IF('Aset Takberwujud'!$B18="","",'Aset Takberwujud'!C18)</f>
        <v/>
      </c>
      <c r="D223" t="str">
        <f>IF('Aset Takberwujud'!$B18="","",'Aset Takberwujud'!D18)</f>
        <v/>
      </c>
      <c r="E223" s="22" t="str">
        <f>IF($B223="","",IF(N('Aset Takberwujud'!$AG18)=0,0,IF(AND((YEAR(E$211)*12+MONTH(E$211))&gt;='Aset Takberwujud'!$Y18,(YEAR(E$211)*12+MONTH(E$211))&lt;=MIN('Aset Takberwujud'!$Z18,IF('Aset Takberwujud'!$S18="Unit Produksi",99999,'Aset Takberwujud'!$Y18+'Aset Takberwujud'!$T18*12-1))),'Aset Takberwujud'!$AQ18/'Aset Takberwujud'!$AG18,0)))</f>
        <v/>
      </c>
      <c r="F223" s="22" t="str">
        <f>IF($B223="","",IF(N('Aset Takberwujud'!$AG18)=0,0,IF(AND((YEAR(F$211)*12+MONTH(F$211))&gt;='Aset Takberwujud'!$Y18,(YEAR(F$211)*12+MONTH(F$211))&lt;=MIN('Aset Takberwujud'!$Z18,IF('Aset Takberwujud'!$S18="Unit Produksi",99999,'Aset Takberwujud'!$Y18+'Aset Takberwujud'!$T18*12-1))),'Aset Takberwujud'!$AQ18/'Aset Takberwujud'!$AG18,0)))</f>
        <v/>
      </c>
      <c r="G223" s="22" t="str">
        <f>IF($B223="","",IF(N('Aset Takberwujud'!$AG18)=0,0,IF(AND((YEAR(G$211)*12+MONTH(G$211))&gt;='Aset Takberwujud'!$Y18,(YEAR(G$211)*12+MONTH(G$211))&lt;=MIN('Aset Takberwujud'!$Z18,IF('Aset Takberwujud'!$S18="Unit Produksi",99999,'Aset Takberwujud'!$Y18+'Aset Takberwujud'!$T18*12-1))),'Aset Takberwujud'!$AQ18/'Aset Takberwujud'!$AG18,0)))</f>
        <v/>
      </c>
      <c r="H223" s="22" t="str">
        <f>IF($B223="","",IF(N('Aset Takberwujud'!$AG18)=0,0,IF(AND((YEAR(H$211)*12+MONTH(H$211))&gt;='Aset Takberwujud'!$Y18,(YEAR(H$211)*12+MONTH(H$211))&lt;=MIN('Aset Takberwujud'!$Z18,IF('Aset Takberwujud'!$S18="Unit Produksi",99999,'Aset Takberwujud'!$Y18+'Aset Takberwujud'!$T18*12-1))),'Aset Takberwujud'!$AQ18/'Aset Takberwujud'!$AG18,0)))</f>
        <v/>
      </c>
      <c r="I223" s="22" t="str">
        <f>IF($B223="","",IF(N('Aset Takberwujud'!$AG18)=0,0,IF(AND((YEAR(I$211)*12+MONTH(I$211))&gt;='Aset Takberwujud'!$Y18,(YEAR(I$211)*12+MONTH(I$211))&lt;=MIN('Aset Takberwujud'!$Z18,IF('Aset Takberwujud'!$S18="Unit Produksi",99999,'Aset Takberwujud'!$Y18+'Aset Takberwujud'!$T18*12-1))),'Aset Takberwujud'!$AQ18/'Aset Takberwujud'!$AG18,0)))</f>
        <v/>
      </c>
      <c r="J223" s="22" t="str">
        <f>IF($B223="","",IF(N('Aset Takberwujud'!$AG18)=0,0,IF(AND((YEAR(J$211)*12+MONTH(J$211))&gt;='Aset Takberwujud'!$Y18,(YEAR(J$211)*12+MONTH(J$211))&lt;=MIN('Aset Takberwujud'!$Z18,IF('Aset Takberwujud'!$S18="Unit Produksi",99999,'Aset Takberwujud'!$Y18+'Aset Takberwujud'!$T18*12-1))),'Aset Takberwujud'!$AQ18/'Aset Takberwujud'!$AG18,0)))</f>
        <v/>
      </c>
      <c r="K223" s="22" t="str">
        <f>IF($B223="","",IF(N('Aset Takberwujud'!$AG18)=0,0,IF(AND((YEAR(K$211)*12+MONTH(K$211))&gt;='Aset Takberwujud'!$Y18,(YEAR(K$211)*12+MONTH(K$211))&lt;=MIN('Aset Takberwujud'!$Z18,IF('Aset Takberwujud'!$S18="Unit Produksi",99999,'Aset Takberwujud'!$Y18+'Aset Takberwujud'!$T18*12-1))),'Aset Takberwujud'!$AQ18/'Aset Takberwujud'!$AG18,0)))</f>
        <v/>
      </c>
      <c r="L223" s="22" t="str">
        <f>IF($B223="","",IF(N('Aset Takberwujud'!$AG18)=0,0,IF(AND((YEAR(L$211)*12+MONTH(L$211))&gt;='Aset Takberwujud'!$Y18,(YEAR(L$211)*12+MONTH(L$211))&lt;=MIN('Aset Takberwujud'!$Z18,IF('Aset Takberwujud'!$S18="Unit Produksi",99999,'Aset Takberwujud'!$Y18+'Aset Takberwujud'!$T18*12-1))),'Aset Takberwujud'!$AQ18/'Aset Takberwujud'!$AG18,0)))</f>
        <v/>
      </c>
      <c r="M223" s="22" t="str">
        <f>IF($B223="","",IF(N('Aset Takberwujud'!$AG18)=0,0,IF(AND((YEAR(M$211)*12+MONTH(M$211))&gt;='Aset Takberwujud'!$Y18,(YEAR(M$211)*12+MONTH(M$211))&lt;=MIN('Aset Takberwujud'!$Z18,IF('Aset Takberwujud'!$S18="Unit Produksi",99999,'Aset Takberwujud'!$Y18+'Aset Takberwujud'!$T18*12-1))),'Aset Takberwujud'!$AQ18/'Aset Takberwujud'!$AG18,0)))</f>
        <v/>
      </c>
      <c r="N223" s="22" t="str">
        <f>IF($B223="","",IF(N('Aset Takberwujud'!$AG18)=0,0,IF(AND((YEAR(N$211)*12+MONTH(N$211))&gt;='Aset Takberwujud'!$Y18,(YEAR(N$211)*12+MONTH(N$211))&lt;=MIN('Aset Takberwujud'!$Z18,IF('Aset Takberwujud'!$S18="Unit Produksi",99999,'Aset Takberwujud'!$Y18+'Aset Takberwujud'!$T18*12-1))),'Aset Takberwujud'!$AQ18/'Aset Takberwujud'!$AG18,0)))</f>
        <v/>
      </c>
      <c r="O223" s="22" t="str">
        <f>IF($B223="","",IF(N('Aset Takberwujud'!$AG18)=0,0,IF(AND((YEAR(O$211)*12+MONTH(O$211))&gt;='Aset Takberwujud'!$Y18,(YEAR(O$211)*12+MONTH(O$211))&lt;=MIN('Aset Takberwujud'!$Z18,IF('Aset Takberwujud'!$S18="Unit Produksi",99999,'Aset Takberwujud'!$Y18+'Aset Takberwujud'!$T18*12-1))),'Aset Takberwujud'!$AQ18/'Aset Takberwujud'!$AG18,0)))</f>
        <v/>
      </c>
      <c r="P223" s="22" t="str">
        <f>IF($B223="","",IF(N('Aset Takberwujud'!$AG18)=0,0,IF(AND((YEAR(P$211)*12+MONTH(P$211))&gt;='Aset Takberwujud'!$Y18,(YEAR(P$211)*12+MONTH(P$211))&lt;=MIN('Aset Takberwujud'!$Z18,IF('Aset Takberwujud'!$S18="Unit Produksi",99999,'Aset Takberwujud'!$Y18+'Aset Takberwujud'!$T18*12-1))),'Aset Takberwujud'!$AQ18/'Aset Takberwujud'!$AG18,0)))</f>
        <v/>
      </c>
      <c r="Q223" s="22" t="str">
        <f>IF($B223="","",SUM(E223:P223))</f>
        <v/>
      </c>
      <c r="R223" s="22" t="str">
        <f>IF($B223="","",'Aset Takberwujud'!AQ18)</f>
        <v/>
      </c>
      <c r="S223" s="22" t="str">
        <f>IF($B223="","",ROUND(Q223-R223,0))</f>
        <v/>
      </c>
    </row>
    <row r="224" spans="1:19" x14ac:dyDescent="0.25">
      <c r="A224" t="str">
        <f>IF('Aset Takberwujud'!$B19="","",'Aset Takberwujud'!A19)</f>
        <v/>
      </c>
      <c r="B224" t="str">
        <f>IF('Aset Takberwujud'!$B19="","",'Aset Takberwujud'!B19)</f>
        <v/>
      </c>
      <c r="C224" t="str">
        <f>IF('Aset Takberwujud'!$B19="","",'Aset Takberwujud'!C19)</f>
        <v/>
      </c>
      <c r="D224" t="str">
        <f>IF('Aset Takberwujud'!$B19="","",'Aset Takberwujud'!D19)</f>
        <v/>
      </c>
      <c r="E224" s="22" t="str">
        <f>IF($B224="","",IF(N('Aset Takberwujud'!$AG19)=0,0,IF(AND((YEAR(E$211)*12+MONTH(E$211))&gt;='Aset Takberwujud'!$Y19,(YEAR(E$211)*12+MONTH(E$211))&lt;=MIN('Aset Takberwujud'!$Z19,IF('Aset Takberwujud'!$S19="Unit Produksi",99999,'Aset Takberwujud'!$Y19+'Aset Takberwujud'!$T19*12-1))),'Aset Takberwujud'!$AQ19/'Aset Takberwujud'!$AG19,0)))</f>
        <v/>
      </c>
      <c r="F224" s="22" t="str">
        <f>IF($B224="","",IF(N('Aset Takberwujud'!$AG19)=0,0,IF(AND((YEAR(F$211)*12+MONTH(F$211))&gt;='Aset Takberwujud'!$Y19,(YEAR(F$211)*12+MONTH(F$211))&lt;=MIN('Aset Takberwujud'!$Z19,IF('Aset Takberwujud'!$S19="Unit Produksi",99999,'Aset Takberwujud'!$Y19+'Aset Takberwujud'!$T19*12-1))),'Aset Takberwujud'!$AQ19/'Aset Takberwujud'!$AG19,0)))</f>
        <v/>
      </c>
      <c r="G224" s="22" t="str">
        <f>IF($B224="","",IF(N('Aset Takberwujud'!$AG19)=0,0,IF(AND((YEAR(G$211)*12+MONTH(G$211))&gt;='Aset Takberwujud'!$Y19,(YEAR(G$211)*12+MONTH(G$211))&lt;=MIN('Aset Takberwujud'!$Z19,IF('Aset Takberwujud'!$S19="Unit Produksi",99999,'Aset Takberwujud'!$Y19+'Aset Takberwujud'!$T19*12-1))),'Aset Takberwujud'!$AQ19/'Aset Takberwujud'!$AG19,0)))</f>
        <v/>
      </c>
      <c r="H224" s="22" t="str">
        <f>IF($B224="","",IF(N('Aset Takberwujud'!$AG19)=0,0,IF(AND((YEAR(H$211)*12+MONTH(H$211))&gt;='Aset Takberwujud'!$Y19,(YEAR(H$211)*12+MONTH(H$211))&lt;=MIN('Aset Takberwujud'!$Z19,IF('Aset Takberwujud'!$S19="Unit Produksi",99999,'Aset Takberwujud'!$Y19+'Aset Takberwujud'!$T19*12-1))),'Aset Takberwujud'!$AQ19/'Aset Takberwujud'!$AG19,0)))</f>
        <v/>
      </c>
      <c r="I224" s="22" t="str">
        <f>IF($B224="","",IF(N('Aset Takberwujud'!$AG19)=0,0,IF(AND((YEAR(I$211)*12+MONTH(I$211))&gt;='Aset Takberwujud'!$Y19,(YEAR(I$211)*12+MONTH(I$211))&lt;=MIN('Aset Takberwujud'!$Z19,IF('Aset Takberwujud'!$S19="Unit Produksi",99999,'Aset Takberwujud'!$Y19+'Aset Takberwujud'!$T19*12-1))),'Aset Takberwujud'!$AQ19/'Aset Takberwujud'!$AG19,0)))</f>
        <v/>
      </c>
      <c r="J224" s="22" t="str">
        <f>IF($B224="","",IF(N('Aset Takberwujud'!$AG19)=0,0,IF(AND((YEAR(J$211)*12+MONTH(J$211))&gt;='Aset Takberwujud'!$Y19,(YEAR(J$211)*12+MONTH(J$211))&lt;=MIN('Aset Takberwujud'!$Z19,IF('Aset Takberwujud'!$S19="Unit Produksi",99999,'Aset Takberwujud'!$Y19+'Aset Takberwujud'!$T19*12-1))),'Aset Takberwujud'!$AQ19/'Aset Takberwujud'!$AG19,0)))</f>
        <v/>
      </c>
      <c r="K224" s="22" t="str">
        <f>IF($B224="","",IF(N('Aset Takberwujud'!$AG19)=0,0,IF(AND((YEAR(K$211)*12+MONTH(K$211))&gt;='Aset Takberwujud'!$Y19,(YEAR(K$211)*12+MONTH(K$211))&lt;=MIN('Aset Takberwujud'!$Z19,IF('Aset Takberwujud'!$S19="Unit Produksi",99999,'Aset Takberwujud'!$Y19+'Aset Takberwujud'!$T19*12-1))),'Aset Takberwujud'!$AQ19/'Aset Takberwujud'!$AG19,0)))</f>
        <v/>
      </c>
      <c r="L224" s="22" t="str">
        <f>IF($B224="","",IF(N('Aset Takberwujud'!$AG19)=0,0,IF(AND((YEAR(L$211)*12+MONTH(L$211))&gt;='Aset Takberwujud'!$Y19,(YEAR(L$211)*12+MONTH(L$211))&lt;=MIN('Aset Takberwujud'!$Z19,IF('Aset Takberwujud'!$S19="Unit Produksi",99999,'Aset Takberwujud'!$Y19+'Aset Takberwujud'!$T19*12-1))),'Aset Takberwujud'!$AQ19/'Aset Takberwujud'!$AG19,0)))</f>
        <v/>
      </c>
      <c r="M224" s="22" t="str">
        <f>IF($B224="","",IF(N('Aset Takberwujud'!$AG19)=0,0,IF(AND((YEAR(M$211)*12+MONTH(M$211))&gt;='Aset Takberwujud'!$Y19,(YEAR(M$211)*12+MONTH(M$211))&lt;=MIN('Aset Takberwujud'!$Z19,IF('Aset Takberwujud'!$S19="Unit Produksi",99999,'Aset Takberwujud'!$Y19+'Aset Takberwujud'!$T19*12-1))),'Aset Takberwujud'!$AQ19/'Aset Takberwujud'!$AG19,0)))</f>
        <v/>
      </c>
      <c r="N224" s="22" t="str">
        <f>IF($B224="","",IF(N('Aset Takberwujud'!$AG19)=0,0,IF(AND((YEAR(N$211)*12+MONTH(N$211))&gt;='Aset Takberwujud'!$Y19,(YEAR(N$211)*12+MONTH(N$211))&lt;=MIN('Aset Takberwujud'!$Z19,IF('Aset Takberwujud'!$S19="Unit Produksi",99999,'Aset Takberwujud'!$Y19+'Aset Takberwujud'!$T19*12-1))),'Aset Takberwujud'!$AQ19/'Aset Takberwujud'!$AG19,0)))</f>
        <v/>
      </c>
      <c r="O224" s="22" t="str">
        <f>IF($B224="","",IF(N('Aset Takberwujud'!$AG19)=0,0,IF(AND((YEAR(O$211)*12+MONTH(O$211))&gt;='Aset Takberwujud'!$Y19,(YEAR(O$211)*12+MONTH(O$211))&lt;=MIN('Aset Takberwujud'!$Z19,IF('Aset Takberwujud'!$S19="Unit Produksi",99999,'Aset Takberwujud'!$Y19+'Aset Takberwujud'!$T19*12-1))),'Aset Takberwujud'!$AQ19/'Aset Takberwujud'!$AG19,0)))</f>
        <v/>
      </c>
      <c r="P224" s="22" t="str">
        <f>IF($B224="","",IF(N('Aset Takberwujud'!$AG19)=0,0,IF(AND((YEAR(P$211)*12+MONTH(P$211))&gt;='Aset Takberwujud'!$Y19,(YEAR(P$211)*12+MONTH(P$211))&lt;=MIN('Aset Takberwujud'!$Z19,IF('Aset Takberwujud'!$S19="Unit Produksi",99999,'Aset Takberwujud'!$Y19+'Aset Takberwujud'!$T19*12-1))),'Aset Takberwujud'!$AQ19/'Aset Takberwujud'!$AG19,0)))</f>
        <v/>
      </c>
      <c r="Q224" s="22" t="str">
        <f>IF($B224="","",SUM(E224:P224))</f>
        <v/>
      </c>
      <c r="R224" s="22" t="str">
        <f>IF($B224="","",'Aset Takberwujud'!AQ19)</f>
        <v/>
      </c>
      <c r="S224" s="22" t="str">
        <f>IF($B224="","",ROUND(Q224-R224,0))</f>
        <v/>
      </c>
    </row>
    <row r="225" spans="1:19" x14ac:dyDescent="0.25">
      <c r="A225" t="str">
        <f>IF('Aset Takberwujud'!$B20="","",'Aset Takberwujud'!A20)</f>
        <v/>
      </c>
      <c r="B225" t="str">
        <f>IF('Aset Takberwujud'!$B20="","",'Aset Takberwujud'!B20)</f>
        <v/>
      </c>
      <c r="C225" t="str">
        <f>IF('Aset Takberwujud'!$B20="","",'Aset Takberwujud'!C20)</f>
        <v/>
      </c>
      <c r="D225" t="str">
        <f>IF('Aset Takberwujud'!$B20="","",'Aset Takberwujud'!D20)</f>
        <v/>
      </c>
      <c r="E225" s="22" t="str">
        <f>IF($B225="","",IF(N('Aset Takberwujud'!$AG20)=0,0,IF(AND((YEAR(E$211)*12+MONTH(E$211))&gt;='Aset Takberwujud'!$Y20,(YEAR(E$211)*12+MONTH(E$211))&lt;=MIN('Aset Takberwujud'!$Z20,IF('Aset Takberwujud'!$S20="Unit Produksi",99999,'Aset Takberwujud'!$Y20+'Aset Takberwujud'!$T20*12-1))),'Aset Takberwujud'!$AQ20/'Aset Takberwujud'!$AG20,0)))</f>
        <v/>
      </c>
      <c r="F225" s="22" t="str">
        <f>IF($B225="","",IF(N('Aset Takberwujud'!$AG20)=0,0,IF(AND((YEAR(F$211)*12+MONTH(F$211))&gt;='Aset Takberwujud'!$Y20,(YEAR(F$211)*12+MONTH(F$211))&lt;=MIN('Aset Takberwujud'!$Z20,IF('Aset Takberwujud'!$S20="Unit Produksi",99999,'Aset Takberwujud'!$Y20+'Aset Takberwujud'!$T20*12-1))),'Aset Takberwujud'!$AQ20/'Aset Takberwujud'!$AG20,0)))</f>
        <v/>
      </c>
      <c r="G225" s="22" t="str">
        <f>IF($B225="","",IF(N('Aset Takberwujud'!$AG20)=0,0,IF(AND((YEAR(G$211)*12+MONTH(G$211))&gt;='Aset Takberwujud'!$Y20,(YEAR(G$211)*12+MONTH(G$211))&lt;=MIN('Aset Takberwujud'!$Z20,IF('Aset Takberwujud'!$S20="Unit Produksi",99999,'Aset Takberwujud'!$Y20+'Aset Takberwujud'!$T20*12-1))),'Aset Takberwujud'!$AQ20/'Aset Takberwujud'!$AG20,0)))</f>
        <v/>
      </c>
      <c r="H225" s="22" t="str">
        <f>IF($B225="","",IF(N('Aset Takberwujud'!$AG20)=0,0,IF(AND((YEAR(H$211)*12+MONTH(H$211))&gt;='Aset Takberwujud'!$Y20,(YEAR(H$211)*12+MONTH(H$211))&lt;=MIN('Aset Takberwujud'!$Z20,IF('Aset Takberwujud'!$S20="Unit Produksi",99999,'Aset Takberwujud'!$Y20+'Aset Takberwujud'!$T20*12-1))),'Aset Takberwujud'!$AQ20/'Aset Takberwujud'!$AG20,0)))</f>
        <v/>
      </c>
      <c r="I225" s="22" t="str">
        <f>IF($B225="","",IF(N('Aset Takberwujud'!$AG20)=0,0,IF(AND((YEAR(I$211)*12+MONTH(I$211))&gt;='Aset Takberwujud'!$Y20,(YEAR(I$211)*12+MONTH(I$211))&lt;=MIN('Aset Takberwujud'!$Z20,IF('Aset Takberwujud'!$S20="Unit Produksi",99999,'Aset Takberwujud'!$Y20+'Aset Takberwujud'!$T20*12-1))),'Aset Takberwujud'!$AQ20/'Aset Takberwujud'!$AG20,0)))</f>
        <v/>
      </c>
      <c r="J225" s="22" t="str">
        <f>IF($B225="","",IF(N('Aset Takberwujud'!$AG20)=0,0,IF(AND((YEAR(J$211)*12+MONTH(J$211))&gt;='Aset Takberwujud'!$Y20,(YEAR(J$211)*12+MONTH(J$211))&lt;=MIN('Aset Takberwujud'!$Z20,IF('Aset Takberwujud'!$S20="Unit Produksi",99999,'Aset Takberwujud'!$Y20+'Aset Takberwujud'!$T20*12-1))),'Aset Takberwujud'!$AQ20/'Aset Takberwujud'!$AG20,0)))</f>
        <v/>
      </c>
      <c r="K225" s="22" t="str">
        <f>IF($B225="","",IF(N('Aset Takberwujud'!$AG20)=0,0,IF(AND((YEAR(K$211)*12+MONTH(K$211))&gt;='Aset Takberwujud'!$Y20,(YEAR(K$211)*12+MONTH(K$211))&lt;=MIN('Aset Takberwujud'!$Z20,IF('Aset Takberwujud'!$S20="Unit Produksi",99999,'Aset Takberwujud'!$Y20+'Aset Takberwujud'!$T20*12-1))),'Aset Takberwujud'!$AQ20/'Aset Takberwujud'!$AG20,0)))</f>
        <v/>
      </c>
      <c r="L225" s="22" t="str">
        <f>IF($B225="","",IF(N('Aset Takberwujud'!$AG20)=0,0,IF(AND((YEAR(L$211)*12+MONTH(L$211))&gt;='Aset Takberwujud'!$Y20,(YEAR(L$211)*12+MONTH(L$211))&lt;=MIN('Aset Takberwujud'!$Z20,IF('Aset Takberwujud'!$S20="Unit Produksi",99999,'Aset Takberwujud'!$Y20+'Aset Takberwujud'!$T20*12-1))),'Aset Takberwujud'!$AQ20/'Aset Takberwujud'!$AG20,0)))</f>
        <v/>
      </c>
      <c r="M225" s="22" t="str">
        <f>IF($B225="","",IF(N('Aset Takberwujud'!$AG20)=0,0,IF(AND((YEAR(M$211)*12+MONTH(M$211))&gt;='Aset Takberwujud'!$Y20,(YEAR(M$211)*12+MONTH(M$211))&lt;=MIN('Aset Takberwujud'!$Z20,IF('Aset Takberwujud'!$S20="Unit Produksi",99999,'Aset Takberwujud'!$Y20+'Aset Takberwujud'!$T20*12-1))),'Aset Takberwujud'!$AQ20/'Aset Takberwujud'!$AG20,0)))</f>
        <v/>
      </c>
      <c r="N225" s="22" t="str">
        <f>IF($B225="","",IF(N('Aset Takberwujud'!$AG20)=0,0,IF(AND((YEAR(N$211)*12+MONTH(N$211))&gt;='Aset Takberwujud'!$Y20,(YEAR(N$211)*12+MONTH(N$211))&lt;=MIN('Aset Takberwujud'!$Z20,IF('Aset Takberwujud'!$S20="Unit Produksi",99999,'Aset Takberwujud'!$Y20+'Aset Takberwujud'!$T20*12-1))),'Aset Takberwujud'!$AQ20/'Aset Takberwujud'!$AG20,0)))</f>
        <v/>
      </c>
      <c r="O225" s="22" t="str">
        <f>IF($B225="","",IF(N('Aset Takberwujud'!$AG20)=0,0,IF(AND((YEAR(O$211)*12+MONTH(O$211))&gt;='Aset Takberwujud'!$Y20,(YEAR(O$211)*12+MONTH(O$211))&lt;=MIN('Aset Takberwujud'!$Z20,IF('Aset Takberwujud'!$S20="Unit Produksi",99999,'Aset Takberwujud'!$Y20+'Aset Takberwujud'!$T20*12-1))),'Aset Takberwujud'!$AQ20/'Aset Takberwujud'!$AG20,0)))</f>
        <v/>
      </c>
      <c r="P225" s="22" t="str">
        <f>IF($B225="","",IF(N('Aset Takberwujud'!$AG20)=0,0,IF(AND((YEAR(P$211)*12+MONTH(P$211))&gt;='Aset Takberwujud'!$Y20,(YEAR(P$211)*12+MONTH(P$211))&lt;=MIN('Aset Takberwujud'!$Z20,IF('Aset Takberwujud'!$S20="Unit Produksi",99999,'Aset Takberwujud'!$Y20+'Aset Takberwujud'!$T20*12-1))),'Aset Takberwujud'!$AQ20/'Aset Takberwujud'!$AG20,0)))</f>
        <v/>
      </c>
      <c r="Q225" s="22" t="str">
        <f>IF($B225="","",SUM(E225:P225))</f>
        <v/>
      </c>
      <c r="R225" s="22" t="str">
        <f>IF($B225="","",'Aset Takberwujud'!AQ20)</f>
        <v/>
      </c>
      <c r="S225" s="22" t="str">
        <f>IF($B225="","",ROUND(Q225-R225,0))</f>
        <v/>
      </c>
    </row>
    <row r="226" spans="1:19" x14ac:dyDescent="0.25">
      <c r="A226" t="str">
        <f>IF('Aset Takberwujud'!$B21="","",'Aset Takberwujud'!A21)</f>
        <v/>
      </c>
      <c r="B226" t="str">
        <f>IF('Aset Takberwujud'!$B21="","",'Aset Takberwujud'!B21)</f>
        <v/>
      </c>
      <c r="C226" t="str">
        <f>IF('Aset Takberwujud'!$B21="","",'Aset Takberwujud'!C21)</f>
        <v/>
      </c>
      <c r="D226" t="str">
        <f>IF('Aset Takberwujud'!$B21="","",'Aset Takberwujud'!D21)</f>
        <v/>
      </c>
      <c r="E226" s="22" t="str">
        <f>IF($B226="","",IF(N('Aset Takberwujud'!$AG21)=0,0,IF(AND((YEAR(E$211)*12+MONTH(E$211))&gt;='Aset Takberwujud'!$Y21,(YEAR(E$211)*12+MONTH(E$211))&lt;=MIN('Aset Takberwujud'!$Z21,IF('Aset Takberwujud'!$S21="Unit Produksi",99999,'Aset Takberwujud'!$Y21+'Aset Takberwujud'!$T21*12-1))),'Aset Takberwujud'!$AQ21/'Aset Takberwujud'!$AG21,0)))</f>
        <v/>
      </c>
      <c r="F226" s="22" t="str">
        <f>IF($B226="","",IF(N('Aset Takberwujud'!$AG21)=0,0,IF(AND((YEAR(F$211)*12+MONTH(F$211))&gt;='Aset Takberwujud'!$Y21,(YEAR(F$211)*12+MONTH(F$211))&lt;=MIN('Aset Takberwujud'!$Z21,IF('Aset Takberwujud'!$S21="Unit Produksi",99999,'Aset Takberwujud'!$Y21+'Aset Takberwujud'!$T21*12-1))),'Aset Takberwujud'!$AQ21/'Aset Takberwujud'!$AG21,0)))</f>
        <v/>
      </c>
      <c r="G226" s="22" t="str">
        <f>IF($B226="","",IF(N('Aset Takberwujud'!$AG21)=0,0,IF(AND((YEAR(G$211)*12+MONTH(G$211))&gt;='Aset Takberwujud'!$Y21,(YEAR(G$211)*12+MONTH(G$211))&lt;=MIN('Aset Takberwujud'!$Z21,IF('Aset Takberwujud'!$S21="Unit Produksi",99999,'Aset Takberwujud'!$Y21+'Aset Takberwujud'!$T21*12-1))),'Aset Takberwujud'!$AQ21/'Aset Takberwujud'!$AG21,0)))</f>
        <v/>
      </c>
      <c r="H226" s="22" t="str">
        <f>IF($B226="","",IF(N('Aset Takberwujud'!$AG21)=0,0,IF(AND((YEAR(H$211)*12+MONTH(H$211))&gt;='Aset Takberwujud'!$Y21,(YEAR(H$211)*12+MONTH(H$211))&lt;=MIN('Aset Takberwujud'!$Z21,IF('Aset Takberwujud'!$S21="Unit Produksi",99999,'Aset Takberwujud'!$Y21+'Aset Takberwujud'!$T21*12-1))),'Aset Takberwujud'!$AQ21/'Aset Takberwujud'!$AG21,0)))</f>
        <v/>
      </c>
      <c r="I226" s="22" t="str">
        <f>IF($B226="","",IF(N('Aset Takberwujud'!$AG21)=0,0,IF(AND((YEAR(I$211)*12+MONTH(I$211))&gt;='Aset Takberwujud'!$Y21,(YEAR(I$211)*12+MONTH(I$211))&lt;=MIN('Aset Takberwujud'!$Z21,IF('Aset Takberwujud'!$S21="Unit Produksi",99999,'Aset Takberwujud'!$Y21+'Aset Takberwujud'!$T21*12-1))),'Aset Takberwujud'!$AQ21/'Aset Takberwujud'!$AG21,0)))</f>
        <v/>
      </c>
      <c r="J226" s="22" t="str">
        <f>IF($B226="","",IF(N('Aset Takberwujud'!$AG21)=0,0,IF(AND((YEAR(J$211)*12+MONTH(J$211))&gt;='Aset Takberwujud'!$Y21,(YEAR(J$211)*12+MONTH(J$211))&lt;=MIN('Aset Takberwujud'!$Z21,IF('Aset Takberwujud'!$S21="Unit Produksi",99999,'Aset Takberwujud'!$Y21+'Aset Takberwujud'!$T21*12-1))),'Aset Takberwujud'!$AQ21/'Aset Takberwujud'!$AG21,0)))</f>
        <v/>
      </c>
      <c r="K226" s="22" t="str">
        <f>IF($B226="","",IF(N('Aset Takberwujud'!$AG21)=0,0,IF(AND((YEAR(K$211)*12+MONTH(K$211))&gt;='Aset Takberwujud'!$Y21,(YEAR(K$211)*12+MONTH(K$211))&lt;=MIN('Aset Takberwujud'!$Z21,IF('Aset Takberwujud'!$S21="Unit Produksi",99999,'Aset Takberwujud'!$Y21+'Aset Takberwujud'!$T21*12-1))),'Aset Takberwujud'!$AQ21/'Aset Takberwujud'!$AG21,0)))</f>
        <v/>
      </c>
      <c r="L226" s="22" t="str">
        <f>IF($B226="","",IF(N('Aset Takberwujud'!$AG21)=0,0,IF(AND((YEAR(L$211)*12+MONTH(L$211))&gt;='Aset Takberwujud'!$Y21,(YEAR(L$211)*12+MONTH(L$211))&lt;=MIN('Aset Takberwujud'!$Z21,IF('Aset Takberwujud'!$S21="Unit Produksi",99999,'Aset Takberwujud'!$Y21+'Aset Takberwujud'!$T21*12-1))),'Aset Takberwujud'!$AQ21/'Aset Takberwujud'!$AG21,0)))</f>
        <v/>
      </c>
      <c r="M226" s="22" t="str">
        <f>IF($B226="","",IF(N('Aset Takberwujud'!$AG21)=0,0,IF(AND((YEAR(M$211)*12+MONTH(M$211))&gt;='Aset Takberwujud'!$Y21,(YEAR(M$211)*12+MONTH(M$211))&lt;=MIN('Aset Takberwujud'!$Z21,IF('Aset Takberwujud'!$S21="Unit Produksi",99999,'Aset Takberwujud'!$Y21+'Aset Takberwujud'!$T21*12-1))),'Aset Takberwujud'!$AQ21/'Aset Takberwujud'!$AG21,0)))</f>
        <v/>
      </c>
      <c r="N226" s="22" t="str">
        <f>IF($B226="","",IF(N('Aset Takberwujud'!$AG21)=0,0,IF(AND((YEAR(N$211)*12+MONTH(N$211))&gt;='Aset Takberwujud'!$Y21,(YEAR(N$211)*12+MONTH(N$211))&lt;=MIN('Aset Takberwujud'!$Z21,IF('Aset Takberwujud'!$S21="Unit Produksi",99999,'Aset Takberwujud'!$Y21+'Aset Takberwujud'!$T21*12-1))),'Aset Takberwujud'!$AQ21/'Aset Takberwujud'!$AG21,0)))</f>
        <v/>
      </c>
      <c r="O226" s="22" t="str">
        <f>IF($B226="","",IF(N('Aset Takberwujud'!$AG21)=0,0,IF(AND((YEAR(O$211)*12+MONTH(O$211))&gt;='Aset Takberwujud'!$Y21,(YEAR(O$211)*12+MONTH(O$211))&lt;=MIN('Aset Takberwujud'!$Z21,IF('Aset Takberwujud'!$S21="Unit Produksi",99999,'Aset Takberwujud'!$Y21+'Aset Takberwujud'!$T21*12-1))),'Aset Takberwujud'!$AQ21/'Aset Takberwujud'!$AG21,0)))</f>
        <v/>
      </c>
      <c r="P226" s="22" t="str">
        <f>IF($B226="","",IF(N('Aset Takberwujud'!$AG21)=0,0,IF(AND((YEAR(P$211)*12+MONTH(P$211))&gt;='Aset Takberwujud'!$Y21,(YEAR(P$211)*12+MONTH(P$211))&lt;=MIN('Aset Takberwujud'!$Z21,IF('Aset Takberwujud'!$S21="Unit Produksi",99999,'Aset Takberwujud'!$Y21+'Aset Takberwujud'!$T21*12-1))),'Aset Takberwujud'!$AQ21/'Aset Takberwujud'!$AG21,0)))</f>
        <v/>
      </c>
      <c r="Q226" s="22" t="str">
        <f>IF($B226="","",SUM(E226:P226))</f>
        <v/>
      </c>
      <c r="R226" s="22" t="str">
        <f>IF($B226="","",'Aset Takberwujud'!AQ21)</f>
        <v/>
      </c>
      <c r="S226" s="22" t="str">
        <f>IF($B226="","",ROUND(Q226-R226,0))</f>
        <v/>
      </c>
    </row>
    <row r="227" spans="1:19" x14ac:dyDescent="0.25">
      <c r="A227" t="str">
        <f>IF('Aset Takberwujud'!$B22="","",'Aset Takberwujud'!A22)</f>
        <v/>
      </c>
      <c r="B227" t="str">
        <f>IF('Aset Takberwujud'!$B22="","",'Aset Takberwujud'!B22)</f>
        <v/>
      </c>
      <c r="C227" t="str">
        <f>IF('Aset Takberwujud'!$B22="","",'Aset Takberwujud'!C22)</f>
        <v/>
      </c>
      <c r="D227" t="str">
        <f>IF('Aset Takberwujud'!$B22="","",'Aset Takberwujud'!D22)</f>
        <v/>
      </c>
      <c r="E227" s="22" t="str">
        <f>IF($B227="","",IF(N('Aset Takberwujud'!$AG22)=0,0,IF(AND((YEAR(E$211)*12+MONTH(E$211))&gt;='Aset Takberwujud'!$Y22,(YEAR(E$211)*12+MONTH(E$211))&lt;=MIN('Aset Takberwujud'!$Z22,IF('Aset Takberwujud'!$S22="Unit Produksi",99999,'Aset Takberwujud'!$Y22+'Aset Takberwujud'!$T22*12-1))),'Aset Takberwujud'!$AQ22/'Aset Takberwujud'!$AG22,0)))</f>
        <v/>
      </c>
      <c r="F227" s="22" t="str">
        <f>IF($B227="","",IF(N('Aset Takberwujud'!$AG22)=0,0,IF(AND((YEAR(F$211)*12+MONTH(F$211))&gt;='Aset Takberwujud'!$Y22,(YEAR(F$211)*12+MONTH(F$211))&lt;=MIN('Aset Takberwujud'!$Z22,IF('Aset Takberwujud'!$S22="Unit Produksi",99999,'Aset Takberwujud'!$Y22+'Aset Takberwujud'!$T22*12-1))),'Aset Takberwujud'!$AQ22/'Aset Takberwujud'!$AG22,0)))</f>
        <v/>
      </c>
      <c r="G227" s="22" t="str">
        <f>IF($B227="","",IF(N('Aset Takberwujud'!$AG22)=0,0,IF(AND((YEAR(G$211)*12+MONTH(G$211))&gt;='Aset Takberwujud'!$Y22,(YEAR(G$211)*12+MONTH(G$211))&lt;=MIN('Aset Takberwujud'!$Z22,IF('Aset Takberwujud'!$S22="Unit Produksi",99999,'Aset Takberwujud'!$Y22+'Aset Takberwujud'!$T22*12-1))),'Aset Takberwujud'!$AQ22/'Aset Takberwujud'!$AG22,0)))</f>
        <v/>
      </c>
      <c r="H227" s="22" t="str">
        <f>IF($B227="","",IF(N('Aset Takberwujud'!$AG22)=0,0,IF(AND((YEAR(H$211)*12+MONTH(H$211))&gt;='Aset Takberwujud'!$Y22,(YEAR(H$211)*12+MONTH(H$211))&lt;=MIN('Aset Takberwujud'!$Z22,IF('Aset Takberwujud'!$S22="Unit Produksi",99999,'Aset Takberwujud'!$Y22+'Aset Takberwujud'!$T22*12-1))),'Aset Takberwujud'!$AQ22/'Aset Takberwujud'!$AG22,0)))</f>
        <v/>
      </c>
      <c r="I227" s="22" t="str">
        <f>IF($B227="","",IF(N('Aset Takberwujud'!$AG22)=0,0,IF(AND((YEAR(I$211)*12+MONTH(I$211))&gt;='Aset Takberwujud'!$Y22,(YEAR(I$211)*12+MONTH(I$211))&lt;=MIN('Aset Takberwujud'!$Z22,IF('Aset Takberwujud'!$S22="Unit Produksi",99999,'Aset Takberwujud'!$Y22+'Aset Takberwujud'!$T22*12-1))),'Aset Takberwujud'!$AQ22/'Aset Takberwujud'!$AG22,0)))</f>
        <v/>
      </c>
      <c r="J227" s="22" t="str">
        <f>IF($B227="","",IF(N('Aset Takberwujud'!$AG22)=0,0,IF(AND((YEAR(J$211)*12+MONTH(J$211))&gt;='Aset Takberwujud'!$Y22,(YEAR(J$211)*12+MONTH(J$211))&lt;=MIN('Aset Takberwujud'!$Z22,IF('Aset Takberwujud'!$S22="Unit Produksi",99999,'Aset Takberwujud'!$Y22+'Aset Takberwujud'!$T22*12-1))),'Aset Takberwujud'!$AQ22/'Aset Takberwujud'!$AG22,0)))</f>
        <v/>
      </c>
      <c r="K227" s="22" t="str">
        <f>IF($B227="","",IF(N('Aset Takberwujud'!$AG22)=0,0,IF(AND((YEAR(K$211)*12+MONTH(K$211))&gt;='Aset Takberwujud'!$Y22,(YEAR(K$211)*12+MONTH(K$211))&lt;=MIN('Aset Takberwujud'!$Z22,IF('Aset Takberwujud'!$S22="Unit Produksi",99999,'Aset Takberwujud'!$Y22+'Aset Takberwujud'!$T22*12-1))),'Aset Takberwujud'!$AQ22/'Aset Takberwujud'!$AG22,0)))</f>
        <v/>
      </c>
      <c r="L227" s="22" t="str">
        <f>IF($B227="","",IF(N('Aset Takberwujud'!$AG22)=0,0,IF(AND((YEAR(L$211)*12+MONTH(L$211))&gt;='Aset Takberwujud'!$Y22,(YEAR(L$211)*12+MONTH(L$211))&lt;=MIN('Aset Takberwujud'!$Z22,IF('Aset Takberwujud'!$S22="Unit Produksi",99999,'Aset Takberwujud'!$Y22+'Aset Takberwujud'!$T22*12-1))),'Aset Takberwujud'!$AQ22/'Aset Takberwujud'!$AG22,0)))</f>
        <v/>
      </c>
      <c r="M227" s="22" t="str">
        <f>IF($B227="","",IF(N('Aset Takberwujud'!$AG22)=0,0,IF(AND((YEAR(M$211)*12+MONTH(M$211))&gt;='Aset Takberwujud'!$Y22,(YEAR(M$211)*12+MONTH(M$211))&lt;=MIN('Aset Takberwujud'!$Z22,IF('Aset Takberwujud'!$S22="Unit Produksi",99999,'Aset Takberwujud'!$Y22+'Aset Takberwujud'!$T22*12-1))),'Aset Takberwujud'!$AQ22/'Aset Takberwujud'!$AG22,0)))</f>
        <v/>
      </c>
      <c r="N227" s="22" t="str">
        <f>IF($B227="","",IF(N('Aset Takberwujud'!$AG22)=0,0,IF(AND((YEAR(N$211)*12+MONTH(N$211))&gt;='Aset Takberwujud'!$Y22,(YEAR(N$211)*12+MONTH(N$211))&lt;=MIN('Aset Takberwujud'!$Z22,IF('Aset Takberwujud'!$S22="Unit Produksi",99999,'Aset Takberwujud'!$Y22+'Aset Takberwujud'!$T22*12-1))),'Aset Takberwujud'!$AQ22/'Aset Takberwujud'!$AG22,0)))</f>
        <v/>
      </c>
      <c r="O227" s="22" t="str">
        <f>IF($B227="","",IF(N('Aset Takberwujud'!$AG22)=0,0,IF(AND((YEAR(O$211)*12+MONTH(O$211))&gt;='Aset Takberwujud'!$Y22,(YEAR(O$211)*12+MONTH(O$211))&lt;=MIN('Aset Takberwujud'!$Z22,IF('Aset Takberwujud'!$S22="Unit Produksi",99999,'Aset Takberwujud'!$Y22+'Aset Takberwujud'!$T22*12-1))),'Aset Takberwujud'!$AQ22/'Aset Takberwujud'!$AG22,0)))</f>
        <v/>
      </c>
      <c r="P227" s="22" t="str">
        <f>IF($B227="","",IF(N('Aset Takberwujud'!$AG22)=0,0,IF(AND((YEAR(P$211)*12+MONTH(P$211))&gt;='Aset Takberwujud'!$Y22,(YEAR(P$211)*12+MONTH(P$211))&lt;=MIN('Aset Takberwujud'!$Z22,IF('Aset Takberwujud'!$S22="Unit Produksi",99999,'Aset Takberwujud'!$Y22+'Aset Takberwujud'!$T22*12-1))),'Aset Takberwujud'!$AQ22/'Aset Takberwujud'!$AG22,0)))</f>
        <v/>
      </c>
      <c r="Q227" s="22" t="str">
        <f>IF($B227="","",SUM(E227:P227))</f>
        <v/>
      </c>
      <c r="R227" s="22" t="str">
        <f>IF($B227="","",'Aset Takberwujud'!AQ22)</f>
        <v/>
      </c>
      <c r="S227" s="22" t="str">
        <f>IF($B227="","",ROUND(Q227-R227,0))</f>
        <v/>
      </c>
    </row>
    <row r="228" spans="1:19" x14ac:dyDescent="0.25">
      <c r="A228" t="str">
        <f>IF('Aset Takberwujud'!$B23="","",'Aset Takberwujud'!A23)</f>
        <v/>
      </c>
      <c r="B228" t="str">
        <f>IF('Aset Takberwujud'!$B23="","",'Aset Takberwujud'!B23)</f>
        <v/>
      </c>
      <c r="C228" t="str">
        <f>IF('Aset Takberwujud'!$B23="","",'Aset Takberwujud'!C23)</f>
        <v/>
      </c>
      <c r="D228" t="str">
        <f>IF('Aset Takberwujud'!$B23="","",'Aset Takberwujud'!D23)</f>
        <v/>
      </c>
      <c r="E228" s="22" t="str">
        <f>IF($B228="","",IF(N('Aset Takberwujud'!$AG23)=0,0,IF(AND((YEAR(E$211)*12+MONTH(E$211))&gt;='Aset Takberwujud'!$Y23,(YEAR(E$211)*12+MONTH(E$211))&lt;=MIN('Aset Takberwujud'!$Z23,IF('Aset Takberwujud'!$S23="Unit Produksi",99999,'Aset Takberwujud'!$Y23+'Aset Takberwujud'!$T23*12-1))),'Aset Takberwujud'!$AQ23/'Aset Takberwujud'!$AG23,0)))</f>
        <v/>
      </c>
      <c r="F228" s="22" t="str">
        <f>IF($B228="","",IF(N('Aset Takberwujud'!$AG23)=0,0,IF(AND((YEAR(F$211)*12+MONTH(F$211))&gt;='Aset Takberwujud'!$Y23,(YEAR(F$211)*12+MONTH(F$211))&lt;=MIN('Aset Takberwujud'!$Z23,IF('Aset Takberwujud'!$S23="Unit Produksi",99999,'Aset Takberwujud'!$Y23+'Aset Takberwujud'!$T23*12-1))),'Aset Takberwujud'!$AQ23/'Aset Takberwujud'!$AG23,0)))</f>
        <v/>
      </c>
      <c r="G228" s="22" t="str">
        <f>IF($B228="","",IF(N('Aset Takberwujud'!$AG23)=0,0,IF(AND((YEAR(G$211)*12+MONTH(G$211))&gt;='Aset Takberwujud'!$Y23,(YEAR(G$211)*12+MONTH(G$211))&lt;=MIN('Aset Takberwujud'!$Z23,IF('Aset Takberwujud'!$S23="Unit Produksi",99999,'Aset Takberwujud'!$Y23+'Aset Takberwujud'!$T23*12-1))),'Aset Takberwujud'!$AQ23/'Aset Takberwujud'!$AG23,0)))</f>
        <v/>
      </c>
      <c r="H228" s="22" t="str">
        <f>IF($B228="","",IF(N('Aset Takberwujud'!$AG23)=0,0,IF(AND((YEAR(H$211)*12+MONTH(H$211))&gt;='Aset Takberwujud'!$Y23,(YEAR(H$211)*12+MONTH(H$211))&lt;=MIN('Aset Takberwujud'!$Z23,IF('Aset Takberwujud'!$S23="Unit Produksi",99999,'Aset Takberwujud'!$Y23+'Aset Takberwujud'!$T23*12-1))),'Aset Takberwujud'!$AQ23/'Aset Takberwujud'!$AG23,0)))</f>
        <v/>
      </c>
      <c r="I228" s="22" t="str">
        <f>IF($B228="","",IF(N('Aset Takberwujud'!$AG23)=0,0,IF(AND((YEAR(I$211)*12+MONTH(I$211))&gt;='Aset Takberwujud'!$Y23,(YEAR(I$211)*12+MONTH(I$211))&lt;=MIN('Aset Takberwujud'!$Z23,IF('Aset Takberwujud'!$S23="Unit Produksi",99999,'Aset Takberwujud'!$Y23+'Aset Takberwujud'!$T23*12-1))),'Aset Takberwujud'!$AQ23/'Aset Takberwujud'!$AG23,0)))</f>
        <v/>
      </c>
      <c r="J228" s="22" t="str">
        <f>IF($B228="","",IF(N('Aset Takberwujud'!$AG23)=0,0,IF(AND((YEAR(J$211)*12+MONTH(J$211))&gt;='Aset Takberwujud'!$Y23,(YEAR(J$211)*12+MONTH(J$211))&lt;=MIN('Aset Takberwujud'!$Z23,IF('Aset Takberwujud'!$S23="Unit Produksi",99999,'Aset Takberwujud'!$Y23+'Aset Takberwujud'!$T23*12-1))),'Aset Takberwujud'!$AQ23/'Aset Takberwujud'!$AG23,0)))</f>
        <v/>
      </c>
      <c r="K228" s="22" t="str">
        <f>IF($B228="","",IF(N('Aset Takberwujud'!$AG23)=0,0,IF(AND((YEAR(K$211)*12+MONTH(K$211))&gt;='Aset Takberwujud'!$Y23,(YEAR(K$211)*12+MONTH(K$211))&lt;=MIN('Aset Takberwujud'!$Z23,IF('Aset Takberwujud'!$S23="Unit Produksi",99999,'Aset Takberwujud'!$Y23+'Aset Takberwujud'!$T23*12-1))),'Aset Takberwujud'!$AQ23/'Aset Takberwujud'!$AG23,0)))</f>
        <v/>
      </c>
      <c r="L228" s="22" t="str">
        <f>IF($B228="","",IF(N('Aset Takberwujud'!$AG23)=0,0,IF(AND((YEAR(L$211)*12+MONTH(L$211))&gt;='Aset Takberwujud'!$Y23,(YEAR(L$211)*12+MONTH(L$211))&lt;=MIN('Aset Takberwujud'!$Z23,IF('Aset Takberwujud'!$S23="Unit Produksi",99999,'Aset Takberwujud'!$Y23+'Aset Takberwujud'!$T23*12-1))),'Aset Takberwujud'!$AQ23/'Aset Takberwujud'!$AG23,0)))</f>
        <v/>
      </c>
      <c r="M228" s="22" t="str">
        <f>IF($B228="","",IF(N('Aset Takberwujud'!$AG23)=0,0,IF(AND((YEAR(M$211)*12+MONTH(M$211))&gt;='Aset Takberwujud'!$Y23,(YEAR(M$211)*12+MONTH(M$211))&lt;=MIN('Aset Takberwujud'!$Z23,IF('Aset Takberwujud'!$S23="Unit Produksi",99999,'Aset Takberwujud'!$Y23+'Aset Takberwujud'!$T23*12-1))),'Aset Takberwujud'!$AQ23/'Aset Takberwujud'!$AG23,0)))</f>
        <v/>
      </c>
      <c r="N228" s="22" t="str">
        <f>IF($B228="","",IF(N('Aset Takberwujud'!$AG23)=0,0,IF(AND((YEAR(N$211)*12+MONTH(N$211))&gt;='Aset Takberwujud'!$Y23,(YEAR(N$211)*12+MONTH(N$211))&lt;=MIN('Aset Takberwujud'!$Z23,IF('Aset Takberwujud'!$S23="Unit Produksi",99999,'Aset Takberwujud'!$Y23+'Aset Takberwujud'!$T23*12-1))),'Aset Takberwujud'!$AQ23/'Aset Takberwujud'!$AG23,0)))</f>
        <v/>
      </c>
      <c r="O228" s="22" t="str">
        <f>IF($B228="","",IF(N('Aset Takberwujud'!$AG23)=0,0,IF(AND((YEAR(O$211)*12+MONTH(O$211))&gt;='Aset Takberwujud'!$Y23,(YEAR(O$211)*12+MONTH(O$211))&lt;=MIN('Aset Takberwujud'!$Z23,IF('Aset Takberwujud'!$S23="Unit Produksi",99999,'Aset Takberwujud'!$Y23+'Aset Takberwujud'!$T23*12-1))),'Aset Takberwujud'!$AQ23/'Aset Takberwujud'!$AG23,0)))</f>
        <v/>
      </c>
      <c r="P228" s="22" t="str">
        <f>IF($B228="","",IF(N('Aset Takberwujud'!$AG23)=0,0,IF(AND((YEAR(P$211)*12+MONTH(P$211))&gt;='Aset Takberwujud'!$Y23,(YEAR(P$211)*12+MONTH(P$211))&lt;=MIN('Aset Takberwujud'!$Z23,IF('Aset Takberwujud'!$S23="Unit Produksi",99999,'Aset Takberwujud'!$Y23+'Aset Takberwujud'!$T23*12-1))),'Aset Takberwujud'!$AQ23/'Aset Takberwujud'!$AG23,0)))</f>
        <v/>
      </c>
      <c r="Q228" s="22" t="str">
        <f>IF($B228="","",SUM(E228:P228))</f>
        <v/>
      </c>
      <c r="R228" s="22" t="str">
        <f>IF($B228="","",'Aset Takberwujud'!AQ23)</f>
        <v/>
      </c>
      <c r="S228" s="22" t="str">
        <f>IF($B228="","",ROUND(Q228-R228,0))</f>
        <v/>
      </c>
    </row>
    <row r="229" spans="1:19" x14ac:dyDescent="0.25">
      <c r="A229" t="str">
        <f>IF('Aset Takberwujud'!$B24="","",'Aset Takberwujud'!A24)</f>
        <v/>
      </c>
      <c r="B229" t="str">
        <f>IF('Aset Takberwujud'!$B24="","",'Aset Takberwujud'!B24)</f>
        <v/>
      </c>
      <c r="C229" t="str">
        <f>IF('Aset Takberwujud'!$B24="","",'Aset Takberwujud'!C24)</f>
        <v/>
      </c>
      <c r="D229" t="str">
        <f>IF('Aset Takberwujud'!$B24="","",'Aset Takberwujud'!D24)</f>
        <v/>
      </c>
      <c r="E229" s="22" t="str">
        <f>IF($B229="","",IF(N('Aset Takberwujud'!$AG24)=0,0,IF(AND((YEAR(E$211)*12+MONTH(E$211))&gt;='Aset Takberwujud'!$Y24,(YEAR(E$211)*12+MONTH(E$211))&lt;=MIN('Aset Takberwujud'!$Z24,IF('Aset Takberwujud'!$S24="Unit Produksi",99999,'Aset Takberwujud'!$Y24+'Aset Takberwujud'!$T24*12-1))),'Aset Takberwujud'!$AQ24/'Aset Takberwujud'!$AG24,0)))</f>
        <v/>
      </c>
      <c r="F229" s="22" t="str">
        <f>IF($B229="","",IF(N('Aset Takberwujud'!$AG24)=0,0,IF(AND((YEAR(F$211)*12+MONTH(F$211))&gt;='Aset Takberwujud'!$Y24,(YEAR(F$211)*12+MONTH(F$211))&lt;=MIN('Aset Takberwujud'!$Z24,IF('Aset Takberwujud'!$S24="Unit Produksi",99999,'Aset Takberwujud'!$Y24+'Aset Takberwujud'!$T24*12-1))),'Aset Takberwujud'!$AQ24/'Aset Takberwujud'!$AG24,0)))</f>
        <v/>
      </c>
      <c r="G229" s="22" t="str">
        <f>IF($B229="","",IF(N('Aset Takberwujud'!$AG24)=0,0,IF(AND((YEAR(G$211)*12+MONTH(G$211))&gt;='Aset Takberwujud'!$Y24,(YEAR(G$211)*12+MONTH(G$211))&lt;=MIN('Aset Takberwujud'!$Z24,IF('Aset Takberwujud'!$S24="Unit Produksi",99999,'Aset Takberwujud'!$Y24+'Aset Takberwujud'!$T24*12-1))),'Aset Takberwujud'!$AQ24/'Aset Takberwujud'!$AG24,0)))</f>
        <v/>
      </c>
      <c r="H229" s="22" t="str">
        <f>IF($B229="","",IF(N('Aset Takberwujud'!$AG24)=0,0,IF(AND((YEAR(H$211)*12+MONTH(H$211))&gt;='Aset Takberwujud'!$Y24,(YEAR(H$211)*12+MONTH(H$211))&lt;=MIN('Aset Takberwujud'!$Z24,IF('Aset Takberwujud'!$S24="Unit Produksi",99999,'Aset Takberwujud'!$Y24+'Aset Takberwujud'!$T24*12-1))),'Aset Takberwujud'!$AQ24/'Aset Takberwujud'!$AG24,0)))</f>
        <v/>
      </c>
      <c r="I229" s="22" t="str">
        <f>IF($B229="","",IF(N('Aset Takberwujud'!$AG24)=0,0,IF(AND((YEAR(I$211)*12+MONTH(I$211))&gt;='Aset Takberwujud'!$Y24,(YEAR(I$211)*12+MONTH(I$211))&lt;=MIN('Aset Takberwujud'!$Z24,IF('Aset Takberwujud'!$S24="Unit Produksi",99999,'Aset Takberwujud'!$Y24+'Aset Takberwujud'!$T24*12-1))),'Aset Takberwujud'!$AQ24/'Aset Takberwujud'!$AG24,0)))</f>
        <v/>
      </c>
      <c r="J229" s="22" t="str">
        <f>IF($B229="","",IF(N('Aset Takberwujud'!$AG24)=0,0,IF(AND((YEAR(J$211)*12+MONTH(J$211))&gt;='Aset Takberwujud'!$Y24,(YEAR(J$211)*12+MONTH(J$211))&lt;=MIN('Aset Takberwujud'!$Z24,IF('Aset Takberwujud'!$S24="Unit Produksi",99999,'Aset Takberwujud'!$Y24+'Aset Takberwujud'!$T24*12-1))),'Aset Takberwujud'!$AQ24/'Aset Takberwujud'!$AG24,0)))</f>
        <v/>
      </c>
      <c r="K229" s="22" t="str">
        <f>IF($B229="","",IF(N('Aset Takberwujud'!$AG24)=0,0,IF(AND((YEAR(K$211)*12+MONTH(K$211))&gt;='Aset Takberwujud'!$Y24,(YEAR(K$211)*12+MONTH(K$211))&lt;=MIN('Aset Takberwujud'!$Z24,IF('Aset Takberwujud'!$S24="Unit Produksi",99999,'Aset Takberwujud'!$Y24+'Aset Takberwujud'!$T24*12-1))),'Aset Takberwujud'!$AQ24/'Aset Takberwujud'!$AG24,0)))</f>
        <v/>
      </c>
      <c r="L229" s="22" t="str">
        <f>IF($B229="","",IF(N('Aset Takberwujud'!$AG24)=0,0,IF(AND((YEAR(L$211)*12+MONTH(L$211))&gt;='Aset Takberwujud'!$Y24,(YEAR(L$211)*12+MONTH(L$211))&lt;=MIN('Aset Takberwujud'!$Z24,IF('Aset Takberwujud'!$S24="Unit Produksi",99999,'Aset Takberwujud'!$Y24+'Aset Takberwujud'!$T24*12-1))),'Aset Takberwujud'!$AQ24/'Aset Takberwujud'!$AG24,0)))</f>
        <v/>
      </c>
      <c r="M229" s="22" t="str">
        <f>IF($B229="","",IF(N('Aset Takberwujud'!$AG24)=0,0,IF(AND((YEAR(M$211)*12+MONTH(M$211))&gt;='Aset Takberwujud'!$Y24,(YEAR(M$211)*12+MONTH(M$211))&lt;=MIN('Aset Takberwujud'!$Z24,IF('Aset Takberwujud'!$S24="Unit Produksi",99999,'Aset Takberwujud'!$Y24+'Aset Takberwujud'!$T24*12-1))),'Aset Takberwujud'!$AQ24/'Aset Takberwujud'!$AG24,0)))</f>
        <v/>
      </c>
      <c r="N229" s="22" t="str">
        <f>IF($B229="","",IF(N('Aset Takberwujud'!$AG24)=0,0,IF(AND((YEAR(N$211)*12+MONTH(N$211))&gt;='Aset Takberwujud'!$Y24,(YEAR(N$211)*12+MONTH(N$211))&lt;=MIN('Aset Takberwujud'!$Z24,IF('Aset Takberwujud'!$S24="Unit Produksi",99999,'Aset Takberwujud'!$Y24+'Aset Takberwujud'!$T24*12-1))),'Aset Takberwujud'!$AQ24/'Aset Takberwujud'!$AG24,0)))</f>
        <v/>
      </c>
      <c r="O229" s="22" t="str">
        <f>IF($B229="","",IF(N('Aset Takberwujud'!$AG24)=0,0,IF(AND((YEAR(O$211)*12+MONTH(O$211))&gt;='Aset Takberwujud'!$Y24,(YEAR(O$211)*12+MONTH(O$211))&lt;=MIN('Aset Takberwujud'!$Z24,IF('Aset Takberwujud'!$S24="Unit Produksi",99999,'Aset Takberwujud'!$Y24+'Aset Takberwujud'!$T24*12-1))),'Aset Takberwujud'!$AQ24/'Aset Takberwujud'!$AG24,0)))</f>
        <v/>
      </c>
      <c r="P229" s="22" t="str">
        <f>IF($B229="","",IF(N('Aset Takberwujud'!$AG24)=0,0,IF(AND((YEAR(P$211)*12+MONTH(P$211))&gt;='Aset Takberwujud'!$Y24,(YEAR(P$211)*12+MONTH(P$211))&lt;=MIN('Aset Takberwujud'!$Z24,IF('Aset Takberwujud'!$S24="Unit Produksi",99999,'Aset Takberwujud'!$Y24+'Aset Takberwujud'!$T24*12-1))),'Aset Takberwujud'!$AQ24/'Aset Takberwujud'!$AG24,0)))</f>
        <v/>
      </c>
      <c r="Q229" s="22" t="str">
        <f>IF($B229="","",SUM(E229:P229))</f>
        <v/>
      </c>
      <c r="R229" s="22" t="str">
        <f>IF($B229="","",'Aset Takberwujud'!AQ24)</f>
        <v/>
      </c>
      <c r="S229" s="22" t="str">
        <f>IF($B229="","",ROUND(Q229-R229,0))</f>
        <v/>
      </c>
    </row>
    <row r="230" spans="1:19" x14ac:dyDescent="0.25">
      <c r="A230" t="str">
        <f>IF('Aset Takberwujud'!$B25="","",'Aset Takberwujud'!A25)</f>
        <v/>
      </c>
      <c r="B230" t="str">
        <f>IF('Aset Takberwujud'!$B25="","",'Aset Takberwujud'!B25)</f>
        <v/>
      </c>
      <c r="C230" t="str">
        <f>IF('Aset Takberwujud'!$B25="","",'Aset Takberwujud'!C25)</f>
        <v/>
      </c>
      <c r="D230" t="str">
        <f>IF('Aset Takberwujud'!$B25="","",'Aset Takberwujud'!D25)</f>
        <v/>
      </c>
      <c r="E230" s="22" t="str">
        <f>IF($B230="","",IF(N('Aset Takberwujud'!$AG25)=0,0,IF(AND((YEAR(E$211)*12+MONTH(E$211))&gt;='Aset Takberwujud'!$Y25,(YEAR(E$211)*12+MONTH(E$211))&lt;=MIN('Aset Takberwujud'!$Z25,IF('Aset Takberwujud'!$S25="Unit Produksi",99999,'Aset Takberwujud'!$Y25+'Aset Takberwujud'!$T25*12-1))),'Aset Takberwujud'!$AQ25/'Aset Takberwujud'!$AG25,0)))</f>
        <v/>
      </c>
      <c r="F230" s="22" t="str">
        <f>IF($B230="","",IF(N('Aset Takberwujud'!$AG25)=0,0,IF(AND((YEAR(F$211)*12+MONTH(F$211))&gt;='Aset Takberwujud'!$Y25,(YEAR(F$211)*12+MONTH(F$211))&lt;=MIN('Aset Takberwujud'!$Z25,IF('Aset Takberwujud'!$S25="Unit Produksi",99999,'Aset Takberwujud'!$Y25+'Aset Takberwujud'!$T25*12-1))),'Aset Takberwujud'!$AQ25/'Aset Takberwujud'!$AG25,0)))</f>
        <v/>
      </c>
      <c r="G230" s="22" t="str">
        <f>IF($B230="","",IF(N('Aset Takberwujud'!$AG25)=0,0,IF(AND((YEAR(G$211)*12+MONTH(G$211))&gt;='Aset Takberwujud'!$Y25,(YEAR(G$211)*12+MONTH(G$211))&lt;=MIN('Aset Takberwujud'!$Z25,IF('Aset Takberwujud'!$S25="Unit Produksi",99999,'Aset Takberwujud'!$Y25+'Aset Takberwujud'!$T25*12-1))),'Aset Takberwujud'!$AQ25/'Aset Takberwujud'!$AG25,0)))</f>
        <v/>
      </c>
      <c r="H230" s="22" t="str">
        <f>IF($B230="","",IF(N('Aset Takberwujud'!$AG25)=0,0,IF(AND((YEAR(H$211)*12+MONTH(H$211))&gt;='Aset Takberwujud'!$Y25,(YEAR(H$211)*12+MONTH(H$211))&lt;=MIN('Aset Takberwujud'!$Z25,IF('Aset Takberwujud'!$S25="Unit Produksi",99999,'Aset Takberwujud'!$Y25+'Aset Takberwujud'!$T25*12-1))),'Aset Takberwujud'!$AQ25/'Aset Takberwujud'!$AG25,0)))</f>
        <v/>
      </c>
      <c r="I230" s="22" t="str">
        <f>IF($B230="","",IF(N('Aset Takberwujud'!$AG25)=0,0,IF(AND((YEAR(I$211)*12+MONTH(I$211))&gt;='Aset Takberwujud'!$Y25,(YEAR(I$211)*12+MONTH(I$211))&lt;=MIN('Aset Takberwujud'!$Z25,IF('Aset Takberwujud'!$S25="Unit Produksi",99999,'Aset Takberwujud'!$Y25+'Aset Takberwujud'!$T25*12-1))),'Aset Takberwujud'!$AQ25/'Aset Takberwujud'!$AG25,0)))</f>
        <v/>
      </c>
      <c r="J230" s="22" t="str">
        <f>IF($B230="","",IF(N('Aset Takberwujud'!$AG25)=0,0,IF(AND((YEAR(J$211)*12+MONTH(J$211))&gt;='Aset Takberwujud'!$Y25,(YEAR(J$211)*12+MONTH(J$211))&lt;=MIN('Aset Takberwujud'!$Z25,IF('Aset Takberwujud'!$S25="Unit Produksi",99999,'Aset Takberwujud'!$Y25+'Aset Takberwujud'!$T25*12-1))),'Aset Takberwujud'!$AQ25/'Aset Takberwujud'!$AG25,0)))</f>
        <v/>
      </c>
      <c r="K230" s="22" t="str">
        <f>IF($B230="","",IF(N('Aset Takberwujud'!$AG25)=0,0,IF(AND((YEAR(K$211)*12+MONTH(K$211))&gt;='Aset Takberwujud'!$Y25,(YEAR(K$211)*12+MONTH(K$211))&lt;=MIN('Aset Takberwujud'!$Z25,IF('Aset Takberwujud'!$S25="Unit Produksi",99999,'Aset Takberwujud'!$Y25+'Aset Takberwujud'!$T25*12-1))),'Aset Takberwujud'!$AQ25/'Aset Takberwujud'!$AG25,0)))</f>
        <v/>
      </c>
      <c r="L230" s="22" t="str">
        <f>IF($B230="","",IF(N('Aset Takberwujud'!$AG25)=0,0,IF(AND((YEAR(L$211)*12+MONTH(L$211))&gt;='Aset Takberwujud'!$Y25,(YEAR(L$211)*12+MONTH(L$211))&lt;=MIN('Aset Takberwujud'!$Z25,IF('Aset Takberwujud'!$S25="Unit Produksi",99999,'Aset Takberwujud'!$Y25+'Aset Takberwujud'!$T25*12-1))),'Aset Takberwujud'!$AQ25/'Aset Takberwujud'!$AG25,0)))</f>
        <v/>
      </c>
      <c r="M230" s="22" t="str">
        <f>IF($B230="","",IF(N('Aset Takberwujud'!$AG25)=0,0,IF(AND((YEAR(M$211)*12+MONTH(M$211))&gt;='Aset Takberwujud'!$Y25,(YEAR(M$211)*12+MONTH(M$211))&lt;=MIN('Aset Takberwujud'!$Z25,IF('Aset Takberwujud'!$S25="Unit Produksi",99999,'Aset Takberwujud'!$Y25+'Aset Takberwujud'!$T25*12-1))),'Aset Takberwujud'!$AQ25/'Aset Takberwujud'!$AG25,0)))</f>
        <v/>
      </c>
      <c r="N230" s="22" t="str">
        <f>IF($B230="","",IF(N('Aset Takberwujud'!$AG25)=0,0,IF(AND((YEAR(N$211)*12+MONTH(N$211))&gt;='Aset Takberwujud'!$Y25,(YEAR(N$211)*12+MONTH(N$211))&lt;=MIN('Aset Takberwujud'!$Z25,IF('Aset Takberwujud'!$S25="Unit Produksi",99999,'Aset Takberwujud'!$Y25+'Aset Takberwujud'!$T25*12-1))),'Aset Takberwujud'!$AQ25/'Aset Takberwujud'!$AG25,0)))</f>
        <v/>
      </c>
      <c r="O230" s="22" t="str">
        <f>IF($B230="","",IF(N('Aset Takberwujud'!$AG25)=0,0,IF(AND((YEAR(O$211)*12+MONTH(O$211))&gt;='Aset Takberwujud'!$Y25,(YEAR(O$211)*12+MONTH(O$211))&lt;=MIN('Aset Takberwujud'!$Z25,IF('Aset Takberwujud'!$S25="Unit Produksi",99999,'Aset Takberwujud'!$Y25+'Aset Takberwujud'!$T25*12-1))),'Aset Takberwujud'!$AQ25/'Aset Takberwujud'!$AG25,0)))</f>
        <v/>
      </c>
      <c r="P230" s="22" t="str">
        <f>IF($B230="","",IF(N('Aset Takberwujud'!$AG25)=0,0,IF(AND((YEAR(P$211)*12+MONTH(P$211))&gt;='Aset Takberwujud'!$Y25,(YEAR(P$211)*12+MONTH(P$211))&lt;=MIN('Aset Takberwujud'!$Z25,IF('Aset Takberwujud'!$S25="Unit Produksi",99999,'Aset Takberwujud'!$Y25+'Aset Takberwujud'!$T25*12-1))),'Aset Takberwujud'!$AQ25/'Aset Takberwujud'!$AG25,0)))</f>
        <v/>
      </c>
      <c r="Q230" s="22" t="str">
        <f>IF($B230="","",SUM(E230:P230))</f>
        <v/>
      </c>
      <c r="R230" s="22" t="str">
        <f>IF($B230="","",'Aset Takberwujud'!AQ25)</f>
        <v/>
      </c>
      <c r="S230" s="22" t="str">
        <f>IF($B230="","",ROUND(Q230-R230,0))</f>
        <v/>
      </c>
    </row>
    <row r="231" spans="1:19" x14ac:dyDescent="0.25">
      <c r="A231" t="str">
        <f>IF('Aset Takberwujud'!$B26="","",'Aset Takberwujud'!A26)</f>
        <v/>
      </c>
      <c r="B231" t="str">
        <f>IF('Aset Takberwujud'!$B26="","",'Aset Takberwujud'!B26)</f>
        <v/>
      </c>
      <c r="C231" t="str">
        <f>IF('Aset Takberwujud'!$B26="","",'Aset Takberwujud'!C26)</f>
        <v/>
      </c>
      <c r="D231" t="str">
        <f>IF('Aset Takberwujud'!$B26="","",'Aset Takberwujud'!D26)</f>
        <v/>
      </c>
      <c r="E231" s="22" t="str">
        <f>IF($B231="","",IF(N('Aset Takberwujud'!$AG26)=0,0,IF(AND((YEAR(E$211)*12+MONTH(E$211))&gt;='Aset Takberwujud'!$Y26,(YEAR(E$211)*12+MONTH(E$211))&lt;=MIN('Aset Takberwujud'!$Z26,IF('Aset Takberwujud'!$S26="Unit Produksi",99999,'Aset Takberwujud'!$Y26+'Aset Takberwujud'!$T26*12-1))),'Aset Takberwujud'!$AQ26/'Aset Takberwujud'!$AG26,0)))</f>
        <v/>
      </c>
      <c r="F231" s="22" t="str">
        <f>IF($B231="","",IF(N('Aset Takberwujud'!$AG26)=0,0,IF(AND((YEAR(F$211)*12+MONTH(F$211))&gt;='Aset Takberwujud'!$Y26,(YEAR(F$211)*12+MONTH(F$211))&lt;=MIN('Aset Takberwujud'!$Z26,IF('Aset Takberwujud'!$S26="Unit Produksi",99999,'Aset Takberwujud'!$Y26+'Aset Takberwujud'!$T26*12-1))),'Aset Takberwujud'!$AQ26/'Aset Takberwujud'!$AG26,0)))</f>
        <v/>
      </c>
      <c r="G231" s="22" t="str">
        <f>IF($B231="","",IF(N('Aset Takberwujud'!$AG26)=0,0,IF(AND((YEAR(G$211)*12+MONTH(G$211))&gt;='Aset Takberwujud'!$Y26,(YEAR(G$211)*12+MONTH(G$211))&lt;=MIN('Aset Takberwujud'!$Z26,IF('Aset Takberwujud'!$S26="Unit Produksi",99999,'Aset Takberwujud'!$Y26+'Aset Takberwujud'!$T26*12-1))),'Aset Takberwujud'!$AQ26/'Aset Takberwujud'!$AG26,0)))</f>
        <v/>
      </c>
      <c r="H231" s="22" t="str">
        <f>IF($B231="","",IF(N('Aset Takberwujud'!$AG26)=0,0,IF(AND((YEAR(H$211)*12+MONTH(H$211))&gt;='Aset Takberwujud'!$Y26,(YEAR(H$211)*12+MONTH(H$211))&lt;=MIN('Aset Takberwujud'!$Z26,IF('Aset Takberwujud'!$S26="Unit Produksi",99999,'Aset Takberwujud'!$Y26+'Aset Takberwujud'!$T26*12-1))),'Aset Takberwujud'!$AQ26/'Aset Takberwujud'!$AG26,0)))</f>
        <v/>
      </c>
      <c r="I231" s="22" t="str">
        <f>IF($B231="","",IF(N('Aset Takberwujud'!$AG26)=0,0,IF(AND((YEAR(I$211)*12+MONTH(I$211))&gt;='Aset Takberwujud'!$Y26,(YEAR(I$211)*12+MONTH(I$211))&lt;=MIN('Aset Takberwujud'!$Z26,IF('Aset Takberwujud'!$S26="Unit Produksi",99999,'Aset Takberwujud'!$Y26+'Aset Takberwujud'!$T26*12-1))),'Aset Takberwujud'!$AQ26/'Aset Takberwujud'!$AG26,0)))</f>
        <v/>
      </c>
      <c r="J231" s="22" t="str">
        <f>IF($B231="","",IF(N('Aset Takberwujud'!$AG26)=0,0,IF(AND((YEAR(J$211)*12+MONTH(J$211))&gt;='Aset Takberwujud'!$Y26,(YEAR(J$211)*12+MONTH(J$211))&lt;=MIN('Aset Takberwujud'!$Z26,IF('Aset Takberwujud'!$S26="Unit Produksi",99999,'Aset Takberwujud'!$Y26+'Aset Takberwujud'!$T26*12-1))),'Aset Takberwujud'!$AQ26/'Aset Takberwujud'!$AG26,0)))</f>
        <v/>
      </c>
      <c r="K231" s="22" t="str">
        <f>IF($B231="","",IF(N('Aset Takberwujud'!$AG26)=0,0,IF(AND((YEAR(K$211)*12+MONTH(K$211))&gt;='Aset Takberwujud'!$Y26,(YEAR(K$211)*12+MONTH(K$211))&lt;=MIN('Aset Takberwujud'!$Z26,IF('Aset Takberwujud'!$S26="Unit Produksi",99999,'Aset Takberwujud'!$Y26+'Aset Takberwujud'!$T26*12-1))),'Aset Takberwujud'!$AQ26/'Aset Takberwujud'!$AG26,0)))</f>
        <v/>
      </c>
      <c r="L231" s="22" t="str">
        <f>IF($B231="","",IF(N('Aset Takberwujud'!$AG26)=0,0,IF(AND((YEAR(L$211)*12+MONTH(L$211))&gt;='Aset Takberwujud'!$Y26,(YEAR(L$211)*12+MONTH(L$211))&lt;=MIN('Aset Takberwujud'!$Z26,IF('Aset Takberwujud'!$S26="Unit Produksi",99999,'Aset Takberwujud'!$Y26+'Aset Takberwujud'!$T26*12-1))),'Aset Takberwujud'!$AQ26/'Aset Takberwujud'!$AG26,0)))</f>
        <v/>
      </c>
      <c r="M231" s="22" t="str">
        <f>IF($B231="","",IF(N('Aset Takberwujud'!$AG26)=0,0,IF(AND((YEAR(M$211)*12+MONTH(M$211))&gt;='Aset Takberwujud'!$Y26,(YEAR(M$211)*12+MONTH(M$211))&lt;=MIN('Aset Takberwujud'!$Z26,IF('Aset Takberwujud'!$S26="Unit Produksi",99999,'Aset Takberwujud'!$Y26+'Aset Takberwujud'!$T26*12-1))),'Aset Takberwujud'!$AQ26/'Aset Takberwujud'!$AG26,0)))</f>
        <v/>
      </c>
      <c r="N231" s="22" t="str">
        <f>IF($B231="","",IF(N('Aset Takberwujud'!$AG26)=0,0,IF(AND((YEAR(N$211)*12+MONTH(N$211))&gt;='Aset Takberwujud'!$Y26,(YEAR(N$211)*12+MONTH(N$211))&lt;=MIN('Aset Takberwujud'!$Z26,IF('Aset Takberwujud'!$S26="Unit Produksi",99999,'Aset Takberwujud'!$Y26+'Aset Takberwujud'!$T26*12-1))),'Aset Takberwujud'!$AQ26/'Aset Takberwujud'!$AG26,0)))</f>
        <v/>
      </c>
      <c r="O231" s="22" t="str">
        <f>IF($B231="","",IF(N('Aset Takberwujud'!$AG26)=0,0,IF(AND((YEAR(O$211)*12+MONTH(O$211))&gt;='Aset Takberwujud'!$Y26,(YEAR(O$211)*12+MONTH(O$211))&lt;=MIN('Aset Takberwujud'!$Z26,IF('Aset Takberwujud'!$S26="Unit Produksi",99999,'Aset Takberwujud'!$Y26+'Aset Takberwujud'!$T26*12-1))),'Aset Takberwujud'!$AQ26/'Aset Takberwujud'!$AG26,0)))</f>
        <v/>
      </c>
      <c r="P231" s="22" t="str">
        <f>IF($B231="","",IF(N('Aset Takberwujud'!$AG26)=0,0,IF(AND((YEAR(P$211)*12+MONTH(P$211))&gt;='Aset Takberwujud'!$Y26,(YEAR(P$211)*12+MONTH(P$211))&lt;=MIN('Aset Takberwujud'!$Z26,IF('Aset Takberwujud'!$S26="Unit Produksi",99999,'Aset Takberwujud'!$Y26+'Aset Takberwujud'!$T26*12-1))),'Aset Takberwujud'!$AQ26/'Aset Takberwujud'!$AG26,0)))</f>
        <v/>
      </c>
      <c r="Q231" s="22" t="str">
        <f>IF($B231="","",SUM(E231:P231))</f>
        <v/>
      </c>
      <c r="R231" s="22" t="str">
        <f>IF($B231="","",'Aset Takberwujud'!AQ26)</f>
        <v/>
      </c>
      <c r="S231" s="22" t="str">
        <f>IF($B231="","",ROUND(Q231-R231,0))</f>
        <v/>
      </c>
    </row>
    <row r="232" spans="1:19" x14ac:dyDescent="0.25">
      <c r="A232" t="str">
        <f>IF('Aset Takberwujud'!$B27="","",'Aset Takberwujud'!A27)</f>
        <v/>
      </c>
      <c r="B232" t="str">
        <f>IF('Aset Takberwujud'!$B27="","",'Aset Takberwujud'!B27)</f>
        <v/>
      </c>
      <c r="C232" t="str">
        <f>IF('Aset Takberwujud'!$B27="","",'Aset Takberwujud'!C27)</f>
        <v/>
      </c>
      <c r="D232" t="str">
        <f>IF('Aset Takberwujud'!$B27="","",'Aset Takberwujud'!D27)</f>
        <v/>
      </c>
      <c r="E232" s="22" t="str">
        <f>IF($B232="","",IF(N('Aset Takberwujud'!$AG27)=0,0,IF(AND((YEAR(E$211)*12+MONTH(E$211))&gt;='Aset Takberwujud'!$Y27,(YEAR(E$211)*12+MONTH(E$211))&lt;=MIN('Aset Takberwujud'!$Z27,IF('Aset Takberwujud'!$S27="Unit Produksi",99999,'Aset Takberwujud'!$Y27+'Aset Takberwujud'!$T27*12-1))),'Aset Takberwujud'!$AQ27/'Aset Takberwujud'!$AG27,0)))</f>
        <v/>
      </c>
      <c r="F232" s="22" t="str">
        <f>IF($B232="","",IF(N('Aset Takberwujud'!$AG27)=0,0,IF(AND((YEAR(F$211)*12+MONTH(F$211))&gt;='Aset Takberwujud'!$Y27,(YEAR(F$211)*12+MONTH(F$211))&lt;=MIN('Aset Takberwujud'!$Z27,IF('Aset Takberwujud'!$S27="Unit Produksi",99999,'Aset Takberwujud'!$Y27+'Aset Takberwujud'!$T27*12-1))),'Aset Takberwujud'!$AQ27/'Aset Takberwujud'!$AG27,0)))</f>
        <v/>
      </c>
      <c r="G232" s="22" t="str">
        <f>IF($B232="","",IF(N('Aset Takberwujud'!$AG27)=0,0,IF(AND((YEAR(G$211)*12+MONTH(G$211))&gt;='Aset Takberwujud'!$Y27,(YEAR(G$211)*12+MONTH(G$211))&lt;=MIN('Aset Takberwujud'!$Z27,IF('Aset Takberwujud'!$S27="Unit Produksi",99999,'Aset Takberwujud'!$Y27+'Aset Takberwujud'!$T27*12-1))),'Aset Takberwujud'!$AQ27/'Aset Takberwujud'!$AG27,0)))</f>
        <v/>
      </c>
      <c r="H232" s="22" t="str">
        <f>IF($B232="","",IF(N('Aset Takberwujud'!$AG27)=0,0,IF(AND((YEAR(H$211)*12+MONTH(H$211))&gt;='Aset Takberwujud'!$Y27,(YEAR(H$211)*12+MONTH(H$211))&lt;=MIN('Aset Takberwujud'!$Z27,IF('Aset Takberwujud'!$S27="Unit Produksi",99999,'Aset Takberwujud'!$Y27+'Aset Takberwujud'!$T27*12-1))),'Aset Takberwujud'!$AQ27/'Aset Takberwujud'!$AG27,0)))</f>
        <v/>
      </c>
      <c r="I232" s="22" t="str">
        <f>IF($B232="","",IF(N('Aset Takberwujud'!$AG27)=0,0,IF(AND((YEAR(I$211)*12+MONTH(I$211))&gt;='Aset Takberwujud'!$Y27,(YEAR(I$211)*12+MONTH(I$211))&lt;=MIN('Aset Takberwujud'!$Z27,IF('Aset Takberwujud'!$S27="Unit Produksi",99999,'Aset Takberwujud'!$Y27+'Aset Takberwujud'!$T27*12-1))),'Aset Takberwujud'!$AQ27/'Aset Takberwujud'!$AG27,0)))</f>
        <v/>
      </c>
      <c r="J232" s="22" t="str">
        <f>IF($B232="","",IF(N('Aset Takberwujud'!$AG27)=0,0,IF(AND((YEAR(J$211)*12+MONTH(J$211))&gt;='Aset Takberwujud'!$Y27,(YEAR(J$211)*12+MONTH(J$211))&lt;=MIN('Aset Takberwujud'!$Z27,IF('Aset Takberwujud'!$S27="Unit Produksi",99999,'Aset Takberwujud'!$Y27+'Aset Takberwujud'!$T27*12-1))),'Aset Takberwujud'!$AQ27/'Aset Takberwujud'!$AG27,0)))</f>
        <v/>
      </c>
      <c r="K232" s="22" t="str">
        <f>IF($B232="","",IF(N('Aset Takberwujud'!$AG27)=0,0,IF(AND((YEAR(K$211)*12+MONTH(K$211))&gt;='Aset Takberwujud'!$Y27,(YEAR(K$211)*12+MONTH(K$211))&lt;=MIN('Aset Takberwujud'!$Z27,IF('Aset Takberwujud'!$S27="Unit Produksi",99999,'Aset Takberwujud'!$Y27+'Aset Takberwujud'!$T27*12-1))),'Aset Takberwujud'!$AQ27/'Aset Takberwujud'!$AG27,0)))</f>
        <v/>
      </c>
      <c r="L232" s="22" t="str">
        <f>IF($B232="","",IF(N('Aset Takberwujud'!$AG27)=0,0,IF(AND((YEAR(L$211)*12+MONTH(L$211))&gt;='Aset Takberwujud'!$Y27,(YEAR(L$211)*12+MONTH(L$211))&lt;=MIN('Aset Takberwujud'!$Z27,IF('Aset Takberwujud'!$S27="Unit Produksi",99999,'Aset Takberwujud'!$Y27+'Aset Takberwujud'!$T27*12-1))),'Aset Takberwujud'!$AQ27/'Aset Takberwujud'!$AG27,0)))</f>
        <v/>
      </c>
      <c r="M232" s="22" t="str">
        <f>IF($B232="","",IF(N('Aset Takberwujud'!$AG27)=0,0,IF(AND((YEAR(M$211)*12+MONTH(M$211))&gt;='Aset Takberwujud'!$Y27,(YEAR(M$211)*12+MONTH(M$211))&lt;=MIN('Aset Takberwujud'!$Z27,IF('Aset Takberwujud'!$S27="Unit Produksi",99999,'Aset Takberwujud'!$Y27+'Aset Takberwujud'!$T27*12-1))),'Aset Takberwujud'!$AQ27/'Aset Takberwujud'!$AG27,0)))</f>
        <v/>
      </c>
      <c r="N232" s="22" t="str">
        <f>IF($B232="","",IF(N('Aset Takberwujud'!$AG27)=0,0,IF(AND((YEAR(N$211)*12+MONTH(N$211))&gt;='Aset Takberwujud'!$Y27,(YEAR(N$211)*12+MONTH(N$211))&lt;=MIN('Aset Takberwujud'!$Z27,IF('Aset Takberwujud'!$S27="Unit Produksi",99999,'Aset Takberwujud'!$Y27+'Aset Takberwujud'!$T27*12-1))),'Aset Takberwujud'!$AQ27/'Aset Takberwujud'!$AG27,0)))</f>
        <v/>
      </c>
      <c r="O232" s="22" t="str">
        <f>IF($B232="","",IF(N('Aset Takberwujud'!$AG27)=0,0,IF(AND((YEAR(O$211)*12+MONTH(O$211))&gt;='Aset Takberwujud'!$Y27,(YEAR(O$211)*12+MONTH(O$211))&lt;=MIN('Aset Takberwujud'!$Z27,IF('Aset Takberwujud'!$S27="Unit Produksi",99999,'Aset Takberwujud'!$Y27+'Aset Takberwujud'!$T27*12-1))),'Aset Takberwujud'!$AQ27/'Aset Takberwujud'!$AG27,0)))</f>
        <v/>
      </c>
      <c r="P232" s="22" t="str">
        <f>IF($B232="","",IF(N('Aset Takberwujud'!$AG27)=0,0,IF(AND((YEAR(P$211)*12+MONTH(P$211))&gt;='Aset Takberwujud'!$Y27,(YEAR(P$211)*12+MONTH(P$211))&lt;=MIN('Aset Takberwujud'!$Z27,IF('Aset Takberwujud'!$S27="Unit Produksi",99999,'Aset Takberwujud'!$Y27+'Aset Takberwujud'!$T27*12-1))),'Aset Takberwujud'!$AQ27/'Aset Takberwujud'!$AG27,0)))</f>
        <v/>
      </c>
      <c r="Q232" s="22" t="str">
        <f>IF($B232="","",SUM(E232:P232))</f>
        <v/>
      </c>
      <c r="R232" s="22" t="str">
        <f>IF($B232="","",'Aset Takberwujud'!AQ27)</f>
        <v/>
      </c>
      <c r="S232" s="22" t="str">
        <f>IF($B232="","",ROUND(Q232-R232,0))</f>
        <v/>
      </c>
    </row>
    <row r="233" spans="1:19" x14ac:dyDescent="0.25">
      <c r="A233" t="str">
        <f>IF('Aset Takberwujud'!$B28="","",'Aset Takberwujud'!A28)</f>
        <v/>
      </c>
      <c r="B233" t="str">
        <f>IF('Aset Takberwujud'!$B28="","",'Aset Takberwujud'!B28)</f>
        <v/>
      </c>
      <c r="C233" t="str">
        <f>IF('Aset Takberwujud'!$B28="","",'Aset Takberwujud'!C28)</f>
        <v/>
      </c>
      <c r="D233" t="str">
        <f>IF('Aset Takberwujud'!$B28="","",'Aset Takberwujud'!D28)</f>
        <v/>
      </c>
      <c r="E233" s="22" t="str">
        <f>IF($B233="","",IF(N('Aset Takberwujud'!$AG28)=0,0,IF(AND((YEAR(E$211)*12+MONTH(E$211))&gt;='Aset Takberwujud'!$Y28,(YEAR(E$211)*12+MONTH(E$211))&lt;=MIN('Aset Takberwujud'!$Z28,IF('Aset Takberwujud'!$S28="Unit Produksi",99999,'Aset Takberwujud'!$Y28+'Aset Takberwujud'!$T28*12-1))),'Aset Takberwujud'!$AQ28/'Aset Takberwujud'!$AG28,0)))</f>
        <v/>
      </c>
      <c r="F233" s="22" t="str">
        <f>IF($B233="","",IF(N('Aset Takberwujud'!$AG28)=0,0,IF(AND((YEAR(F$211)*12+MONTH(F$211))&gt;='Aset Takberwujud'!$Y28,(YEAR(F$211)*12+MONTH(F$211))&lt;=MIN('Aset Takberwujud'!$Z28,IF('Aset Takberwujud'!$S28="Unit Produksi",99999,'Aset Takberwujud'!$Y28+'Aset Takberwujud'!$T28*12-1))),'Aset Takberwujud'!$AQ28/'Aset Takberwujud'!$AG28,0)))</f>
        <v/>
      </c>
      <c r="G233" s="22" t="str">
        <f>IF($B233="","",IF(N('Aset Takberwujud'!$AG28)=0,0,IF(AND((YEAR(G$211)*12+MONTH(G$211))&gt;='Aset Takberwujud'!$Y28,(YEAR(G$211)*12+MONTH(G$211))&lt;=MIN('Aset Takberwujud'!$Z28,IF('Aset Takberwujud'!$S28="Unit Produksi",99999,'Aset Takberwujud'!$Y28+'Aset Takberwujud'!$T28*12-1))),'Aset Takberwujud'!$AQ28/'Aset Takberwujud'!$AG28,0)))</f>
        <v/>
      </c>
      <c r="H233" s="22" t="str">
        <f>IF($B233="","",IF(N('Aset Takberwujud'!$AG28)=0,0,IF(AND((YEAR(H$211)*12+MONTH(H$211))&gt;='Aset Takberwujud'!$Y28,(YEAR(H$211)*12+MONTH(H$211))&lt;=MIN('Aset Takberwujud'!$Z28,IF('Aset Takberwujud'!$S28="Unit Produksi",99999,'Aset Takberwujud'!$Y28+'Aset Takberwujud'!$T28*12-1))),'Aset Takberwujud'!$AQ28/'Aset Takberwujud'!$AG28,0)))</f>
        <v/>
      </c>
      <c r="I233" s="22" t="str">
        <f>IF($B233="","",IF(N('Aset Takberwujud'!$AG28)=0,0,IF(AND((YEAR(I$211)*12+MONTH(I$211))&gt;='Aset Takberwujud'!$Y28,(YEAR(I$211)*12+MONTH(I$211))&lt;=MIN('Aset Takberwujud'!$Z28,IF('Aset Takberwujud'!$S28="Unit Produksi",99999,'Aset Takberwujud'!$Y28+'Aset Takberwujud'!$T28*12-1))),'Aset Takberwujud'!$AQ28/'Aset Takberwujud'!$AG28,0)))</f>
        <v/>
      </c>
      <c r="J233" s="22" t="str">
        <f>IF($B233="","",IF(N('Aset Takberwujud'!$AG28)=0,0,IF(AND((YEAR(J$211)*12+MONTH(J$211))&gt;='Aset Takberwujud'!$Y28,(YEAR(J$211)*12+MONTH(J$211))&lt;=MIN('Aset Takberwujud'!$Z28,IF('Aset Takberwujud'!$S28="Unit Produksi",99999,'Aset Takberwujud'!$Y28+'Aset Takberwujud'!$T28*12-1))),'Aset Takberwujud'!$AQ28/'Aset Takberwujud'!$AG28,0)))</f>
        <v/>
      </c>
      <c r="K233" s="22" t="str">
        <f>IF($B233="","",IF(N('Aset Takberwujud'!$AG28)=0,0,IF(AND((YEAR(K$211)*12+MONTH(K$211))&gt;='Aset Takberwujud'!$Y28,(YEAR(K$211)*12+MONTH(K$211))&lt;=MIN('Aset Takberwujud'!$Z28,IF('Aset Takberwujud'!$S28="Unit Produksi",99999,'Aset Takberwujud'!$Y28+'Aset Takberwujud'!$T28*12-1))),'Aset Takberwujud'!$AQ28/'Aset Takberwujud'!$AG28,0)))</f>
        <v/>
      </c>
      <c r="L233" s="22" t="str">
        <f>IF($B233="","",IF(N('Aset Takberwujud'!$AG28)=0,0,IF(AND((YEAR(L$211)*12+MONTH(L$211))&gt;='Aset Takberwujud'!$Y28,(YEAR(L$211)*12+MONTH(L$211))&lt;=MIN('Aset Takberwujud'!$Z28,IF('Aset Takberwujud'!$S28="Unit Produksi",99999,'Aset Takberwujud'!$Y28+'Aset Takberwujud'!$T28*12-1))),'Aset Takberwujud'!$AQ28/'Aset Takberwujud'!$AG28,0)))</f>
        <v/>
      </c>
      <c r="M233" s="22" t="str">
        <f>IF($B233="","",IF(N('Aset Takberwujud'!$AG28)=0,0,IF(AND((YEAR(M$211)*12+MONTH(M$211))&gt;='Aset Takberwujud'!$Y28,(YEAR(M$211)*12+MONTH(M$211))&lt;=MIN('Aset Takberwujud'!$Z28,IF('Aset Takberwujud'!$S28="Unit Produksi",99999,'Aset Takberwujud'!$Y28+'Aset Takberwujud'!$T28*12-1))),'Aset Takberwujud'!$AQ28/'Aset Takberwujud'!$AG28,0)))</f>
        <v/>
      </c>
      <c r="N233" s="22" t="str">
        <f>IF($B233="","",IF(N('Aset Takberwujud'!$AG28)=0,0,IF(AND((YEAR(N$211)*12+MONTH(N$211))&gt;='Aset Takberwujud'!$Y28,(YEAR(N$211)*12+MONTH(N$211))&lt;=MIN('Aset Takberwujud'!$Z28,IF('Aset Takberwujud'!$S28="Unit Produksi",99999,'Aset Takberwujud'!$Y28+'Aset Takberwujud'!$T28*12-1))),'Aset Takberwujud'!$AQ28/'Aset Takberwujud'!$AG28,0)))</f>
        <v/>
      </c>
      <c r="O233" s="22" t="str">
        <f>IF($B233="","",IF(N('Aset Takberwujud'!$AG28)=0,0,IF(AND((YEAR(O$211)*12+MONTH(O$211))&gt;='Aset Takberwujud'!$Y28,(YEAR(O$211)*12+MONTH(O$211))&lt;=MIN('Aset Takberwujud'!$Z28,IF('Aset Takberwujud'!$S28="Unit Produksi",99999,'Aset Takberwujud'!$Y28+'Aset Takberwujud'!$T28*12-1))),'Aset Takberwujud'!$AQ28/'Aset Takberwujud'!$AG28,0)))</f>
        <v/>
      </c>
      <c r="P233" s="22" t="str">
        <f>IF($B233="","",IF(N('Aset Takberwujud'!$AG28)=0,0,IF(AND((YEAR(P$211)*12+MONTH(P$211))&gt;='Aset Takberwujud'!$Y28,(YEAR(P$211)*12+MONTH(P$211))&lt;=MIN('Aset Takberwujud'!$Z28,IF('Aset Takberwujud'!$S28="Unit Produksi",99999,'Aset Takberwujud'!$Y28+'Aset Takberwujud'!$T28*12-1))),'Aset Takberwujud'!$AQ28/'Aset Takberwujud'!$AG28,0)))</f>
        <v/>
      </c>
      <c r="Q233" s="22" t="str">
        <f>IF($B233="","",SUM(E233:P233))</f>
        <v/>
      </c>
      <c r="R233" s="22" t="str">
        <f>IF($B233="","",'Aset Takberwujud'!AQ28)</f>
        <v/>
      </c>
      <c r="S233" s="22" t="str">
        <f>IF($B233="","",ROUND(Q233-R233,0))</f>
        <v/>
      </c>
    </row>
    <row r="234" spans="1:19" x14ac:dyDescent="0.25">
      <c r="A234" t="str">
        <f>IF('Aset Takberwujud'!$B29="","",'Aset Takberwujud'!A29)</f>
        <v/>
      </c>
      <c r="B234" t="str">
        <f>IF('Aset Takberwujud'!$B29="","",'Aset Takberwujud'!B29)</f>
        <v/>
      </c>
      <c r="C234" t="str">
        <f>IF('Aset Takberwujud'!$B29="","",'Aset Takberwujud'!C29)</f>
        <v/>
      </c>
      <c r="D234" t="str">
        <f>IF('Aset Takberwujud'!$B29="","",'Aset Takberwujud'!D29)</f>
        <v/>
      </c>
      <c r="E234" s="22" t="str">
        <f>IF($B234="","",IF(N('Aset Takberwujud'!$AG29)=0,0,IF(AND((YEAR(E$211)*12+MONTH(E$211))&gt;='Aset Takberwujud'!$Y29,(YEAR(E$211)*12+MONTH(E$211))&lt;=MIN('Aset Takberwujud'!$Z29,IF('Aset Takberwujud'!$S29="Unit Produksi",99999,'Aset Takberwujud'!$Y29+'Aset Takberwujud'!$T29*12-1))),'Aset Takberwujud'!$AQ29/'Aset Takberwujud'!$AG29,0)))</f>
        <v/>
      </c>
      <c r="F234" s="22" t="str">
        <f>IF($B234="","",IF(N('Aset Takberwujud'!$AG29)=0,0,IF(AND((YEAR(F$211)*12+MONTH(F$211))&gt;='Aset Takberwujud'!$Y29,(YEAR(F$211)*12+MONTH(F$211))&lt;=MIN('Aset Takberwujud'!$Z29,IF('Aset Takberwujud'!$S29="Unit Produksi",99999,'Aset Takberwujud'!$Y29+'Aset Takberwujud'!$T29*12-1))),'Aset Takberwujud'!$AQ29/'Aset Takberwujud'!$AG29,0)))</f>
        <v/>
      </c>
      <c r="G234" s="22" t="str">
        <f>IF($B234="","",IF(N('Aset Takberwujud'!$AG29)=0,0,IF(AND((YEAR(G$211)*12+MONTH(G$211))&gt;='Aset Takberwujud'!$Y29,(YEAR(G$211)*12+MONTH(G$211))&lt;=MIN('Aset Takberwujud'!$Z29,IF('Aset Takberwujud'!$S29="Unit Produksi",99999,'Aset Takberwujud'!$Y29+'Aset Takberwujud'!$T29*12-1))),'Aset Takberwujud'!$AQ29/'Aset Takberwujud'!$AG29,0)))</f>
        <v/>
      </c>
      <c r="H234" s="22" t="str">
        <f>IF($B234="","",IF(N('Aset Takberwujud'!$AG29)=0,0,IF(AND((YEAR(H$211)*12+MONTH(H$211))&gt;='Aset Takberwujud'!$Y29,(YEAR(H$211)*12+MONTH(H$211))&lt;=MIN('Aset Takberwujud'!$Z29,IF('Aset Takberwujud'!$S29="Unit Produksi",99999,'Aset Takberwujud'!$Y29+'Aset Takberwujud'!$T29*12-1))),'Aset Takberwujud'!$AQ29/'Aset Takberwujud'!$AG29,0)))</f>
        <v/>
      </c>
      <c r="I234" s="22" t="str">
        <f>IF($B234="","",IF(N('Aset Takberwujud'!$AG29)=0,0,IF(AND((YEAR(I$211)*12+MONTH(I$211))&gt;='Aset Takberwujud'!$Y29,(YEAR(I$211)*12+MONTH(I$211))&lt;=MIN('Aset Takberwujud'!$Z29,IF('Aset Takberwujud'!$S29="Unit Produksi",99999,'Aset Takberwujud'!$Y29+'Aset Takberwujud'!$T29*12-1))),'Aset Takberwujud'!$AQ29/'Aset Takberwujud'!$AG29,0)))</f>
        <v/>
      </c>
      <c r="J234" s="22" t="str">
        <f>IF($B234="","",IF(N('Aset Takberwujud'!$AG29)=0,0,IF(AND((YEAR(J$211)*12+MONTH(J$211))&gt;='Aset Takberwujud'!$Y29,(YEAR(J$211)*12+MONTH(J$211))&lt;=MIN('Aset Takberwujud'!$Z29,IF('Aset Takberwujud'!$S29="Unit Produksi",99999,'Aset Takberwujud'!$Y29+'Aset Takberwujud'!$T29*12-1))),'Aset Takberwujud'!$AQ29/'Aset Takberwujud'!$AG29,0)))</f>
        <v/>
      </c>
      <c r="K234" s="22" t="str">
        <f>IF($B234="","",IF(N('Aset Takberwujud'!$AG29)=0,0,IF(AND((YEAR(K$211)*12+MONTH(K$211))&gt;='Aset Takberwujud'!$Y29,(YEAR(K$211)*12+MONTH(K$211))&lt;=MIN('Aset Takberwujud'!$Z29,IF('Aset Takberwujud'!$S29="Unit Produksi",99999,'Aset Takberwujud'!$Y29+'Aset Takberwujud'!$T29*12-1))),'Aset Takberwujud'!$AQ29/'Aset Takberwujud'!$AG29,0)))</f>
        <v/>
      </c>
      <c r="L234" s="22" t="str">
        <f>IF($B234="","",IF(N('Aset Takberwujud'!$AG29)=0,0,IF(AND((YEAR(L$211)*12+MONTH(L$211))&gt;='Aset Takberwujud'!$Y29,(YEAR(L$211)*12+MONTH(L$211))&lt;=MIN('Aset Takberwujud'!$Z29,IF('Aset Takberwujud'!$S29="Unit Produksi",99999,'Aset Takberwujud'!$Y29+'Aset Takberwujud'!$T29*12-1))),'Aset Takberwujud'!$AQ29/'Aset Takberwujud'!$AG29,0)))</f>
        <v/>
      </c>
      <c r="M234" s="22" t="str">
        <f>IF($B234="","",IF(N('Aset Takberwujud'!$AG29)=0,0,IF(AND((YEAR(M$211)*12+MONTH(M$211))&gt;='Aset Takberwujud'!$Y29,(YEAR(M$211)*12+MONTH(M$211))&lt;=MIN('Aset Takberwujud'!$Z29,IF('Aset Takberwujud'!$S29="Unit Produksi",99999,'Aset Takberwujud'!$Y29+'Aset Takberwujud'!$T29*12-1))),'Aset Takberwujud'!$AQ29/'Aset Takberwujud'!$AG29,0)))</f>
        <v/>
      </c>
      <c r="N234" s="22" t="str">
        <f>IF($B234="","",IF(N('Aset Takberwujud'!$AG29)=0,0,IF(AND((YEAR(N$211)*12+MONTH(N$211))&gt;='Aset Takberwujud'!$Y29,(YEAR(N$211)*12+MONTH(N$211))&lt;=MIN('Aset Takberwujud'!$Z29,IF('Aset Takberwujud'!$S29="Unit Produksi",99999,'Aset Takberwujud'!$Y29+'Aset Takberwujud'!$T29*12-1))),'Aset Takberwujud'!$AQ29/'Aset Takberwujud'!$AG29,0)))</f>
        <v/>
      </c>
      <c r="O234" s="22" t="str">
        <f>IF($B234="","",IF(N('Aset Takberwujud'!$AG29)=0,0,IF(AND((YEAR(O$211)*12+MONTH(O$211))&gt;='Aset Takberwujud'!$Y29,(YEAR(O$211)*12+MONTH(O$211))&lt;=MIN('Aset Takberwujud'!$Z29,IF('Aset Takberwujud'!$S29="Unit Produksi",99999,'Aset Takberwujud'!$Y29+'Aset Takberwujud'!$T29*12-1))),'Aset Takberwujud'!$AQ29/'Aset Takberwujud'!$AG29,0)))</f>
        <v/>
      </c>
      <c r="P234" s="22" t="str">
        <f>IF($B234="","",IF(N('Aset Takberwujud'!$AG29)=0,0,IF(AND((YEAR(P$211)*12+MONTH(P$211))&gt;='Aset Takberwujud'!$Y29,(YEAR(P$211)*12+MONTH(P$211))&lt;=MIN('Aset Takberwujud'!$Z29,IF('Aset Takberwujud'!$S29="Unit Produksi",99999,'Aset Takberwujud'!$Y29+'Aset Takberwujud'!$T29*12-1))),'Aset Takberwujud'!$AQ29/'Aset Takberwujud'!$AG29,0)))</f>
        <v/>
      </c>
      <c r="Q234" s="22" t="str">
        <f>IF($B234="","",SUM(E234:P234))</f>
        <v/>
      </c>
      <c r="R234" s="22" t="str">
        <f>IF($B234="","",'Aset Takberwujud'!AQ29)</f>
        <v/>
      </c>
      <c r="S234" s="22" t="str">
        <f>IF($B234="","",ROUND(Q234-R234,0))</f>
        <v/>
      </c>
    </row>
    <row r="235" spans="1:19" x14ac:dyDescent="0.25">
      <c r="A235" t="str">
        <f>IF('Aset Takberwujud'!$B30="","",'Aset Takberwujud'!A30)</f>
        <v/>
      </c>
      <c r="B235" t="str">
        <f>IF('Aset Takberwujud'!$B30="","",'Aset Takberwujud'!B30)</f>
        <v/>
      </c>
      <c r="C235" t="str">
        <f>IF('Aset Takberwujud'!$B30="","",'Aset Takberwujud'!C30)</f>
        <v/>
      </c>
      <c r="D235" t="str">
        <f>IF('Aset Takberwujud'!$B30="","",'Aset Takberwujud'!D30)</f>
        <v/>
      </c>
      <c r="E235" s="22" t="str">
        <f>IF($B235="","",IF(N('Aset Takberwujud'!$AG30)=0,0,IF(AND((YEAR(E$211)*12+MONTH(E$211))&gt;='Aset Takberwujud'!$Y30,(YEAR(E$211)*12+MONTH(E$211))&lt;=MIN('Aset Takberwujud'!$Z30,IF('Aset Takberwujud'!$S30="Unit Produksi",99999,'Aset Takberwujud'!$Y30+'Aset Takberwujud'!$T30*12-1))),'Aset Takberwujud'!$AQ30/'Aset Takberwujud'!$AG30,0)))</f>
        <v/>
      </c>
      <c r="F235" s="22" t="str">
        <f>IF($B235="","",IF(N('Aset Takberwujud'!$AG30)=0,0,IF(AND((YEAR(F$211)*12+MONTH(F$211))&gt;='Aset Takberwujud'!$Y30,(YEAR(F$211)*12+MONTH(F$211))&lt;=MIN('Aset Takberwujud'!$Z30,IF('Aset Takberwujud'!$S30="Unit Produksi",99999,'Aset Takberwujud'!$Y30+'Aset Takberwujud'!$T30*12-1))),'Aset Takberwujud'!$AQ30/'Aset Takberwujud'!$AG30,0)))</f>
        <v/>
      </c>
      <c r="G235" s="22" t="str">
        <f>IF($B235="","",IF(N('Aset Takberwujud'!$AG30)=0,0,IF(AND((YEAR(G$211)*12+MONTH(G$211))&gt;='Aset Takberwujud'!$Y30,(YEAR(G$211)*12+MONTH(G$211))&lt;=MIN('Aset Takberwujud'!$Z30,IF('Aset Takberwujud'!$S30="Unit Produksi",99999,'Aset Takberwujud'!$Y30+'Aset Takberwujud'!$T30*12-1))),'Aset Takberwujud'!$AQ30/'Aset Takberwujud'!$AG30,0)))</f>
        <v/>
      </c>
      <c r="H235" s="22" t="str">
        <f>IF($B235="","",IF(N('Aset Takberwujud'!$AG30)=0,0,IF(AND((YEAR(H$211)*12+MONTH(H$211))&gt;='Aset Takberwujud'!$Y30,(YEAR(H$211)*12+MONTH(H$211))&lt;=MIN('Aset Takberwujud'!$Z30,IF('Aset Takberwujud'!$S30="Unit Produksi",99999,'Aset Takberwujud'!$Y30+'Aset Takberwujud'!$T30*12-1))),'Aset Takberwujud'!$AQ30/'Aset Takberwujud'!$AG30,0)))</f>
        <v/>
      </c>
      <c r="I235" s="22" t="str">
        <f>IF($B235="","",IF(N('Aset Takberwujud'!$AG30)=0,0,IF(AND((YEAR(I$211)*12+MONTH(I$211))&gt;='Aset Takberwujud'!$Y30,(YEAR(I$211)*12+MONTH(I$211))&lt;=MIN('Aset Takberwujud'!$Z30,IF('Aset Takberwujud'!$S30="Unit Produksi",99999,'Aset Takberwujud'!$Y30+'Aset Takberwujud'!$T30*12-1))),'Aset Takberwujud'!$AQ30/'Aset Takberwujud'!$AG30,0)))</f>
        <v/>
      </c>
      <c r="J235" s="22" t="str">
        <f>IF($B235="","",IF(N('Aset Takberwujud'!$AG30)=0,0,IF(AND((YEAR(J$211)*12+MONTH(J$211))&gt;='Aset Takberwujud'!$Y30,(YEAR(J$211)*12+MONTH(J$211))&lt;=MIN('Aset Takberwujud'!$Z30,IF('Aset Takberwujud'!$S30="Unit Produksi",99999,'Aset Takberwujud'!$Y30+'Aset Takberwujud'!$T30*12-1))),'Aset Takberwujud'!$AQ30/'Aset Takberwujud'!$AG30,0)))</f>
        <v/>
      </c>
      <c r="K235" s="22" t="str">
        <f>IF($B235="","",IF(N('Aset Takberwujud'!$AG30)=0,0,IF(AND((YEAR(K$211)*12+MONTH(K$211))&gt;='Aset Takberwujud'!$Y30,(YEAR(K$211)*12+MONTH(K$211))&lt;=MIN('Aset Takberwujud'!$Z30,IF('Aset Takberwujud'!$S30="Unit Produksi",99999,'Aset Takberwujud'!$Y30+'Aset Takberwujud'!$T30*12-1))),'Aset Takberwujud'!$AQ30/'Aset Takberwujud'!$AG30,0)))</f>
        <v/>
      </c>
      <c r="L235" s="22" t="str">
        <f>IF($B235="","",IF(N('Aset Takberwujud'!$AG30)=0,0,IF(AND((YEAR(L$211)*12+MONTH(L$211))&gt;='Aset Takberwujud'!$Y30,(YEAR(L$211)*12+MONTH(L$211))&lt;=MIN('Aset Takberwujud'!$Z30,IF('Aset Takberwujud'!$S30="Unit Produksi",99999,'Aset Takberwujud'!$Y30+'Aset Takberwujud'!$T30*12-1))),'Aset Takberwujud'!$AQ30/'Aset Takberwujud'!$AG30,0)))</f>
        <v/>
      </c>
      <c r="M235" s="22" t="str">
        <f>IF($B235="","",IF(N('Aset Takberwujud'!$AG30)=0,0,IF(AND((YEAR(M$211)*12+MONTH(M$211))&gt;='Aset Takberwujud'!$Y30,(YEAR(M$211)*12+MONTH(M$211))&lt;=MIN('Aset Takberwujud'!$Z30,IF('Aset Takberwujud'!$S30="Unit Produksi",99999,'Aset Takberwujud'!$Y30+'Aset Takberwujud'!$T30*12-1))),'Aset Takberwujud'!$AQ30/'Aset Takberwujud'!$AG30,0)))</f>
        <v/>
      </c>
      <c r="N235" s="22" t="str">
        <f>IF($B235="","",IF(N('Aset Takberwujud'!$AG30)=0,0,IF(AND((YEAR(N$211)*12+MONTH(N$211))&gt;='Aset Takberwujud'!$Y30,(YEAR(N$211)*12+MONTH(N$211))&lt;=MIN('Aset Takberwujud'!$Z30,IF('Aset Takberwujud'!$S30="Unit Produksi",99999,'Aset Takberwujud'!$Y30+'Aset Takberwujud'!$T30*12-1))),'Aset Takberwujud'!$AQ30/'Aset Takberwujud'!$AG30,0)))</f>
        <v/>
      </c>
      <c r="O235" s="22" t="str">
        <f>IF($B235="","",IF(N('Aset Takberwujud'!$AG30)=0,0,IF(AND((YEAR(O$211)*12+MONTH(O$211))&gt;='Aset Takberwujud'!$Y30,(YEAR(O$211)*12+MONTH(O$211))&lt;=MIN('Aset Takberwujud'!$Z30,IF('Aset Takberwujud'!$S30="Unit Produksi",99999,'Aset Takberwujud'!$Y30+'Aset Takberwujud'!$T30*12-1))),'Aset Takberwujud'!$AQ30/'Aset Takberwujud'!$AG30,0)))</f>
        <v/>
      </c>
      <c r="P235" s="22" t="str">
        <f>IF($B235="","",IF(N('Aset Takberwujud'!$AG30)=0,0,IF(AND((YEAR(P$211)*12+MONTH(P$211))&gt;='Aset Takberwujud'!$Y30,(YEAR(P$211)*12+MONTH(P$211))&lt;=MIN('Aset Takberwujud'!$Z30,IF('Aset Takberwujud'!$S30="Unit Produksi",99999,'Aset Takberwujud'!$Y30+'Aset Takberwujud'!$T30*12-1))),'Aset Takberwujud'!$AQ30/'Aset Takberwujud'!$AG30,0)))</f>
        <v/>
      </c>
      <c r="Q235" s="22" t="str">
        <f>IF($B235="","",SUM(E235:P235))</f>
        <v/>
      </c>
      <c r="R235" s="22" t="str">
        <f>IF($B235="","",'Aset Takberwujud'!AQ30)</f>
        <v/>
      </c>
      <c r="S235" s="22" t="str">
        <f>IF($B235="","",ROUND(Q235-R235,0))</f>
        <v/>
      </c>
    </row>
    <row r="236" spans="1:19" x14ac:dyDescent="0.25">
      <c r="A236" t="str">
        <f>IF('Aset Takberwujud'!$B31="","",'Aset Takberwujud'!A31)</f>
        <v/>
      </c>
      <c r="B236" t="str">
        <f>IF('Aset Takberwujud'!$B31="","",'Aset Takberwujud'!B31)</f>
        <v/>
      </c>
      <c r="C236" t="str">
        <f>IF('Aset Takberwujud'!$B31="","",'Aset Takberwujud'!C31)</f>
        <v/>
      </c>
      <c r="D236" t="str">
        <f>IF('Aset Takberwujud'!$B31="","",'Aset Takberwujud'!D31)</f>
        <v/>
      </c>
      <c r="E236" s="22" t="str">
        <f>IF($B236="","",IF(N('Aset Takberwujud'!$AG31)=0,0,IF(AND((YEAR(E$211)*12+MONTH(E$211))&gt;='Aset Takberwujud'!$Y31,(YEAR(E$211)*12+MONTH(E$211))&lt;=MIN('Aset Takberwujud'!$Z31,IF('Aset Takberwujud'!$S31="Unit Produksi",99999,'Aset Takberwujud'!$Y31+'Aset Takberwujud'!$T31*12-1))),'Aset Takberwujud'!$AQ31/'Aset Takberwujud'!$AG31,0)))</f>
        <v/>
      </c>
      <c r="F236" s="22" t="str">
        <f>IF($B236="","",IF(N('Aset Takberwujud'!$AG31)=0,0,IF(AND((YEAR(F$211)*12+MONTH(F$211))&gt;='Aset Takberwujud'!$Y31,(YEAR(F$211)*12+MONTH(F$211))&lt;=MIN('Aset Takberwujud'!$Z31,IF('Aset Takberwujud'!$S31="Unit Produksi",99999,'Aset Takberwujud'!$Y31+'Aset Takberwujud'!$T31*12-1))),'Aset Takberwujud'!$AQ31/'Aset Takberwujud'!$AG31,0)))</f>
        <v/>
      </c>
      <c r="G236" s="22" t="str">
        <f>IF($B236="","",IF(N('Aset Takberwujud'!$AG31)=0,0,IF(AND((YEAR(G$211)*12+MONTH(G$211))&gt;='Aset Takberwujud'!$Y31,(YEAR(G$211)*12+MONTH(G$211))&lt;=MIN('Aset Takberwujud'!$Z31,IF('Aset Takberwujud'!$S31="Unit Produksi",99999,'Aset Takberwujud'!$Y31+'Aset Takberwujud'!$T31*12-1))),'Aset Takberwujud'!$AQ31/'Aset Takberwujud'!$AG31,0)))</f>
        <v/>
      </c>
      <c r="H236" s="22" t="str">
        <f>IF($B236="","",IF(N('Aset Takberwujud'!$AG31)=0,0,IF(AND((YEAR(H$211)*12+MONTH(H$211))&gt;='Aset Takberwujud'!$Y31,(YEAR(H$211)*12+MONTH(H$211))&lt;=MIN('Aset Takberwujud'!$Z31,IF('Aset Takberwujud'!$S31="Unit Produksi",99999,'Aset Takberwujud'!$Y31+'Aset Takberwujud'!$T31*12-1))),'Aset Takberwujud'!$AQ31/'Aset Takberwujud'!$AG31,0)))</f>
        <v/>
      </c>
      <c r="I236" s="22" t="str">
        <f>IF($B236="","",IF(N('Aset Takberwujud'!$AG31)=0,0,IF(AND((YEAR(I$211)*12+MONTH(I$211))&gt;='Aset Takberwujud'!$Y31,(YEAR(I$211)*12+MONTH(I$211))&lt;=MIN('Aset Takberwujud'!$Z31,IF('Aset Takberwujud'!$S31="Unit Produksi",99999,'Aset Takberwujud'!$Y31+'Aset Takberwujud'!$T31*12-1))),'Aset Takberwujud'!$AQ31/'Aset Takberwujud'!$AG31,0)))</f>
        <v/>
      </c>
      <c r="J236" s="22" t="str">
        <f>IF($B236="","",IF(N('Aset Takberwujud'!$AG31)=0,0,IF(AND((YEAR(J$211)*12+MONTH(J$211))&gt;='Aset Takberwujud'!$Y31,(YEAR(J$211)*12+MONTH(J$211))&lt;=MIN('Aset Takberwujud'!$Z31,IF('Aset Takberwujud'!$S31="Unit Produksi",99999,'Aset Takberwujud'!$Y31+'Aset Takberwujud'!$T31*12-1))),'Aset Takberwujud'!$AQ31/'Aset Takberwujud'!$AG31,0)))</f>
        <v/>
      </c>
      <c r="K236" s="22" t="str">
        <f>IF($B236="","",IF(N('Aset Takberwujud'!$AG31)=0,0,IF(AND((YEAR(K$211)*12+MONTH(K$211))&gt;='Aset Takberwujud'!$Y31,(YEAR(K$211)*12+MONTH(K$211))&lt;=MIN('Aset Takberwujud'!$Z31,IF('Aset Takberwujud'!$S31="Unit Produksi",99999,'Aset Takberwujud'!$Y31+'Aset Takberwujud'!$T31*12-1))),'Aset Takberwujud'!$AQ31/'Aset Takberwujud'!$AG31,0)))</f>
        <v/>
      </c>
      <c r="L236" s="22" t="str">
        <f>IF($B236="","",IF(N('Aset Takberwujud'!$AG31)=0,0,IF(AND((YEAR(L$211)*12+MONTH(L$211))&gt;='Aset Takberwujud'!$Y31,(YEAR(L$211)*12+MONTH(L$211))&lt;=MIN('Aset Takberwujud'!$Z31,IF('Aset Takberwujud'!$S31="Unit Produksi",99999,'Aset Takberwujud'!$Y31+'Aset Takberwujud'!$T31*12-1))),'Aset Takberwujud'!$AQ31/'Aset Takberwujud'!$AG31,0)))</f>
        <v/>
      </c>
      <c r="M236" s="22" t="str">
        <f>IF($B236="","",IF(N('Aset Takberwujud'!$AG31)=0,0,IF(AND((YEAR(M$211)*12+MONTH(M$211))&gt;='Aset Takberwujud'!$Y31,(YEAR(M$211)*12+MONTH(M$211))&lt;=MIN('Aset Takberwujud'!$Z31,IF('Aset Takberwujud'!$S31="Unit Produksi",99999,'Aset Takberwujud'!$Y31+'Aset Takberwujud'!$T31*12-1))),'Aset Takberwujud'!$AQ31/'Aset Takberwujud'!$AG31,0)))</f>
        <v/>
      </c>
      <c r="N236" s="22" t="str">
        <f>IF($B236="","",IF(N('Aset Takberwujud'!$AG31)=0,0,IF(AND((YEAR(N$211)*12+MONTH(N$211))&gt;='Aset Takberwujud'!$Y31,(YEAR(N$211)*12+MONTH(N$211))&lt;=MIN('Aset Takberwujud'!$Z31,IF('Aset Takberwujud'!$S31="Unit Produksi",99999,'Aset Takberwujud'!$Y31+'Aset Takberwujud'!$T31*12-1))),'Aset Takberwujud'!$AQ31/'Aset Takberwujud'!$AG31,0)))</f>
        <v/>
      </c>
      <c r="O236" s="22" t="str">
        <f>IF($B236="","",IF(N('Aset Takberwujud'!$AG31)=0,0,IF(AND((YEAR(O$211)*12+MONTH(O$211))&gt;='Aset Takberwujud'!$Y31,(YEAR(O$211)*12+MONTH(O$211))&lt;=MIN('Aset Takberwujud'!$Z31,IF('Aset Takberwujud'!$S31="Unit Produksi",99999,'Aset Takberwujud'!$Y31+'Aset Takberwujud'!$T31*12-1))),'Aset Takberwujud'!$AQ31/'Aset Takberwujud'!$AG31,0)))</f>
        <v/>
      </c>
      <c r="P236" s="22" t="str">
        <f>IF($B236="","",IF(N('Aset Takberwujud'!$AG31)=0,0,IF(AND((YEAR(P$211)*12+MONTH(P$211))&gt;='Aset Takberwujud'!$Y31,(YEAR(P$211)*12+MONTH(P$211))&lt;=MIN('Aset Takberwujud'!$Z31,IF('Aset Takberwujud'!$S31="Unit Produksi",99999,'Aset Takberwujud'!$Y31+'Aset Takberwujud'!$T31*12-1))),'Aset Takberwujud'!$AQ31/'Aset Takberwujud'!$AG31,0)))</f>
        <v/>
      </c>
      <c r="Q236" s="22" t="str">
        <f>IF($B236="","",SUM(E236:P236))</f>
        <v/>
      </c>
      <c r="R236" s="22" t="str">
        <f>IF($B236="","",'Aset Takberwujud'!AQ31)</f>
        <v/>
      </c>
      <c r="S236" s="22" t="str">
        <f>IF($B236="","",ROUND(Q236-R236,0))</f>
        <v/>
      </c>
    </row>
    <row r="237" spans="1:19" x14ac:dyDescent="0.25">
      <c r="A237" t="str">
        <f>IF('Aset Takberwujud'!$B32="","",'Aset Takberwujud'!A32)</f>
        <v/>
      </c>
      <c r="B237" t="str">
        <f>IF('Aset Takberwujud'!$B32="","",'Aset Takberwujud'!B32)</f>
        <v/>
      </c>
      <c r="C237" t="str">
        <f>IF('Aset Takberwujud'!$B32="","",'Aset Takberwujud'!C32)</f>
        <v/>
      </c>
      <c r="D237" t="str">
        <f>IF('Aset Takberwujud'!$B32="","",'Aset Takberwujud'!D32)</f>
        <v/>
      </c>
      <c r="E237" s="22" t="str">
        <f>IF($B237="","",IF(N('Aset Takberwujud'!$AG32)=0,0,IF(AND((YEAR(E$211)*12+MONTH(E$211))&gt;='Aset Takberwujud'!$Y32,(YEAR(E$211)*12+MONTH(E$211))&lt;=MIN('Aset Takberwujud'!$Z32,IF('Aset Takberwujud'!$S32="Unit Produksi",99999,'Aset Takberwujud'!$Y32+'Aset Takberwujud'!$T32*12-1))),'Aset Takberwujud'!$AQ32/'Aset Takberwujud'!$AG32,0)))</f>
        <v/>
      </c>
      <c r="F237" s="22" t="str">
        <f>IF($B237="","",IF(N('Aset Takberwujud'!$AG32)=0,0,IF(AND((YEAR(F$211)*12+MONTH(F$211))&gt;='Aset Takberwujud'!$Y32,(YEAR(F$211)*12+MONTH(F$211))&lt;=MIN('Aset Takberwujud'!$Z32,IF('Aset Takberwujud'!$S32="Unit Produksi",99999,'Aset Takberwujud'!$Y32+'Aset Takberwujud'!$T32*12-1))),'Aset Takberwujud'!$AQ32/'Aset Takberwujud'!$AG32,0)))</f>
        <v/>
      </c>
      <c r="G237" s="22" t="str">
        <f>IF($B237="","",IF(N('Aset Takberwujud'!$AG32)=0,0,IF(AND((YEAR(G$211)*12+MONTH(G$211))&gt;='Aset Takberwujud'!$Y32,(YEAR(G$211)*12+MONTH(G$211))&lt;=MIN('Aset Takberwujud'!$Z32,IF('Aset Takberwujud'!$S32="Unit Produksi",99999,'Aset Takberwujud'!$Y32+'Aset Takberwujud'!$T32*12-1))),'Aset Takberwujud'!$AQ32/'Aset Takberwujud'!$AG32,0)))</f>
        <v/>
      </c>
      <c r="H237" s="22" t="str">
        <f>IF($B237="","",IF(N('Aset Takberwujud'!$AG32)=0,0,IF(AND((YEAR(H$211)*12+MONTH(H$211))&gt;='Aset Takberwujud'!$Y32,(YEAR(H$211)*12+MONTH(H$211))&lt;=MIN('Aset Takberwujud'!$Z32,IF('Aset Takberwujud'!$S32="Unit Produksi",99999,'Aset Takberwujud'!$Y32+'Aset Takberwujud'!$T32*12-1))),'Aset Takberwujud'!$AQ32/'Aset Takberwujud'!$AG32,0)))</f>
        <v/>
      </c>
      <c r="I237" s="22" t="str">
        <f>IF($B237="","",IF(N('Aset Takberwujud'!$AG32)=0,0,IF(AND((YEAR(I$211)*12+MONTH(I$211))&gt;='Aset Takberwujud'!$Y32,(YEAR(I$211)*12+MONTH(I$211))&lt;=MIN('Aset Takberwujud'!$Z32,IF('Aset Takberwujud'!$S32="Unit Produksi",99999,'Aset Takberwujud'!$Y32+'Aset Takberwujud'!$T32*12-1))),'Aset Takberwujud'!$AQ32/'Aset Takberwujud'!$AG32,0)))</f>
        <v/>
      </c>
      <c r="J237" s="22" t="str">
        <f>IF($B237="","",IF(N('Aset Takberwujud'!$AG32)=0,0,IF(AND((YEAR(J$211)*12+MONTH(J$211))&gt;='Aset Takberwujud'!$Y32,(YEAR(J$211)*12+MONTH(J$211))&lt;=MIN('Aset Takberwujud'!$Z32,IF('Aset Takberwujud'!$S32="Unit Produksi",99999,'Aset Takberwujud'!$Y32+'Aset Takberwujud'!$T32*12-1))),'Aset Takberwujud'!$AQ32/'Aset Takberwujud'!$AG32,0)))</f>
        <v/>
      </c>
      <c r="K237" s="22" t="str">
        <f>IF($B237="","",IF(N('Aset Takberwujud'!$AG32)=0,0,IF(AND((YEAR(K$211)*12+MONTH(K$211))&gt;='Aset Takberwujud'!$Y32,(YEAR(K$211)*12+MONTH(K$211))&lt;=MIN('Aset Takberwujud'!$Z32,IF('Aset Takberwujud'!$S32="Unit Produksi",99999,'Aset Takberwujud'!$Y32+'Aset Takberwujud'!$T32*12-1))),'Aset Takberwujud'!$AQ32/'Aset Takberwujud'!$AG32,0)))</f>
        <v/>
      </c>
      <c r="L237" s="22" t="str">
        <f>IF($B237="","",IF(N('Aset Takberwujud'!$AG32)=0,0,IF(AND((YEAR(L$211)*12+MONTH(L$211))&gt;='Aset Takberwujud'!$Y32,(YEAR(L$211)*12+MONTH(L$211))&lt;=MIN('Aset Takberwujud'!$Z32,IF('Aset Takberwujud'!$S32="Unit Produksi",99999,'Aset Takberwujud'!$Y32+'Aset Takberwujud'!$T32*12-1))),'Aset Takberwujud'!$AQ32/'Aset Takberwujud'!$AG32,0)))</f>
        <v/>
      </c>
      <c r="M237" s="22" t="str">
        <f>IF($B237="","",IF(N('Aset Takberwujud'!$AG32)=0,0,IF(AND((YEAR(M$211)*12+MONTH(M$211))&gt;='Aset Takberwujud'!$Y32,(YEAR(M$211)*12+MONTH(M$211))&lt;=MIN('Aset Takberwujud'!$Z32,IF('Aset Takberwujud'!$S32="Unit Produksi",99999,'Aset Takberwujud'!$Y32+'Aset Takberwujud'!$T32*12-1))),'Aset Takberwujud'!$AQ32/'Aset Takberwujud'!$AG32,0)))</f>
        <v/>
      </c>
      <c r="N237" s="22" t="str">
        <f>IF($B237="","",IF(N('Aset Takberwujud'!$AG32)=0,0,IF(AND((YEAR(N$211)*12+MONTH(N$211))&gt;='Aset Takberwujud'!$Y32,(YEAR(N$211)*12+MONTH(N$211))&lt;=MIN('Aset Takberwujud'!$Z32,IF('Aset Takberwujud'!$S32="Unit Produksi",99999,'Aset Takberwujud'!$Y32+'Aset Takberwujud'!$T32*12-1))),'Aset Takberwujud'!$AQ32/'Aset Takberwujud'!$AG32,0)))</f>
        <v/>
      </c>
      <c r="O237" s="22" t="str">
        <f>IF($B237="","",IF(N('Aset Takberwujud'!$AG32)=0,0,IF(AND((YEAR(O$211)*12+MONTH(O$211))&gt;='Aset Takberwujud'!$Y32,(YEAR(O$211)*12+MONTH(O$211))&lt;=MIN('Aset Takberwujud'!$Z32,IF('Aset Takberwujud'!$S32="Unit Produksi",99999,'Aset Takberwujud'!$Y32+'Aset Takberwujud'!$T32*12-1))),'Aset Takberwujud'!$AQ32/'Aset Takberwujud'!$AG32,0)))</f>
        <v/>
      </c>
      <c r="P237" s="22" t="str">
        <f>IF($B237="","",IF(N('Aset Takberwujud'!$AG32)=0,0,IF(AND((YEAR(P$211)*12+MONTH(P$211))&gt;='Aset Takberwujud'!$Y32,(YEAR(P$211)*12+MONTH(P$211))&lt;=MIN('Aset Takberwujud'!$Z32,IF('Aset Takberwujud'!$S32="Unit Produksi",99999,'Aset Takberwujud'!$Y32+'Aset Takberwujud'!$T32*12-1))),'Aset Takberwujud'!$AQ32/'Aset Takberwujud'!$AG32,0)))</f>
        <v/>
      </c>
      <c r="Q237" s="22" t="str">
        <f>IF($B237="","",SUM(E237:P237))</f>
        <v/>
      </c>
      <c r="R237" s="22" t="str">
        <f>IF($B237="","",'Aset Takberwujud'!AQ32)</f>
        <v/>
      </c>
      <c r="S237" s="22" t="str">
        <f>IF($B237="","",ROUND(Q237-R237,0))</f>
        <v/>
      </c>
    </row>
    <row r="238" spans="1:19" x14ac:dyDescent="0.25">
      <c r="A238" t="str">
        <f>IF('Aset Takberwujud'!$B33="","",'Aset Takberwujud'!A33)</f>
        <v/>
      </c>
      <c r="B238" t="str">
        <f>IF('Aset Takberwujud'!$B33="","",'Aset Takberwujud'!B33)</f>
        <v/>
      </c>
      <c r="C238" t="str">
        <f>IF('Aset Takberwujud'!$B33="","",'Aset Takberwujud'!C33)</f>
        <v/>
      </c>
      <c r="D238" t="str">
        <f>IF('Aset Takberwujud'!$B33="","",'Aset Takberwujud'!D33)</f>
        <v/>
      </c>
      <c r="E238" s="22" t="str">
        <f>IF($B238="","",IF(N('Aset Takberwujud'!$AG33)=0,0,IF(AND((YEAR(E$211)*12+MONTH(E$211))&gt;='Aset Takberwujud'!$Y33,(YEAR(E$211)*12+MONTH(E$211))&lt;=MIN('Aset Takberwujud'!$Z33,IF('Aset Takberwujud'!$S33="Unit Produksi",99999,'Aset Takberwujud'!$Y33+'Aset Takberwujud'!$T33*12-1))),'Aset Takberwujud'!$AQ33/'Aset Takberwujud'!$AG33,0)))</f>
        <v/>
      </c>
      <c r="F238" s="22" t="str">
        <f>IF($B238="","",IF(N('Aset Takberwujud'!$AG33)=0,0,IF(AND((YEAR(F$211)*12+MONTH(F$211))&gt;='Aset Takberwujud'!$Y33,(YEAR(F$211)*12+MONTH(F$211))&lt;=MIN('Aset Takberwujud'!$Z33,IF('Aset Takberwujud'!$S33="Unit Produksi",99999,'Aset Takberwujud'!$Y33+'Aset Takberwujud'!$T33*12-1))),'Aset Takberwujud'!$AQ33/'Aset Takberwujud'!$AG33,0)))</f>
        <v/>
      </c>
      <c r="G238" s="22" t="str">
        <f>IF($B238="","",IF(N('Aset Takberwujud'!$AG33)=0,0,IF(AND((YEAR(G$211)*12+MONTH(G$211))&gt;='Aset Takberwujud'!$Y33,(YEAR(G$211)*12+MONTH(G$211))&lt;=MIN('Aset Takberwujud'!$Z33,IF('Aset Takberwujud'!$S33="Unit Produksi",99999,'Aset Takberwujud'!$Y33+'Aset Takberwujud'!$T33*12-1))),'Aset Takberwujud'!$AQ33/'Aset Takberwujud'!$AG33,0)))</f>
        <v/>
      </c>
      <c r="H238" s="22" t="str">
        <f>IF($B238="","",IF(N('Aset Takberwujud'!$AG33)=0,0,IF(AND((YEAR(H$211)*12+MONTH(H$211))&gt;='Aset Takberwujud'!$Y33,(YEAR(H$211)*12+MONTH(H$211))&lt;=MIN('Aset Takberwujud'!$Z33,IF('Aset Takberwujud'!$S33="Unit Produksi",99999,'Aset Takberwujud'!$Y33+'Aset Takberwujud'!$T33*12-1))),'Aset Takberwujud'!$AQ33/'Aset Takberwujud'!$AG33,0)))</f>
        <v/>
      </c>
      <c r="I238" s="22" t="str">
        <f>IF($B238="","",IF(N('Aset Takberwujud'!$AG33)=0,0,IF(AND((YEAR(I$211)*12+MONTH(I$211))&gt;='Aset Takberwujud'!$Y33,(YEAR(I$211)*12+MONTH(I$211))&lt;=MIN('Aset Takberwujud'!$Z33,IF('Aset Takberwujud'!$S33="Unit Produksi",99999,'Aset Takberwujud'!$Y33+'Aset Takberwujud'!$T33*12-1))),'Aset Takberwujud'!$AQ33/'Aset Takberwujud'!$AG33,0)))</f>
        <v/>
      </c>
      <c r="J238" s="22" t="str">
        <f>IF($B238="","",IF(N('Aset Takberwujud'!$AG33)=0,0,IF(AND((YEAR(J$211)*12+MONTH(J$211))&gt;='Aset Takberwujud'!$Y33,(YEAR(J$211)*12+MONTH(J$211))&lt;=MIN('Aset Takberwujud'!$Z33,IF('Aset Takberwujud'!$S33="Unit Produksi",99999,'Aset Takberwujud'!$Y33+'Aset Takberwujud'!$T33*12-1))),'Aset Takberwujud'!$AQ33/'Aset Takberwujud'!$AG33,0)))</f>
        <v/>
      </c>
      <c r="K238" s="22" t="str">
        <f>IF($B238="","",IF(N('Aset Takberwujud'!$AG33)=0,0,IF(AND((YEAR(K$211)*12+MONTH(K$211))&gt;='Aset Takberwujud'!$Y33,(YEAR(K$211)*12+MONTH(K$211))&lt;=MIN('Aset Takberwujud'!$Z33,IF('Aset Takberwujud'!$S33="Unit Produksi",99999,'Aset Takberwujud'!$Y33+'Aset Takberwujud'!$T33*12-1))),'Aset Takberwujud'!$AQ33/'Aset Takberwujud'!$AG33,0)))</f>
        <v/>
      </c>
      <c r="L238" s="22" t="str">
        <f>IF($B238="","",IF(N('Aset Takberwujud'!$AG33)=0,0,IF(AND((YEAR(L$211)*12+MONTH(L$211))&gt;='Aset Takberwujud'!$Y33,(YEAR(L$211)*12+MONTH(L$211))&lt;=MIN('Aset Takberwujud'!$Z33,IF('Aset Takberwujud'!$S33="Unit Produksi",99999,'Aset Takberwujud'!$Y33+'Aset Takberwujud'!$T33*12-1))),'Aset Takberwujud'!$AQ33/'Aset Takberwujud'!$AG33,0)))</f>
        <v/>
      </c>
      <c r="M238" s="22" t="str">
        <f>IF($B238="","",IF(N('Aset Takberwujud'!$AG33)=0,0,IF(AND((YEAR(M$211)*12+MONTH(M$211))&gt;='Aset Takberwujud'!$Y33,(YEAR(M$211)*12+MONTH(M$211))&lt;=MIN('Aset Takberwujud'!$Z33,IF('Aset Takberwujud'!$S33="Unit Produksi",99999,'Aset Takberwujud'!$Y33+'Aset Takberwujud'!$T33*12-1))),'Aset Takberwujud'!$AQ33/'Aset Takberwujud'!$AG33,0)))</f>
        <v/>
      </c>
      <c r="N238" s="22" t="str">
        <f>IF($B238="","",IF(N('Aset Takberwujud'!$AG33)=0,0,IF(AND((YEAR(N$211)*12+MONTH(N$211))&gt;='Aset Takberwujud'!$Y33,(YEAR(N$211)*12+MONTH(N$211))&lt;=MIN('Aset Takberwujud'!$Z33,IF('Aset Takberwujud'!$S33="Unit Produksi",99999,'Aset Takberwujud'!$Y33+'Aset Takberwujud'!$T33*12-1))),'Aset Takberwujud'!$AQ33/'Aset Takberwujud'!$AG33,0)))</f>
        <v/>
      </c>
      <c r="O238" s="22" t="str">
        <f>IF($B238="","",IF(N('Aset Takberwujud'!$AG33)=0,0,IF(AND((YEAR(O$211)*12+MONTH(O$211))&gt;='Aset Takberwujud'!$Y33,(YEAR(O$211)*12+MONTH(O$211))&lt;=MIN('Aset Takberwujud'!$Z33,IF('Aset Takberwujud'!$S33="Unit Produksi",99999,'Aset Takberwujud'!$Y33+'Aset Takberwujud'!$T33*12-1))),'Aset Takberwujud'!$AQ33/'Aset Takberwujud'!$AG33,0)))</f>
        <v/>
      </c>
      <c r="P238" s="22" t="str">
        <f>IF($B238="","",IF(N('Aset Takberwujud'!$AG33)=0,0,IF(AND((YEAR(P$211)*12+MONTH(P$211))&gt;='Aset Takberwujud'!$Y33,(YEAR(P$211)*12+MONTH(P$211))&lt;=MIN('Aset Takberwujud'!$Z33,IF('Aset Takberwujud'!$S33="Unit Produksi",99999,'Aset Takberwujud'!$Y33+'Aset Takberwujud'!$T33*12-1))),'Aset Takberwujud'!$AQ33/'Aset Takberwujud'!$AG33,0)))</f>
        <v/>
      </c>
      <c r="Q238" s="22" t="str">
        <f>IF($B238="","",SUM(E238:P238))</f>
        <v/>
      </c>
      <c r="R238" s="22" t="str">
        <f>IF($B238="","",'Aset Takberwujud'!AQ33)</f>
        <v/>
      </c>
      <c r="S238" s="22" t="str">
        <f>IF($B238="","",ROUND(Q238-R238,0))</f>
        <v/>
      </c>
    </row>
    <row r="239" spans="1:19" x14ac:dyDescent="0.25">
      <c r="A239" t="str">
        <f>IF('Aset Takberwujud'!$B34="","",'Aset Takberwujud'!A34)</f>
        <v/>
      </c>
      <c r="B239" t="str">
        <f>IF('Aset Takberwujud'!$B34="","",'Aset Takberwujud'!B34)</f>
        <v/>
      </c>
      <c r="C239" t="str">
        <f>IF('Aset Takberwujud'!$B34="","",'Aset Takberwujud'!C34)</f>
        <v/>
      </c>
      <c r="D239" t="str">
        <f>IF('Aset Takberwujud'!$B34="","",'Aset Takberwujud'!D34)</f>
        <v/>
      </c>
      <c r="E239" s="22" t="str">
        <f>IF($B239="","",IF(N('Aset Takberwujud'!$AG34)=0,0,IF(AND((YEAR(E$211)*12+MONTH(E$211))&gt;='Aset Takberwujud'!$Y34,(YEAR(E$211)*12+MONTH(E$211))&lt;=MIN('Aset Takberwujud'!$Z34,IF('Aset Takberwujud'!$S34="Unit Produksi",99999,'Aset Takberwujud'!$Y34+'Aset Takberwujud'!$T34*12-1))),'Aset Takberwujud'!$AQ34/'Aset Takberwujud'!$AG34,0)))</f>
        <v/>
      </c>
      <c r="F239" s="22" t="str">
        <f>IF($B239="","",IF(N('Aset Takberwujud'!$AG34)=0,0,IF(AND((YEAR(F$211)*12+MONTH(F$211))&gt;='Aset Takberwujud'!$Y34,(YEAR(F$211)*12+MONTH(F$211))&lt;=MIN('Aset Takberwujud'!$Z34,IF('Aset Takberwujud'!$S34="Unit Produksi",99999,'Aset Takberwujud'!$Y34+'Aset Takberwujud'!$T34*12-1))),'Aset Takberwujud'!$AQ34/'Aset Takberwujud'!$AG34,0)))</f>
        <v/>
      </c>
      <c r="G239" s="22" t="str">
        <f>IF($B239="","",IF(N('Aset Takberwujud'!$AG34)=0,0,IF(AND((YEAR(G$211)*12+MONTH(G$211))&gt;='Aset Takberwujud'!$Y34,(YEAR(G$211)*12+MONTH(G$211))&lt;=MIN('Aset Takberwujud'!$Z34,IF('Aset Takberwujud'!$S34="Unit Produksi",99999,'Aset Takberwujud'!$Y34+'Aset Takberwujud'!$T34*12-1))),'Aset Takberwujud'!$AQ34/'Aset Takberwujud'!$AG34,0)))</f>
        <v/>
      </c>
      <c r="H239" s="22" t="str">
        <f>IF($B239="","",IF(N('Aset Takberwujud'!$AG34)=0,0,IF(AND((YEAR(H$211)*12+MONTH(H$211))&gt;='Aset Takberwujud'!$Y34,(YEAR(H$211)*12+MONTH(H$211))&lt;=MIN('Aset Takberwujud'!$Z34,IF('Aset Takberwujud'!$S34="Unit Produksi",99999,'Aset Takberwujud'!$Y34+'Aset Takberwujud'!$T34*12-1))),'Aset Takberwujud'!$AQ34/'Aset Takberwujud'!$AG34,0)))</f>
        <v/>
      </c>
      <c r="I239" s="22" t="str">
        <f>IF($B239="","",IF(N('Aset Takberwujud'!$AG34)=0,0,IF(AND((YEAR(I$211)*12+MONTH(I$211))&gt;='Aset Takberwujud'!$Y34,(YEAR(I$211)*12+MONTH(I$211))&lt;=MIN('Aset Takberwujud'!$Z34,IF('Aset Takberwujud'!$S34="Unit Produksi",99999,'Aset Takberwujud'!$Y34+'Aset Takberwujud'!$T34*12-1))),'Aset Takberwujud'!$AQ34/'Aset Takberwujud'!$AG34,0)))</f>
        <v/>
      </c>
      <c r="J239" s="22" t="str">
        <f>IF($B239="","",IF(N('Aset Takberwujud'!$AG34)=0,0,IF(AND((YEAR(J$211)*12+MONTH(J$211))&gt;='Aset Takberwujud'!$Y34,(YEAR(J$211)*12+MONTH(J$211))&lt;=MIN('Aset Takberwujud'!$Z34,IF('Aset Takberwujud'!$S34="Unit Produksi",99999,'Aset Takberwujud'!$Y34+'Aset Takberwujud'!$T34*12-1))),'Aset Takberwujud'!$AQ34/'Aset Takberwujud'!$AG34,0)))</f>
        <v/>
      </c>
      <c r="K239" s="22" t="str">
        <f>IF($B239="","",IF(N('Aset Takberwujud'!$AG34)=0,0,IF(AND((YEAR(K$211)*12+MONTH(K$211))&gt;='Aset Takberwujud'!$Y34,(YEAR(K$211)*12+MONTH(K$211))&lt;=MIN('Aset Takberwujud'!$Z34,IF('Aset Takberwujud'!$S34="Unit Produksi",99999,'Aset Takberwujud'!$Y34+'Aset Takberwujud'!$T34*12-1))),'Aset Takberwujud'!$AQ34/'Aset Takberwujud'!$AG34,0)))</f>
        <v/>
      </c>
      <c r="L239" s="22" t="str">
        <f>IF($B239="","",IF(N('Aset Takberwujud'!$AG34)=0,0,IF(AND((YEAR(L$211)*12+MONTH(L$211))&gt;='Aset Takberwujud'!$Y34,(YEAR(L$211)*12+MONTH(L$211))&lt;=MIN('Aset Takberwujud'!$Z34,IF('Aset Takberwujud'!$S34="Unit Produksi",99999,'Aset Takberwujud'!$Y34+'Aset Takberwujud'!$T34*12-1))),'Aset Takberwujud'!$AQ34/'Aset Takberwujud'!$AG34,0)))</f>
        <v/>
      </c>
      <c r="M239" s="22" t="str">
        <f>IF($B239="","",IF(N('Aset Takberwujud'!$AG34)=0,0,IF(AND((YEAR(M$211)*12+MONTH(M$211))&gt;='Aset Takberwujud'!$Y34,(YEAR(M$211)*12+MONTH(M$211))&lt;=MIN('Aset Takberwujud'!$Z34,IF('Aset Takberwujud'!$S34="Unit Produksi",99999,'Aset Takberwujud'!$Y34+'Aset Takberwujud'!$T34*12-1))),'Aset Takberwujud'!$AQ34/'Aset Takberwujud'!$AG34,0)))</f>
        <v/>
      </c>
      <c r="N239" s="22" t="str">
        <f>IF($B239="","",IF(N('Aset Takberwujud'!$AG34)=0,0,IF(AND((YEAR(N$211)*12+MONTH(N$211))&gt;='Aset Takberwujud'!$Y34,(YEAR(N$211)*12+MONTH(N$211))&lt;=MIN('Aset Takberwujud'!$Z34,IF('Aset Takberwujud'!$S34="Unit Produksi",99999,'Aset Takberwujud'!$Y34+'Aset Takberwujud'!$T34*12-1))),'Aset Takberwujud'!$AQ34/'Aset Takberwujud'!$AG34,0)))</f>
        <v/>
      </c>
      <c r="O239" s="22" t="str">
        <f>IF($B239="","",IF(N('Aset Takberwujud'!$AG34)=0,0,IF(AND((YEAR(O$211)*12+MONTH(O$211))&gt;='Aset Takberwujud'!$Y34,(YEAR(O$211)*12+MONTH(O$211))&lt;=MIN('Aset Takberwujud'!$Z34,IF('Aset Takberwujud'!$S34="Unit Produksi",99999,'Aset Takberwujud'!$Y34+'Aset Takberwujud'!$T34*12-1))),'Aset Takberwujud'!$AQ34/'Aset Takberwujud'!$AG34,0)))</f>
        <v/>
      </c>
      <c r="P239" s="22" t="str">
        <f>IF($B239="","",IF(N('Aset Takberwujud'!$AG34)=0,0,IF(AND((YEAR(P$211)*12+MONTH(P$211))&gt;='Aset Takberwujud'!$Y34,(YEAR(P$211)*12+MONTH(P$211))&lt;=MIN('Aset Takberwujud'!$Z34,IF('Aset Takberwujud'!$S34="Unit Produksi",99999,'Aset Takberwujud'!$Y34+'Aset Takberwujud'!$T34*12-1))),'Aset Takberwujud'!$AQ34/'Aset Takberwujud'!$AG34,0)))</f>
        <v/>
      </c>
      <c r="Q239" s="22" t="str">
        <f>IF($B239="","",SUM(E239:P239))</f>
        <v/>
      </c>
      <c r="R239" s="22" t="str">
        <f>IF($B239="","",'Aset Takberwujud'!AQ34)</f>
        <v/>
      </c>
      <c r="S239" s="22" t="str">
        <f>IF($B239="","",ROUND(Q239-R239,0))</f>
        <v/>
      </c>
    </row>
    <row r="240" spans="1:19" x14ac:dyDescent="0.25">
      <c r="A240" t="str">
        <f>IF('Aset Takberwujud'!$B35="","",'Aset Takberwujud'!A35)</f>
        <v/>
      </c>
      <c r="B240" t="str">
        <f>IF('Aset Takberwujud'!$B35="","",'Aset Takberwujud'!B35)</f>
        <v/>
      </c>
      <c r="C240" t="str">
        <f>IF('Aset Takberwujud'!$B35="","",'Aset Takberwujud'!C35)</f>
        <v/>
      </c>
      <c r="D240" t="str">
        <f>IF('Aset Takberwujud'!$B35="","",'Aset Takberwujud'!D35)</f>
        <v/>
      </c>
      <c r="E240" s="22" t="str">
        <f>IF($B240="","",IF(N('Aset Takberwujud'!$AG35)=0,0,IF(AND((YEAR(E$211)*12+MONTH(E$211))&gt;='Aset Takberwujud'!$Y35,(YEAR(E$211)*12+MONTH(E$211))&lt;=MIN('Aset Takberwujud'!$Z35,IF('Aset Takberwujud'!$S35="Unit Produksi",99999,'Aset Takberwujud'!$Y35+'Aset Takberwujud'!$T35*12-1))),'Aset Takberwujud'!$AQ35/'Aset Takberwujud'!$AG35,0)))</f>
        <v/>
      </c>
      <c r="F240" s="22" t="str">
        <f>IF($B240="","",IF(N('Aset Takberwujud'!$AG35)=0,0,IF(AND((YEAR(F$211)*12+MONTH(F$211))&gt;='Aset Takberwujud'!$Y35,(YEAR(F$211)*12+MONTH(F$211))&lt;=MIN('Aset Takberwujud'!$Z35,IF('Aset Takberwujud'!$S35="Unit Produksi",99999,'Aset Takberwujud'!$Y35+'Aset Takberwujud'!$T35*12-1))),'Aset Takberwujud'!$AQ35/'Aset Takberwujud'!$AG35,0)))</f>
        <v/>
      </c>
      <c r="G240" s="22" t="str">
        <f>IF($B240="","",IF(N('Aset Takberwujud'!$AG35)=0,0,IF(AND((YEAR(G$211)*12+MONTH(G$211))&gt;='Aset Takberwujud'!$Y35,(YEAR(G$211)*12+MONTH(G$211))&lt;=MIN('Aset Takberwujud'!$Z35,IF('Aset Takberwujud'!$S35="Unit Produksi",99999,'Aset Takberwujud'!$Y35+'Aset Takberwujud'!$T35*12-1))),'Aset Takberwujud'!$AQ35/'Aset Takberwujud'!$AG35,0)))</f>
        <v/>
      </c>
      <c r="H240" s="22" t="str">
        <f>IF($B240="","",IF(N('Aset Takberwujud'!$AG35)=0,0,IF(AND((YEAR(H$211)*12+MONTH(H$211))&gt;='Aset Takberwujud'!$Y35,(YEAR(H$211)*12+MONTH(H$211))&lt;=MIN('Aset Takberwujud'!$Z35,IF('Aset Takberwujud'!$S35="Unit Produksi",99999,'Aset Takberwujud'!$Y35+'Aset Takberwujud'!$T35*12-1))),'Aset Takberwujud'!$AQ35/'Aset Takberwujud'!$AG35,0)))</f>
        <v/>
      </c>
      <c r="I240" s="22" t="str">
        <f>IF($B240="","",IF(N('Aset Takberwujud'!$AG35)=0,0,IF(AND((YEAR(I$211)*12+MONTH(I$211))&gt;='Aset Takberwujud'!$Y35,(YEAR(I$211)*12+MONTH(I$211))&lt;=MIN('Aset Takberwujud'!$Z35,IF('Aset Takberwujud'!$S35="Unit Produksi",99999,'Aset Takberwujud'!$Y35+'Aset Takberwujud'!$T35*12-1))),'Aset Takberwujud'!$AQ35/'Aset Takberwujud'!$AG35,0)))</f>
        <v/>
      </c>
      <c r="J240" s="22" t="str">
        <f>IF($B240="","",IF(N('Aset Takberwujud'!$AG35)=0,0,IF(AND((YEAR(J$211)*12+MONTH(J$211))&gt;='Aset Takberwujud'!$Y35,(YEAR(J$211)*12+MONTH(J$211))&lt;=MIN('Aset Takberwujud'!$Z35,IF('Aset Takberwujud'!$S35="Unit Produksi",99999,'Aset Takberwujud'!$Y35+'Aset Takberwujud'!$T35*12-1))),'Aset Takberwujud'!$AQ35/'Aset Takberwujud'!$AG35,0)))</f>
        <v/>
      </c>
      <c r="K240" s="22" t="str">
        <f>IF($B240="","",IF(N('Aset Takberwujud'!$AG35)=0,0,IF(AND((YEAR(K$211)*12+MONTH(K$211))&gt;='Aset Takberwujud'!$Y35,(YEAR(K$211)*12+MONTH(K$211))&lt;=MIN('Aset Takberwujud'!$Z35,IF('Aset Takberwujud'!$S35="Unit Produksi",99999,'Aset Takberwujud'!$Y35+'Aset Takberwujud'!$T35*12-1))),'Aset Takberwujud'!$AQ35/'Aset Takberwujud'!$AG35,0)))</f>
        <v/>
      </c>
      <c r="L240" s="22" t="str">
        <f>IF($B240="","",IF(N('Aset Takberwujud'!$AG35)=0,0,IF(AND((YEAR(L$211)*12+MONTH(L$211))&gt;='Aset Takberwujud'!$Y35,(YEAR(L$211)*12+MONTH(L$211))&lt;=MIN('Aset Takberwujud'!$Z35,IF('Aset Takberwujud'!$S35="Unit Produksi",99999,'Aset Takberwujud'!$Y35+'Aset Takberwujud'!$T35*12-1))),'Aset Takberwujud'!$AQ35/'Aset Takberwujud'!$AG35,0)))</f>
        <v/>
      </c>
      <c r="M240" s="22" t="str">
        <f>IF($B240="","",IF(N('Aset Takberwujud'!$AG35)=0,0,IF(AND((YEAR(M$211)*12+MONTH(M$211))&gt;='Aset Takberwujud'!$Y35,(YEAR(M$211)*12+MONTH(M$211))&lt;=MIN('Aset Takberwujud'!$Z35,IF('Aset Takberwujud'!$S35="Unit Produksi",99999,'Aset Takberwujud'!$Y35+'Aset Takberwujud'!$T35*12-1))),'Aset Takberwujud'!$AQ35/'Aset Takberwujud'!$AG35,0)))</f>
        <v/>
      </c>
      <c r="N240" s="22" t="str">
        <f>IF($B240="","",IF(N('Aset Takberwujud'!$AG35)=0,0,IF(AND((YEAR(N$211)*12+MONTH(N$211))&gt;='Aset Takberwujud'!$Y35,(YEAR(N$211)*12+MONTH(N$211))&lt;=MIN('Aset Takberwujud'!$Z35,IF('Aset Takberwujud'!$S35="Unit Produksi",99999,'Aset Takberwujud'!$Y35+'Aset Takberwujud'!$T35*12-1))),'Aset Takberwujud'!$AQ35/'Aset Takberwujud'!$AG35,0)))</f>
        <v/>
      </c>
      <c r="O240" s="22" t="str">
        <f>IF($B240="","",IF(N('Aset Takberwujud'!$AG35)=0,0,IF(AND((YEAR(O$211)*12+MONTH(O$211))&gt;='Aset Takberwujud'!$Y35,(YEAR(O$211)*12+MONTH(O$211))&lt;=MIN('Aset Takberwujud'!$Z35,IF('Aset Takberwujud'!$S35="Unit Produksi",99999,'Aset Takberwujud'!$Y35+'Aset Takberwujud'!$T35*12-1))),'Aset Takberwujud'!$AQ35/'Aset Takberwujud'!$AG35,0)))</f>
        <v/>
      </c>
      <c r="P240" s="22" t="str">
        <f>IF($B240="","",IF(N('Aset Takberwujud'!$AG35)=0,0,IF(AND((YEAR(P$211)*12+MONTH(P$211))&gt;='Aset Takberwujud'!$Y35,(YEAR(P$211)*12+MONTH(P$211))&lt;=MIN('Aset Takberwujud'!$Z35,IF('Aset Takberwujud'!$S35="Unit Produksi",99999,'Aset Takberwujud'!$Y35+'Aset Takberwujud'!$T35*12-1))),'Aset Takberwujud'!$AQ35/'Aset Takberwujud'!$AG35,0)))</f>
        <v/>
      </c>
      <c r="Q240" s="22" t="str">
        <f>IF($B240="","",SUM(E240:P240))</f>
        <v/>
      </c>
      <c r="R240" s="22" t="str">
        <f>IF($B240="","",'Aset Takberwujud'!AQ35)</f>
        <v/>
      </c>
      <c r="S240" s="22" t="str">
        <f>IF($B240="","",ROUND(Q240-R240,0))</f>
        <v/>
      </c>
    </row>
    <row r="241" spans="1:19" x14ac:dyDescent="0.25">
      <c r="A241" t="str">
        <f>IF('Aset Takberwujud'!$B36="","",'Aset Takberwujud'!A36)</f>
        <v/>
      </c>
      <c r="B241" t="str">
        <f>IF('Aset Takberwujud'!$B36="","",'Aset Takberwujud'!B36)</f>
        <v/>
      </c>
      <c r="C241" t="str">
        <f>IF('Aset Takberwujud'!$B36="","",'Aset Takberwujud'!C36)</f>
        <v/>
      </c>
      <c r="D241" t="str">
        <f>IF('Aset Takberwujud'!$B36="","",'Aset Takberwujud'!D36)</f>
        <v/>
      </c>
      <c r="E241" s="22" t="str">
        <f>IF($B241="","",IF(N('Aset Takberwujud'!$AG36)=0,0,IF(AND((YEAR(E$211)*12+MONTH(E$211))&gt;='Aset Takberwujud'!$Y36,(YEAR(E$211)*12+MONTH(E$211))&lt;=MIN('Aset Takberwujud'!$Z36,IF('Aset Takberwujud'!$S36="Unit Produksi",99999,'Aset Takberwujud'!$Y36+'Aset Takberwujud'!$T36*12-1))),'Aset Takberwujud'!$AQ36/'Aset Takberwujud'!$AG36,0)))</f>
        <v/>
      </c>
      <c r="F241" s="22" t="str">
        <f>IF($B241="","",IF(N('Aset Takberwujud'!$AG36)=0,0,IF(AND((YEAR(F$211)*12+MONTH(F$211))&gt;='Aset Takberwujud'!$Y36,(YEAR(F$211)*12+MONTH(F$211))&lt;=MIN('Aset Takberwujud'!$Z36,IF('Aset Takberwujud'!$S36="Unit Produksi",99999,'Aset Takberwujud'!$Y36+'Aset Takberwujud'!$T36*12-1))),'Aset Takberwujud'!$AQ36/'Aset Takberwujud'!$AG36,0)))</f>
        <v/>
      </c>
      <c r="G241" s="22" t="str">
        <f>IF($B241="","",IF(N('Aset Takberwujud'!$AG36)=0,0,IF(AND((YEAR(G$211)*12+MONTH(G$211))&gt;='Aset Takberwujud'!$Y36,(YEAR(G$211)*12+MONTH(G$211))&lt;=MIN('Aset Takberwujud'!$Z36,IF('Aset Takberwujud'!$S36="Unit Produksi",99999,'Aset Takberwujud'!$Y36+'Aset Takberwujud'!$T36*12-1))),'Aset Takberwujud'!$AQ36/'Aset Takberwujud'!$AG36,0)))</f>
        <v/>
      </c>
      <c r="H241" s="22" t="str">
        <f>IF($B241="","",IF(N('Aset Takberwujud'!$AG36)=0,0,IF(AND((YEAR(H$211)*12+MONTH(H$211))&gt;='Aset Takberwujud'!$Y36,(YEAR(H$211)*12+MONTH(H$211))&lt;=MIN('Aset Takberwujud'!$Z36,IF('Aset Takberwujud'!$S36="Unit Produksi",99999,'Aset Takberwujud'!$Y36+'Aset Takberwujud'!$T36*12-1))),'Aset Takberwujud'!$AQ36/'Aset Takberwujud'!$AG36,0)))</f>
        <v/>
      </c>
      <c r="I241" s="22" t="str">
        <f>IF($B241="","",IF(N('Aset Takberwujud'!$AG36)=0,0,IF(AND((YEAR(I$211)*12+MONTH(I$211))&gt;='Aset Takberwujud'!$Y36,(YEAR(I$211)*12+MONTH(I$211))&lt;=MIN('Aset Takberwujud'!$Z36,IF('Aset Takberwujud'!$S36="Unit Produksi",99999,'Aset Takberwujud'!$Y36+'Aset Takberwujud'!$T36*12-1))),'Aset Takberwujud'!$AQ36/'Aset Takberwujud'!$AG36,0)))</f>
        <v/>
      </c>
      <c r="J241" s="22" t="str">
        <f>IF($B241="","",IF(N('Aset Takberwujud'!$AG36)=0,0,IF(AND((YEAR(J$211)*12+MONTH(J$211))&gt;='Aset Takberwujud'!$Y36,(YEAR(J$211)*12+MONTH(J$211))&lt;=MIN('Aset Takberwujud'!$Z36,IF('Aset Takberwujud'!$S36="Unit Produksi",99999,'Aset Takberwujud'!$Y36+'Aset Takberwujud'!$T36*12-1))),'Aset Takberwujud'!$AQ36/'Aset Takberwujud'!$AG36,0)))</f>
        <v/>
      </c>
      <c r="K241" s="22" t="str">
        <f>IF($B241="","",IF(N('Aset Takberwujud'!$AG36)=0,0,IF(AND((YEAR(K$211)*12+MONTH(K$211))&gt;='Aset Takberwujud'!$Y36,(YEAR(K$211)*12+MONTH(K$211))&lt;=MIN('Aset Takberwujud'!$Z36,IF('Aset Takberwujud'!$S36="Unit Produksi",99999,'Aset Takberwujud'!$Y36+'Aset Takberwujud'!$T36*12-1))),'Aset Takberwujud'!$AQ36/'Aset Takberwujud'!$AG36,0)))</f>
        <v/>
      </c>
      <c r="L241" s="22" t="str">
        <f>IF($B241="","",IF(N('Aset Takberwujud'!$AG36)=0,0,IF(AND((YEAR(L$211)*12+MONTH(L$211))&gt;='Aset Takberwujud'!$Y36,(YEAR(L$211)*12+MONTH(L$211))&lt;=MIN('Aset Takberwujud'!$Z36,IF('Aset Takberwujud'!$S36="Unit Produksi",99999,'Aset Takberwujud'!$Y36+'Aset Takberwujud'!$T36*12-1))),'Aset Takberwujud'!$AQ36/'Aset Takberwujud'!$AG36,0)))</f>
        <v/>
      </c>
      <c r="M241" s="22" t="str">
        <f>IF($B241="","",IF(N('Aset Takberwujud'!$AG36)=0,0,IF(AND((YEAR(M$211)*12+MONTH(M$211))&gt;='Aset Takberwujud'!$Y36,(YEAR(M$211)*12+MONTH(M$211))&lt;=MIN('Aset Takberwujud'!$Z36,IF('Aset Takberwujud'!$S36="Unit Produksi",99999,'Aset Takberwujud'!$Y36+'Aset Takberwujud'!$T36*12-1))),'Aset Takberwujud'!$AQ36/'Aset Takberwujud'!$AG36,0)))</f>
        <v/>
      </c>
      <c r="N241" s="22" t="str">
        <f>IF($B241="","",IF(N('Aset Takberwujud'!$AG36)=0,0,IF(AND((YEAR(N$211)*12+MONTH(N$211))&gt;='Aset Takberwujud'!$Y36,(YEAR(N$211)*12+MONTH(N$211))&lt;=MIN('Aset Takberwujud'!$Z36,IF('Aset Takberwujud'!$S36="Unit Produksi",99999,'Aset Takberwujud'!$Y36+'Aset Takberwujud'!$T36*12-1))),'Aset Takberwujud'!$AQ36/'Aset Takberwujud'!$AG36,0)))</f>
        <v/>
      </c>
      <c r="O241" s="22" t="str">
        <f>IF($B241="","",IF(N('Aset Takberwujud'!$AG36)=0,0,IF(AND((YEAR(O$211)*12+MONTH(O$211))&gt;='Aset Takberwujud'!$Y36,(YEAR(O$211)*12+MONTH(O$211))&lt;=MIN('Aset Takberwujud'!$Z36,IF('Aset Takberwujud'!$S36="Unit Produksi",99999,'Aset Takberwujud'!$Y36+'Aset Takberwujud'!$T36*12-1))),'Aset Takberwujud'!$AQ36/'Aset Takberwujud'!$AG36,0)))</f>
        <v/>
      </c>
      <c r="P241" s="22" t="str">
        <f>IF($B241="","",IF(N('Aset Takberwujud'!$AG36)=0,0,IF(AND((YEAR(P$211)*12+MONTH(P$211))&gt;='Aset Takberwujud'!$Y36,(YEAR(P$211)*12+MONTH(P$211))&lt;=MIN('Aset Takberwujud'!$Z36,IF('Aset Takberwujud'!$S36="Unit Produksi",99999,'Aset Takberwujud'!$Y36+'Aset Takberwujud'!$T36*12-1))),'Aset Takberwujud'!$AQ36/'Aset Takberwujud'!$AG36,0)))</f>
        <v/>
      </c>
      <c r="Q241" s="22" t="str">
        <f>IF($B241="","",SUM(E241:P241))</f>
        <v/>
      </c>
      <c r="R241" s="22" t="str">
        <f>IF($B241="","",'Aset Takberwujud'!AQ36)</f>
        <v/>
      </c>
      <c r="S241" s="22" t="str">
        <f>IF($B241="","",ROUND(Q241-R241,0))</f>
        <v/>
      </c>
    </row>
    <row r="242" spans="1:19" x14ac:dyDescent="0.25">
      <c r="A242" t="str">
        <f>IF('Aset Takberwujud'!$B37="","",'Aset Takberwujud'!A37)</f>
        <v/>
      </c>
      <c r="B242" t="str">
        <f>IF('Aset Takberwujud'!$B37="","",'Aset Takberwujud'!B37)</f>
        <v/>
      </c>
      <c r="C242" t="str">
        <f>IF('Aset Takberwujud'!$B37="","",'Aset Takberwujud'!C37)</f>
        <v/>
      </c>
      <c r="D242" t="str">
        <f>IF('Aset Takberwujud'!$B37="","",'Aset Takberwujud'!D37)</f>
        <v/>
      </c>
      <c r="E242" s="22" t="str">
        <f>IF($B242="","",IF(N('Aset Takberwujud'!$AG37)=0,0,IF(AND((YEAR(E$211)*12+MONTH(E$211))&gt;='Aset Takberwujud'!$Y37,(YEAR(E$211)*12+MONTH(E$211))&lt;=MIN('Aset Takberwujud'!$Z37,IF('Aset Takberwujud'!$S37="Unit Produksi",99999,'Aset Takberwujud'!$Y37+'Aset Takberwujud'!$T37*12-1))),'Aset Takberwujud'!$AQ37/'Aset Takberwujud'!$AG37,0)))</f>
        <v/>
      </c>
      <c r="F242" s="22" t="str">
        <f>IF($B242="","",IF(N('Aset Takberwujud'!$AG37)=0,0,IF(AND((YEAR(F$211)*12+MONTH(F$211))&gt;='Aset Takberwujud'!$Y37,(YEAR(F$211)*12+MONTH(F$211))&lt;=MIN('Aset Takberwujud'!$Z37,IF('Aset Takberwujud'!$S37="Unit Produksi",99999,'Aset Takberwujud'!$Y37+'Aset Takberwujud'!$T37*12-1))),'Aset Takberwujud'!$AQ37/'Aset Takberwujud'!$AG37,0)))</f>
        <v/>
      </c>
      <c r="G242" s="22" t="str">
        <f>IF($B242="","",IF(N('Aset Takberwujud'!$AG37)=0,0,IF(AND((YEAR(G$211)*12+MONTH(G$211))&gt;='Aset Takberwujud'!$Y37,(YEAR(G$211)*12+MONTH(G$211))&lt;=MIN('Aset Takberwujud'!$Z37,IF('Aset Takberwujud'!$S37="Unit Produksi",99999,'Aset Takberwujud'!$Y37+'Aset Takberwujud'!$T37*12-1))),'Aset Takberwujud'!$AQ37/'Aset Takberwujud'!$AG37,0)))</f>
        <v/>
      </c>
      <c r="H242" s="22" t="str">
        <f>IF($B242="","",IF(N('Aset Takberwujud'!$AG37)=0,0,IF(AND((YEAR(H$211)*12+MONTH(H$211))&gt;='Aset Takberwujud'!$Y37,(YEAR(H$211)*12+MONTH(H$211))&lt;=MIN('Aset Takberwujud'!$Z37,IF('Aset Takberwujud'!$S37="Unit Produksi",99999,'Aset Takberwujud'!$Y37+'Aset Takberwujud'!$T37*12-1))),'Aset Takberwujud'!$AQ37/'Aset Takberwujud'!$AG37,0)))</f>
        <v/>
      </c>
      <c r="I242" s="22" t="str">
        <f>IF($B242="","",IF(N('Aset Takberwujud'!$AG37)=0,0,IF(AND((YEAR(I$211)*12+MONTH(I$211))&gt;='Aset Takberwujud'!$Y37,(YEAR(I$211)*12+MONTH(I$211))&lt;=MIN('Aset Takberwujud'!$Z37,IF('Aset Takberwujud'!$S37="Unit Produksi",99999,'Aset Takberwujud'!$Y37+'Aset Takberwujud'!$T37*12-1))),'Aset Takberwujud'!$AQ37/'Aset Takberwujud'!$AG37,0)))</f>
        <v/>
      </c>
      <c r="J242" s="22" t="str">
        <f>IF($B242="","",IF(N('Aset Takberwujud'!$AG37)=0,0,IF(AND((YEAR(J$211)*12+MONTH(J$211))&gt;='Aset Takberwujud'!$Y37,(YEAR(J$211)*12+MONTH(J$211))&lt;=MIN('Aset Takberwujud'!$Z37,IF('Aset Takberwujud'!$S37="Unit Produksi",99999,'Aset Takberwujud'!$Y37+'Aset Takberwujud'!$T37*12-1))),'Aset Takberwujud'!$AQ37/'Aset Takberwujud'!$AG37,0)))</f>
        <v/>
      </c>
      <c r="K242" s="22" t="str">
        <f>IF($B242="","",IF(N('Aset Takberwujud'!$AG37)=0,0,IF(AND((YEAR(K$211)*12+MONTH(K$211))&gt;='Aset Takberwujud'!$Y37,(YEAR(K$211)*12+MONTH(K$211))&lt;=MIN('Aset Takberwujud'!$Z37,IF('Aset Takberwujud'!$S37="Unit Produksi",99999,'Aset Takberwujud'!$Y37+'Aset Takberwujud'!$T37*12-1))),'Aset Takberwujud'!$AQ37/'Aset Takberwujud'!$AG37,0)))</f>
        <v/>
      </c>
      <c r="L242" s="22" t="str">
        <f>IF($B242="","",IF(N('Aset Takberwujud'!$AG37)=0,0,IF(AND((YEAR(L$211)*12+MONTH(L$211))&gt;='Aset Takberwujud'!$Y37,(YEAR(L$211)*12+MONTH(L$211))&lt;=MIN('Aset Takberwujud'!$Z37,IF('Aset Takberwujud'!$S37="Unit Produksi",99999,'Aset Takberwujud'!$Y37+'Aset Takberwujud'!$T37*12-1))),'Aset Takberwujud'!$AQ37/'Aset Takberwujud'!$AG37,0)))</f>
        <v/>
      </c>
      <c r="M242" s="22" t="str">
        <f>IF($B242="","",IF(N('Aset Takberwujud'!$AG37)=0,0,IF(AND((YEAR(M$211)*12+MONTH(M$211))&gt;='Aset Takberwujud'!$Y37,(YEAR(M$211)*12+MONTH(M$211))&lt;=MIN('Aset Takberwujud'!$Z37,IF('Aset Takberwujud'!$S37="Unit Produksi",99999,'Aset Takberwujud'!$Y37+'Aset Takberwujud'!$T37*12-1))),'Aset Takberwujud'!$AQ37/'Aset Takberwujud'!$AG37,0)))</f>
        <v/>
      </c>
      <c r="N242" s="22" t="str">
        <f>IF($B242="","",IF(N('Aset Takberwujud'!$AG37)=0,0,IF(AND((YEAR(N$211)*12+MONTH(N$211))&gt;='Aset Takberwujud'!$Y37,(YEAR(N$211)*12+MONTH(N$211))&lt;=MIN('Aset Takberwujud'!$Z37,IF('Aset Takberwujud'!$S37="Unit Produksi",99999,'Aset Takberwujud'!$Y37+'Aset Takberwujud'!$T37*12-1))),'Aset Takberwujud'!$AQ37/'Aset Takberwujud'!$AG37,0)))</f>
        <v/>
      </c>
      <c r="O242" s="22" t="str">
        <f>IF($B242="","",IF(N('Aset Takberwujud'!$AG37)=0,0,IF(AND((YEAR(O$211)*12+MONTH(O$211))&gt;='Aset Takberwujud'!$Y37,(YEAR(O$211)*12+MONTH(O$211))&lt;=MIN('Aset Takberwujud'!$Z37,IF('Aset Takberwujud'!$S37="Unit Produksi",99999,'Aset Takberwujud'!$Y37+'Aset Takberwujud'!$T37*12-1))),'Aset Takberwujud'!$AQ37/'Aset Takberwujud'!$AG37,0)))</f>
        <v/>
      </c>
      <c r="P242" s="22" t="str">
        <f>IF($B242="","",IF(N('Aset Takberwujud'!$AG37)=0,0,IF(AND((YEAR(P$211)*12+MONTH(P$211))&gt;='Aset Takberwujud'!$Y37,(YEAR(P$211)*12+MONTH(P$211))&lt;=MIN('Aset Takberwujud'!$Z37,IF('Aset Takberwujud'!$S37="Unit Produksi",99999,'Aset Takberwujud'!$Y37+'Aset Takberwujud'!$T37*12-1))),'Aset Takberwujud'!$AQ37/'Aset Takberwujud'!$AG37,0)))</f>
        <v/>
      </c>
      <c r="Q242" s="22" t="str">
        <f>IF($B242="","",SUM(E242:P242))</f>
        <v/>
      </c>
      <c r="R242" s="22" t="str">
        <f>IF($B242="","",'Aset Takberwujud'!AQ37)</f>
        <v/>
      </c>
      <c r="S242" s="22" t="str">
        <f>IF($B242="","",ROUND(Q242-R242,0))</f>
        <v/>
      </c>
    </row>
    <row r="243" spans="1:19" x14ac:dyDescent="0.25">
      <c r="A243" t="str">
        <f>IF('Aset Takberwujud'!$B38="","",'Aset Takberwujud'!A38)</f>
        <v/>
      </c>
      <c r="B243" t="str">
        <f>IF('Aset Takberwujud'!$B38="","",'Aset Takberwujud'!B38)</f>
        <v/>
      </c>
      <c r="C243" t="str">
        <f>IF('Aset Takberwujud'!$B38="","",'Aset Takberwujud'!C38)</f>
        <v/>
      </c>
      <c r="D243" t="str">
        <f>IF('Aset Takberwujud'!$B38="","",'Aset Takberwujud'!D38)</f>
        <v/>
      </c>
      <c r="E243" s="22" t="str">
        <f>IF($B243="","",IF(N('Aset Takberwujud'!$AG38)=0,0,IF(AND((YEAR(E$211)*12+MONTH(E$211))&gt;='Aset Takberwujud'!$Y38,(YEAR(E$211)*12+MONTH(E$211))&lt;=MIN('Aset Takberwujud'!$Z38,IF('Aset Takberwujud'!$S38="Unit Produksi",99999,'Aset Takberwujud'!$Y38+'Aset Takberwujud'!$T38*12-1))),'Aset Takberwujud'!$AQ38/'Aset Takberwujud'!$AG38,0)))</f>
        <v/>
      </c>
      <c r="F243" s="22" t="str">
        <f>IF($B243="","",IF(N('Aset Takberwujud'!$AG38)=0,0,IF(AND((YEAR(F$211)*12+MONTH(F$211))&gt;='Aset Takberwujud'!$Y38,(YEAR(F$211)*12+MONTH(F$211))&lt;=MIN('Aset Takberwujud'!$Z38,IF('Aset Takberwujud'!$S38="Unit Produksi",99999,'Aset Takberwujud'!$Y38+'Aset Takberwujud'!$T38*12-1))),'Aset Takberwujud'!$AQ38/'Aset Takberwujud'!$AG38,0)))</f>
        <v/>
      </c>
      <c r="G243" s="22" t="str">
        <f>IF($B243="","",IF(N('Aset Takberwujud'!$AG38)=0,0,IF(AND((YEAR(G$211)*12+MONTH(G$211))&gt;='Aset Takberwujud'!$Y38,(YEAR(G$211)*12+MONTH(G$211))&lt;=MIN('Aset Takberwujud'!$Z38,IF('Aset Takberwujud'!$S38="Unit Produksi",99999,'Aset Takberwujud'!$Y38+'Aset Takberwujud'!$T38*12-1))),'Aset Takberwujud'!$AQ38/'Aset Takberwujud'!$AG38,0)))</f>
        <v/>
      </c>
      <c r="H243" s="22" t="str">
        <f>IF($B243="","",IF(N('Aset Takberwujud'!$AG38)=0,0,IF(AND((YEAR(H$211)*12+MONTH(H$211))&gt;='Aset Takberwujud'!$Y38,(YEAR(H$211)*12+MONTH(H$211))&lt;=MIN('Aset Takberwujud'!$Z38,IF('Aset Takberwujud'!$S38="Unit Produksi",99999,'Aset Takberwujud'!$Y38+'Aset Takberwujud'!$T38*12-1))),'Aset Takberwujud'!$AQ38/'Aset Takberwujud'!$AG38,0)))</f>
        <v/>
      </c>
      <c r="I243" s="22" t="str">
        <f>IF($B243="","",IF(N('Aset Takberwujud'!$AG38)=0,0,IF(AND((YEAR(I$211)*12+MONTH(I$211))&gt;='Aset Takberwujud'!$Y38,(YEAR(I$211)*12+MONTH(I$211))&lt;=MIN('Aset Takberwujud'!$Z38,IF('Aset Takberwujud'!$S38="Unit Produksi",99999,'Aset Takberwujud'!$Y38+'Aset Takberwujud'!$T38*12-1))),'Aset Takberwujud'!$AQ38/'Aset Takberwujud'!$AG38,0)))</f>
        <v/>
      </c>
      <c r="J243" s="22" t="str">
        <f>IF($B243="","",IF(N('Aset Takberwujud'!$AG38)=0,0,IF(AND((YEAR(J$211)*12+MONTH(J$211))&gt;='Aset Takberwujud'!$Y38,(YEAR(J$211)*12+MONTH(J$211))&lt;=MIN('Aset Takberwujud'!$Z38,IF('Aset Takberwujud'!$S38="Unit Produksi",99999,'Aset Takberwujud'!$Y38+'Aset Takberwujud'!$T38*12-1))),'Aset Takberwujud'!$AQ38/'Aset Takberwujud'!$AG38,0)))</f>
        <v/>
      </c>
      <c r="K243" s="22" t="str">
        <f>IF($B243="","",IF(N('Aset Takberwujud'!$AG38)=0,0,IF(AND((YEAR(K$211)*12+MONTH(K$211))&gt;='Aset Takberwujud'!$Y38,(YEAR(K$211)*12+MONTH(K$211))&lt;=MIN('Aset Takberwujud'!$Z38,IF('Aset Takberwujud'!$S38="Unit Produksi",99999,'Aset Takberwujud'!$Y38+'Aset Takberwujud'!$T38*12-1))),'Aset Takberwujud'!$AQ38/'Aset Takberwujud'!$AG38,0)))</f>
        <v/>
      </c>
      <c r="L243" s="22" t="str">
        <f>IF($B243="","",IF(N('Aset Takberwujud'!$AG38)=0,0,IF(AND((YEAR(L$211)*12+MONTH(L$211))&gt;='Aset Takberwujud'!$Y38,(YEAR(L$211)*12+MONTH(L$211))&lt;=MIN('Aset Takberwujud'!$Z38,IF('Aset Takberwujud'!$S38="Unit Produksi",99999,'Aset Takberwujud'!$Y38+'Aset Takberwujud'!$T38*12-1))),'Aset Takberwujud'!$AQ38/'Aset Takberwujud'!$AG38,0)))</f>
        <v/>
      </c>
      <c r="M243" s="22" t="str">
        <f>IF($B243="","",IF(N('Aset Takberwujud'!$AG38)=0,0,IF(AND((YEAR(M$211)*12+MONTH(M$211))&gt;='Aset Takberwujud'!$Y38,(YEAR(M$211)*12+MONTH(M$211))&lt;=MIN('Aset Takberwujud'!$Z38,IF('Aset Takberwujud'!$S38="Unit Produksi",99999,'Aset Takberwujud'!$Y38+'Aset Takberwujud'!$T38*12-1))),'Aset Takberwujud'!$AQ38/'Aset Takberwujud'!$AG38,0)))</f>
        <v/>
      </c>
      <c r="N243" s="22" t="str">
        <f>IF($B243="","",IF(N('Aset Takberwujud'!$AG38)=0,0,IF(AND((YEAR(N$211)*12+MONTH(N$211))&gt;='Aset Takberwujud'!$Y38,(YEAR(N$211)*12+MONTH(N$211))&lt;=MIN('Aset Takberwujud'!$Z38,IF('Aset Takberwujud'!$S38="Unit Produksi",99999,'Aset Takberwujud'!$Y38+'Aset Takberwujud'!$T38*12-1))),'Aset Takberwujud'!$AQ38/'Aset Takberwujud'!$AG38,0)))</f>
        <v/>
      </c>
      <c r="O243" s="22" t="str">
        <f>IF($B243="","",IF(N('Aset Takberwujud'!$AG38)=0,0,IF(AND((YEAR(O$211)*12+MONTH(O$211))&gt;='Aset Takberwujud'!$Y38,(YEAR(O$211)*12+MONTH(O$211))&lt;=MIN('Aset Takberwujud'!$Z38,IF('Aset Takberwujud'!$S38="Unit Produksi",99999,'Aset Takberwujud'!$Y38+'Aset Takberwujud'!$T38*12-1))),'Aset Takberwujud'!$AQ38/'Aset Takberwujud'!$AG38,0)))</f>
        <v/>
      </c>
      <c r="P243" s="22" t="str">
        <f>IF($B243="","",IF(N('Aset Takberwujud'!$AG38)=0,0,IF(AND((YEAR(P$211)*12+MONTH(P$211))&gt;='Aset Takberwujud'!$Y38,(YEAR(P$211)*12+MONTH(P$211))&lt;=MIN('Aset Takberwujud'!$Z38,IF('Aset Takberwujud'!$S38="Unit Produksi",99999,'Aset Takberwujud'!$Y38+'Aset Takberwujud'!$T38*12-1))),'Aset Takberwujud'!$AQ38/'Aset Takberwujud'!$AG38,0)))</f>
        <v/>
      </c>
      <c r="Q243" s="22" t="str">
        <f>IF($B243="","",SUM(E243:P243))</f>
        <v/>
      </c>
      <c r="R243" s="22" t="str">
        <f>IF($B243="","",'Aset Takberwujud'!AQ38)</f>
        <v/>
      </c>
      <c r="S243" s="22" t="str">
        <f>IF($B243="","",ROUND(Q243-R243,0))</f>
        <v/>
      </c>
    </row>
    <row r="244" spans="1:19" x14ac:dyDescent="0.25">
      <c r="A244" t="str">
        <f>IF('Aset Takberwujud'!$B39="","",'Aset Takberwujud'!A39)</f>
        <v/>
      </c>
      <c r="B244" t="str">
        <f>IF('Aset Takberwujud'!$B39="","",'Aset Takberwujud'!B39)</f>
        <v/>
      </c>
      <c r="C244" t="str">
        <f>IF('Aset Takberwujud'!$B39="","",'Aset Takberwujud'!C39)</f>
        <v/>
      </c>
      <c r="D244" t="str">
        <f>IF('Aset Takberwujud'!$B39="","",'Aset Takberwujud'!D39)</f>
        <v/>
      </c>
      <c r="E244" s="22" t="str">
        <f>IF($B244="","",IF(N('Aset Takberwujud'!$AG39)=0,0,IF(AND((YEAR(E$211)*12+MONTH(E$211))&gt;='Aset Takberwujud'!$Y39,(YEAR(E$211)*12+MONTH(E$211))&lt;=MIN('Aset Takberwujud'!$Z39,IF('Aset Takberwujud'!$S39="Unit Produksi",99999,'Aset Takberwujud'!$Y39+'Aset Takberwujud'!$T39*12-1))),'Aset Takberwujud'!$AQ39/'Aset Takberwujud'!$AG39,0)))</f>
        <v/>
      </c>
      <c r="F244" s="22" t="str">
        <f>IF($B244="","",IF(N('Aset Takberwujud'!$AG39)=0,0,IF(AND((YEAR(F$211)*12+MONTH(F$211))&gt;='Aset Takberwujud'!$Y39,(YEAR(F$211)*12+MONTH(F$211))&lt;=MIN('Aset Takberwujud'!$Z39,IF('Aset Takberwujud'!$S39="Unit Produksi",99999,'Aset Takberwujud'!$Y39+'Aset Takberwujud'!$T39*12-1))),'Aset Takberwujud'!$AQ39/'Aset Takberwujud'!$AG39,0)))</f>
        <v/>
      </c>
      <c r="G244" s="22" t="str">
        <f>IF($B244="","",IF(N('Aset Takberwujud'!$AG39)=0,0,IF(AND((YEAR(G$211)*12+MONTH(G$211))&gt;='Aset Takberwujud'!$Y39,(YEAR(G$211)*12+MONTH(G$211))&lt;=MIN('Aset Takberwujud'!$Z39,IF('Aset Takberwujud'!$S39="Unit Produksi",99999,'Aset Takberwujud'!$Y39+'Aset Takberwujud'!$T39*12-1))),'Aset Takberwujud'!$AQ39/'Aset Takberwujud'!$AG39,0)))</f>
        <v/>
      </c>
      <c r="H244" s="22" t="str">
        <f>IF($B244="","",IF(N('Aset Takberwujud'!$AG39)=0,0,IF(AND((YEAR(H$211)*12+MONTH(H$211))&gt;='Aset Takberwujud'!$Y39,(YEAR(H$211)*12+MONTH(H$211))&lt;=MIN('Aset Takberwujud'!$Z39,IF('Aset Takberwujud'!$S39="Unit Produksi",99999,'Aset Takberwujud'!$Y39+'Aset Takberwujud'!$T39*12-1))),'Aset Takberwujud'!$AQ39/'Aset Takberwujud'!$AG39,0)))</f>
        <v/>
      </c>
      <c r="I244" s="22" t="str">
        <f>IF($B244="","",IF(N('Aset Takberwujud'!$AG39)=0,0,IF(AND((YEAR(I$211)*12+MONTH(I$211))&gt;='Aset Takberwujud'!$Y39,(YEAR(I$211)*12+MONTH(I$211))&lt;=MIN('Aset Takberwujud'!$Z39,IF('Aset Takberwujud'!$S39="Unit Produksi",99999,'Aset Takberwujud'!$Y39+'Aset Takberwujud'!$T39*12-1))),'Aset Takberwujud'!$AQ39/'Aset Takberwujud'!$AG39,0)))</f>
        <v/>
      </c>
      <c r="J244" s="22" t="str">
        <f>IF($B244="","",IF(N('Aset Takberwujud'!$AG39)=0,0,IF(AND((YEAR(J$211)*12+MONTH(J$211))&gt;='Aset Takberwujud'!$Y39,(YEAR(J$211)*12+MONTH(J$211))&lt;=MIN('Aset Takberwujud'!$Z39,IF('Aset Takberwujud'!$S39="Unit Produksi",99999,'Aset Takberwujud'!$Y39+'Aset Takberwujud'!$T39*12-1))),'Aset Takberwujud'!$AQ39/'Aset Takberwujud'!$AG39,0)))</f>
        <v/>
      </c>
      <c r="K244" s="22" t="str">
        <f>IF($B244="","",IF(N('Aset Takberwujud'!$AG39)=0,0,IF(AND((YEAR(K$211)*12+MONTH(K$211))&gt;='Aset Takberwujud'!$Y39,(YEAR(K$211)*12+MONTH(K$211))&lt;=MIN('Aset Takberwujud'!$Z39,IF('Aset Takberwujud'!$S39="Unit Produksi",99999,'Aset Takberwujud'!$Y39+'Aset Takberwujud'!$T39*12-1))),'Aset Takberwujud'!$AQ39/'Aset Takberwujud'!$AG39,0)))</f>
        <v/>
      </c>
      <c r="L244" s="22" t="str">
        <f>IF($B244="","",IF(N('Aset Takberwujud'!$AG39)=0,0,IF(AND((YEAR(L$211)*12+MONTH(L$211))&gt;='Aset Takberwujud'!$Y39,(YEAR(L$211)*12+MONTH(L$211))&lt;=MIN('Aset Takberwujud'!$Z39,IF('Aset Takberwujud'!$S39="Unit Produksi",99999,'Aset Takberwujud'!$Y39+'Aset Takberwujud'!$T39*12-1))),'Aset Takberwujud'!$AQ39/'Aset Takberwujud'!$AG39,0)))</f>
        <v/>
      </c>
      <c r="M244" s="22" t="str">
        <f>IF($B244="","",IF(N('Aset Takberwujud'!$AG39)=0,0,IF(AND((YEAR(M$211)*12+MONTH(M$211))&gt;='Aset Takberwujud'!$Y39,(YEAR(M$211)*12+MONTH(M$211))&lt;=MIN('Aset Takberwujud'!$Z39,IF('Aset Takberwujud'!$S39="Unit Produksi",99999,'Aset Takberwujud'!$Y39+'Aset Takberwujud'!$T39*12-1))),'Aset Takberwujud'!$AQ39/'Aset Takberwujud'!$AG39,0)))</f>
        <v/>
      </c>
      <c r="N244" s="22" t="str">
        <f>IF($B244="","",IF(N('Aset Takberwujud'!$AG39)=0,0,IF(AND((YEAR(N$211)*12+MONTH(N$211))&gt;='Aset Takberwujud'!$Y39,(YEAR(N$211)*12+MONTH(N$211))&lt;=MIN('Aset Takberwujud'!$Z39,IF('Aset Takberwujud'!$S39="Unit Produksi",99999,'Aset Takberwujud'!$Y39+'Aset Takberwujud'!$T39*12-1))),'Aset Takberwujud'!$AQ39/'Aset Takberwujud'!$AG39,0)))</f>
        <v/>
      </c>
      <c r="O244" s="22" t="str">
        <f>IF($B244="","",IF(N('Aset Takberwujud'!$AG39)=0,0,IF(AND((YEAR(O$211)*12+MONTH(O$211))&gt;='Aset Takberwujud'!$Y39,(YEAR(O$211)*12+MONTH(O$211))&lt;=MIN('Aset Takberwujud'!$Z39,IF('Aset Takberwujud'!$S39="Unit Produksi",99999,'Aset Takberwujud'!$Y39+'Aset Takberwujud'!$T39*12-1))),'Aset Takberwujud'!$AQ39/'Aset Takberwujud'!$AG39,0)))</f>
        <v/>
      </c>
      <c r="P244" s="22" t="str">
        <f>IF($B244="","",IF(N('Aset Takberwujud'!$AG39)=0,0,IF(AND((YEAR(P$211)*12+MONTH(P$211))&gt;='Aset Takberwujud'!$Y39,(YEAR(P$211)*12+MONTH(P$211))&lt;=MIN('Aset Takberwujud'!$Z39,IF('Aset Takberwujud'!$S39="Unit Produksi",99999,'Aset Takberwujud'!$Y39+'Aset Takberwujud'!$T39*12-1))),'Aset Takberwujud'!$AQ39/'Aset Takberwujud'!$AG39,0)))</f>
        <v/>
      </c>
      <c r="Q244" s="22" t="str">
        <f>IF($B244="","",SUM(E244:P244))</f>
        <v/>
      </c>
      <c r="R244" s="22" t="str">
        <f>IF($B244="","",'Aset Takberwujud'!AQ39)</f>
        <v/>
      </c>
      <c r="S244" s="22" t="str">
        <f>IF($B244="","",ROUND(Q244-R244,0))</f>
        <v/>
      </c>
    </row>
    <row r="245" spans="1:19" x14ac:dyDescent="0.25">
      <c r="A245" t="str">
        <f>IF('Aset Takberwujud'!$B40="","",'Aset Takberwujud'!A40)</f>
        <v/>
      </c>
      <c r="B245" t="str">
        <f>IF('Aset Takberwujud'!$B40="","",'Aset Takberwujud'!B40)</f>
        <v/>
      </c>
      <c r="C245" t="str">
        <f>IF('Aset Takberwujud'!$B40="","",'Aset Takberwujud'!C40)</f>
        <v/>
      </c>
      <c r="D245" t="str">
        <f>IF('Aset Takberwujud'!$B40="","",'Aset Takberwujud'!D40)</f>
        <v/>
      </c>
      <c r="E245" s="22" t="str">
        <f>IF($B245="","",IF(N('Aset Takberwujud'!$AG40)=0,0,IF(AND((YEAR(E$211)*12+MONTH(E$211))&gt;='Aset Takberwujud'!$Y40,(YEAR(E$211)*12+MONTH(E$211))&lt;=MIN('Aset Takberwujud'!$Z40,IF('Aset Takberwujud'!$S40="Unit Produksi",99999,'Aset Takberwujud'!$Y40+'Aset Takberwujud'!$T40*12-1))),'Aset Takberwujud'!$AQ40/'Aset Takberwujud'!$AG40,0)))</f>
        <v/>
      </c>
      <c r="F245" s="22" t="str">
        <f>IF($B245="","",IF(N('Aset Takberwujud'!$AG40)=0,0,IF(AND((YEAR(F$211)*12+MONTH(F$211))&gt;='Aset Takberwujud'!$Y40,(YEAR(F$211)*12+MONTH(F$211))&lt;=MIN('Aset Takberwujud'!$Z40,IF('Aset Takberwujud'!$S40="Unit Produksi",99999,'Aset Takberwujud'!$Y40+'Aset Takberwujud'!$T40*12-1))),'Aset Takberwujud'!$AQ40/'Aset Takberwujud'!$AG40,0)))</f>
        <v/>
      </c>
      <c r="G245" s="22" t="str">
        <f>IF($B245="","",IF(N('Aset Takberwujud'!$AG40)=0,0,IF(AND((YEAR(G$211)*12+MONTH(G$211))&gt;='Aset Takberwujud'!$Y40,(YEAR(G$211)*12+MONTH(G$211))&lt;=MIN('Aset Takberwujud'!$Z40,IF('Aset Takberwujud'!$S40="Unit Produksi",99999,'Aset Takberwujud'!$Y40+'Aset Takberwujud'!$T40*12-1))),'Aset Takberwujud'!$AQ40/'Aset Takberwujud'!$AG40,0)))</f>
        <v/>
      </c>
      <c r="H245" s="22" t="str">
        <f>IF($B245="","",IF(N('Aset Takberwujud'!$AG40)=0,0,IF(AND((YEAR(H$211)*12+MONTH(H$211))&gt;='Aset Takberwujud'!$Y40,(YEAR(H$211)*12+MONTH(H$211))&lt;=MIN('Aset Takberwujud'!$Z40,IF('Aset Takberwujud'!$S40="Unit Produksi",99999,'Aset Takberwujud'!$Y40+'Aset Takberwujud'!$T40*12-1))),'Aset Takberwujud'!$AQ40/'Aset Takberwujud'!$AG40,0)))</f>
        <v/>
      </c>
      <c r="I245" s="22" t="str">
        <f>IF($B245="","",IF(N('Aset Takberwujud'!$AG40)=0,0,IF(AND((YEAR(I$211)*12+MONTH(I$211))&gt;='Aset Takberwujud'!$Y40,(YEAR(I$211)*12+MONTH(I$211))&lt;=MIN('Aset Takberwujud'!$Z40,IF('Aset Takberwujud'!$S40="Unit Produksi",99999,'Aset Takberwujud'!$Y40+'Aset Takberwujud'!$T40*12-1))),'Aset Takberwujud'!$AQ40/'Aset Takberwujud'!$AG40,0)))</f>
        <v/>
      </c>
      <c r="J245" s="22" t="str">
        <f>IF($B245="","",IF(N('Aset Takberwujud'!$AG40)=0,0,IF(AND((YEAR(J$211)*12+MONTH(J$211))&gt;='Aset Takberwujud'!$Y40,(YEAR(J$211)*12+MONTH(J$211))&lt;=MIN('Aset Takberwujud'!$Z40,IF('Aset Takberwujud'!$S40="Unit Produksi",99999,'Aset Takberwujud'!$Y40+'Aset Takberwujud'!$T40*12-1))),'Aset Takberwujud'!$AQ40/'Aset Takberwujud'!$AG40,0)))</f>
        <v/>
      </c>
      <c r="K245" s="22" t="str">
        <f>IF($B245="","",IF(N('Aset Takberwujud'!$AG40)=0,0,IF(AND((YEAR(K$211)*12+MONTH(K$211))&gt;='Aset Takberwujud'!$Y40,(YEAR(K$211)*12+MONTH(K$211))&lt;=MIN('Aset Takberwujud'!$Z40,IF('Aset Takberwujud'!$S40="Unit Produksi",99999,'Aset Takberwujud'!$Y40+'Aset Takberwujud'!$T40*12-1))),'Aset Takberwujud'!$AQ40/'Aset Takberwujud'!$AG40,0)))</f>
        <v/>
      </c>
      <c r="L245" s="22" t="str">
        <f>IF($B245="","",IF(N('Aset Takberwujud'!$AG40)=0,0,IF(AND((YEAR(L$211)*12+MONTH(L$211))&gt;='Aset Takberwujud'!$Y40,(YEAR(L$211)*12+MONTH(L$211))&lt;=MIN('Aset Takberwujud'!$Z40,IF('Aset Takberwujud'!$S40="Unit Produksi",99999,'Aset Takberwujud'!$Y40+'Aset Takberwujud'!$T40*12-1))),'Aset Takberwujud'!$AQ40/'Aset Takberwujud'!$AG40,0)))</f>
        <v/>
      </c>
      <c r="M245" s="22" t="str">
        <f>IF($B245="","",IF(N('Aset Takberwujud'!$AG40)=0,0,IF(AND((YEAR(M$211)*12+MONTH(M$211))&gt;='Aset Takberwujud'!$Y40,(YEAR(M$211)*12+MONTH(M$211))&lt;=MIN('Aset Takberwujud'!$Z40,IF('Aset Takberwujud'!$S40="Unit Produksi",99999,'Aset Takberwujud'!$Y40+'Aset Takberwujud'!$T40*12-1))),'Aset Takberwujud'!$AQ40/'Aset Takberwujud'!$AG40,0)))</f>
        <v/>
      </c>
      <c r="N245" s="22" t="str">
        <f>IF($B245="","",IF(N('Aset Takberwujud'!$AG40)=0,0,IF(AND((YEAR(N$211)*12+MONTH(N$211))&gt;='Aset Takberwujud'!$Y40,(YEAR(N$211)*12+MONTH(N$211))&lt;=MIN('Aset Takberwujud'!$Z40,IF('Aset Takberwujud'!$S40="Unit Produksi",99999,'Aset Takberwujud'!$Y40+'Aset Takberwujud'!$T40*12-1))),'Aset Takberwujud'!$AQ40/'Aset Takberwujud'!$AG40,0)))</f>
        <v/>
      </c>
      <c r="O245" s="22" t="str">
        <f>IF($B245="","",IF(N('Aset Takberwujud'!$AG40)=0,0,IF(AND((YEAR(O$211)*12+MONTH(O$211))&gt;='Aset Takberwujud'!$Y40,(YEAR(O$211)*12+MONTH(O$211))&lt;=MIN('Aset Takberwujud'!$Z40,IF('Aset Takberwujud'!$S40="Unit Produksi",99999,'Aset Takberwujud'!$Y40+'Aset Takberwujud'!$T40*12-1))),'Aset Takberwujud'!$AQ40/'Aset Takberwujud'!$AG40,0)))</f>
        <v/>
      </c>
      <c r="P245" s="22" t="str">
        <f>IF($B245="","",IF(N('Aset Takberwujud'!$AG40)=0,0,IF(AND((YEAR(P$211)*12+MONTH(P$211))&gt;='Aset Takberwujud'!$Y40,(YEAR(P$211)*12+MONTH(P$211))&lt;=MIN('Aset Takberwujud'!$Z40,IF('Aset Takberwujud'!$S40="Unit Produksi",99999,'Aset Takberwujud'!$Y40+'Aset Takberwujud'!$T40*12-1))),'Aset Takberwujud'!$AQ40/'Aset Takberwujud'!$AG40,0)))</f>
        <v/>
      </c>
      <c r="Q245" s="22" t="str">
        <f>IF($B245="","",SUM(E245:P245))</f>
        <v/>
      </c>
      <c r="R245" s="22" t="str">
        <f>IF($B245="","",'Aset Takberwujud'!AQ40)</f>
        <v/>
      </c>
      <c r="S245" s="22" t="str">
        <f>IF($B245="","",ROUND(Q245-R245,0))</f>
        <v/>
      </c>
    </row>
    <row r="246" spans="1:19" x14ac:dyDescent="0.25">
      <c r="A246" t="str">
        <f>IF('Aset Takberwujud'!$B41="","",'Aset Takberwujud'!A41)</f>
        <v/>
      </c>
      <c r="B246" t="str">
        <f>IF('Aset Takberwujud'!$B41="","",'Aset Takberwujud'!B41)</f>
        <v/>
      </c>
      <c r="C246" t="str">
        <f>IF('Aset Takberwujud'!$B41="","",'Aset Takberwujud'!C41)</f>
        <v/>
      </c>
      <c r="D246" t="str">
        <f>IF('Aset Takberwujud'!$B41="","",'Aset Takberwujud'!D41)</f>
        <v/>
      </c>
      <c r="E246" s="22" t="str">
        <f>IF($B246="","",IF(N('Aset Takberwujud'!$AG41)=0,0,IF(AND((YEAR(E$211)*12+MONTH(E$211))&gt;='Aset Takberwujud'!$Y41,(YEAR(E$211)*12+MONTH(E$211))&lt;=MIN('Aset Takberwujud'!$Z41,IF('Aset Takberwujud'!$S41="Unit Produksi",99999,'Aset Takberwujud'!$Y41+'Aset Takberwujud'!$T41*12-1))),'Aset Takberwujud'!$AQ41/'Aset Takberwujud'!$AG41,0)))</f>
        <v/>
      </c>
      <c r="F246" s="22" t="str">
        <f>IF($B246="","",IF(N('Aset Takberwujud'!$AG41)=0,0,IF(AND((YEAR(F$211)*12+MONTH(F$211))&gt;='Aset Takberwujud'!$Y41,(YEAR(F$211)*12+MONTH(F$211))&lt;=MIN('Aset Takberwujud'!$Z41,IF('Aset Takberwujud'!$S41="Unit Produksi",99999,'Aset Takberwujud'!$Y41+'Aset Takberwujud'!$T41*12-1))),'Aset Takberwujud'!$AQ41/'Aset Takberwujud'!$AG41,0)))</f>
        <v/>
      </c>
      <c r="G246" s="22" t="str">
        <f>IF($B246="","",IF(N('Aset Takberwujud'!$AG41)=0,0,IF(AND((YEAR(G$211)*12+MONTH(G$211))&gt;='Aset Takberwujud'!$Y41,(YEAR(G$211)*12+MONTH(G$211))&lt;=MIN('Aset Takberwujud'!$Z41,IF('Aset Takberwujud'!$S41="Unit Produksi",99999,'Aset Takberwujud'!$Y41+'Aset Takberwujud'!$T41*12-1))),'Aset Takberwujud'!$AQ41/'Aset Takberwujud'!$AG41,0)))</f>
        <v/>
      </c>
      <c r="H246" s="22" t="str">
        <f>IF($B246="","",IF(N('Aset Takberwujud'!$AG41)=0,0,IF(AND((YEAR(H$211)*12+MONTH(H$211))&gt;='Aset Takberwujud'!$Y41,(YEAR(H$211)*12+MONTH(H$211))&lt;=MIN('Aset Takberwujud'!$Z41,IF('Aset Takberwujud'!$S41="Unit Produksi",99999,'Aset Takberwujud'!$Y41+'Aset Takberwujud'!$T41*12-1))),'Aset Takberwujud'!$AQ41/'Aset Takberwujud'!$AG41,0)))</f>
        <v/>
      </c>
      <c r="I246" s="22" t="str">
        <f>IF($B246="","",IF(N('Aset Takberwujud'!$AG41)=0,0,IF(AND((YEAR(I$211)*12+MONTH(I$211))&gt;='Aset Takberwujud'!$Y41,(YEAR(I$211)*12+MONTH(I$211))&lt;=MIN('Aset Takberwujud'!$Z41,IF('Aset Takberwujud'!$S41="Unit Produksi",99999,'Aset Takberwujud'!$Y41+'Aset Takberwujud'!$T41*12-1))),'Aset Takberwujud'!$AQ41/'Aset Takberwujud'!$AG41,0)))</f>
        <v/>
      </c>
      <c r="J246" s="22" t="str">
        <f>IF($B246="","",IF(N('Aset Takberwujud'!$AG41)=0,0,IF(AND((YEAR(J$211)*12+MONTH(J$211))&gt;='Aset Takberwujud'!$Y41,(YEAR(J$211)*12+MONTH(J$211))&lt;=MIN('Aset Takberwujud'!$Z41,IF('Aset Takberwujud'!$S41="Unit Produksi",99999,'Aset Takberwujud'!$Y41+'Aset Takberwujud'!$T41*12-1))),'Aset Takberwujud'!$AQ41/'Aset Takberwujud'!$AG41,0)))</f>
        <v/>
      </c>
      <c r="K246" s="22" t="str">
        <f>IF($B246="","",IF(N('Aset Takberwujud'!$AG41)=0,0,IF(AND((YEAR(K$211)*12+MONTH(K$211))&gt;='Aset Takberwujud'!$Y41,(YEAR(K$211)*12+MONTH(K$211))&lt;=MIN('Aset Takberwujud'!$Z41,IF('Aset Takberwujud'!$S41="Unit Produksi",99999,'Aset Takberwujud'!$Y41+'Aset Takberwujud'!$T41*12-1))),'Aset Takberwujud'!$AQ41/'Aset Takberwujud'!$AG41,0)))</f>
        <v/>
      </c>
      <c r="L246" s="22" t="str">
        <f>IF($B246="","",IF(N('Aset Takberwujud'!$AG41)=0,0,IF(AND((YEAR(L$211)*12+MONTH(L$211))&gt;='Aset Takberwujud'!$Y41,(YEAR(L$211)*12+MONTH(L$211))&lt;=MIN('Aset Takberwujud'!$Z41,IF('Aset Takberwujud'!$S41="Unit Produksi",99999,'Aset Takberwujud'!$Y41+'Aset Takberwujud'!$T41*12-1))),'Aset Takberwujud'!$AQ41/'Aset Takberwujud'!$AG41,0)))</f>
        <v/>
      </c>
      <c r="M246" s="22" t="str">
        <f>IF($B246="","",IF(N('Aset Takberwujud'!$AG41)=0,0,IF(AND((YEAR(M$211)*12+MONTH(M$211))&gt;='Aset Takberwujud'!$Y41,(YEAR(M$211)*12+MONTH(M$211))&lt;=MIN('Aset Takberwujud'!$Z41,IF('Aset Takberwujud'!$S41="Unit Produksi",99999,'Aset Takberwujud'!$Y41+'Aset Takberwujud'!$T41*12-1))),'Aset Takberwujud'!$AQ41/'Aset Takberwujud'!$AG41,0)))</f>
        <v/>
      </c>
      <c r="N246" s="22" t="str">
        <f>IF($B246="","",IF(N('Aset Takberwujud'!$AG41)=0,0,IF(AND((YEAR(N$211)*12+MONTH(N$211))&gt;='Aset Takberwujud'!$Y41,(YEAR(N$211)*12+MONTH(N$211))&lt;=MIN('Aset Takberwujud'!$Z41,IF('Aset Takberwujud'!$S41="Unit Produksi",99999,'Aset Takberwujud'!$Y41+'Aset Takberwujud'!$T41*12-1))),'Aset Takberwujud'!$AQ41/'Aset Takberwujud'!$AG41,0)))</f>
        <v/>
      </c>
      <c r="O246" s="22" t="str">
        <f>IF($B246="","",IF(N('Aset Takberwujud'!$AG41)=0,0,IF(AND((YEAR(O$211)*12+MONTH(O$211))&gt;='Aset Takberwujud'!$Y41,(YEAR(O$211)*12+MONTH(O$211))&lt;=MIN('Aset Takberwujud'!$Z41,IF('Aset Takberwujud'!$S41="Unit Produksi",99999,'Aset Takberwujud'!$Y41+'Aset Takberwujud'!$T41*12-1))),'Aset Takberwujud'!$AQ41/'Aset Takberwujud'!$AG41,0)))</f>
        <v/>
      </c>
      <c r="P246" s="22" t="str">
        <f>IF($B246="","",IF(N('Aset Takberwujud'!$AG41)=0,0,IF(AND((YEAR(P$211)*12+MONTH(P$211))&gt;='Aset Takberwujud'!$Y41,(YEAR(P$211)*12+MONTH(P$211))&lt;=MIN('Aset Takberwujud'!$Z41,IF('Aset Takberwujud'!$S41="Unit Produksi",99999,'Aset Takberwujud'!$Y41+'Aset Takberwujud'!$T41*12-1))),'Aset Takberwujud'!$AQ41/'Aset Takberwujud'!$AG41,0)))</f>
        <v/>
      </c>
      <c r="Q246" s="22" t="str">
        <f>IF($B246="","",SUM(E246:P246))</f>
        <v/>
      </c>
      <c r="R246" s="22" t="str">
        <f>IF($B246="","",'Aset Takberwujud'!AQ41)</f>
        <v/>
      </c>
      <c r="S246" s="22" t="str">
        <f>IF($B246="","",ROUND(Q246-R246,0))</f>
        <v/>
      </c>
    </row>
    <row r="247" spans="1:19" x14ac:dyDescent="0.25">
      <c r="A247" t="str">
        <f>IF('Aset Takberwujud'!$B42="","",'Aset Takberwujud'!A42)</f>
        <v/>
      </c>
      <c r="B247" t="str">
        <f>IF('Aset Takberwujud'!$B42="","",'Aset Takberwujud'!B42)</f>
        <v/>
      </c>
      <c r="C247" t="str">
        <f>IF('Aset Takberwujud'!$B42="","",'Aset Takberwujud'!C42)</f>
        <v/>
      </c>
      <c r="D247" t="str">
        <f>IF('Aset Takberwujud'!$B42="","",'Aset Takberwujud'!D42)</f>
        <v/>
      </c>
      <c r="E247" s="22" t="str">
        <f>IF($B247="","",IF(N('Aset Takberwujud'!$AG42)=0,0,IF(AND((YEAR(E$211)*12+MONTH(E$211))&gt;='Aset Takberwujud'!$Y42,(YEAR(E$211)*12+MONTH(E$211))&lt;=MIN('Aset Takberwujud'!$Z42,IF('Aset Takberwujud'!$S42="Unit Produksi",99999,'Aset Takberwujud'!$Y42+'Aset Takberwujud'!$T42*12-1))),'Aset Takberwujud'!$AQ42/'Aset Takberwujud'!$AG42,0)))</f>
        <v/>
      </c>
      <c r="F247" s="22" t="str">
        <f>IF($B247="","",IF(N('Aset Takberwujud'!$AG42)=0,0,IF(AND((YEAR(F$211)*12+MONTH(F$211))&gt;='Aset Takberwujud'!$Y42,(YEAR(F$211)*12+MONTH(F$211))&lt;=MIN('Aset Takberwujud'!$Z42,IF('Aset Takberwujud'!$S42="Unit Produksi",99999,'Aset Takberwujud'!$Y42+'Aset Takberwujud'!$T42*12-1))),'Aset Takberwujud'!$AQ42/'Aset Takberwujud'!$AG42,0)))</f>
        <v/>
      </c>
      <c r="G247" s="22" t="str">
        <f>IF($B247="","",IF(N('Aset Takberwujud'!$AG42)=0,0,IF(AND((YEAR(G$211)*12+MONTH(G$211))&gt;='Aset Takberwujud'!$Y42,(YEAR(G$211)*12+MONTH(G$211))&lt;=MIN('Aset Takberwujud'!$Z42,IF('Aset Takberwujud'!$S42="Unit Produksi",99999,'Aset Takberwujud'!$Y42+'Aset Takberwujud'!$T42*12-1))),'Aset Takberwujud'!$AQ42/'Aset Takberwujud'!$AG42,0)))</f>
        <v/>
      </c>
      <c r="H247" s="22" t="str">
        <f>IF($B247="","",IF(N('Aset Takberwujud'!$AG42)=0,0,IF(AND((YEAR(H$211)*12+MONTH(H$211))&gt;='Aset Takberwujud'!$Y42,(YEAR(H$211)*12+MONTH(H$211))&lt;=MIN('Aset Takberwujud'!$Z42,IF('Aset Takberwujud'!$S42="Unit Produksi",99999,'Aset Takberwujud'!$Y42+'Aset Takberwujud'!$T42*12-1))),'Aset Takberwujud'!$AQ42/'Aset Takberwujud'!$AG42,0)))</f>
        <v/>
      </c>
      <c r="I247" s="22" t="str">
        <f>IF($B247="","",IF(N('Aset Takberwujud'!$AG42)=0,0,IF(AND((YEAR(I$211)*12+MONTH(I$211))&gt;='Aset Takberwujud'!$Y42,(YEAR(I$211)*12+MONTH(I$211))&lt;=MIN('Aset Takberwujud'!$Z42,IF('Aset Takberwujud'!$S42="Unit Produksi",99999,'Aset Takberwujud'!$Y42+'Aset Takberwujud'!$T42*12-1))),'Aset Takberwujud'!$AQ42/'Aset Takberwujud'!$AG42,0)))</f>
        <v/>
      </c>
      <c r="J247" s="22" t="str">
        <f>IF($B247="","",IF(N('Aset Takberwujud'!$AG42)=0,0,IF(AND((YEAR(J$211)*12+MONTH(J$211))&gt;='Aset Takberwujud'!$Y42,(YEAR(J$211)*12+MONTH(J$211))&lt;=MIN('Aset Takberwujud'!$Z42,IF('Aset Takberwujud'!$S42="Unit Produksi",99999,'Aset Takberwujud'!$Y42+'Aset Takberwujud'!$T42*12-1))),'Aset Takberwujud'!$AQ42/'Aset Takberwujud'!$AG42,0)))</f>
        <v/>
      </c>
      <c r="K247" s="22" t="str">
        <f>IF($B247="","",IF(N('Aset Takberwujud'!$AG42)=0,0,IF(AND((YEAR(K$211)*12+MONTH(K$211))&gt;='Aset Takberwujud'!$Y42,(YEAR(K$211)*12+MONTH(K$211))&lt;=MIN('Aset Takberwujud'!$Z42,IF('Aset Takberwujud'!$S42="Unit Produksi",99999,'Aset Takberwujud'!$Y42+'Aset Takberwujud'!$T42*12-1))),'Aset Takberwujud'!$AQ42/'Aset Takberwujud'!$AG42,0)))</f>
        <v/>
      </c>
      <c r="L247" s="22" t="str">
        <f>IF($B247="","",IF(N('Aset Takberwujud'!$AG42)=0,0,IF(AND((YEAR(L$211)*12+MONTH(L$211))&gt;='Aset Takberwujud'!$Y42,(YEAR(L$211)*12+MONTH(L$211))&lt;=MIN('Aset Takberwujud'!$Z42,IF('Aset Takberwujud'!$S42="Unit Produksi",99999,'Aset Takberwujud'!$Y42+'Aset Takberwujud'!$T42*12-1))),'Aset Takberwujud'!$AQ42/'Aset Takberwujud'!$AG42,0)))</f>
        <v/>
      </c>
      <c r="M247" s="22" t="str">
        <f>IF($B247="","",IF(N('Aset Takberwujud'!$AG42)=0,0,IF(AND((YEAR(M$211)*12+MONTH(M$211))&gt;='Aset Takberwujud'!$Y42,(YEAR(M$211)*12+MONTH(M$211))&lt;=MIN('Aset Takberwujud'!$Z42,IF('Aset Takberwujud'!$S42="Unit Produksi",99999,'Aset Takberwujud'!$Y42+'Aset Takberwujud'!$T42*12-1))),'Aset Takberwujud'!$AQ42/'Aset Takberwujud'!$AG42,0)))</f>
        <v/>
      </c>
      <c r="N247" s="22" t="str">
        <f>IF($B247="","",IF(N('Aset Takberwujud'!$AG42)=0,0,IF(AND((YEAR(N$211)*12+MONTH(N$211))&gt;='Aset Takberwujud'!$Y42,(YEAR(N$211)*12+MONTH(N$211))&lt;=MIN('Aset Takberwujud'!$Z42,IF('Aset Takberwujud'!$S42="Unit Produksi",99999,'Aset Takberwujud'!$Y42+'Aset Takberwujud'!$T42*12-1))),'Aset Takberwujud'!$AQ42/'Aset Takberwujud'!$AG42,0)))</f>
        <v/>
      </c>
      <c r="O247" s="22" t="str">
        <f>IF($B247="","",IF(N('Aset Takberwujud'!$AG42)=0,0,IF(AND((YEAR(O$211)*12+MONTH(O$211))&gt;='Aset Takberwujud'!$Y42,(YEAR(O$211)*12+MONTH(O$211))&lt;=MIN('Aset Takberwujud'!$Z42,IF('Aset Takberwujud'!$S42="Unit Produksi",99999,'Aset Takberwujud'!$Y42+'Aset Takberwujud'!$T42*12-1))),'Aset Takberwujud'!$AQ42/'Aset Takberwujud'!$AG42,0)))</f>
        <v/>
      </c>
      <c r="P247" s="22" t="str">
        <f>IF($B247="","",IF(N('Aset Takberwujud'!$AG42)=0,0,IF(AND((YEAR(P$211)*12+MONTH(P$211))&gt;='Aset Takberwujud'!$Y42,(YEAR(P$211)*12+MONTH(P$211))&lt;=MIN('Aset Takberwujud'!$Z42,IF('Aset Takberwujud'!$S42="Unit Produksi",99999,'Aset Takberwujud'!$Y42+'Aset Takberwujud'!$T42*12-1))),'Aset Takberwujud'!$AQ42/'Aset Takberwujud'!$AG42,0)))</f>
        <v/>
      </c>
      <c r="Q247" s="22" t="str">
        <f>IF($B247="","",SUM(E247:P247))</f>
        <v/>
      </c>
      <c r="R247" s="22" t="str">
        <f>IF($B247="","",'Aset Takberwujud'!AQ42)</f>
        <v/>
      </c>
      <c r="S247" s="22" t="str">
        <f>IF($B247="","",ROUND(Q247-R247,0))</f>
        <v/>
      </c>
    </row>
    <row r="248" spans="1:19" x14ac:dyDescent="0.25">
      <c r="A248" t="str">
        <f>IF('Aset Takberwujud'!$B43="","",'Aset Takberwujud'!A43)</f>
        <v/>
      </c>
      <c r="B248" t="str">
        <f>IF('Aset Takberwujud'!$B43="","",'Aset Takberwujud'!B43)</f>
        <v/>
      </c>
      <c r="C248" t="str">
        <f>IF('Aset Takberwujud'!$B43="","",'Aset Takberwujud'!C43)</f>
        <v/>
      </c>
      <c r="D248" t="str">
        <f>IF('Aset Takberwujud'!$B43="","",'Aset Takberwujud'!D43)</f>
        <v/>
      </c>
      <c r="E248" s="22" t="str">
        <f>IF($B248="","",IF(N('Aset Takberwujud'!$AG43)=0,0,IF(AND((YEAR(E$211)*12+MONTH(E$211))&gt;='Aset Takberwujud'!$Y43,(YEAR(E$211)*12+MONTH(E$211))&lt;=MIN('Aset Takberwujud'!$Z43,IF('Aset Takberwujud'!$S43="Unit Produksi",99999,'Aset Takberwujud'!$Y43+'Aset Takberwujud'!$T43*12-1))),'Aset Takberwujud'!$AQ43/'Aset Takberwujud'!$AG43,0)))</f>
        <v/>
      </c>
      <c r="F248" s="22" t="str">
        <f>IF($B248="","",IF(N('Aset Takberwujud'!$AG43)=0,0,IF(AND((YEAR(F$211)*12+MONTH(F$211))&gt;='Aset Takberwujud'!$Y43,(YEAR(F$211)*12+MONTH(F$211))&lt;=MIN('Aset Takberwujud'!$Z43,IF('Aset Takberwujud'!$S43="Unit Produksi",99999,'Aset Takberwujud'!$Y43+'Aset Takberwujud'!$T43*12-1))),'Aset Takberwujud'!$AQ43/'Aset Takberwujud'!$AG43,0)))</f>
        <v/>
      </c>
      <c r="G248" s="22" t="str">
        <f>IF($B248="","",IF(N('Aset Takberwujud'!$AG43)=0,0,IF(AND((YEAR(G$211)*12+MONTH(G$211))&gt;='Aset Takberwujud'!$Y43,(YEAR(G$211)*12+MONTH(G$211))&lt;=MIN('Aset Takberwujud'!$Z43,IF('Aset Takberwujud'!$S43="Unit Produksi",99999,'Aset Takberwujud'!$Y43+'Aset Takberwujud'!$T43*12-1))),'Aset Takberwujud'!$AQ43/'Aset Takberwujud'!$AG43,0)))</f>
        <v/>
      </c>
      <c r="H248" s="22" t="str">
        <f>IF($B248="","",IF(N('Aset Takberwujud'!$AG43)=0,0,IF(AND((YEAR(H$211)*12+MONTH(H$211))&gt;='Aset Takberwujud'!$Y43,(YEAR(H$211)*12+MONTH(H$211))&lt;=MIN('Aset Takberwujud'!$Z43,IF('Aset Takberwujud'!$S43="Unit Produksi",99999,'Aset Takberwujud'!$Y43+'Aset Takberwujud'!$T43*12-1))),'Aset Takberwujud'!$AQ43/'Aset Takberwujud'!$AG43,0)))</f>
        <v/>
      </c>
      <c r="I248" s="22" t="str">
        <f>IF($B248="","",IF(N('Aset Takberwujud'!$AG43)=0,0,IF(AND((YEAR(I$211)*12+MONTH(I$211))&gt;='Aset Takberwujud'!$Y43,(YEAR(I$211)*12+MONTH(I$211))&lt;=MIN('Aset Takberwujud'!$Z43,IF('Aset Takberwujud'!$S43="Unit Produksi",99999,'Aset Takberwujud'!$Y43+'Aset Takberwujud'!$T43*12-1))),'Aset Takberwujud'!$AQ43/'Aset Takberwujud'!$AG43,0)))</f>
        <v/>
      </c>
      <c r="J248" s="22" t="str">
        <f>IF($B248="","",IF(N('Aset Takberwujud'!$AG43)=0,0,IF(AND((YEAR(J$211)*12+MONTH(J$211))&gt;='Aset Takberwujud'!$Y43,(YEAR(J$211)*12+MONTH(J$211))&lt;=MIN('Aset Takberwujud'!$Z43,IF('Aset Takberwujud'!$S43="Unit Produksi",99999,'Aset Takberwujud'!$Y43+'Aset Takberwujud'!$T43*12-1))),'Aset Takberwujud'!$AQ43/'Aset Takberwujud'!$AG43,0)))</f>
        <v/>
      </c>
      <c r="K248" s="22" t="str">
        <f>IF($B248="","",IF(N('Aset Takberwujud'!$AG43)=0,0,IF(AND((YEAR(K$211)*12+MONTH(K$211))&gt;='Aset Takberwujud'!$Y43,(YEAR(K$211)*12+MONTH(K$211))&lt;=MIN('Aset Takberwujud'!$Z43,IF('Aset Takberwujud'!$S43="Unit Produksi",99999,'Aset Takberwujud'!$Y43+'Aset Takberwujud'!$T43*12-1))),'Aset Takberwujud'!$AQ43/'Aset Takberwujud'!$AG43,0)))</f>
        <v/>
      </c>
      <c r="L248" s="22" t="str">
        <f>IF($B248="","",IF(N('Aset Takberwujud'!$AG43)=0,0,IF(AND((YEAR(L$211)*12+MONTH(L$211))&gt;='Aset Takberwujud'!$Y43,(YEAR(L$211)*12+MONTH(L$211))&lt;=MIN('Aset Takberwujud'!$Z43,IF('Aset Takberwujud'!$S43="Unit Produksi",99999,'Aset Takberwujud'!$Y43+'Aset Takberwujud'!$T43*12-1))),'Aset Takberwujud'!$AQ43/'Aset Takberwujud'!$AG43,0)))</f>
        <v/>
      </c>
      <c r="M248" s="22" t="str">
        <f>IF($B248="","",IF(N('Aset Takberwujud'!$AG43)=0,0,IF(AND((YEAR(M$211)*12+MONTH(M$211))&gt;='Aset Takberwujud'!$Y43,(YEAR(M$211)*12+MONTH(M$211))&lt;=MIN('Aset Takberwujud'!$Z43,IF('Aset Takberwujud'!$S43="Unit Produksi",99999,'Aset Takberwujud'!$Y43+'Aset Takberwujud'!$T43*12-1))),'Aset Takberwujud'!$AQ43/'Aset Takberwujud'!$AG43,0)))</f>
        <v/>
      </c>
      <c r="N248" s="22" t="str">
        <f>IF($B248="","",IF(N('Aset Takberwujud'!$AG43)=0,0,IF(AND((YEAR(N$211)*12+MONTH(N$211))&gt;='Aset Takberwujud'!$Y43,(YEAR(N$211)*12+MONTH(N$211))&lt;=MIN('Aset Takberwujud'!$Z43,IF('Aset Takberwujud'!$S43="Unit Produksi",99999,'Aset Takberwujud'!$Y43+'Aset Takberwujud'!$T43*12-1))),'Aset Takberwujud'!$AQ43/'Aset Takberwujud'!$AG43,0)))</f>
        <v/>
      </c>
      <c r="O248" s="22" t="str">
        <f>IF($B248="","",IF(N('Aset Takberwujud'!$AG43)=0,0,IF(AND((YEAR(O$211)*12+MONTH(O$211))&gt;='Aset Takberwujud'!$Y43,(YEAR(O$211)*12+MONTH(O$211))&lt;=MIN('Aset Takberwujud'!$Z43,IF('Aset Takberwujud'!$S43="Unit Produksi",99999,'Aset Takberwujud'!$Y43+'Aset Takberwujud'!$T43*12-1))),'Aset Takberwujud'!$AQ43/'Aset Takberwujud'!$AG43,0)))</f>
        <v/>
      </c>
      <c r="P248" s="22" t="str">
        <f>IF($B248="","",IF(N('Aset Takberwujud'!$AG43)=0,0,IF(AND((YEAR(P$211)*12+MONTH(P$211))&gt;='Aset Takberwujud'!$Y43,(YEAR(P$211)*12+MONTH(P$211))&lt;=MIN('Aset Takberwujud'!$Z43,IF('Aset Takberwujud'!$S43="Unit Produksi",99999,'Aset Takberwujud'!$Y43+'Aset Takberwujud'!$T43*12-1))),'Aset Takberwujud'!$AQ43/'Aset Takberwujud'!$AG43,0)))</f>
        <v/>
      </c>
      <c r="Q248" s="22" t="str">
        <f>IF($B248="","",SUM(E248:P248))</f>
        <v/>
      </c>
      <c r="R248" s="22" t="str">
        <f>IF($B248="","",'Aset Takberwujud'!AQ43)</f>
        <v/>
      </c>
      <c r="S248" s="22" t="str">
        <f>IF($B248="","",ROUND(Q248-R248,0))</f>
        <v/>
      </c>
    </row>
    <row r="249" spans="1:19" x14ac:dyDescent="0.25">
      <c r="A249" t="str">
        <f>IF('Aset Takberwujud'!$B44="","",'Aset Takberwujud'!A44)</f>
        <v/>
      </c>
      <c r="B249" t="str">
        <f>IF('Aset Takberwujud'!$B44="","",'Aset Takberwujud'!B44)</f>
        <v/>
      </c>
      <c r="C249" t="str">
        <f>IF('Aset Takberwujud'!$B44="","",'Aset Takberwujud'!C44)</f>
        <v/>
      </c>
      <c r="D249" t="str">
        <f>IF('Aset Takberwujud'!$B44="","",'Aset Takberwujud'!D44)</f>
        <v/>
      </c>
      <c r="E249" s="22" t="str">
        <f>IF($B249="","",IF(N('Aset Takberwujud'!$AG44)=0,0,IF(AND((YEAR(E$211)*12+MONTH(E$211))&gt;='Aset Takberwujud'!$Y44,(YEAR(E$211)*12+MONTH(E$211))&lt;=MIN('Aset Takberwujud'!$Z44,IF('Aset Takberwujud'!$S44="Unit Produksi",99999,'Aset Takberwujud'!$Y44+'Aset Takberwujud'!$T44*12-1))),'Aset Takberwujud'!$AQ44/'Aset Takberwujud'!$AG44,0)))</f>
        <v/>
      </c>
      <c r="F249" s="22" t="str">
        <f>IF($B249="","",IF(N('Aset Takberwujud'!$AG44)=0,0,IF(AND((YEAR(F$211)*12+MONTH(F$211))&gt;='Aset Takberwujud'!$Y44,(YEAR(F$211)*12+MONTH(F$211))&lt;=MIN('Aset Takberwujud'!$Z44,IF('Aset Takberwujud'!$S44="Unit Produksi",99999,'Aset Takberwujud'!$Y44+'Aset Takberwujud'!$T44*12-1))),'Aset Takberwujud'!$AQ44/'Aset Takberwujud'!$AG44,0)))</f>
        <v/>
      </c>
      <c r="G249" s="22" t="str">
        <f>IF($B249="","",IF(N('Aset Takberwujud'!$AG44)=0,0,IF(AND((YEAR(G$211)*12+MONTH(G$211))&gt;='Aset Takberwujud'!$Y44,(YEAR(G$211)*12+MONTH(G$211))&lt;=MIN('Aset Takberwujud'!$Z44,IF('Aset Takberwujud'!$S44="Unit Produksi",99999,'Aset Takberwujud'!$Y44+'Aset Takberwujud'!$T44*12-1))),'Aset Takberwujud'!$AQ44/'Aset Takberwujud'!$AG44,0)))</f>
        <v/>
      </c>
      <c r="H249" s="22" t="str">
        <f>IF($B249="","",IF(N('Aset Takberwujud'!$AG44)=0,0,IF(AND((YEAR(H$211)*12+MONTH(H$211))&gt;='Aset Takberwujud'!$Y44,(YEAR(H$211)*12+MONTH(H$211))&lt;=MIN('Aset Takberwujud'!$Z44,IF('Aset Takberwujud'!$S44="Unit Produksi",99999,'Aset Takberwujud'!$Y44+'Aset Takberwujud'!$T44*12-1))),'Aset Takberwujud'!$AQ44/'Aset Takberwujud'!$AG44,0)))</f>
        <v/>
      </c>
      <c r="I249" s="22" t="str">
        <f>IF($B249="","",IF(N('Aset Takberwujud'!$AG44)=0,0,IF(AND((YEAR(I$211)*12+MONTH(I$211))&gt;='Aset Takberwujud'!$Y44,(YEAR(I$211)*12+MONTH(I$211))&lt;=MIN('Aset Takberwujud'!$Z44,IF('Aset Takberwujud'!$S44="Unit Produksi",99999,'Aset Takberwujud'!$Y44+'Aset Takberwujud'!$T44*12-1))),'Aset Takberwujud'!$AQ44/'Aset Takberwujud'!$AG44,0)))</f>
        <v/>
      </c>
      <c r="J249" s="22" t="str">
        <f>IF($B249="","",IF(N('Aset Takberwujud'!$AG44)=0,0,IF(AND((YEAR(J$211)*12+MONTH(J$211))&gt;='Aset Takberwujud'!$Y44,(YEAR(J$211)*12+MONTH(J$211))&lt;=MIN('Aset Takberwujud'!$Z44,IF('Aset Takberwujud'!$S44="Unit Produksi",99999,'Aset Takberwujud'!$Y44+'Aset Takberwujud'!$T44*12-1))),'Aset Takberwujud'!$AQ44/'Aset Takberwujud'!$AG44,0)))</f>
        <v/>
      </c>
      <c r="K249" s="22" t="str">
        <f>IF($B249="","",IF(N('Aset Takberwujud'!$AG44)=0,0,IF(AND((YEAR(K$211)*12+MONTH(K$211))&gt;='Aset Takberwujud'!$Y44,(YEAR(K$211)*12+MONTH(K$211))&lt;=MIN('Aset Takberwujud'!$Z44,IF('Aset Takberwujud'!$S44="Unit Produksi",99999,'Aset Takberwujud'!$Y44+'Aset Takberwujud'!$T44*12-1))),'Aset Takberwujud'!$AQ44/'Aset Takberwujud'!$AG44,0)))</f>
        <v/>
      </c>
      <c r="L249" s="22" t="str">
        <f>IF($B249="","",IF(N('Aset Takberwujud'!$AG44)=0,0,IF(AND((YEAR(L$211)*12+MONTH(L$211))&gt;='Aset Takberwujud'!$Y44,(YEAR(L$211)*12+MONTH(L$211))&lt;=MIN('Aset Takberwujud'!$Z44,IF('Aset Takberwujud'!$S44="Unit Produksi",99999,'Aset Takberwujud'!$Y44+'Aset Takberwujud'!$T44*12-1))),'Aset Takberwujud'!$AQ44/'Aset Takberwujud'!$AG44,0)))</f>
        <v/>
      </c>
      <c r="M249" s="22" t="str">
        <f>IF($B249="","",IF(N('Aset Takberwujud'!$AG44)=0,0,IF(AND((YEAR(M$211)*12+MONTH(M$211))&gt;='Aset Takberwujud'!$Y44,(YEAR(M$211)*12+MONTH(M$211))&lt;=MIN('Aset Takberwujud'!$Z44,IF('Aset Takberwujud'!$S44="Unit Produksi",99999,'Aset Takberwujud'!$Y44+'Aset Takberwujud'!$T44*12-1))),'Aset Takberwujud'!$AQ44/'Aset Takberwujud'!$AG44,0)))</f>
        <v/>
      </c>
      <c r="N249" s="22" t="str">
        <f>IF($B249="","",IF(N('Aset Takberwujud'!$AG44)=0,0,IF(AND((YEAR(N$211)*12+MONTH(N$211))&gt;='Aset Takberwujud'!$Y44,(YEAR(N$211)*12+MONTH(N$211))&lt;=MIN('Aset Takberwujud'!$Z44,IF('Aset Takberwujud'!$S44="Unit Produksi",99999,'Aset Takberwujud'!$Y44+'Aset Takberwujud'!$T44*12-1))),'Aset Takberwujud'!$AQ44/'Aset Takberwujud'!$AG44,0)))</f>
        <v/>
      </c>
      <c r="O249" s="22" t="str">
        <f>IF($B249="","",IF(N('Aset Takberwujud'!$AG44)=0,0,IF(AND((YEAR(O$211)*12+MONTH(O$211))&gt;='Aset Takberwujud'!$Y44,(YEAR(O$211)*12+MONTH(O$211))&lt;=MIN('Aset Takberwujud'!$Z44,IF('Aset Takberwujud'!$S44="Unit Produksi",99999,'Aset Takberwujud'!$Y44+'Aset Takberwujud'!$T44*12-1))),'Aset Takberwujud'!$AQ44/'Aset Takberwujud'!$AG44,0)))</f>
        <v/>
      </c>
      <c r="P249" s="22" t="str">
        <f>IF($B249="","",IF(N('Aset Takberwujud'!$AG44)=0,0,IF(AND((YEAR(P$211)*12+MONTH(P$211))&gt;='Aset Takberwujud'!$Y44,(YEAR(P$211)*12+MONTH(P$211))&lt;=MIN('Aset Takberwujud'!$Z44,IF('Aset Takberwujud'!$S44="Unit Produksi",99999,'Aset Takberwujud'!$Y44+'Aset Takberwujud'!$T44*12-1))),'Aset Takberwujud'!$AQ44/'Aset Takberwujud'!$AG44,0)))</f>
        <v/>
      </c>
      <c r="Q249" s="22" t="str">
        <f>IF($B249="","",SUM(E249:P249))</f>
        <v/>
      </c>
      <c r="R249" s="22" t="str">
        <f>IF($B249="","",'Aset Takberwujud'!AQ44)</f>
        <v/>
      </c>
      <c r="S249" s="22" t="str">
        <f>IF($B249="","",ROUND(Q249-R249,0))</f>
        <v/>
      </c>
    </row>
    <row r="250" spans="1:19" x14ac:dyDescent="0.25">
      <c r="A250" t="str">
        <f>IF('Aset Takberwujud'!$B45="","",'Aset Takberwujud'!A45)</f>
        <v/>
      </c>
      <c r="B250" t="str">
        <f>IF('Aset Takberwujud'!$B45="","",'Aset Takberwujud'!B45)</f>
        <v/>
      </c>
      <c r="C250" t="str">
        <f>IF('Aset Takberwujud'!$B45="","",'Aset Takberwujud'!C45)</f>
        <v/>
      </c>
      <c r="D250" t="str">
        <f>IF('Aset Takberwujud'!$B45="","",'Aset Takberwujud'!D45)</f>
        <v/>
      </c>
      <c r="E250" s="22" t="str">
        <f>IF($B250="","",IF(N('Aset Takberwujud'!$AG45)=0,0,IF(AND((YEAR(E$211)*12+MONTH(E$211))&gt;='Aset Takberwujud'!$Y45,(YEAR(E$211)*12+MONTH(E$211))&lt;=MIN('Aset Takberwujud'!$Z45,IF('Aset Takberwujud'!$S45="Unit Produksi",99999,'Aset Takberwujud'!$Y45+'Aset Takberwujud'!$T45*12-1))),'Aset Takberwujud'!$AQ45/'Aset Takberwujud'!$AG45,0)))</f>
        <v/>
      </c>
      <c r="F250" s="22" t="str">
        <f>IF($B250="","",IF(N('Aset Takberwujud'!$AG45)=0,0,IF(AND((YEAR(F$211)*12+MONTH(F$211))&gt;='Aset Takberwujud'!$Y45,(YEAR(F$211)*12+MONTH(F$211))&lt;=MIN('Aset Takberwujud'!$Z45,IF('Aset Takberwujud'!$S45="Unit Produksi",99999,'Aset Takberwujud'!$Y45+'Aset Takberwujud'!$T45*12-1))),'Aset Takberwujud'!$AQ45/'Aset Takberwujud'!$AG45,0)))</f>
        <v/>
      </c>
      <c r="G250" s="22" t="str">
        <f>IF($B250="","",IF(N('Aset Takberwujud'!$AG45)=0,0,IF(AND((YEAR(G$211)*12+MONTH(G$211))&gt;='Aset Takberwujud'!$Y45,(YEAR(G$211)*12+MONTH(G$211))&lt;=MIN('Aset Takberwujud'!$Z45,IF('Aset Takberwujud'!$S45="Unit Produksi",99999,'Aset Takberwujud'!$Y45+'Aset Takberwujud'!$T45*12-1))),'Aset Takberwujud'!$AQ45/'Aset Takberwujud'!$AG45,0)))</f>
        <v/>
      </c>
      <c r="H250" s="22" t="str">
        <f>IF($B250="","",IF(N('Aset Takberwujud'!$AG45)=0,0,IF(AND((YEAR(H$211)*12+MONTH(H$211))&gt;='Aset Takberwujud'!$Y45,(YEAR(H$211)*12+MONTH(H$211))&lt;=MIN('Aset Takberwujud'!$Z45,IF('Aset Takberwujud'!$S45="Unit Produksi",99999,'Aset Takberwujud'!$Y45+'Aset Takberwujud'!$T45*12-1))),'Aset Takberwujud'!$AQ45/'Aset Takberwujud'!$AG45,0)))</f>
        <v/>
      </c>
      <c r="I250" s="22" t="str">
        <f>IF($B250="","",IF(N('Aset Takberwujud'!$AG45)=0,0,IF(AND((YEAR(I$211)*12+MONTH(I$211))&gt;='Aset Takberwujud'!$Y45,(YEAR(I$211)*12+MONTH(I$211))&lt;=MIN('Aset Takberwujud'!$Z45,IF('Aset Takberwujud'!$S45="Unit Produksi",99999,'Aset Takberwujud'!$Y45+'Aset Takberwujud'!$T45*12-1))),'Aset Takberwujud'!$AQ45/'Aset Takberwujud'!$AG45,0)))</f>
        <v/>
      </c>
      <c r="J250" s="22" t="str">
        <f>IF($B250="","",IF(N('Aset Takberwujud'!$AG45)=0,0,IF(AND((YEAR(J$211)*12+MONTH(J$211))&gt;='Aset Takberwujud'!$Y45,(YEAR(J$211)*12+MONTH(J$211))&lt;=MIN('Aset Takberwujud'!$Z45,IF('Aset Takberwujud'!$S45="Unit Produksi",99999,'Aset Takberwujud'!$Y45+'Aset Takberwujud'!$T45*12-1))),'Aset Takberwujud'!$AQ45/'Aset Takberwujud'!$AG45,0)))</f>
        <v/>
      </c>
      <c r="K250" s="22" t="str">
        <f>IF($B250="","",IF(N('Aset Takberwujud'!$AG45)=0,0,IF(AND((YEAR(K$211)*12+MONTH(K$211))&gt;='Aset Takberwujud'!$Y45,(YEAR(K$211)*12+MONTH(K$211))&lt;=MIN('Aset Takberwujud'!$Z45,IF('Aset Takberwujud'!$S45="Unit Produksi",99999,'Aset Takberwujud'!$Y45+'Aset Takberwujud'!$T45*12-1))),'Aset Takberwujud'!$AQ45/'Aset Takberwujud'!$AG45,0)))</f>
        <v/>
      </c>
      <c r="L250" s="22" t="str">
        <f>IF($B250="","",IF(N('Aset Takberwujud'!$AG45)=0,0,IF(AND((YEAR(L$211)*12+MONTH(L$211))&gt;='Aset Takberwujud'!$Y45,(YEAR(L$211)*12+MONTH(L$211))&lt;=MIN('Aset Takberwujud'!$Z45,IF('Aset Takberwujud'!$S45="Unit Produksi",99999,'Aset Takberwujud'!$Y45+'Aset Takberwujud'!$T45*12-1))),'Aset Takberwujud'!$AQ45/'Aset Takberwujud'!$AG45,0)))</f>
        <v/>
      </c>
      <c r="M250" s="22" t="str">
        <f>IF($B250="","",IF(N('Aset Takberwujud'!$AG45)=0,0,IF(AND((YEAR(M$211)*12+MONTH(M$211))&gt;='Aset Takberwujud'!$Y45,(YEAR(M$211)*12+MONTH(M$211))&lt;=MIN('Aset Takberwujud'!$Z45,IF('Aset Takberwujud'!$S45="Unit Produksi",99999,'Aset Takberwujud'!$Y45+'Aset Takberwujud'!$T45*12-1))),'Aset Takberwujud'!$AQ45/'Aset Takberwujud'!$AG45,0)))</f>
        <v/>
      </c>
      <c r="N250" s="22" t="str">
        <f>IF($B250="","",IF(N('Aset Takberwujud'!$AG45)=0,0,IF(AND((YEAR(N$211)*12+MONTH(N$211))&gt;='Aset Takberwujud'!$Y45,(YEAR(N$211)*12+MONTH(N$211))&lt;=MIN('Aset Takberwujud'!$Z45,IF('Aset Takberwujud'!$S45="Unit Produksi",99999,'Aset Takberwujud'!$Y45+'Aset Takberwujud'!$T45*12-1))),'Aset Takberwujud'!$AQ45/'Aset Takberwujud'!$AG45,0)))</f>
        <v/>
      </c>
      <c r="O250" s="22" t="str">
        <f>IF($B250="","",IF(N('Aset Takberwujud'!$AG45)=0,0,IF(AND((YEAR(O$211)*12+MONTH(O$211))&gt;='Aset Takberwujud'!$Y45,(YEAR(O$211)*12+MONTH(O$211))&lt;=MIN('Aset Takberwujud'!$Z45,IF('Aset Takberwujud'!$S45="Unit Produksi",99999,'Aset Takberwujud'!$Y45+'Aset Takberwujud'!$T45*12-1))),'Aset Takberwujud'!$AQ45/'Aset Takberwujud'!$AG45,0)))</f>
        <v/>
      </c>
      <c r="P250" s="22" t="str">
        <f>IF($B250="","",IF(N('Aset Takberwujud'!$AG45)=0,0,IF(AND((YEAR(P$211)*12+MONTH(P$211))&gt;='Aset Takberwujud'!$Y45,(YEAR(P$211)*12+MONTH(P$211))&lt;=MIN('Aset Takberwujud'!$Z45,IF('Aset Takberwujud'!$S45="Unit Produksi",99999,'Aset Takberwujud'!$Y45+'Aset Takberwujud'!$T45*12-1))),'Aset Takberwujud'!$AQ45/'Aset Takberwujud'!$AG45,0)))</f>
        <v/>
      </c>
      <c r="Q250" s="22" t="str">
        <f>IF($B250="","",SUM(E250:P250))</f>
        <v/>
      </c>
      <c r="R250" s="22" t="str">
        <f>IF($B250="","",'Aset Takberwujud'!AQ45)</f>
        <v/>
      </c>
      <c r="S250" s="22" t="str">
        <f>IF($B250="","",ROUND(Q250-R250,0))</f>
        <v/>
      </c>
    </row>
    <row r="251" spans="1:19" x14ac:dyDescent="0.25">
      <c r="A251" t="str">
        <f>IF('Aset Takberwujud'!$B46="","",'Aset Takberwujud'!A46)</f>
        <v/>
      </c>
      <c r="B251" t="str">
        <f>IF('Aset Takberwujud'!$B46="","",'Aset Takberwujud'!B46)</f>
        <v/>
      </c>
      <c r="C251" t="str">
        <f>IF('Aset Takberwujud'!$B46="","",'Aset Takberwujud'!C46)</f>
        <v/>
      </c>
      <c r="D251" t="str">
        <f>IF('Aset Takberwujud'!$B46="","",'Aset Takberwujud'!D46)</f>
        <v/>
      </c>
      <c r="E251" s="22" t="str">
        <f>IF($B251="","",IF(N('Aset Takberwujud'!$AG46)=0,0,IF(AND((YEAR(E$211)*12+MONTH(E$211))&gt;='Aset Takberwujud'!$Y46,(YEAR(E$211)*12+MONTH(E$211))&lt;=MIN('Aset Takberwujud'!$Z46,IF('Aset Takberwujud'!$S46="Unit Produksi",99999,'Aset Takberwujud'!$Y46+'Aset Takberwujud'!$T46*12-1))),'Aset Takberwujud'!$AQ46/'Aset Takberwujud'!$AG46,0)))</f>
        <v/>
      </c>
      <c r="F251" s="22" t="str">
        <f>IF($B251="","",IF(N('Aset Takberwujud'!$AG46)=0,0,IF(AND((YEAR(F$211)*12+MONTH(F$211))&gt;='Aset Takberwujud'!$Y46,(YEAR(F$211)*12+MONTH(F$211))&lt;=MIN('Aset Takberwujud'!$Z46,IF('Aset Takberwujud'!$S46="Unit Produksi",99999,'Aset Takberwujud'!$Y46+'Aset Takberwujud'!$T46*12-1))),'Aset Takberwujud'!$AQ46/'Aset Takberwujud'!$AG46,0)))</f>
        <v/>
      </c>
      <c r="G251" s="22" t="str">
        <f>IF($B251="","",IF(N('Aset Takberwujud'!$AG46)=0,0,IF(AND((YEAR(G$211)*12+MONTH(G$211))&gt;='Aset Takberwujud'!$Y46,(YEAR(G$211)*12+MONTH(G$211))&lt;=MIN('Aset Takberwujud'!$Z46,IF('Aset Takberwujud'!$S46="Unit Produksi",99999,'Aset Takberwujud'!$Y46+'Aset Takberwujud'!$T46*12-1))),'Aset Takberwujud'!$AQ46/'Aset Takberwujud'!$AG46,0)))</f>
        <v/>
      </c>
      <c r="H251" s="22" t="str">
        <f>IF($B251="","",IF(N('Aset Takberwujud'!$AG46)=0,0,IF(AND((YEAR(H$211)*12+MONTH(H$211))&gt;='Aset Takberwujud'!$Y46,(YEAR(H$211)*12+MONTH(H$211))&lt;=MIN('Aset Takberwujud'!$Z46,IF('Aset Takberwujud'!$S46="Unit Produksi",99999,'Aset Takberwujud'!$Y46+'Aset Takberwujud'!$T46*12-1))),'Aset Takberwujud'!$AQ46/'Aset Takberwujud'!$AG46,0)))</f>
        <v/>
      </c>
      <c r="I251" s="22" t="str">
        <f>IF($B251="","",IF(N('Aset Takberwujud'!$AG46)=0,0,IF(AND((YEAR(I$211)*12+MONTH(I$211))&gt;='Aset Takberwujud'!$Y46,(YEAR(I$211)*12+MONTH(I$211))&lt;=MIN('Aset Takberwujud'!$Z46,IF('Aset Takberwujud'!$S46="Unit Produksi",99999,'Aset Takberwujud'!$Y46+'Aset Takberwujud'!$T46*12-1))),'Aset Takberwujud'!$AQ46/'Aset Takberwujud'!$AG46,0)))</f>
        <v/>
      </c>
      <c r="J251" s="22" t="str">
        <f>IF($B251="","",IF(N('Aset Takberwujud'!$AG46)=0,0,IF(AND((YEAR(J$211)*12+MONTH(J$211))&gt;='Aset Takberwujud'!$Y46,(YEAR(J$211)*12+MONTH(J$211))&lt;=MIN('Aset Takberwujud'!$Z46,IF('Aset Takberwujud'!$S46="Unit Produksi",99999,'Aset Takberwujud'!$Y46+'Aset Takberwujud'!$T46*12-1))),'Aset Takberwujud'!$AQ46/'Aset Takberwujud'!$AG46,0)))</f>
        <v/>
      </c>
      <c r="K251" s="22" t="str">
        <f>IF($B251="","",IF(N('Aset Takberwujud'!$AG46)=0,0,IF(AND((YEAR(K$211)*12+MONTH(K$211))&gt;='Aset Takberwujud'!$Y46,(YEAR(K$211)*12+MONTH(K$211))&lt;=MIN('Aset Takberwujud'!$Z46,IF('Aset Takberwujud'!$S46="Unit Produksi",99999,'Aset Takberwujud'!$Y46+'Aset Takberwujud'!$T46*12-1))),'Aset Takberwujud'!$AQ46/'Aset Takberwujud'!$AG46,0)))</f>
        <v/>
      </c>
      <c r="L251" s="22" t="str">
        <f>IF($B251="","",IF(N('Aset Takberwujud'!$AG46)=0,0,IF(AND((YEAR(L$211)*12+MONTH(L$211))&gt;='Aset Takberwujud'!$Y46,(YEAR(L$211)*12+MONTH(L$211))&lt;=MIN('Aset Takberwujud'!$Z46,IF('Aset Takberwujud'!$S46="Unit Produksi",99999,'Aset Takberwujud'!$Y46+'Aset Takberwujud'!$T46*12-1))),'Aset Takberwujud'!$AQ46/'Aset Takberwujud'!$AG46,0)))</f>
        <v/>
      </c>
      <c r="M251" s="22" t="str">
        <f>IF($B251="","",IF(N('Aset Takberwujud'!$AG46)=0,0,IF(AND((YEAR(M$211)*12+MONTH(M$211))&gt;='Aset Takberwujud'!$Y46,(YEAR(M$211)*12+MONTH(M$211))&lt;=MIN('Aset Takberwujud'!$Z46,IF('Aset Takberwujud'!$S46="Unit Produksi",99999,'Aset Takberwujud'!$Y46+'Aset Takberwujud'!$T46*12-1))),'Aset Takberwujud'!$AQ46/'Aset Takberwujud'!$AG46,0)))</f>
        <v/>
      </c>
      <c r="N251" s="22" t="str">
        <f>IF($B251="","",IF(N('Aset Takberwujud'!$AG46)=0,0,IF(AND((YEAR(N$211)*12+MONTH(N$211))&gt;='Aset Takberwujud'!$Y46,(YEAR(N$211)*12+MONTH(N$211))&lt;=MIN('Aset Takberwujud'!$Z46,IF('Aset Takberwujud'!$S46="Unit Produksi",99999,'Aset Takberwujud'!$Y46+'Aset Takberwujud'!$T46*12-1))),'Aset Takberwujud'!$AQ46/'Aset Takberwujud'!$AG46,0)))</f>
        <v/>
      </c>
      <c r="O251" s="22" t="str">
        <f>IF($B251="","",IF(N('Aset Takberwujud'!$AG46)=0,0,IF(AND((YEAR(O$211)*12+MONTH(O$211))&gt;='Aset Takberwujud'!$Y46,(YEAR(O$211)*12+MONTH(O$211))&lt;=MIN('Aset Takberwujud'!$Z46,IF('Aset Takberwujud'!$S46="Unit Produksi",99999,'Aset Takberwujud'!$Y46+'Aset Takberwujud'!$T46*12-1))),'Aset Takberwujud'!$AQ46/'Aset Takberwujud'!$AG46,0)))</f>
        <v/>
      </c>
      <c r="P251" s="22" t="str">
        <f>IF($B251="","",IF(N('Aset Takberwujud'!$AG46)=0,0,IF(AND((YEAR(P$211)*12+MONTH(P$211))&gt;='Aset Takberwujud'!$Y46,(YEAR(P$211)*12+MONTH(P$211))&lt;=MIN('Aset Takberwujud'!$Z46,IF('Aset Takberwujud'!$S46="Unit Produksi",99999,'Aset Takberwujud'!$Y46+'Aset Takberwujud'!$T46*12-1))),'Aset Takberwujud'!$AQ46/'Aset Takberwujud'!$AG46,0)))</f>
        <v/>
      </c>
      <c r="Q251" s="22" t="str">
        <f>IF($B251="","",SUM(E251:P251))</f>
        <v/>
      </c>
      <c r="R251" s="22" t="str">
        <f>IF($B251="","",'Aset Takberwujud'!AQ46)</f>
        <v/>
      </c>
      <c r="S251" s="22" t="str">
        <f>IF($B251="","",ROUND(Q251-R251,0))</f>
        <v/>
      </c>
    </row>
    <row r="252" spans="1:19" x14ac:dyDescent="0.25">
      <c r="A252" t="str">
        <f>IF('Aset Takberwujud'!$B47="","",'Aset Takberwujud'!A47)</f>
        <v/>
      </c>
      <c r="B252" t="str">
        <f>IF('Aset Takberwujud'!$B47="","",'Aset Takberwujud'!B47)</f>
        <v/>
      </c>
      <c r="C252" t="str">
        <f>IF('Aset Takberwujud'!$B47="","",'Aset Takberwujud'!C47)</f>
        <v/>
      </c>
      <c r="D252" t="str">
        <f>IF('Aset Takberwujud'!$B47="","",'Aset Takberwujud'!D47)</f>
        <v/>
      </c>
      <c r="E252" s="22" t="str">
        <f>IF($B252="","",IF(N('Aset Takberwujud'!$AG47)=0,0,IF(AND((YEAR(E$211)*12+MONTH(E$211))&gt;='Aset Takberwujud'!$Y47,(YEAR(E$211)*12+MONTH(E$211))&lt;=MIN('Aset Takberwujud'!$Z47,IF('Aset Takberwujud'!$S47="Unit Produksi",99999,'Aset Takberwujud'!$Y47+'Aset Takberwujud'!$T47*12-1))),'Aset Takberwujud'!$AQ47/'Aset Takberwujud'!$AG47,0)))</f>
        <v/>
      </c>
      <c r="F252" s="22" t="str">
        <f>IF($B252="","",IF(N('Aset Takberwujud'!$AG47)=0,0,IF(AND((YEAR(F$211)*12+MONTH(F$211))&gt;='Aset Takberwujud'!$Y47,(YEAR(F$211)*12+MONTH(F$211))&lt;=MIN('Aset Takberwujud'!$Z47,IF('Aset Takberwujud'!$S47="Unit Produksi",99999,'Aset Takberwujud'!$Y47+'Aset Takberwujud'!$T47*12-1))),'Aset Takberwujud'!$AQ47/'Aset Takberwujud'!$AG47,0)))</f>
        <v/>
      </c>
      <c r="G252" s="22" t="str">
        <f>IF($B252="","",IF(N('Aset Takberwujud'!$AG47)=0,0,IF(AND((YEAR(G$211)*12+MONTH(G$211))&gt;='Aset Takberwujud'!$Y47,(YEAR(G$211)*12+MONTH(G$211))&lt;=MIN('Aset Takberwujud'!$Z47,IF('Aset Takberwujud'!$S47="Unit Produksi",99999,'Aset Takberwujud'!$Y47+'Aset Takberwujud'!$T47*12-1))),'Aset Takberwujud'!$AQ47/'Aset Takberwujud'!$AG47,0)))</f>
        <v/>
      </c>
      <c r="H252" s="22" t="str">
        <f>IF($B252="","",IF(N('Aset Takberwujud'!$AG47)=0,0,IF(AND((YEAR(H$211)*12+MONTH(H$211))&gt;='Aset Takberwujud'!$Y47,(YEAR(H$211)*12+MONTH(H$211))&lt;=MIN('Aset Takberwujud'!$Z47,IF('Aset Takberwujud'!$S47="Unit Produksi",99999,'Aset Takberwujud'!$Y47+'Aset Takberwujud'!$T47*12-1))),'Aset Takberwujud'!$AQ47/'Aset Takberwujud'!$AG47,0)))</f>
        <v/>
      </c>
      <c r="I252" s="22" t="str">
        <f>IF($B252="","",IF(N('Aset Takberwujud'!$AG47)=0,0,IF(AND((YEAR(I$211)*12+MONTH(I$211))&gt;='Aset Takberwujud'!$Y47,(YEAR(I$211)*12+MONTH(I$211))&lt;=MIN('Aset Takberwujud'!$Z47,IF('Aset Takberwujud'!$S47="Unit Produksi",99999,'Aset Takberwujud'!$Y47+'Aset Takberwujud'!$T47*12-1))),'Aset Takberwujud'!$AQ47/'Aset Takberwujud'!$AG47,0)))</f>
        <v/>
      </c>
      <c r="J252" s="22" t="str">
        <f>IF($B252="","",IF(N('Aset Takberwujud'!$AG47)=0,0,IF(AND((YEAR(J$211)*12+MONTH(J$211))&gt;='Aset Takberwujud'!$Y47,(YEAR(J$211)*12+MONTH(J$211))&lt;=MIN('Aset Takberwujud'!$Z47,IF('Aset Takberwujud'!$S47="Unit Produksi",99999,'Aset Takberwujud'!$Y47+'Aset Takberwujud'!$T47*12-1))),'Aset Takberwujud'!$AQ47/'Aset Takberwujud'!$AG47,0)))</f>
        <v/>
      </c>
      <c r="K252" s="22" t="str">
        <f>IF($B252="","",IF(N('Aset Takberwujud'!$AG47)=0,0,IF(AND((YEAR(K$211)*12+MONTH(K$211))&gt;='Aset Takberwujud'!$Y47,(YEAR(K$211)*12+MONTH(K$211))&lt;=MIN('Aset Takberwujud'!$Z47,IF('Aset Takberwujud'!$S47="Unit Produksi",99999,'Aset Takberwujud'!$Y47+'Aset Takberwujud'!$T47*12-1))),'Aset Takberwujud'!$AQ47/'Aset Takberwujud'!$AG47,0)))</f>
        <v/>
      </c>
      <c r="L252" s="22" t="str">
        <f>IF($B252="","",IF(N('Aset Takberwujud'!$AG47)=0,0,IF(AND((YEAR(L$211)*12+MONTH(L$211))&gt;='Aset Takberwujud'!$Y47,(YEAR(L$211)*12+MONTH(L$211))&lt;=MIN('Aset Takberwujud'!$Z47,IF('Aset Takberwujud'!$S47="Unit Produksi",99999,'Aset Takberwujud'!$Y47+'Aset Takberwujud'!$T47*12-1))),'Aset Takberwujud'!$AQ47/'Aset Takberwujud'!$AG47,0)))</f>
        <v/>
      </c>
      <c r="M252" s="22" t="str">
        <f>IF($B252="","",IF(N('Aset Takberwujud'!$AG47)=0,0,IF(AND((YEAR(M$211)*12+MONTH(M$211))&gt;='Aset Takberwujud'!$Y47,(YEAR(M$211)*12+MONTH(M$211))&lt;=MIN('Aset Takberwujud'!$Z47,IF('Aset Takberwujud'!$S47="Unit Produksi",99999,'Aset Takberwujud'!$Y47+'Aset Takberwujud'!$T47*12-1))),'Aset Takberwujud'!$AQ47/'Aset Takberwujud'!$AG47,0)))</f>
        <v/>
      </c>
      <c r="N252" s="22" t="str">
        <f>IF($B252="","",IF(N('Aset Takberwujud'!$AG47)=0,0,IF(AND((YEAR(N$211)*12+MONTH(N$211))&gt;='Aset Takberwujud'!$Y47,(YEAR(N$211)*12+MONTH(N$211))&lt;=MIN('Aset Takberwujud'!$Z47,IF('Aset Takberwujud'!$S47="Unit Produksi",99999,'Aset Takberwujud'!$Y47+'Aset Takberwujud'!$T47*12-1))),'Aset Takberwujud'!$AQ47/'Aset Takberwujud'!$AG47,0)))</f>
        <v/>
      </c>
      <c r="O252" s="22" t="str">
        <f>IF($B252="","",IF(N('Aset Takberwujud'!$AG47)=0,0,IF(AND((YEAR(O$211)*12+MONTH(O$211))&gt;='Aset Takberwujud'!$Y47,(YEAR(O$211)*12+MONTH(O$211))&lt;=MIN('Aset Takberwujud'!$Z47,IF('Aset Takberwujud'!$S47="Unit Produksi",99999,'Aset Takberwujud'!$Y47+'Aset Takberwujud'!$T47*12-1))),'Aset Takberwujud'!$AQ47/'Aset Takberwujud'!$AG47,0)))</f>
        <v/>
      </c>
      <c r="P252" s="22" t="str">
        <f>IF($B252="","",IF(N('Aset Takberwujud'!$AG47)=0,0,IF(AND((YEAR(P$211)*12+MONTH(P$211))&gt;='Aset Takberwujud'!$Y47,(YEAR(P$211)*12+MONTH(P$211))&lt;=MIN('Aset Takberwujud'!$Z47,IF('Aset Takberwujud'!$S47="Unit Produksi",99999,'Aset Takberwujud'!$Y47+'Aset Takberwujud'!$T47*12-1))),'Aset Takberwujud'!$AQ47/'Aset Takberwujud'!$AG47,0)))</f>
        <v/>
      </c>
      <c r="Q252" s="22" t="str">
        <f>IF($B252="","",SUM(E252:P252))</f>
        <v/>
      </c>
      <c r="R252" s="22" t="str">
        <f>IF($B252="","",'Aset Takberwujud'!AQ47)</f>
        <v/>
      </c>
      <c r="S252" s="22" t="str">
        <f>IF($B252="","",ROUND(Q252-R252,0))</f>
        <v/>
      </c>
    </row>
    <row r="253" spans="1:19" x14ac:dyDescent="0.25">
      <c r="A253" t="str">
        <f>IF('Aset Takberwujud'!$B48="","",'Aset Takberwujud'!A48)</f>
        <v/>
      </c>
      <c r="B253" t="str">
        <f>IF('Aset Takberwujud'!$B48="","",'Aset Takberwujud'!B48)</f>
        <v/>
      </c>
      <c r="C253" t="str">
        <f>IF('Aset Takberwujud'!$B48="","",'Aset Takberwujud'!C48)</f>
        <v/>
      </c>
      <c r="D253" t="str">
        <f>IF('Aset Takberwujud'!$B48="","",'Aset Takberwujud'!D48)</f>
        <v/>
      </c>
      <c r="E253" s="22" t="str">
        <f>IF($B253="","",IF(N('Aset Takberwujud'!$AG48)=0,0,IF(AND((YEAR(E$211)*12+MONTH(E$211))&gt;='Aset Takberwujud'!$Y48,(YEAR(E$211)*12+MONTH(E$211))&lt;=MIN('Aset Takberwujud'!$Z48,IF('Aset Takberwujud'!$S48="Unit Produksi",99999,'Aset Takberwujud'!$Y48+'Aset Takberwujud'!$T48*12-1))),'Aset Takberwujud'!$AQ48/'Aset Takberwujud'!$AG48,0)))</f>
        <v/>
      </c>
      <c r="F253" s="22" t="str">
        <f>IF($B253="","",IF(N('Aset Takberwujud'!$AG48)=0,0,IF(AND((YEAR(F$211)*12+MONTH(F$211))&gt;='Aset Takberwujud'!$Y48,(YEAR(F$211)*12+MONTH(F$211))&lt;=MIN('Aset Takberwujud'!$Z48,IF('Aset Takberwujud'!$S48="Unit Produksi",99999,'Aset Takberwujud'!$Y48+'Aset Takberwujud'!$T48*12-1))),'Aset Takberwujud'!$AQ48/'Aset Takberwujud'!$AG48,0)))</f>
        <v/>
      </c>
      <c r="G253" s="22" t="str">
        <f>IF($B253="","",IF(N('Aset Takberwujud'!$AG48)=0,0,IF(AND((YEAR(G$211)*12+MONTH(G$211))&gt;='Aset Takberwujud'!$Y48,(YEAR(G$211)*12+MONTH(G$211))&lt;=MIN('Aset Takberwujud'!$Z48,IF('Aset Takberwujud'!$S48="Unit Produksi",99999,'Aset Takberwujud'!$Y48+'Aset Takberwujud'!$T48*12-1))),'Aset Takberwujud'!$AQ48/'Aset Takberwujud'!$AG48,0)))</f>
        <v/>
      </c>
      <c r="H253" s="22" t="str">
        <f>IF($B253="","",IF(N('Aset Takberwujud'!$AG48)=0,0,IF(AND((YEAR(H$211)*12+MONTH(H$211))&gt;='Aset Takberwujud'!$Y48,(YEAR(H$211)*12+MONTH(H$211))&lt;=MIN('Aset Takberwujud'!$Z48,IF('Aset Takberwujud'!$S48="Unit Produksi",99999,'Aset Takberwujud'!$Y48+'Aset Takberwujud'!$T48*12-1))),'Aset Takberwujud'!$AQ48/'Aset Takberwujud'!$AG48,0)))</f>
        <v/>
      </c>
      <c r="I253" s="22" t="str">
        <f>IF($B253="","",IF(N('Aset Takberwujud'!$AG48)=0,0,IF(AND((YEAR(I$211)*12+MONTH(I$211))&gt;='Aset Takberwujud'!$Y48,(YEAR(I$211)*12+MONTH(I$211))&lt;=MIN('Aset Takberwujud'!$Z48,IF('Aset Takberwujud'!$S48="Unit Produksi",99999,'Aset Takberwujud'!$Y48+'Aset Takberwujud'!$T48*12-1))),'Aset Takberwujud'!$AQ48/'Aset Takberwujud'!$AG48,0)))</f>
        <v/>
      </c>
      <c r="J253" s="22" t="str">
        <f>IF($B253="","",IF(N('Aset Takberwujud'!$AG48)=0,0,IF(AND((YEAR(J$211)*12+MONTH(J$211))&gt;='Aset Takberwujud'!$Y48,(YEAR(J$211)*12+MONTH(J$211))&lt;=MIN('Aset Takberwujud'!$Z48,IF('Aset Takberwujud'!$S48="Unit Produksi",99999,'Aset Takberwujud'!$Y48+'Aset Takberwujud'!$T48*12-1))),'Aset Takberwujud'!$AQ48/'Aset Takberwujud'!$AG48,0)))</f>
        <v/>
      </c>
      <c r="K253" s="22" t="str">
        <f>IF($B253="","",IF(N('Aset Takberwujud'!$AG48)=0,0,IF(AND((YEAR(K$211)*12+MONTH(K$211))&gt;='Aset Takberwujud'!$Y48,(YEAR(K$211)*12+MONTH(K$211))&lt;=MIN('Aset Takberwujud'!$Z48,IF('Aset Takberwujud'!$S48="Unit Produksi",99999,'Aset Takberwujud'!$Y48+'Aset Takberwujud'!$T48*12-1))),'Aset Takberwujud'!$AQ48/'Aset Takberwujud'!$AG48,0)))</f>
        <v/>
      </c>
      <c r="L253" s="22" t="str">
        <f>IF($B253="","",IF(N('Aset Takberwujud'!$AG48)=0,0,IF(AND((YEAR(L$211)*12+MONTH(L$211))&gt;='Aset Takberwujud'!$Y48,(YEAR(L$211)*12+MONTH(L$211))&lt;=MIN('Aset Takberwujud'!$Z48,IF('Aset Takberwujud'!$S48="Unit Produksi",99999,'Aset Takberwujud'!$Y48+'Aset Takberwujud'!$T48*12-1))),'Aset Takberwujud'!$AQ48/'Aset Takberwujud'!$AG48,0)))</f>
        <v/>
      </c>
      <c r="M253" s="22" t="str">
        <f>IF($B253="","",IF(N('Aset Takberwujud'!$AG48)=0,0,IF(AND((YEAR(M$211)*12+MONTH(M$211))&gt;='Aset Takberwujud'!$Y48,(YEAR(M$211)*12+MONTH(M$211))&lt;=MIN('Aset Takberwujud'!$Z48,IF('Aset Takberwujud'!$S48="Unit Produksi",99999,'Aset Takberwujud'!$Y48+'Aset Takberwujud'!$T48*12-1))),'Aset Takberwujud'!$AQ48/'Aset Takberwujud'!$AG48,0)))</f>
        <v/>
      </c>
      <c r="N253" s="22" t="str">
        <f>IF($B253="","",IF(N('Aset Takberwujud'!$AG48)=0,0,IF(AND((YEAR(N$211)*12+MONTH(N$211))&gt;='Aset Takberwujud'!$Y48,(YEAR(N$211)*12+MONTH(N$211))&lt;=MIN('Aset Takberwujud'!$Z48,IF('Aset Takberwujud'!$S48="Unit Produksi",99999,'Aset Takberwujud'!$Y48+'Aset Takberwujud'!$T48*12-1))),'Aset Takberwujud'!$AQ48/'Aset Takberwujud'!$AG48,0)))</f>
        <v/>
      </c>
      <c r="O253" s="22" t="str">
        <f>IF($B253="","",IF(N('Aset Takberwujud'!$AG48)=0,0,IF(AND((YEAR(O$211)*12+MONTH(O$211))&gt;='Aset Takberwujud'!$Y48,(YEAR(O$211)*12+MONTH(O$211))&lt;=MIN('Aset Takberwujud'!$Z48,IF('Aset Takberwujud'!$S48="Unit Produksi",99999,'Aset Takberwujud'!$Y48+'Aset Takberwujud'!$T48*12-1))),'Aset Takberwujud'!$AQ48/'Aset Takberwujud'!$AG48,0)))</f>
        <v/>
      </c>
      <c r="P253" s="22" t="str">
        <f>IF($B253="","",IF(N('Aset Takberwujud'!$AG48)=0,0,IF(AND((YEAR(P$211)*12+MONTH(P$211))&gt;='Aset Takberwujud'!$Y48,(YEAR(P$211)*12+MONTH(P$211))&lt;=MIN('Aset Takberwujud'!$Z48,IF('Aset Takberwujud'!$S48="Unit Produksi",99999,'Aset Takberwujud'!$Y48+'Aset Takberwujud'!$T48*12-1))),'Aset Takberwujud'!$AQ48/'Aset Takberwujud'!$AG48,0)))</f>
        <v/>
      </c>
      <c r="Q253" s="22" t="str">
        <f>IF($B253="","",SUM(E253:P253))</f>
        <v/>
      </c>
      <c r="R253" s="22" t="str">
        <f>IF($B253="","",'Aset Takberwujud'!AQ48)</f>
        <v/>
      </c>
      <c r="S253" s="22" t="str">
        <f>IF($B253="","",ROUND(Q253-R253,0))</f>
        <v/>
      </c>
    </row>
    <row r="254" spans="1:19" x14ac:dyDescent="0.25">
      <c r="A254" t="str">
        <f>IF('Aset Takberwujud'!$B49="","",'Aset Takberwujud'!A49)</f>
        <v/>
      </c>
      <c r="B254" t="str">
        <f>IF('Aset Takberwujud'!$B49="","",'Aset Takberwujud'!B49)</f>
        <v/>
      </c>
      <c r="C254" t="str">
        <f>IF('Aset Takberwujud'!$B49="","",'Aset Takberwujud'!C49)</f>
        <v/>
      </c>
      <c r="D254" t="str">
        <f>IF('Aset Takberwujud'!$B49="","",'Aset Takberwujud'!D49)</f>
        <v/>
      </c>
      <c r="E254" s="22" t="str">
        <f>IF($B254="","",IF(N('Aset Takberwujud'!$AG49)=0,0,IF(AND((YEAR(E$211)*12+MONTH(E$211))&gt;='Aset Takberwujud'!$Y49,(YEAR(E$211)*12+MONTH(E$211))&lt;=MIN('Aset Takberwujud'!$Z49,IF('Aset Takberwujud'!$S49="Unit Produksi",99999,'Aset Takberwujud'!$Y49+'Aset Takberwujud'!$T49*12-1))),'Aset Takberwujud'!$AQ49/'Aset Takberwujud'!$AG49,0)))</f>
        <v/>
      </c>
      <c r="F254" s="22" t="str">
        <f>IF($B254="","",IF(N('Aset Takberwujud'!$AG49)=0,0,IF(AND((YEAR(F$211)*12+MONTH(F$211))&gt;='Aset Takberwujud'!$Y49,(YEAR(F$211)*12+MONTH(F$211))&lt;=MIN('Aset Takberwujud'!$Z49,IF('Aset Takberwujud'!$S49="Unit Produksi",99999,'Aset Takberwujud'!$Y49+'Aset Takberwujud'!$T49*12-1))),'Aset Takberwujud'!$AQ49/'Aset Takberwujud'!$AG49,0)))</f>
        <v/>
      </c>
      <c r="G254" s="22" t="str">
        <f>IF($B254="","",IF(N('Aset Takberwujud'!$AG49)=0,0,IF(AND((YEAR(G$211)*12+MONTH(G$211))&gt;='Aset Takberwujud'!$Y49,(YEAR(G$211)*12+MONTH(G$211))&lt;=MIN('Aset Takberwujud'!$Z49,IF('Aset Takberwujud'!$S49="Unit Produksi",99999,'Aset Takberwujud'!$Y49+'Aset Takberwujud'!$T49*12-1))),'Aset Takberwujud'!$AQ49/'Aset Takberwujud'!$AG49,0)))</f>
        <v/>
      </c>
      <c r="H254" s="22" t="str">
        <f>IF($B254="","",IF(N('Aset Takberwujud'!$AG49)=0,0,IF(AND((YEAR(H$211)*12+MONTH(H$211))&gt;='Aset Takberwujud'!$Y49,(YEAR(H$211)*12+MONTH(H$211))&lt;=MIN('Aset Takberwujud'!$Z49,IF('Aset Takberwujud'!$S49="Unit Produksi",99999,'Aset Takberwujud'!$Y49+'Aset Takberwujud'!$T49*12-1))),'Aset Takberwujud'!$AQ49/'Aset Takberwujud'!$AG49,0)))</f>
        <v/>
      </c>
      <c r="I254" s="22" t="str">
        <f>IF($B254="","",IF(N('Aset Takberwujud'!$AG49)=0,0,IF(AND((YEAR(I$211)*12+MONTH(I$211))&gt;='Aset Takberwujud'!$Y49,(YEAR(I$211)*12+MONTH(I$211))&lt;=MIN('Aset Takberwujud'!$Z49,IF('Aset Takberwujud'!$S49="Unit Produksi",99999,'Aset Takberwujud'!$Y49+'Aset Takberwujud'!$T49*12-1))),'Aset Takberwujud'!$AQ49/'Aset Takberwujud'!$AG49,0)))</f>
        <v/>
      </c>
      <c r="J254" s="22" t="str">
        <f>IF($B254="","",IF(N('Aset Takberwujud'!$AG49)=0,0,IF(AND((YEAR(J$211)*12+MONTH(J$211))&gt;='Aset Takberwujud'!$Y49,(YEAR(J$211)*12+MONTH(J$211))&lt;=MIN('Aset Takberwujud'!$Z49,IF('Aset Takberwujud'!$S49="Unit Produksi",99999,'Aset Takberwujud'!$Y49+'Aset Takberwujud'!$T49*12-1))),'Aset Takberwujud'!$AQ49/'Aset Takberwujud'!$AG49,0)))</f>
        <v/>
      </c>
      <c r="K254" s="22" t="str">
        <f>IF($B254="","",IF(N('Aset Takberwujud'!$AG49)=0,0,IF(AND((YEAR(K$211)*12+MONTH(K$211))&gt;='Aset Takberwujud'!$Y49,(YEAR(K$211)*12+MONTH(K$211))&lt;=MIN('Aset Takberwujud'!$Z49,IF('Aset Takberwujud'!$S49="Unit Produksi",99999,'Aset Takberwujud'!$Y49+'Aset Takberwujud'!$T49*12-1))),'Aset Takberwujud'!$AQ49/'Aset Takberwujud'!$AG49,0)))</f>
        <v/>
      </c>
      <c r="L254" s="22" t="str">
        <f>IF($B254="","",IF(N('Aset Takberwujud'!$AG49)=0,0,IF(AND((YEAR(L$211)*12+MONTH(L$211))&gt;='Aset Takberwujud'!$Y49,(YEAR(L$211)*12+MONTH(L$211))&lt;=MIN('Aset Takberwujud'!$Z49,IF('Aset Takberwujud'!$S49="Unit Produksi",99999,'Aset Takberwujud'!$Y49+'Aset Takberwujud'!$T49*12-1))),'Aset Takberwujud'!$AQ49/'Aset Takberwujud'!$AG49,0)))</f>
        <v/>
      </c>
      <c r="M254" s="22" t="str">
        <f>IF($B254="","",IF(N('Aset Takberwujud'!$AG49)=0,0,IF(AND((YEAR(M$211)*12+MONTH(M$211))&gt;='Aset Takberwujud'!$Y49,(YEAR(M$211)*12+MONTH(M$211))&lt;=MIN('Aset Takberwujud'!$Z49,IF('Aset Takberwujud'!$S49="Unit Produksi",99999,'Aset Takberwujud'!$Y49+'Aset Takberwujud'!$T49*12-1))),'Aset Takberwujud'!$AQ49/'Aset Takberwujud'!$AG49,0)))</f>
        <v/>
      </c>
      <c r="N254" s="22" t="str">
        <f>IF($B254="","",IF(N('Aset Takberwujud'!$AG49)=0,0,IF(AND((YEAR(N$211)*12+MONTH(N$211))&gt;='Aset Takberwujud'!$Y49,(YEAR(N$211)*12+MONTH(N$211))&lt;=MIN('Aset Takberwujud'!$Z49,IF('Aset Takberwujud'!$S49="Unit Produksi",99999,'Aset Takberwujud'!$Y49+'Aset Takberwujud'!$T49*12-1))),'Aset Takberwujud'!$AQ49/'Aset Takberwujud'!$AG49,0)))</f>
        <v/>
      </c>
      <c r="O254" s="22" t="str">
        <f>IF($B254="","",IF(N('Aset Takberwujud'!$AG49)=0,0,IF(AND((YEAR(O$211)*12+MONTH(O$211))&gt;='Aset Takberwujud'!$Y49,(YEAR(O$211)*12+MONTH(O$211))&lt;=MIN('Aset Takberwujud'!$Z49,IF('Aset Takberwujud'!$S49="Unit Produksi",99999,'Aset Takberwujud'!$Y49+'Aset Takberwujud'!$T49*12-1))),'Aset Takberwujud'!$AQ49/'Aset Takberwujud'!$AG49,0)))</f>
        <v/>
      </c>
      <c r="P254" s="22" t="str">
        <f>IF($B254="","",IF(N('Aset Takberwujud'!$AG49)=0,0,IF(AND((YEAR(P$211)*12+MONTH(P$211))&gt;='Aset Takberwujud'!$Y49,(YEAR(P$211)*12+MONTH(P$211))&lt;=MIN('Aset Takberwujud'!$Z49,IF('Aset Takberwujud'!$S49="Unit Produksi",99999,'Aset Takberwujud'!$Y49+'Aset Takberwujud'!$T49*12-1))),'Aset Takberwujud'!$AQ49/'Aset Takberwujud'!$AG49,0)))</f>
        <v/>
      </c>
      <c r="Q254" s="22" t="str">
        <f>IF($B254="","",SUM(E254:P254))</f>
        <v/>
      </c>
      <c r="R254" s="22" t="str">
        <f>IF($B254="","",'Aset Takberwujud'!AQ49)</f>
        <v/>
      </c>
      <c r="S254" s="22" t="str">
        <f>IF($B254="","",ROUND(Q254-R254,0))</f>
        <v/>
      </c>
    </row>
    <row r="255" spans="1:19" x14ac:dyDescent="0.25">
      <c r="A255" t="str">
        <f>IF('Aset Takberwujud'!$B50="","",'Aset Takberwujud'!A50)</f>
        <v/>
      </c>
      <c r="B255" t="str">
        <f>IF('Aset Takberwujud'!$B50="","",'Aset Takberwujud'!B50)</f>
        <v/>
      </c>
      <c r="C255" t="str">
        <f>IF('Aset Takberwujud'!$B50="","",'Aset Takberwujud'!C50)</f>
        <v/>
      </c>
      <c r="D255" t="str">
        <f>IF('Aset Takberwujud'!$B50="","",'Aset Takberwujud'!D50)</f>
        <v/>
      </c>
      <c r="E255" s="22" t="str">
        <f>IF($B255="","",IF(N('Aset Takberwujud'!$AG50)=0,0,IF(AND((YEAR(E$211)*12+MONTH(E$211))&gt;='Aset Takberwujud'!$Y50,(YEAR(E$211)*12+MONTH(E$211))&lt;=MIN('Aset Takberwujud'!$Z50,IF('Aset Takberwujud'!$S50="Unit Produksi",99999,'Aset Takberwujud'!$Y50+'Aset Takberwujud'!$T50*12-1))),'Aset Takberwujud'!$AQ50/'Aset Takberwujud'!$AG50,0)))</f>
        <v/>
      </c>
      <c r="F255" s="22" t="str">
        <f>IF($B255="","",IF(N('Aset Takberwujud'!$AG50)=0,0,IF(AND((YEAR(F$211)*12+MONTH(F$211))&gt;='Aset Takberwujud'!$Y50,(YEAR(F$211)*12+MONTH(F$211))&lt;=MIN('Aset Takberwujud'!$Z50,IF('Aset Takberwujud'!$S50="Unit Produksi",99999,'Aset Takberwujud'!$Y50+'Aset Takberwujud'!$T50*12-1))),'Aset Takberwujud'!$AQ50/'Aset Takberwujud'!$AG50,0)))</f>
        <v/>
      </c>
      <c r="G255" s="22" t="str">
        <f>IF($B255="","",IF(N('Aset Takberwujud'!$AG50)=0,0,IF(AND((YEAR(G$211)*12+MONTH(G$211))&gt;='Aset Takberwujud'!$Y50,(YEAR(G$211)*12+MONTH(G$211))&lt;=MIN('Aset Takberwujud'!$Z50,IF('Aset Takberwujud'!$S50="Unit Produksi",99999,'Aset Takberwujud'!$Y50+'Aset Takberwujud'!$T50*12-1))),'Aset Takberwujud'!$AQ50/'Aset Takberwujud'!$AG50,0)))</f>
        <v/>
      </c>
      <c r="H255" s="22" t="str">
        <f>IF($B255="","",IF(N('Aset Takberwujud'!$AG50)=0,0,IF(AND((YEAR(H$211)*12+MONTH(H$211))&gt;='Aset Takberwujud'!$Y50,(YEAR(H$211)*12+MONTH(H$211))&lt;=MIN('Aset Takberwujud'!$Z50,IF('Aset Takberwujud'!$S50="Unit Produksi",99999,'Aset Takberwujud'!$Y50+'Aset Takberwujud'!$T50*12-1))),'Aset Takberwujud'!$AQ50/'Aset Takberwujud'!$AG50,0)))</f>
        <v/>
      </c>
      <c r="I255" s="22" t="str">
        <f>IF($B255="","",IF(N('Aset Takberwujud'!$AG50)=0,0,IF(AND((YEAR(I$211)*12+MONTH(I$211))&gt;='Aset Takberwujud'!$Y50,(YEAR(I$211)*12+MONTH(I$211))&lt;=MIN('Aset Takberwujud'!$Z50,IF('Aset Takberwujud'!$S50="Unit Produksi",99999,'Aset Takberwujud'!$Y50+'Aset Takberwujud'!$T50*12-1))),'Aset Takberwujud'!$AQ50/'Aset Takberwujud'!$AG50,0)))</f>
        <v/>
      </c>
      <c r="J255" s="22" t="str">
        <f>IF($B255="","",IF(N('Aset Takberwujud'!$AG50)=0,0,IF(AND((YEAR(J$211)*12+MONTH(J$211))&gt;='Aset Takberwujud'!$Y50,(YEAR(J$211)*12+MONTH(J$211))&lt;=MIN('Aset Takberwujud'!$Z50,IF('Aset Takberwujud'!$S50="Unit Produksi",99999,'Aset Takberwujud'!$Y50+'Aset Takberwujud'!$T50*12-1))),'Aset Takberwujud'!$AQ50/'Aset Takberwujud'!$AG50,0)))</f>
        <v/>
      </c>
      <c r="K255" s="22" t="str">
        <f>IF($B255="","",IF(N('Aset Takberwujud'!$AG50)=0,0,IF(AND((YEAR(K$211)*12+MONTH(K$211))&gt;='Aset Takberwujud'!$Y50,(YEAR(K$211)*12+MONTH(K$211))&lt;=MIN('Aset Takberwujud'!$Z50,IF('Aset Takberwujud'!$S50="Unit Produksi",99999,'Aset Takberwujud'!$Y50+'Aset Takberwujud'!$T50*12-1))),'Aset Takberwujud'!$AQ50/'Aset Takberwujud'!$AG50,0)))</f>
        <v/>
      </c>
      <c r="L255" s="22" t="str">
        <f>IF($B255="","",IF(N('Aset Takberwujud'!$AG50)=0,0,IF(AND((YEAR(L$211)*12+MONTH(L$211))&gt;='Aset Takberwujud'!$Y50,(YEAR(L$211)*12+MONTH(L$211))&lt;=MIN('Aset Takberwujud'!$Z50,IF('Aset Takberwujud'!$S50="Unit Produksi",99999,'Aset Takberwujud'!$Y50+'Aset Takberwujud'!$T50*12-1))),'Aset Takberwujud'!$AQ50/'Aset Takberwujud'!$AG50,0)))</f>
        <v/>
      </c>
      <c r="M255" s="22" t="str">
        <f>IF($B255="","",IF(N('Aset Takberwujud'!$AG50)=0,0,IF(AND((YEAR(M$211)*12+MONTH(M$211))&gt;='Aset Takberwujud'!$Y50,(YEAR(M$211)*12+MONTH(M$211))&lt;=MIN('Aset Takberwujud'!$Z50,IF('Aset Takberwujud'!$S50="Unit Produksi",99999,'Aset Takberwujud'!$Y50+'Aset Takberwujud'!$T50*12-1))),'Aset Takberwujud'!$AQ50/'Aset Takberwujud'!$AG50,0)))</f>
        <v/>
      </c>
      <c r="N255" s="22" t="str">
        <f>IF($B255="","",IF(N('Aset Takberwujud'!$AG50)=0,0,IF(AND((YEAR(N$211)*12+MONTH(N$211))&gt;='Aset Takberwujud'!$Y50,(YEAR(N$211)*12+MONTH(N$211))&lt;=MIN('Aset Takberwujud'!$Z50,IF('Aset Takberwujud'!$S50="Unit Produksi",99999,'Aset Takberwujud'!$Y50+'Aset Takberwujud'!$T50*12-1))),'Aset Takberwujud'!$AQ50/'Aset Takberwujud'!$AG50,0)))</f>
        <v/>
      </c>
      <c r="O255" s="22" t="str">
        <f>IF($B255="","",IF(N('Aset Takberwujud'!$AG50)=0,0,IF(AND((YEAR(O$211)*12+MONTH(O$211))&gt;='Aset Takberwujud'!$Y50,(YEAR(O$211)*12+MONTH(O$211))&lt;=MIN('Aset Takberwujud'!$Z50,IF('Aset Takberwujud'!$S50="Unit Produksi",99999,'Aset Takberwujud'!$Y50+'Aset Takberwujud'!$T50*12-1))),'Aset Takberwujud'!$AQ50/'Aset Takberwujud'!$AG50,0)))</f>
        <v/>
      </c>
      <c r="P255" s="22" t="str">
        <f>IF($B255="","",IF(N('Aset Takberwujud'!$AG50)=0,0,IF(AND((YEAR(P$211)*12+MONTH(P$211))&gt;='Aset Takberwujud'!$Y50,(YEAR(P$211)*12+MONTH(P$211))&lt;=MIN('Aset Takberwujud'!$Z50,IF('Aset Takberwujud'!$S50="Unit Produksi",99999,'Aset Takberwujud'!$Y50+'Aset Takberwujud'!$T50*12-1))),'Aset Takberwujud'!$AQ50/'Aset Takberwujud'!$AG50,0)))</f>
        <v/>
      </c>
      <c r="Q255" s="22" t="str">
        <f>IF($B255="","",SUM(E255:P255))</f>
        <v/>
      </c>
      <c r="R255" s="22" t="str">
        <f>IF($B255="","",'Aset Takberwujud'!AQ50)</f>
        <v/>
      </c>
      <c r="S255" s="22" t="str">
        <f>IF($B255="","",ROUND(Q255-R255,0))</f>
        <v/>
      </c>
    </row>
    <row r="256" spans="1:19" x14ac:dyDescent="0.25">
      <c r="A256" t="str">
        <f>IF('Aset Takberwujud'!$B51="","",'Aset Takberwujud'!A51)</f>
        <v/>
      </c>
      <c r="B256" t="str">
        <f>IF('Aset Takberwujud'!$B51="","",'Aset Takberwujud'!B51)</f>
        <v/>
      </c>
      <c r="C256" t="str">
        <f>IF('Aset Takberwujud'!$B51="","",'Aset Takberwujud'!C51)</f>
        <v/>
      </c>
      <c r="D256" t="str">
        <f>IF('Aset Takberwujud'!$B51="","",'Aset Takberwujud'!D51)</f>
        <v/>
      </c>
      <c r="E256" s="22" t="str">
        <f>IF($B256="","",IF(N('Aset Takberwujud'!$AG51)=0,0,IF(AND((YEAR(E$211)*12+MONTH(E$211))&gt;='Aset Takberwujud'!$Y51,(YEAR(E$211)*12+MONTH(E$211))&lt;=MIN('Aset Takberwujud'!$Z51,IF('Aset Takberwujud'!$S51="Unit Produksi",99999,'Aset Takberwujud'!$Y51+'Aset Takberwujud'!$T51*12-1))),'Aset Takberwujud'!$AQ51/'Aset Takberwujud'!$AG51,0)))</f>
        <v/>
      </c>
      <c r="F256" s="22" t="str">
        <f>IF($B256="","",IF(N('Aset Takberwujud'!$AG51)=0,0,IF(AND((YEAR(F$211)*12+MONTH(F$211))&gt;='Aset Takberwujud'!$Y51,(YEAR(F$211)*12+MONTH(F$211))&lt;=MIN('Aset Takberwujud'!$Z51,IF('Aset Takberwujud'!$S51="Unit Produksi",99999,'Aset Takberwujud'!$Y51+'Aset Takberwujud'!$T51*12-1))),'Aset Takberwujud'!$AQ51/'Aset Takberwujud'!$AG51,0)))</f>
        <v/>
      </c>
      <c r="G256" s="22" t="str">
        <f>IF($B256="","",IF(N('Aset Takberwujud'!$AG51)=0,0,IF(AND((YEAR(G$211)*12+MONTH(G$211))&gt;='Aset Takberwujud'!$Y51,(YEAR(G$211)*12+MONTH(G$211))&lt;=MIN('Aset Takberwujud'!$Z51,IF('Aset Takberwujud'!$S51="Unit Produksi",99999,'Aset Takberwujud'!$Y51+'Aset Takberwujud'!$T51*12-1))),'Aset Takberwujud'!$AQ51/'Aset Takberwujud'!$AG51,0)))</f>
        <v/>
      </c>
      <c r="H256" s="22" t="str">
        <f>IF($B256="","",IF(N('Aset Takberwujud'!$AG51)=0,0,IF(AND((YEAR(H$211)*12+MONTH(H$211))&gt;='Aset Takberwujud'!$Y51,(YEAR(H$211)*12+MONTH(H$211))&lt;=MIN('Aset Takberwujud'!$Z51,IF('Aset Takberwujud'!$S51="Unit Produksi",99999,'Aset Takberwujud'!$Y51+'Aset Takberwujud'!$T51*12-1))),'Aset Takberwujud'!$AQ51/'Aset Takberwujud'!$AG51,0)))</f>
        <v/>
      </c>
      <c r="I256" s="22" t="str">
        <f>IF($B256="","",IF(N('Aset Takberwujud'!$AG51)=0,0,IF(AND((YEAR(I$211)*12+MONTH(I$211))&gt;='Aset Takberwujud'!$Y51,(YEAR(I$211)*12+MONTH(I$211))&lt;=MIN('Aset Takberwujud'!$Z51,IF('Aset Takberwujud'!$S51="Unit Produksi",99999,'Aset Takberwujud'!$Y51+'Aset Takberwujud'!$T51*12-1))),'Aset Takberwujud'!$AQ51/'Aset Takberwujud'!$AG51,0)))</f>
        <v/>
      </c>
      <c r="J256" s="22" t="str">
        <f>IF($B256="","",IF(N('Aset Takberwujud'!$AG51)=0,0,IF(AND((YEAR(J$211)*12+MONTH(J$211))&gt;='Aset Takberwujud'!$Y51,(YEAR(J$211)*12+MONTH(J$211))&lt;=MIN('Aset Takberwujud'!$Z51,IF('Aset Takberwujud'!$S51="Unit Produksi",99999,'Aset Takberwujud'!$Y51+'Aset Takberwujud'!$T51*12-1))),'Aset Takberwujud'!$AQ51/'Aset Takberwujud'!$AG51,0)))</f>
        <v/>
      </c>
      <c r="K256" s="22" t="str">
        <f>IF($B256="","",IF(N('Aset Takberwujud'!$AG51)=0,0,IF(AND((YEAR(K$211)*12+MONTH(K$211))&gt;='Aset Takberwujud'!$Y51,(YEAR(K$211)*12+MONTH(K$211))&lt;=MIN('Aset Takberwujud'!$Z51,IF('Aset Takberwujud'!$S51="Unit Produksi",99999,'Aset Takberwujud'!$Y51+'Aset Takberwujud'!$T51*12-1))),'Aset Takberwujud'!$AQ51/'Aset Takberwujud'!$AG51,0)))</f>
        <v/>
      </c>
      <c r="L256" s="22" t="str">
        <f>IF($B256="","",IF(N('Aset Takberwujud'!$AG51)=0,0,IF(AND((YEAR(L$211)*12+MONTH(L$211))&gt;='Aset Takberwujud'!$Y51,(YEAR(L$211)*12+MONTH(L$211))&lt;=MIN('Aset Takberwujud'!$Z51,IF('Aset Takberwujud'!$S51="Unit Produksi",99999,'Aset Takberwujud'!$Y51+'Aset Takberwujud'!$T51*12-1))),'Aset Takberwujud'!$AQ51/'Aset Takberwujud'!$AG51,0)))</f>
        <v/>
      </c>
      <c r="M256" s="22" t="str">
        <f>IF($B256="","",IF(N('Aset Takberwujud'!$AG51)=0,0,IF(AND((YEAR(M$211)*12+MONTH(M$211))&gt;='Aset Takberwujud'!$Y51,(YEAR(M$211)*12+MONTH(M$211))&lt;=MIN('Aset Takberwujud'!$Z51,IF('Aset Takberwujud'!$S51="Unit Produksi",99999,'Aset Takberwujud'!$Y51+'Aset Takberwujud'!$T51*12-1))),'Aset Takberwujud'!$AQ51/'Aset Takberwujud'!$AG51,0)))</f>
        <v/>
      </c>
      <c r="N256" s="22" t="str">
        <f>IF($B256="","",IF(N('Aset Takberwujud'!$AG51)=0,0,IF(AND((YEAR(N$211)*12+MONTH(N$211))&gt;='Aset Takberwujud'!$Y51,(YEAR(N$211)*12+MONTH(N$211))&lt;=MIN('Aset Takberwujud'!$Z51,IF('Aset Takberwujud'!$S51="Unit Produksi",99999,'Aset Takberwujud'!$Y51+'Aset Takberwujud'!$T51*12-1))),'Aset Takberwujud'!$AQ51/'Aset Takberwujud'!$AG51,0)))</f>
        <v/>
      </c>
      <c r="O256" s="22" t="str">
        <f>IF($B256="","",IF(N('Aset Takberwujud'!$AG51)=0,0,IF(AND((YEAR(O$211)*12+MONTH(O$211))&gt;='Aset Takberwujud'!$Y51,(YEAR(O$211)*12+MONTH(O$211))&lt;=MIN('Aset Takberwujud'!$Z51,IF('Aset Takberwujud'!$S51="Unit Produksi",99999,'Aset Takberwujud'!$Y51+'Aset Takberwujud'!$T51*12-1))),'Aset Takberwujud'!$AQ51/'Aset Takberwujud'!$AG51,0)))</f>
        <v/>
      </c>
      <c r="P256" s="22" t="str">
        <f>IF($B256="","",IF(N('Aset Takberwujud'!$AG51)=0,0,IF(AND((YEAR(P$211)*12+MONTH(P$211))&gt;='Aset Takberwujud'!$Y51,(YEAR(P$211)*12+MONTH(P$211))&lt;=MIN('Aset Takberwujud'!$Z51,IF('Aset Takberwujud'!$S51="Unit Produksi",99999,'Aset Takberwujud'!$Y51+'Aset Takberwujud'!$T51*12-1))),'Aset Takberwujud'!$AQ51/'Aset Takberwujud'!$AG51,0)))</f>
        <v/>
      </c>
      <c r="Q256" s="22" t="str">
        <f>IF($B256="","",SUM(E256:P256))</f>
        <v/>
      </c>
      <c r="R256" s="22" t="str">
        <f>IF($B256="","",'Aset Takberwujud'!AQ51)</f>
        <v/>
      </c>
      <c r="S256" s="22" t="str">
        <f>IF($B256="","",ROUND(Q256-R256,0))</f>
        <v/>
      </c>
    </row>
    <row r="257" spans="1:19" x14ac:dyDescent="0.25">
      <c r="A257" t="str">
        <f>IF('Aset Takberwujud'!$B52="","",'Aset Takberwujud'!A52)</f>
        <v/>
      </c>
      <c r="B257" t="str">
        <f>IF('Aset Takberwujud'!$B52="","",'Aset Takberwujud'!B52)</f>
        <v/>
      </c>
      <c r="C257" t="str">
        <f>IF('Aset Takberwujud'!$B52="","",'Aset Takberwujud'!C52)</f>
        <v/>
      </c>
      <c r="D257" t="str">
        <f>IF('Aset Takberwujud'!$B52="","",'Aset Takberwujud'!D52)</f>
        <v/>
      </c>
      <c r="E257" s="22" t="str">
        <f>IF($B257="","",IF(N('Aset Takberwujud'!$AG52)=0,0,IF(AND((YEAR(E$211)*12+MONTH(E$211))&gt;='Aset Takberwujud'!$Y52,(YEAR(E$211)*12+MONTH(E$211))&lt;=MIN('Aset Takberwujud'!$Z52,IF('Aset Takberwujud'!$S52="Unit Produksi",99999,'Aset Takberwujud'!$Y52+'Aset Takberwujud'!$T52*12-1))),'Aset Takberwujud'!$AQ52/'Aset Takberwujud'!$AG52,0)))</f>
        <v/>
      </c>
      <c r="F257" s="22" t="str">
        <f>IF($B257="","",IF(N('Aset Takberwujud'!$AG52)=0,0,IF(AND((YEAR(F$211)*12+MONTH(F$211))&gt;='Aset Takberwujud'!$Y52,(YEAR(F$211)*12+MONTH(F$211))&lt;=MIN('Aset Takberwujud'!$Z52,IF('Aset Takberwujud'!$S52="Unit Produksi",99999,'Aset Takberwujud'!$Y52+'Aset Takberwujud'!$T52*12-1))),'Aset Takberwujud'!$AQ52/'Aset Takberwujud'!$AG52,0)))</f>
        <v/>
      </c>
      <c r="G257" s="22" t="str">
        <f>IF($B257="","",IF(N('Aset Takberwujud'!$AG52)=0,0,IF(AND((YEAR(G$211)*12+MONTH(G$211))&gt;='Aset Takberwujud'!$Y52,(YEAR(G$211)*12+MONTH(G$211))&lt;=MIN('Aset Takberwujud'!$Z52,IF('Aset Takberwujud'!$S52="Unit Produksi",99999,'Aset Takberwujud'!$Y52+'Aset Takberwujud'!$T52*12-1))),'Aset Takberwujud'!$AQ52/'Aset Takberwujud'!$AG52,0)))</f>
        <v/>
      </c>
      <c r="H257" s="22" t="str">
        <f>IF($B257="","",IF(N('Aset Takberwujud'!$AG52)=0,0,IF(AND((YEAR(H$211)*12+MONTH(H$211))&gt;='Aset Takberwujud'!$Y52,(YEAR(H$211)*12+MONTH(H$211))&lt;=MIN('Aset Takberwujud'!$Z52,IF('Aset Takberwujud'!$S52="Unit Produksi",99999,'Aset Takberwujud'!$Y52+'Aset Takberwujud'!$T52*12-1))),'Aset Takberwujud'!$AQ52/'Aset Takberwujud'!$AG52,0)))</f>
        <v/>
      </c>
      <c r="I257" s="22" t="str">
        <f>IF($B257="","",IF(N('Aset Takberwujud'!$AG52)=0,0,IF(AND((YEAR(I$211)*12+MONTH(I$211))&gt;='Aset Takberwujud'!$Y52,(YEAR(I$211)*12+MONTH(I$211))&lt;=MIN('Aset Takberwujud'!$Z52,IF('Aset Takberwujud'!$S52="Unit Produksi",99999,'Aset Takberwujud'!$Y52+'Aset Takberwujud'!$T52*12-1))),'Aset Takberwujud'!$AQ52/'Aset Takberwujud'!$AG52,0)))</f>
        <v/>
      </c>
      <c r="J257" s="22" t="str">
        <f>IF($B257="","",IF(N('Aset Takberwujud'!$AG52)=0,0,IF(AND((YEAR(J$211)*12+MONTH(J$211))&gt;='Aset Takberwujud'!$Y52,(YEAR(J$211)*12+MONTH(J$211))&lt;=MIN('Aset Takberwujud'!$Z52,IF('Aset Takberwujud'!$S52="Unit Produksi",99999,'Aset Takberwujud'!$Y52+'Aset Takberwujud'!$T52*12-1))),'Aset Takberwujud'!$AQ52/'Aset Takberwujud'!$AG52,0)))</f>
        <v/>
      </c>
      <c r="K257" s="22" t="str">
        <f>IF($B257="","",IF(N('Aset Takberwujud'!$AG52)=0,0,IF(AND((YEAR(K$211)*12+MONTH(K$211))&gt;='Aset Takberwujud'!$Y52,(YEAR(K$211)*12+MONTH(K$211))&lt;=MIN('Aset Takberwujud'!$Z52,IF('Aset Takberwujud'!$S52="Unit Produksi",99999,'Aset Takberwujud'!$Y52+'Aset Takberwujud'!$T52*12-1))),'Aset Takberwujud'!$AQ52/'Aset Takberwujud'!$AG52,0)))</f>
        <v/>
      </c>
      <c r="L257" s="22" t="str">
        <f>IF($B257="","",IF(N('Aset Takberwujud'!$AG52)=0,0,IF(AND((YEAR(L$211)*12+MONTH(L$211))&gt;='Aset Takberwujud'!$Y52,(YEAR(L$211)*12+MONTH(L$211))&lt;=MIN('Aset Takberwujud'!$Z52,IF('Aset Takberwujud'!$S52="Unit Produksi",99999,'Aset Takberwujud'!$Y52+'Aset Takberwujud'!$T52*12-1))),'Aset Takberwujud'!$AQ52/'Aset Takberwujud'!$AG52,0)))</f>
        <v/>
      </c>
      <c r="M257" s="22" t="str">
        <f>IF($B257="","",IF(N('Aset Takberwujud'!$AG52)=0,0,IF(AND((YEAR(M$211)*12+MONTH(M$211))&gt;='Aset Takberwujud'!$Y52,(YEAR(M$211)*12+MONTH(M$211))&lt;=MIN('Aset Takberwujud'!$Z52,IF('Aset Takberwujud'!$S52="Unit Produksi",99999,'Aset Takberwujud'!$Y52+'Aset Takberwujud'!$T52*12-1))),'Aset Takberwujud'!$AQ52/'Aset Takberwujud'!$AG52,0)))</f>
        <v/>
      </c>
      <c r="N257" s="22" t="str">
        <f>IF($B257="","",IF(N('Aset Takberwujud'!$AG52)=0,0,IF(AND((YEAR(N$211)*12+MONTH(N$211))&gt;='Aset Takberwujud'!$Y52,(YEAR(N$211)*12+MONTH(N$211))&lt;=MIN('Aset Takberwujud'!$Z52,IF('Aset Takberwujud'!$S52="Unit Produksi",99999,'Aset Takberwujud'!$Y52+'Aset Takberwujud'!$T52*12-1))),'Aset Takberwujud'!$AQ52/'Aset Takberwujud'!$AG52,0)))</f>
        <v/>
      </c>
      <c r="O257" s="22" t="str">
        <f>IF($B257="","",IF(N('Aset Takberwujud'!$AG52)=0,0,IF(AND((YEAR(O$211)*12+MONTH(O$211))&gt;='Aset Takberwujud'!$Y52,(YEAR(O$211)*12+MONTH(O$211))&lt;=MIN('Aset Takberwujud'!$Z52,IF('Aset Takberwujud'!$S52="Unit Produksi",99999,'Aset Takberwujud'!$Y52+'Aset Takberwujud'!$T52*12-1))),'Aset Takberwujud'!$AQ52/'Aset Takberwujud'!$AG52,0)))</f>
        <v/>
      </c>
      <c r="P257" s="22" t="str">
        <f>IF($B257="","",IF(N('Aset Takberwujud'!$AG52)=0,0,IF(AND((YEAR(P$211)*12+MONTH(P$211))&gt;='Aset Takberwujud'!$Y52,(YEAR(P$211)*12+MONTH(P$211))&lt;=MIN('Aset Takberwujud'!$Z52,IF('Aset Takberwujud'!$S52="Unit Produksi",99999,'Aset Takberwujud'!$Y52+'Aset Takberwujud'!$T52*12-1))),'Aset Takberwujud'!$AQ52/'Aset Takberwujud'!$AG52,0)))</f>
        <v/>
      </c>
      <c r="Q257" s="22" t="str">
        <f>IF($B257="","",SUM(E257:P257))</f>
        <v/>
      </c>
      <c r="R257" s="22" t="str">
        <f>IF($B257="","",'Aset Takberwujud'!AQ52)</f>
        <v/>
      </c>
      <c r="S257" s="22" t="str">
        <f>IF($B257="","",ROUND(Q257-R257,0))</f>
        <v/>
      </c>
    </row>
    <row r="258" spans="1:19" x14ac:dyDescent="0.25">
      <c r="A258" t="str">
        <f>IF('Aset Takberwujud'!$B53="","",'Aset Takberwujud'!A53)</f>
        <v/>
      </c>
      <c r="B258" t="str">
        <f>IF('Aset Takberwujud'!$B53="","",'Aset Takberwujud'!B53)</f>
        <v/>
      </c>
      <c r="C258" t="str">
        <f>IF('Aset Takberwujud'!$B53="","",'Aset Takberwujud'!C53)</f>
        <v/>
      </c>
      <c r="D258" t="str">
        <f>IF('Aset Takberwujud'!$B53="","",'Aset Takberwujud'!D53)</f>
        <v/>
      </c>
      <c r="E258" s="22" t="str">
        <f>IF($B258="","",IF(N('Aset Takberwujud'!$AG53)=0,0,IF(AND((YEAR(E$211)*12+MONTH(E$211))&gt;='Aset Takberwujud'!$Y53,(YEAR(E$211)*12+MONTH(E$211))&lt;=MIN('Aset Takberwujud'!$Z53,IF('Aset Takberwujud'!$S53="Unit Produksi",99999,'Aset Takberwujud'!$Y53+'Aset Takberwujud'!$T53*12-1))),'Aset Takberwujud'!$AQ53/'Aset Takberwujud'!$AG53,0)))</f>
        <v/>
      </c>
      <c r="F258" s="22" t="str">
        <f>IF($B258="","",IF(N('Aset Takberwujud'!$AG53)=0,0,IF(AND((YEAR(F$211)*12+MONTH(F$211))&gt;='Aset Takberwujud'!$Y53,(YEAR(F$211)*12+MONTH(F$211))&lt;=MIN('Aset Takberwujud'!$Z53,IF('Aset Takberwujud'!$S53="Unit Produksi",99999,'Aset Takberwujud'!$Y53+'Aset Takberwujud'!$T53*12-1))),'Aset Takberwujud'!$AQ53/'Aset Takberwujud'!$AG53,0)))</f>
        <v/>
      </c>
      <c r="G258" s="22" t="str">
        <f>IF($B258="","",IF(N('Aset Takberwujud'!$AG53)=0,0,IF(AND((YEAR(G$211)*12+MONTH(G$211))&gt;='Aset Takberwujud'!$Y53,(YEAR(G$211)*12+MONTH(G$211))&lt;=MIN('Aset Takberwujud'!$Z53,IF('Aset Takberwujud'!$S53="Unit Produksi",99999,'Aset Takberwujud'!$Y53+'Aset Takberwujud'!$T53*12-1))),'Aset Takberwujud'!$AQ53/'Aset Takberwujud'!$AG53,0)))</f>
        <v/>
      </c>
      <c r="H258" s="22" t="str">
        <f>IF($B258="","",IF(N('Aset Takberwujud'!$AG53)=0,0,IF(AND((YEAR(H$211)*12+MONTH(H$211))&gt;='Aset Takberwujud'!$Y53,(YEAR(H$211)*12+MONTH(H$211))&lt;=MIN('Aset Takberwujud'!$Z53,IF('Aset Takberwujud'!$S53="Unit Produksi",99999,'Aset Takberwujud'!$Y53+'Aset Takberwujud'!$T53*12-1))),'Aset Takberwujud'!$AQ53/'Aset Takberwujud'!$AG53,0)))</f>
        <v/>
      </c>
      <c r="I258" s="22" t="str">
        <f>IF($B258="","",IF(N('Aset Takberwujud'!$AG53)=0,0,IF(AND((YEAR(I$211)*12+MONTH(I$211))&gt;='Aset Takberwujud'!$Y53,(YEAR(I$211)*12+MONTH(I$211))&lt;=MIN('Aset Takberwujud'!$Z53,IF('Aset Takberwujud'!$S53="Unit Produksi",99999,'Aset Takberwujud'!$Y53+'Aset Takberwujud'!$T53*12-1))),'Aset Takberwujud'!$AQ53/'Aset Takberwujud'!$AG53,0)))</f>
        <v/>
      </c>
      <c r="J258" s="22" t="str">
        <f>IF($B258="","",IF(N('Aset Takberwujud'!$AG53)=0,0,IF(AND((YEAR(J$211)*12+MONTH(J$211))&gt;='Aset Takberwujud'!$Y53,(YEAR(J$211)*12+MONTH(J$211))&lt;=MIN('Aset Takberwujud'!$Z53,IF('Aset Takberwujud'!$S53="Unit Produksi",99999,'Aset Takberwujud'!$Y53+'Aset Takberwujud'!$T53*12-1))),'Aset Takberwujud'!$AQ53/'Aset Takberwujud'!$AG53,0)))</f>
        <v/>
      </c>
      <c r="K258" s="22" t="str">
        <f>IF($B258="","",IF(N('Aset Takberwujud'!$AG53)=0,0,IF(AND((YEAR(K$211)*12+MONTH(K$211))&gt;='Aset Takberwujud'!$Y53,(YEAR(K$211)*12+MONTH(K$211))&lt;=MIN('Aset Takberwujud'!$Z53,IF('Aset Takberwujud'!$S53="Unit Produksi",99999,'Aset Takberwujud'!$Y53+'Aset Takberwujud'!$T53*12-1))),'Aset Takberwujud'!$AQ53/'Aset Takberwujud'!$AG53,0)))</f>
        <v/>
      </c>
      <c r="L258" s="22" t="str">
        <f>IF($B258="","",IF(N('Aset Takberwujud'!$AG53)=0,0,IF(AND((YEAR(L$211)*12+MONTH(L$211))&gt;='Aset Takberwujud'!$Y53,(YEAR(L$211)*12+MONTH(L$211))&lt;=MIN('Aset Takberwujud'!$Z53,IF('Aset Takberwujud'!$S53="Unit Produksi",99999,'Aset Takberwujud'!$Y53+'Aset Takberwujud'!$T53*12-1))),'Aset Takberwujud'!$AQ53/'Aset Takberwujud'!$AG53,0)))</f>
        <v/>
      </c>
      <c r="M258" s="22" t="str">
        <f>IF($B258="","",IF(N('Aset Takberwujud'!$AG53)=0,0,IF(AND((YEAR(M$211)*12+MONTH(M$211))&gt;='Aset Takberwujud'!$Y53,(YEAR(M$211)*12+MONTH(M$211))&lt;=MIN('Aset Takberwujud'!$Z53,IF('Aset Takberwujud'!$S53="Unit Produksi",99999,'Aset Takberwujud'!$Y53+'Aset Takberwujud'!$T53*12-1))),'Aset Takberwujud'!$AQ53/'Aset Takberwujud'!$AG53,0)))</f>
        <v/>
      </c>
      <c r="N258" s="22" t="str">
        <f>IF($B258="","",IF(N('Aset Takberwujud'!$AG53)=0,0,IF(AND((YEAR(N$211)*12+MONTH(N$211))&gt;='Aset Takberwujud'!$Y53,(YEAR(N$211)*12+MONTH(N$211))&lt;=MIN('Aset Takberwujud'!$Z53,IF('Aset Takberwujud'!$S53="Unit Produksi",99999,'Aset Takberwujud'!$Y53+'Aset Takberwujud'!$T53*12-1))),'Aset Takberwujud'!$AQ53/'Aset Takberwujud'!$AG53,0)))</f>
        <v/>
      </c>
      <c r="O258" s="22" t="str">
        <f>IF($B258="","",IF(N('Aset Takberwujud'!$AG53)=0,0,IF(AND((YEAR(O$211)*12+MONTH(O$211))&gt;='Aset Takberwujud'!$Y53,(YEAR(O$211)*12+MONTH(O$211))&lt;=MIN('Aset Takberwujud'!$Z53,IF('Aset Takberwujud'!$S53="Unit Produksi",99999,'Aset Takberwujud'!$Y53+'Aset Takberwujud'!$T53*12-1))),'Aset Takberwujud'!$AQ53/'Aset Takberwujud'!$AG53,0)))</f>
        <v/>
      </c>
      <c r="P258" s="22" t="str">
        <f>IF($B258="","",IF(N('Aset Takberwujud'!$AG53)=0,0,IF(AND((YEAR(P$211)*12+MONTH(P$211))&gt;='Aset Takberwujud'!$Y53,(YEAR(P$211)*12+MONTH(P$211))&lt;=MIN('Aset Takberwujud'!$Z53,IF('Aset Takberwujud'!$S53="Unit Produksi",99999,'Aset Takberwujud'!$Y53+'Aset Takberwujud'!$T53*12-1))),'Aset Takberwujud'!$AQ53/'Aset Takberwujud'!$AG53,0)))</f>
        <v/>
      </c>
      <c r="Q258" s="22" t="str">
        <f>IF($B258="","",SUM(E258:P258))</f>
        <v/>
      </c>
      <c r="R258" s="22" t="str">
        <f>IF($B258="","",'Aset Takberwujud'!AQ53)</f>
        <v/>
      </c>
      <c r="S258" s="22" t="str">
        <f>IF($B258="","",ROUND(Q258-R258,0))</f>
        <v/>
      </c>
    </row>
    <row r="259" spans="1:19" x14ac:dyDescent="0.25">
      <c r="A259" t="str">
        <f>IF('Aset Takberwujud'!$B54="","",'Aset Takberwujud'!A54)</f>
        <v/>
      </c>
      <c r="B259" t="str">
        <f>IF('Aset Takberwujud'!$B54="","",'Aset Takberwujud'!B54)</f>
        <v/>
      </c>
      <c r="C259" t="str">
        <f>IF('Aset Takberwujud'!$B54="","",'Aset Takberwujud'!C54)</f>
        <v/>
      </c>
      <c r="D259" t="str">
        <f>IF('Aset Takberwujud'!$B54="","",'Aset Takberwujud'!D54)</f>
        <v/>
      </c>
      <c r="E259" s="22" t="str">
        <f>IF($B259="","",IF(N('Aset Takberwujud'!$AG54)=0,0,IF(AND((YEAR(E$211)*12+MONTH(E$211))&gt;='Aset Takberwujud'!$Y54,(YEAR(E$211)*12+MONTH(E$211))&lt;=MIN('Aset Takberwujud'!$Z54,IF('Aset Takberwujud'!$S54="Unit Produksi",99999,'Aset Takberwujud'!$Y54+'Aset Takberwujud'!$T54*12-1))),'Aset Takberwujud'!$AQ54/'Aset Takberwujud'!$AG54,0)))</f>
        <v/>
      </c>
      <c r="F259" s="22" t="str">
        <f>IF($B259="","",IF(N('Aset Takberwujud'!$AG54)=0,0,IF(AND((YEAR(F$211)*12+MONTH(F$211))&gt;='Aset Takberwujud'!$Y54,(YEAR(F$211)*12+MONTH(F$211))&lt;=MIN('Aset Takberwujud'!$Z54,IF('Aset Takberwujud'!$S54="Unit Produksi",99999,'Aset Takberwujud'!$Y54+'Aset Takberwujud'!$T54*12-1))),'Aset Takberwujud'!$AQ54/'Aset Takberwujud'!$AG54,0)))</f>
        <v/>
      </c>
      <c r="G259" s="22" t="str">
        <f>IF($B259="","",IF(N('Aset Takberwujud'!$AG54)=0,0,IF(AND((YEAR(G$211)*12+MONTH(G$211))&gt;='Aset Takberwujud'!$Y54,(YEAR(G$211)*12+MONTH(G$211))&lt;=MIN('Aset Takberwujud'!$Z54,IF('Aset Takberwujud'!$S54="Unit Produksi",99999,'Aset Takberwujud'!$Y54+'Aset Takberwujud'!$T54*12-1))),'Aset Takberwujud'!$AQ54/'Aset Takberwujud'!$AG54,0)))</f>
        <v/>
      </c>
      <c r="H259" s="22" t="str">
        <f>IF($B259="","",IF(N('Aset Takberwujud'!$AG54)=0,0,IF(AND((YEAR(H$211)*12+MONTH(H$211))&gt;='Aset Takberwujud'!$Y54,(YEAR(H$211)*12+MONTH(H$211))&lt;=MIN('Aset Takberwujud'!$Z54,IF('Aset Takberwujud'!$S54="Unit Produksi",99999,'Aset Takberwujud'!$Y54+'Aset Takberwujud'!$T54*12-1))),'Aset Takberwujud'!$AQ54/'Aset Takberwujud'!$AG54,0)))</f>
        <v/>
      </c>
      <c r="I259" s="22" t="str">
        <f>IF($B259="","",IF(N('Aset Takberwujud'!$AG54)=0,0,IF(AND((YEAR(I$211)*12+MONTH(I$211))&gt;='Aset Takberwujud'!$Y54,(YEAR(I$211)*12+MONTH(I$211))&lt;=MIN('Aset Takberwujud'!$Z54,IF('Aset Takberwujud'!$S54="Unit Produksi",99999,'Aset Takberwujud'!$Y54+'Aset Takberwujud'!$T54*12-1))),'Aset Takberwujud'!$AQ54/'Aset Takberwujud'!$AG54,0)))</f>
        <v/>
      </c>
      <c r="J259" s="22" t="str">
        <f>IF($B259="","",IF(N('Aset Takberwujud'!$AG54)=0,0,IF(AND((YEAR(J$211)*12+MONTH(J$211))&gt;='Aset Takberwujud'!$Y54,(YEAR(J$211)*12+MONTH(J$211))&lt;=MIN('Aset Takberwujud'!$Z54,IF('Aset Takberwujud'!$S54="Unit Produksi",99999,'Aset Takberwujud'!$Y54+'Aset Takberwujud'!$T54*12-1))),'Aset Takberwujud'!$AQ54/'Aset Takberwujud'!$AG54,0)))</f>
        <v/>
      </c>
      <c r="K259" s="22" t="str">
        <f>IF($B259="","",IF(N('Aset Takberwujud'!$AG54)=0,0,IF(AND((YEAR(K$211)*12+MONTH(K$211))&gt;='Aset Takberwujud'!$Y54,(YEAR(K$211)*12+MONTH(K$211))&lt;=MIN('Aset Takberwujud'!$Z54,IF('Aset Takberwujud'!$S54="Unit Produksi",99999,'Aset Takberwujud'!$Y54+'Aset Takberwujud'!$T54*12-1))),'Aset Takberwujud'!$AQ54/'Aset Takberwujud'!$AG54,0)))</f>
        <v/>
      </c>
      <c r="L259" s="22" t="str">
        <f>IF($B259="","",IF(N('Aset Takberwujud'!$AG54)=0,0,IF(AND((YEAR(L$211)*12+MONTH(L$211))&gt;='Aset Takberwujud'!$Y54,(YEAR(L$211)*12+MONTH(L$211))&lt;=MIN('Aset Takberwujud'!$Z54,IF('Aset Takberwujud'!$S54="Unit Produksi",99999,'Aset Takberwujud'!$Y54+'Aset Takberwujud'!$T54*12-1))),'Aset Takberwujud'!$AQ54/'Aset Takberwujud'!$AG54,0)))</f>
        <v/>
      </c>
      <c r="M259" s="22" t="str">
        <f>IF($B259="","",IF(N('Aset Takberwujud'!$AG54)=0,0,IF(AND((YEAR(M$211)*12+MONTH(M$211))&gt;='Aset Takberwujud'!$Y54,(YEAR(M$211)*12+MONTH(M$211))&lt;=MIN('Aset Takberwujud'!$Z54,IF('Aset Takberwujud'!$S54="Unit Produksi",99999,'Aset Takberwujud'!$Y54+'Aset Takberwujud'!$T54*12-1))),'Aset Takberwujud'!$AQ54/'Aset Takberwujud'!$AG54,0)))</f>
        <v/>
      </c>
      <c r="N259" s="22" t="str">
        <f>IF($B259="","",IF(N('Aset Takberwujud'!$AG54)=0,0,IF(AND((YEAR(N$211)*12+MONTH(N$211))&gt;='Aset Takberwujud'!$Y54,(YEAR(N$211)*12+MONTH(N$211))&lt;=MIN('Aset Takberwujud'!$Z54,IF('Aset Takberwujud'!$S54="Unit Produksi",99999,'Aset Takberwujud'!$Y54+'Aset Takberwujud'!$T54*12-1))),'Aset Takberwujud'!$AQ54/'Aset Takberwujud'!$AG54,0)))</f>
        <v/>
      </c>
      <c r="O259" s="22" t="str">
        <f>IF($B259="","",IF(N('Aset Takberwujud'!$AG54)=0,0,IF(AND((YEAR(O$211)*12+MONTH(O$211))&gt;='Aset Takberwujud'!$Y54,(YEAR(O$211)*12+MONTH(O$211))&lt;=MIN('Aset Takberwujud'!$Z54,IF('Aset Takberwujud'!$S54="Unit Produksi",99999,'Aset Takberwujud'!$Y54+'Aset Takberwujud'!$T54*12-1))),'Aset Takberwujud'!$AQ54/'Aset Takberwujud'!$AG54,0)))</f>
        <v/>
      </c>
      <c r="P259" s="22" t="str">
        <f>IF($B259="","",IF(N('Aset Takberwujud'!$AG54)=0,0,IF(AND((YEAR(P$211)*12+MONTH(P$211))&gt;='Aset Takberwujud'!$Y54,(YEAR(P$211)*12+MONTH(P$211))&lt;=MIN('Aset Takberwujud'!$Z54,IF('Aset Takberwujud'!$S54="Unit Produksi",99999,'Aset Takberwujud'!$Y54+'Aset Takberwujud'!$T54*12-1))),'Aset Takberwujud'!$AQ54/'Aset Takberwujud'!$AG54,0)))</f>
        <v/>
      </c>
      <c r="Q259" s="22" t="str">
        <f>IF($B259="","",SUM(E259:P259))</f>
        <v/>
      </c>
      <c r="R259" s="22" t="str">
        <f>IF($B259="","",'Aset Takberwujud'!AQ54)</f>
        <v/>
      </c>
      <c r="S259" s="22" t="str">
        <f>IF($B259="","",ROUND(Q259-R259,0))</f>
        <v/>
      </c>
    </row>
    <row r="260" spans="1:19" x14ac:dyDescent="0.25">
      <c r="A260" t="str">
        <f>IF('Aset Takberwujud'!$B55="","",'Aset Takberwujud'!A55)</f>
        <v/>
      </c>
      <c r="B260" t="str">
        <f>IF('Aset Takberwujud'!$B55="","",'Aset Takberwujud'!B55)</f>
        <v/>
      </c>
      <c r="C260" t="str">
        <f>IF('Aset Takberwujud'!$B55="","",'Aset Takberwujud'!C55)</f>
        <v/>
      </c>
      <c r="D260" t="str">
        <f>IF('Aset Takberwujud'!$B55="","",'Aset Takberwujud'!D55)</f>
        <v/>
      </c>
      <c r="E260" s="22" t="str">
        <f>IF($B260="","",IF(N('Aset Takberwujud'!$AG55)=0,0,IF(AND((YEAR(E$211)*12+MONTH(E$211))&gt;='Aset Takberwujud'!$Y55,(YEAR(E$211)*12+MONTH(E$211))&lt;=MIN('Aset Takberwujud'!$Z55,IF('Aset Takberwujud'!$S55="Unit Produksi",99999,'Aset Takberwujud'!$Y55+'Aset Takberwujud'!$T55*12-1))),'Aset Takberwujud'!$AQ55/'Aset Takberwujud'!$AG55,0)))</f>
        <v/>
      </c>
      <c r="F260" s="22" t="str">
        <f>IF($B260="","",IF(N('Aset Takberwujud'!$AG55)=0,0,IF(AND((YEAR(F$211)*12+MONTH(F$211))&gt;='Aset Takberwujud'!$Y55,(YEAR(F$211)*12+MONTH(F$211))&lt;=MIN('Aset Takberwujud'!$Z55,IF('Aset Takberwujud'!$S55="Unit Produksi",99999,'Aset Takberwujud'!$Y55+'Aset Takberwujud'!$T55*12-1))),'Aset Takberwujud'!$AQ55/'Aset Takberwujud'!$AG55,0)))</f>
        <v/>
      </c>
      <c r="G260" s="22" t="str">
        <f>IF($B260="","",IF(N('Aset Takberwujud'!$AG55)=0,0,IF(AND((YEAR(G$211)*12+MONTH(G$211))&gt;='Aset Takberwujud'!$Y55,(YEAR(G$211)*12+MONTH(G$211))&lt;=MIN('Aset Takberwujud'!$Z55,IF('Aset Takberwujud'!$S55="Unit Produksi",99999,'Aset Takberwujud'!$Y55+'Aset Takberwujud'!$T55*12-1))),'Aset Takberwujud'!$AQ55/'Aset Takberwujud'!$AG55,0)))</f>
        <v/>
      </c>
      <c r="H260" s="22" t="str">
        <f>IF($B260="","",IF(N('Aset Takberwujud'!$AG55)=0,0,IF(AND((YEAR(H$211)*12+MONTH(H$211))&gt;='Aset Takberwujud'!$Y55,(YEAR(H$211)*12+MONTH(H$211))&lt;=MIN('Aset Takberwujud'!$Z55,IF('Aset Takberwujud'!$S55="Unit Produksi",99999,'Aset Takberwujud'!$Y55+'Aset Takberwujud'!$T55*12-1))),'Aset Takberwujud'!$AQ55/'Aset Takberwujud'!$AG55,0)))</f>
        <v/>
      </c>
      <c r="I260" s="22" t="str">
        <f>IF($B260="","",IF(N('Aset Takberwujud'!$AG55)=0,0,IF(AND((YEAR(I$211)*12+MONTH(I$211))&gt;='Aset Takberwujud'!$Y55,(YEAR(I$211)*12+MONTH(I$211))&lt;=MIN('Aset Takberwujud'!$Z55,IF('Aset Takberwujud'!$S55="Unit Produksi",99999,'Aset Takberwujud'!$Y55+'Aset Takberwujud'!$T55*12-1))),'Aset Takberwujud'!$AQ55/'Aset Takberwujud'!$AG55,0)))</f>
        <v/>
      </c>
      <c r="J260" s="22" t="str">
        <f>IF($B260="","",IF(N('Aset Takberwujud'!$AG55)=0,0,IF(AND((YEAR(J$211)*12+MONTH(J$211))&gt;='Aset Takberwujud'!$Y55,(YEAR(J$211)*12+MONTH(J$211))&lt;=MIN('Aset Takberwujud'!$Z55,IF('Aset Takberwujud'!$S55="Unit Produksi",99999,'Aset Takberwujud'!$Y55+'Aset Takberwujud'!$T55*12-1))),'Aset Takberwujud'!$AQ55/'Aset Takberwujud'!$AG55,0)))</f>
        <v/>
      </c>
      <c r="K260" s="22" t="str">
        <f>IF($B260="","",IF(N('Aset Takberwujud'!$AG55)=0,0,IF(AND((YEAR(K$211)*12+MONTH(K$211))&gt;='Aset Takberwujud'!$Y55,(YEAR(K$211)*12+MONTH(K$211))&lt;=MIN('Aset Takberwujud'!$Z55,IF('Aset Takberwujud'!$S55="Unit Produksi",99999,'Aset Takberwujud'!$Y55+'Aset Takberwujud'!$T55*12-1))),'Aset Takberwujud'!$AQ55/'Aset Takberwujud'!$AG55,0)))</f>
        <v/>
      </c>
      <c r="L260" s="22" t="str">
        <f>IF($B260="","",IF(N('Aset Takberwujud'!$AG55)=0,0,IF(AND((YEAR(L$211)*12+MONTH(L$211))&gt;='Aset Takberwujud'!$Y55,(YEAR(L$211)*12+MONTH(L$211))&lt;=MIN('Aset Takberwujud'!$Z55,IF('Aset Takberwujud'!$S55="Unit Produksi",99999,'Aset Takberwujud'!$Y55+'Aset Takberwujud'!$T55*12-1))),'Aset Takberwujud'!$AQ55/'Aset Takberwujud'!$AG55,0)))</f>
        <v/>
      </c>
      <c r="M260" s="22" t="str">
        <f>IF($B260="","",IF(N('Aset Takberwujud'!$AG55)=0,0,IF(AND((YEAR(M$211)*12+MONTH(M$211))&gt;='Aset Takberwujud'!$Y55,(YEAR(M$211)*12+MONTH(M$211))&lt;=MIN('Aset Takberwujud'!$Z55,IF('Aset Takberwujud'!$S55="Unit Produksi",99999,'Aset Takberwujud'!$Y55+'Aset Takberwujud'!$T55*12-1))),'Aset Takberwujud'!$AQ55/'Aset Takberwujud'!$AG55,0)))</f>
        <v/>
      </c>
      <c r="N260" s="22" t="str">
        <f>IF($B260="","",IF(N('Aset Takberwujud'!$AG55)=0,0,IF(AND((YEAR(N$211)*12+MONTH(N$211))&gt;='Aset Takberwujud'!$Y55,(YEAR(N$211)*12+MONTH(N$211))&lt;=MIN('Aset Takberwujud'!$Z55,IF('Aset Takberwujud'!$S55="Unit Produksi",99999,'Aset Takberwujud'!$Y55+'Aset Takberwujud'!$T55*12-1))),'Aset Takberwujud'!$AQ55/'Aset Takberwujud'!$AG55,0)))</f>
        <v/>
      </c>
      <c r="O260" s="22" t="str">
        <f>IF($B260="","",IF(N('Aset Takberwujud'!$AG55)=0,0,IF(AND((YEAR(O$211)*12+MONTH(O$211))&gt;='Aset Takberwujud'!$Y55,(YEAR(O$211)*12+MONTH(O$211))&lt;=MIN('Aset Takberwujud'!$Z55,IF('Aset Takberwujud'!$S55="Unit Produksi",99999,'Aset Takberwujud'!$Y55+'Aset Takberwujud'!$T55*12-1))),'Aset Takberwujud'!$AQ55/'Aset Takberwujud'!$AG55,0)))</f>
        <v/>
      </c>
      <c r="P260" s="22" t="str">
        <f>IF($B260="","",IF(N('Aset Takberwujud'!$AG55)=0,0,IF(AND((YEAR(P$211)*12+MONTH(P$211))&gt;='Aset Takberwujud'!$Y55,(YEAR(P$211)*12+MONTH(P$211))&lt;=MIN('Aset Takberwujud'!$Z55,IF('Aset Takberwujud'!$S55="Unit Produksi",99999,'Aset Takberwujud'!$Y55+'Aset Takberwujud'!$T55*12-1))),'Aset Takberwujud'!$AQ55/'Aset Takberwujud'!$AG55,0)))</f>
        <v/>
      </c>
      <c r="Q260" s="22" t="str">
        <f>IF($B260="","",SUM(E260:P260))</f>
        <v/>
      </c>
      <c r="R260" s="22" t="str">
        <f>IF($B260="","",'Aset Takberwujud'!AQ55)</f>
        <v/>
      </c>
      <c r="S260" s="22" t="str">
        <f>IF($B260="","",ROUND(Q260-R260,0))</f>
        <v/>
      </c>
    </row>
    <row r="261" spans="1:19" x14ac:dyDescent="0.25">
      <c r="A261" t="str">
        <f>IF('Aset Takberwujud'!$B56="","",'Aset Takberwujud'!A56)</f>
        <v/>
      </c>
      <c r="B261" t="str">
        <f>IF('Aset Takberwujud'!$B56="","",'Aset Takberwujud'!B56)</f>
        <v/>
      </c>
      <c r="C261" t="str">
        <f>IF('Aset Takberwujud'!$B56="","",'Aset Takberwujud'!C56)</f>
        <v/>
      </c>
      <c r="D261" t="str">
        <f>IF('Aset Takberwujud'!$B56="","",'Aset Takberwujud'!D56)</f>
        <v/>
      </c>
      <c r="E261" s="22" t="str">
        <f>IF($B261="","",IF(N('Aset Takberwujud'!$AG56)=0,0,IF(AND((YEAR(E$211)*12+MONTH(E$211))&gt;='Aset Takberwujud'!$Y56,(YEAR(E$211)*12+MONTH(E$211))&lt;=MIN('Aset Takberwujud'!$Z56,IF('Aset Takberwujud'!$S56="Unit Produksi",99999,'Aset Takberwujud'!$Y56+'Aset Takberwujud'!$T56*12-1))),'Aset Takberwujud'!$AQ56/'Aset Takberwujud'!$AG56,0)))</f>
        <v/>
      </c>
      <c r="F261" s="22" t="str">
        <f>IF($B261="","",IF(N('Aset Takberwujud'!$AG56)=0,0,IF(AND((YEAR(F$211)*12+MONTH(F$211))&gt;='Aset Takberwujud'!$Y56,(YEAR(F$211)*12+MONTH(F$211))&lt;=MIN('Aset Takberwujud'!$Z56,IF('Aset Takberwujud'!$S56="Unit Produksi",99999,'Aset Takberwujud'!$Y56+'Aset Takberwujud'!$T56*12-1))),'Aset Takberwujud'!$AQ56/'Aset Takberwujud'!$AG56,0)))</f>
        <v/>
      </c>
      <c r="G261" s="22" t="str">
        <f>IF($B261="","",IF(N('Aset Takberwujud'!$AG56)=0,0,IF(AND((YEAR(G$211)*12+MONTH(G$211))&gt;='Aset Takberwujud'!$Y56,(YEAR(G$211)*12+MONTH(G$211))&lt;=MIN('Aset Takberwujud'!$Z56,IF('Aset Takberwujud'!$S56="Unit Produksi",99999,'Aset Takberwujud'!$Y56+'Aset Takberwujud'!$T56*12-1))),'Aset Takberwujud'!$AQ56/'Aset Takberwujud'!$AG56,0)))</f>
        <v/>
      </c>
      <c r="H261" s="22" t="str">
        <f>IF($B261="","",IF(N('Aset Takberwujud'!$AG56)=0,0,IF(AND((YEAR(H$211)*12+MONTH(H$211))&gt;='Aset Takberwujud'!$Y56,(YEAR(H$211)*12+MONTH(H$211))&lt;=MIN('Aset Takberwujud'!$Z56,IF('Aset Takberwujud'!$S56="Unit Produksi",99999,'Aset Takberwujud'!$Y56+'Aset Takberwujud'!$T56*12-1))),'Aset Takberwujud'!$AQ56/'Aset Takberwujud'!$AG56,0)))</f>
        <v/>
      </c>
      <c r="I261" s="22" t="str">
        <f>IF($B261="","",IF(N('Aset Takberwujud'!$AG56)=0,0,IF(AND((YEAR(I$211)*12+MONTH(I$211))&gt;='Aset Takberwujud'!$Y56,(YEAR(I$211)*12+MONTH(I$211))&lt;=MIN('Aset Takberwujud'!$Z56,IF('Aset Takberwujud'!$S56="Unit Produksi",99999,'Aset Takberwujud'!$Y56+'Aset Takberwujud'!$T56*12-1))),'Aset Takberwujud'!$AQ56/'Aset Takberwujud'!$AG56,0)))</f>
        <v/>
      </c>
      <c r="J261" s="22" t="str">
        <f>IF($B261="","",IF(N('Aset Takberwujud'!$AG56)=0,0,IF(AND((YEAR(J$211)*12+MONTH(J$211))&gt;='Aset Takberwujud'!$Y56,(YEAR(J$211)*12+MONTH(J$211))&lt;=MIN('Aset Takberwujud'!$Z56,IF('Aset Takberwujud'!$S56="Unit Produksi",99999,'Aset Takberwujud'!$Y56+'Aset Takberwujud'!$T56*12-1))),'Aset Takberwujud'!$AQ56/'Aset Takberwujud'!$AG56,0)))</f>
        <v/>
      </c>
      <c r="K261" s="22" t="str">
        <f>IF($B261="","",IF(N('Aset Takberwujud'!$AG56)=0,0,IF(AND((YEAR(K$211)*12+MONTH(K$211))&gt;='Aset Takberwujud'!$Y56,(YEAR(K$211)*12+MONTH(K$211))&lt;=MIN('Aset Takberwujud'!$Z56,IF('Aset Takberwujud'!$S56="Unit Produksi",99999,'Aset Takberwujud'!$Y56+'Aset Takberwujud'!$T56*12-1))),'Aset Takberwujud'!$AQ56/'Aset Takberwujud'!$AG56,0)))</f>
        <v/>
      </c>
      <c r="L261" s="22" t="str">
        <f>IF($B261="","",IF(N('Aset Takberwujud'!$AG56)=0,0,IF(AND((YEAR(L$211)*12+MONTH(L$211))&gt;='Aset Takberwujud'!$Y56,(YEAR(L$211)*12+MONTH(L$211))&lt;=MIN('Aset Takberwujud'!$Z56,IF('Aset Takberwujud'!$S56="Unit Produksi",99999,'Aset Takberwujud'!$Y56+'Aset Takberwujud'!$T56*12-1))),'Aset Takberwujud'!$AQ56/'Aset Takberwujud'!$AG56,0)))</f>
        <v/>
      </c>
      <c r="M261" s="22" t="str">
        <f>IF($B261="","",IF(N('Aset Takberwujud'!$AG56)=0,0,IF(AND((YEAR(M$211)*12+MONTH(M$211))&gt;='Aset Takberwujud'!$Y56,(YEAR(M$211)*12+MONTH(M$211))&lt;=MIN('Aset Takberwujud'!$Z56,IF('Aset Takberwujud'!$S56="Unit Produksi",99999,'Aset Takberwujud'!$Y56+'Aset Takberwujud'!$T56*12-1))),'Aset Takberwujud'!$AQ56/'Aset Takberwujud'!$AG56,0)))</f>
        <v/>
      </c>
      <c r="N261" s="22" t="str">
        <f>IF($B261="","",IF(N('Aset Takberwujud'!$AG56)=0,0,IF(AND((YEAR(N$211)*12+MONTH(N$211))&gt;='Aset Takberwujud'!$Y56,(YEAR(N$211)*12+MONTH(N$211))&lt;=MIN('Aset Takberwujud'!$Z56,IF('Aset Takberwujud'!$S56="Unit Produksi",99999,'Aset Takberwujud'!$Y56+'Aset Takberwujud'!$T56*12-1))),'Aset Takberwujud'!$AQ56/'Aset Takberwujud'!$AG56,0)))</f>
        <v/>
      </c>
      <c r="O261" s="22" t="str">
        <f>IF($B261="","",IF(N('Aset Takberwujud'!$AG56)=0,0,IF(AND((YEAR(O$211)*12+MONTH(O$211))&gt;='Aset Takberwujud'!$Y56,(YEAR(O$211)*12+MONTH(O$211))&lt;=MIN('Aset Takberwujud'!$Z56,IF('Aset Takberwujud'!$S56="Unit Produksi",99999,'Aset Takberwujud'!$Y56+'Aset Takberwujud'!$T56*12-1))),'Aset Takberwujud'!$AQ56/'Aset Takberwujud'!$AG56,0)))</f>
        <v/>
      </c>
      <c r="P261" s="22" t="str">
        <f>IF($B261="","",IF(N('Aset Takberwujud'!$AG56)=0,0,IF(AND((YEAR(P$211)*12+MONTH(P$211))&gt;='Aset Takberwujud'!$Y56,(YEAR(P$211)*12+MONTH(P$211))&lt;=MIN('Aset Takberwujud'!$Z56,IF('Aset Takberwujud'!$S56="Unit Produksi",99999,'Aset Takberwujud'!$Y56+'Aset Takberwujud'!$T56*12-1))),'Aset Takberwujud'!$AQ56/'Aset Takberwujud'!$AG56,0)))</f>
        <v/>
      </c>
      <c r="Q261" s="22" t="str">
        <f>IF($B261="","",SUM(E261:P261))</f>
        <v/>
      </c>
      <c r="R261" s="22" t="str">
        <f>IF($B261="","",'Aset Takberwujud'!AQ56)</f>
        <v/>
      </c>
      <c r="S261" s="22" t="str">
        <f>IF($B261="","",ROUND(Q261-R261,0))</f>
        <v/>
      </c>
    </row>
    <row r="262" spans="1:19" x14ac:dyDescent="0.25">
      <c r="A262" t="str">
        <f>IF('Aset Takberwujud'!$B57="","",'Aset Takberwujud'!A57)</f>
        <v/>
      </c>
      <c r="B262" t="str">
        <f>IF('Aset Takberwujud'!$B57="","",'Aset Takberwujud'!B57)</f>
        <v/>
      </c>
      <c r="C262" t="str">
        <f>IF('Aset Takberwujud'!$B57="","",'Aset Takberwujud'!C57)</f>
        <v/>
      </c>
      <c r="D262" t="str">
        <f>IF('Aset Takberwujud'!$B57="","",'Aset Takberwujud'!D57)</f>
        <v/>
      </c>
      <c r="E262" s="22" t="str">
        <f>IF($B262="","",IF(N('Aset Takberwujud'!$AG57)=0,0,IF(AND((YEAR(E$211)*12+MONTH(E$211))&gt;='Aset Takberwujud'!$Y57,(YEAR(E$211)*12+MONTH(E$211))&lt;=MIN('Aset Takberwujud'!$Z57,IF('Aset Takberwujud'!$S57="Unit Produksi",99999,'Aset Takberwujud'!$Y57+'Aset Takberwujud'!$T57*12-1))),'Aset Takberwujud'!$AQ57/'Aset Takberwujud'!$AG57,0)))</f>
        <v/>
      </c>
      <c r="F262" s="22" t="str">
        <f>IF($B262="","",IF(N('Aset Takberwujud'!$AG57)=0,0,IF(AND((YEAR(F$211)*12+MONTH(F$211))&gt;='Aset Takberwujud'!$Y57,(YEAR(F$211)*12+MONTH(F$211))&lt;=MIN('Aset Takberwujud'!$Z57,IF('Aset Takberwujud'!$S57="Unit Produksi",99999,'Aset Takberwujud'!$Y57+'Aset Takberwujud'!$T57*12-1))),'Aset Takberwujud'!$AQ57/'Aset Takberwujud'!$AG57,0)))</f>
        <v/>
      </c>
      <c r="G262" s="22" t="str">
        <f>IF($B262="","",IF(N('Aset Takberwujud'!$AG57)=0,0,IF(AND((YEAR(G$211)*12+MONTH(G$211))&gt;='Aset Takberwujud'!$Y57,(YEAR(G$211)*12+MONTH(G$211))&lt;=MIN('Aset Takberwujud'!$Z57,IF('Aset Takberwujud'!$S57="Unit Produksi",99999,'Aset Takberwujud'!$Y57+'Aset Takberwujud'!$T57*12-1))),'Aset Takberwujud'!$AQ57/'Aset Takberwujud'!$AG57,0)))</f>
        <v/>
      </c>
      <c r="H262" s="22" t="str">
        <f>IF($B262="","",IF(N('Aset Takberwujud'!$AG57)=0,0,IF(AND((YEAR(H$211)*12+MONTH(H$211))&gt;='Aset Takberwujud'!$Y57,(YEAR(H$211)*12+MONTH(H$211))&lt;=MIN('Aset Takberwujud'!$Z57,IF('Aset Takberwujud'!$S57="Unit Produksi",99999,'Aset Takberwujud'!$Y57+'Aset Takberwujud'!$T57*12-1))),'Aset Takberwujud'!$AQ57/'Aset Takberwujud'!$AG57,0)))</f>
        <v/>
      </c>
      <c r="I262" s="22" t="str">
        <f>IF($B262="","",IF(N('Aset Takberwujud'!$AG57)=0,0,IF(AND((YEAR(I$211)*12+MONTH(I$211))&gt;='Aset Takberwujud'!$Y57,(YEAR(I$211)*12+MONTH(I$211))&lt;=MIN('Aset Takberwujud'!$Z57,IF('Aset Takberwujud'!$S57="Unit Produksi",99999,'Aset Takberwujud'!$Y57+'Aset Takberwujud'!$T57*12-1))),'Aset Takberwujud'!$AQ57/'Aset Takberwujud'!$AG57,0)))</f>
        <v/>
      </c>
      <c r="J262" s="22" t="str">
        <f>IF($B262="","",IF(N('Aset Takberwujud'!$AG57)=0,0,IF(AND((YEAR(J$211)*12+MONTH(J$211))&gt;='Aset Takberwujud'!$Y57,(YEAR(J$211)*12+MONTH(J$211))&lt;=MIN('Aset Takberwujud'!$Z57,IF('Aset Takberwujud'!$S57="Unit Produksi",99999,'Aset Takberwujud'!$Y57+'Aset Takberwujud'!$T57*12-1))),'Aset Takberwujud'!$AQ57/'Aset Takberwujud'!$AG57,0)))</f>
        <v/>
      </c>
      <c r="K262" s="22" t="str">
        <f>IF($B262="","",IF(N('Aset Takberwujud'!$AG57)=0,0,IF(AND((YEAR(K$211)*12+MONTH(K$211))&gt;='Aset Takberwujud'!$Y57,(YEAR(K$211)*12+MONTH(K$211))&lt;=MIN('Aset Takberwujud'!$Z57,IF('Aset Takberwujud'!$S57="Unit Produksi",99999,'Aset Takberwujud'!$Y57+'Aset Takberwujud'!$T57*12-1))),'Aset Takberwujud'!$AQ57/'Aset Takberwujud'!$AG57,0)))</f>
        <v/>
      </c>
      <c r="L262" s="22" t="str">
        <f>IF($B262="","",IF(N('Aset Takberwujud'!$AG57)=0,0,IF(AND((YEAR(L$211)*12+MONTH(L$211))&gt;='Aset Takberwujud'!$Y57,(YEAR(L$211)*12+MONTH(L$211))&lt;=MIN('Aset Takberwujud'!$Z57,IF('Aset Takberwujud'!$S57="Unit Produksi",99999,'Aset Takberwujud'!$Y57+'Aset Takberwujud'!$T57*12-1))),'Aset Takberwujud'!$AQ57/'Aset Takberwujud'!$AG57,0)))</f>
        <v/>
      </c>
      <c r="M262" s="22" t="str">
        <f>IF($B262="","",IF(N('Aset Takberwujud'!$AG57)=0,0,IF(AND((YEAR(M$211)*12+MONTH(M$211))&gt;='Aset Takberwujud'!$Y57,(YEAR(M$211)*12+MONTH(M$211))&lt;=MIN('Aset Takberwujud'!$Z57,IF('Aset Takberwujud'!$S57="Unit Produksi",99999,'Aset Takberwujud'!$Y57+'Aset Takberwujud'!$T57*12-1))),'Aset Takberwujud'!$AQ57/'Aset Takberwujud'!$AG57,0)))</f>
        <v/>
      </c>
      <c r="N262" s="22" t="str">
        <f>IF($B262="","",IF(N('Aset Takberwujud'!$AG57)=0,0,IF(AND((YEAR(N$211)*12+MONTH(N$211))&gt;='Aset Takberwujud'!$Y57,(YEAR(N$211)*12+MONTH(N$211))&lt;=MIN('Aset Takberwujud'!$Z57,IF('Aset Takberwujud'!$S57="Unit Produksi",99999,'Aset Takberwujud'!$Y57+'Aset Takberwujud'!$T57*12-1))),'Aset Takberwujud'!$AQ57/'Aset Takberwujud'!$AG57,0)))</f>
        <v/>
      </c>
      <c r="O262" s="22" t="str">
        <f>IF($B262="","",IF(N('Aset Takberwujud'!$AG57)=0,0,IF(AND((YEAR(O$211)*12+MONTH(O$211))&gt;='Aset Takberwujud'!$Y57,(YEAR(O$211)*12+MONTH(O$211))&lt;=MIN('Aset Takberwujud'!$Z57,IF('Aset Takberwujud'!$S57="Unit Produksi",99999,'Aset Takberwujud'!$Y57+'Aset Takberwujud'!$T57*12-1))),'Aset Takberwujud'!$AQ57/'Aset Takberwujud'!$AG57,0)))</f>
        <v/>
      </c>
      <c r="P262" s="22" t="str">
        <f>IF($B262="","",IF(N('Aset Takberwujud'!$AG57)=0,0,IF(AND((YEAR(P$211)*12+MONTH(P$211))&gt;='Aset Takberwujud'!$Y57,(YEAR(P$211)*12+MONTH(P$211))&lt;=MIN('Aset Takberwujud'!$Z57,IF('Aset Takberwujud'!$S57="Unit Produksi",99999,'Aset Takberwujud'!$Y57+'Aset Takberwujud'!$T57*12-1))),'Aset Takberwujud'!$AQ57/'Aset Takberwujud'!$AG57,0)))</f>
        <v/>
      </c>
      <c r="Q262" s="22" t="str">
        <f>IF($B262="","",SUM(E262:P262))</f>
        <v/>
      </c>
      <c r="R262" s="22" t="str">
        <f>IF($B262="","",'Aset Takberwujud'!AQ57)</f>
        <v/>
      </c>
      <c r="S262" s="22" t="str">
        <f>IF($B262="","",ROUND(Q262-R262,0))</f>
        <v/>
      </c>
    </row>
    <row r="263" spans="1:19" x14ac:dyDescent="0.25">
      <c r="A263" t="str">
        <f>IF('Aset Takberwujud'!$B58="","",'Aset Takberwujud'!A58)</f>
        <v/>
      </c>
      <c r="B263" t="str">
        <f>IF('Aset Takberwujud'!$B58="","",'Aset Takberwujud'!B58)</f>
        <v/>
      </c>
      <c r="C263" t="str">
        <f>IF('Aset Takberwujud'!$B58="","",'Aset Takberwujud'!C58)</f>
        <v/>
      </c>
      <c r="D263" t="str">
        <f>IF('Aset Takberwujud'!$B58="","",'Aset Takberwujud'!D58)</f>
        <v/>
      </c>
      <c r="E263" s="22" t="str">
        <f>IF($B263="","",IF(N('Aset Takberwujud'!$AG58)=0,0,IF(AND((YEAR(E$211)*12+MONTH(E$211))&gt;='Aset Takberwujud'!$Y58,(YEAR(E$211)*12+MONTH(E$211))&lt;=MIN('Aset Takberwujud'!$Z58,IF('Aset Takberwujud'!$S58="Unit Produksi",99999,'Aset Takberwujud'!$Y58+'Aset Takberwujud'!$T58*12-1))),'Aset Takberwujud'!$AQ58/'Aset Takberwujud'!$AG58,0)))</f>
        <v/>
      </c>
      <c r="F263" s="22" t="str">
        <f>IF($B263="","",IF(N('Aset Takberwujud'!$AG58)=0,0,IF(AND((YEAR(F$211)*12+MONTH(F$211))&gt;='Aset Takberwujud'!$Y58,(YEAR(F$211)*12+MONTH(F$211))&lt;=MIN('Aset Takberwujud'!$Z58,IF('Aset Takberwujud'!$S58="Unit Produksi",99999,'Aset Takberwujud'!$Y58+'Aset Takberwujud'!$T58*12-1))),'Aset Takberwujud'!$AQ58/'Aset Takberwujud'!$AG58,0)))</f>
        <v/>
      </c>
      <c r="G263" s="22" t="str">
        <f>IF($B263="","",IF(N('Aset Takberwujud'!$AG58)=0,0,IF(AND((YEAR(G$211)*12+MONTH(G$211))&gt;='Aset Takberwujud'!$Y58,(YEAR(G$211)*12+MONTH(G$211))&lt;=MIN('Aset Takberwujud'!$Z58,IF('Aset Takberwujud'!$S58="Unit Produksi",99999,'Aset Takberwujud'!$Y58+'Aset Takberwujud'!$T58*12-1))),'Aset Takberwujud'!$AQ58/'Aset Takberwujud'!$AG58,0)))</f>
        <v/>
      </c>
      <c r="H263" s="22" t="str">
        <f>IF($B263="","",IF(N('Aset Takberwujud'!$AG58)=0,0,IF(AND((YEAR(H$211)*12+MONTH(H$211))&gt;='Aset Takberwujud'!$Y58,(YEAR(H$211)*12+MONTH(H$211))&lt;=MIN('Aset Takberwujud'!$Z58,IF('Aset Takberwujud'!$S58="Unit Produksi",99999,'Aset Takberwujud'!$Y58+'Aset Takberwujud'!$T58*12-1))),'Aset Takberwujud'!$AQ58/'Aset Takberwujud'!$AG58,0)))</f>
        <v/>
      </c>
      <c r="I263" s="22" t="str">
        <f>IF($B263="","",IF(N('Aset Takberwujud'!$AG58)=0,0,IF(AND((YEAR(I$211)*12+MONTH(I$211))&gt;='Aset Takberwujud'!$Y58,(YEAR(I$211)*12+MONTH(I$211))&lt;=MIN('Aset Takberwujud'!$Z58,IF('Aset Takberwujud'!$S58="Unit Produksi",99999,'Aset Takberwujud'!$Y58+'Aset Takberwujud'!$T58*12-1))),'Aset Takberwujud'!$AQ58/'Aset Takberwujud'!$AG58,0)))</f>
        <v/>
      </c>
      <c r="J263" s="22" t="str">
        <f>IF($B263="","",IF(N('Aset Takberwujud'!$AG58)=0,0,IF(AND((YEAR(J$211)*12+MONTH(J$211))&gt;='Aset Takberwujud'!$Y58,(YEAR(J$211)*12+MONTH(J$211))&lt;=MIN('Aset Takberwujud'!$Z58,IF('Aset Takberwujud'!$S58="Unit Produksi",99999,'Aset Takberwujud'!$Y58+'Aset Takberwujud'!$T58*12-1))),'Aset Takberwujud'!$AQ58/'Aset Takberwujud'!$AG58,0)))</f>
        <v/>
      </c>
      <c r="K263" s="22" t="str">
        <f>IF($B263="","",IF(N('Aset Takberwujud'!$AG58)=0,0,IF(AND((YEAR(K$211)*12+MONTH(K$211))&gt;='Aset Takberwujud'!$Y58,(YEAR(K$211)*12+MONTH(K$211))&lt;=MIN('Aset Takberwujud'!$Z58,IF('Aset Takberwujud'!$S58="Unit Produksi",99999,'Aset Takberwujud'!$Y58+'Aset Takberwujud'!$T58*12-1))),'Aset Takberwujud'!$AQ58/'Aset Takberwujud'!$AG58,0)))</f>
        <v/>
      </c>
      <c r="L263" s="22" t="str">
        <f>IF($B263="","",IF(N('Aset Takberwujud'!$AG58)=0,0,IF(AND((YEAR(L$211)*12+MONTH(L$211))&gt;='Aset Takberwujud'!$Y58,(YEAR(L$211)*12+MONTH(L$211))&lt;=MIN('Aset Takberwujud'!$Z58,IF('Aset Takberwujud'!$S58="Unit Produksi",99999,'Aset Takberwujud'!$Y58+'Aset Takberwujud'!$T58*12-1))),'Aset Takberwujud'!$AQ58/'Aset Takberwujud'!$AG58,0)))</f>
        <v/>
      </c>
      <c r="M263" s="22" t="str">
        <f>IF($B263="","",IF(N('Aset Takberwujud'!$AG58)=0,0,IF(AND((YEAR(M$211)*12+MONTH(M$211))&gt;='Aset Takberwujud'!$Y58,(YEAR(M$211)*12+MONTH(M$211))&lt;=MIN('Aset Takberwujud'!$Z58,IF('Aset Takberwujud'!$S58="Unit Produksi",99999,'Aset Takberwujud'!$Y58+'Aset Takberwujud'!$T58*12-1))),'Aset Takberwujud'!$AQ58/'Aset Takberwujud'!$AG58,0)))</f>
        <v/>
      </c>
      <c r="N263" s="22" t="str">
        <f>IF($B263="","",IF(N('Aset Takberwujud'!$AG58)=0,0,IF(AND((YEAR(N$211)*12+MONTH(N$211))&gt;='Aset Takberwujud'!$Y58,(YEAR(N$211)*12+MONTH(N$211))&lt;=MIN('Aset Takberwujud'!$Z58,IF('Aset Takberwujud'!$S58="Unit Produksi",99999,'Aset Takberwujud'!$Y58+'Aset Takberwujud'!$T58*12-1))),'Aset Takberwujud'!$AQ58/'Aset Takberwujud'!$AG58,0)))</f>
        <v/>
      </c>
      <c r="O263" s="22" t="str">
        <f>IF($B263="","",IF(N('Aset Takberwujud'!$AG58)=0,0,IF(AND((YEAR(O$211)*12+MONTH(O$211))&gt;='Aset Takberwujud'!$Y58,(YEAR(O$211)*12+MONTH(O$211))&lt;=MIN('Aset Takberwujud'!$Z58,IF('Aset Takberwujud'!$S58="Unit Produksi",99999,'Aset Takberwujud'!$Y58+'Aset Takberwujud'!$T58*12-1))),'Aset Takberwujud'!$AQ58/'Aset Takberwujud'!$AG58,0)))</f>
        <v/>
      </c>
      <c r="P263" s="22" t="str">
        <f>IF($B263="","",IF(N('Aset Takberwujud'!$AG58)=0,0,IF(AND((YEAR(P$211)*12+MONTH(P$211))&gt;='Aset Takberwujud'!$Y58,(YEAR(P$211)*12+MONTH(P$211))&lt;=MIN('Aset Takberwujud'!$Z58,IF('Aset Takberwujud'!$S58="Unit Produksi",99999,'Aset Takberwujud'!$Y58+'Aset Takberwujud'!$T58*12-1))),'Aset Takberwujud'!$AQ58/'Aset Takberwujud'!$AG58,0)))</f>
        <v/>
      </c>
      <c r="Q263" s="22" t="str">
        <f>IF($B263="","",SUM(E263:P263))</f>
        <v/>
      </c>
      <c r="R263" s="22" t="str">
        <f>IF($B263="","",'Aset Takberwujud'!AQ58)</f>
        <v/>
      </c>
      <c r="S263" s="22" t="str">
        <f>IF($B263="","",ROUND(Q263-R263,0))</f>
        <v/>
      </c>
    </row>
    <row r="264" spans="1:19" x14ac:dyDescent="0.25">
      <c r="A264" t="str">
        <f>IF('Aset Takberwujud'!$B59="","",'Aset Takberwujud'!A59)</f>
        <v/>
      </c>
      <c r="B264" t="str">
        <f>IF('Aset Takberwujud'!$B59="","",'Aset Takberwujud'!B59)</f>
        <v/>
      </c>
      <c r="C264" t="str">
        <f>IF('Aset Takberwujud'!$B59="","",'Aset Takberwujud'!C59)</f>
        <v/>
      </c>
      <c r="D264" t="str">
        <f>IF('Aset Takberwujud'!$B59="","",'Aset Takberwujud'!D59)</f>
        <v/>
      </c>
      <c r="E264" s="22" t="str">
        <f>IF($B264="","",IF(N('Aset Takberwujud'!$AG59)=0,0,IF(AND((YEAR(E$211)*12+MONTH(E$211))&gt;='Aset Takberwujud'!$Y59,(YEAR(E$211)*12+MONTH(E$211))&lt;=MIN('Aset Takberwujud'!$Z59,IF('Aset Takberwujud'!$S59="Unit Produksi",99999,'Aset Takberwujud'!$Y59+'Aset Takberwujud'!$T59*12-1))),'Aset Takberwujud'!$AQ59/'Aset Takberwujud'!$AG59,0)))</f>
        <v/>
      </c>
      <c r="F264" s="22" t="str">
        <f>IF($B264="","",IF(N('Aset Takberwujud'!$AG59)=0,0,IF(AND((YEAR(F$211)*12+MONTH(F$211))&gt;='Aset Takberwujud'!$Y59,(YEAR(F$211)*12+MONTH(F$211))&lt;=MIN('Aset Takberwujud'!$Z59,IF('Aset Takberwujud'!$S59="Unit Produksi",99999,'Aset Takberwujud'!$Y59+'Aset Takberwujud'!$T59*12-1))),'Aset Takberwujud'!$AQ59/'Aset Takberwujud'!$AG59,0)))</f>
        <v/>
      </c>
      <c r="G264" s="22" t="str">
        <f>IF($B264="","",IF(N('Aset Takberwujud'!$AG59)=0,0,IF(AND((YEAR(G$211)*12+MONTH(G$211))&gt;='Aset Takberwujud'!$Y59,(YEAR(G$211)*12+MONTH(G$211))&lt;=MIN('Aset Takberwujud'!$Z59,IF('Aset Takberwujud'!$S59="Unit Produksi",99999,'Aset Takberwujud'!$Y59+'Aset Takberwujud'!$T59*12-1))),'Aset Takberwujud'!$AQ59/'Aset Takberwujud'!$AG59,0)))</f>
        <v/>
      </c>
      <c r="H264" s="22" t="str">
        <f>IF($B264="","",IF(N('Aset Takberwujud'!$AG59)=0,0,IF(AND((YEAR(H$211)*12+MONTH(H$211))&gt;='Aset Takberwujud'!$Y59,(YEAR(H$211)*12+MONTH(H$211))&lt;=MIN('Aset Takberwujud'!$Z59,IF('Aset Takberwujud'!$S59="Unit Produksi",99999,'Aset Takberwujud'!$Y59+'Aset Takberwujud'!$T59*12-1))),'Aset Takberwujud'!$AQ59/'Aset Takberwujud'!$AG59,0)))</f>
        <v/>
      </c>
      <c r="I264" s="22" t="str">
        <f>IF($B264="","",IF(N('Aset Takberwujud'!$AG59)=0,0,IF(AND((YEAR(I$211)*12+MONTH(I$211))&gt;='Aset Takberwujud'!$Y59,(YEAR(I$211)*12+MONTH(I$211))&lt;=MIN('Aset Takberwujud'!$Z59,IF('Aset Takberwujud'!$S59="Unit Produksi",99999,'Aset Takberwujud'!$Y59+'Aset Takberwujud'!$T59*12-1))),'Aset Takberwujud'!$AQ59/'Aset Takberwujud'!$AG59,0)))</f>
        <v/>
      </c>
      <c r="J264" s="22" t="str">
        <f>IF($B264="","",IF(N('Aset Takberwujud'!$AG59)=0,0,IF(AND((YEAR(J$211)*12+MONTH(J$211))&gt;='Aset Takberwujud'!$Y59,(YEAR(J$211)*12+MONTH(J$211))&lt;=MIN('Aset Takberwujud'!$Z59,IF('Aset Takberwujud'!$S59="Unit Produksi",99999,'Aset Takberwujud'!$Y59+'Aset Takberwujud'!$T59*12-1))),'Aset Takberwujud'!$AQ59/'Aset Takberwujud'!$AG59,0)))</f>
        <v/>
      </c>
      <c r="K264" s="22" t="str">
        <f>IF($B264="","",IF(N('Aset Takberwujud'!$AG59)=0,0,IF(AND((YEAR(K$211)*12+MONTH(K$211))&gt;='Aset Takberwujud'!$Y59,(YEAR(K$211)*12+MONTH(K$211))&lt;=MIN('Aset Takberwujud'!$Z59,IF('Aset Takberwujud'!$S59="Unit Produksi",99999,'Aset Takberwujud'!$Y59+'Aset Takberwujud'!$T59*12-1))),'Aset Takberwujud'!$AQ59/'Aset Takberwujud'!$AG59,0)))</f>
        <v/>
      </c>
      <c r="L264" s="22" t="str">
        <f>IF($B264="","",IF(N('Aset Takberwujud'!$AG59)=0,0,IF(AND((YEAR(L$211)*12+MONTH(L$211))&gt;='Aset Takberwujud'!$Y59,(YEAR(L$211)*12+MONTH(L$211))&lt;=MIN('Aset Takberwujud'!$Z59,IF('Aset Takberwujud'!$S59="Unit Produksi",99999,'Aset Takberwujud'!$Y59+'Aset Takberwujud'!$T59*12-1))),'Aset Takberwujud'!$AQ59/'Aset Takberwujud'!$AG59,0)))</f>
        <v/>
      </c>
      <c r="M264" s="22" t="str">
        <f>IF($B264="","",IF(N('Aset Takberwujud'!$AG59)=0,0,IF(AND((YEAR(M$211)*12+MONTH(M$211))&gt;='Aset Takberwujud'!$Y59,(YEAR(M$211)*12+MONTH(M$211))&lt;=MIN('Aset Takberwujud'!$Z59,IF('Aset Takberwujud'!$S59="Unit Produksi",99999,'Aset Takberwujud'!$Y59+'Aset Takberwujud'!$T59*12-1))),'Aset Takberwujud'!$AQ59/'Aset Takberwujud'!$AG59,0)))</f>
        <v/>
      </c>
      <c r="N264" s="22" t="str">
        <f>IF($B264="","",IF(N('Aset Takberwujud'!$AG59)=0,0,IF(AND((YEAR(N$211)*12+MONTH(N$211))&gt;='Aset Takberwujud'!$Y59,(YEAR(N$211)*12+MONTH(N$211))&lt;=MIN('Aset Takberwujud'!$Z59,IF('Aset Takberwujud'!$S59="Unit Produksi",99999,'Aset Takberwujud'!$Y59+'Aset Takberwujud'!$T59*12-1))),'Aset Takberwujud'!$AQ59/'Aset Takberwujud'!$AG59,0)))</f>
        <v/>
      </c>
      <c r="O264" s="22" t="str">
        <f>IF($B264="","",IF(N('Aset Takberwujud'!$AG59)=0,0,IF(AND((YEAR(O$211)*12+MONTH(O$211))&gt;='Aset Takberwujud'!$Y59,(YEAR(O$211)*12+MONTH(O$211))&lt;=MIN('Aset Takberwujud'!$Z59,IF('Aset Takberwujud'!$S59="Unit Produksi",99999,'Aset Takberwujud'!$Y59+'Aset Takberwujud'!$T59*12-1))),'Aset Takberwujud'!$AQ59/'Aset Takberwujud'!$AG59,0)))</f>
        <v/>
      </c>
      <c r="P264" s="22" t="str">
        <f>IF($B264="","",IF(N('Aset Takberwujud'!$AG59)=0,0,IF(AND((YEAR(P$211)*12+MONTH(P$211))&gt;='Aset Takberwujud'!$Y59,(YEAR(P$211)*12+MONTH(P$211))&lt;=MIN('Aset Takberwujud'!$Z59,IF('Aset Takberwujud'!$S59="Unit Produksi",99999,'Aset Takberwujud'!$Y59+'Aset Takberwujud'!$T59*12-1))),'Aset Takberwujud'!$AQ59/'Aset Takberwujud'!$AG59,0)))</f>
        <v/>
      </c>
      <c r="Q264" s="22" t="str">
        <f>IF($B264="","",SUM(E264:P264))</f>
        <v/>
      </c>
      <c r="R264" s="22" t="str">
        <f>IF($B264="","",'Aset Takberwujud'!AQ59)</f>
        <v/>
      </c>
      <c r="S264" s="22" t="str">
        <f>IF($B264="","",ROUND(Q264-R264,0))</f>
        <v/>
      </c>
    </row>
    <row r="265" spans="1:19" x14ac:dyDescent="0.25">
      <c r="A265" t="str">
        <f>IF('Aset Takberwujud'!$B60="","",'Aset Takberwujud'!A60)</f>
        <v/>
      </c>
      <c r="B265" t="str">
        <f>IF('Aset Takberwujud'!$B60="","",'Aset Takberwujud'!B60)</f>
        <v/>
      </c>
      <c r="C265" t="str">
        <f>IF('Aset Takberwujud'!$B60="","",'Aset Takberwujud'!C60)</f>
        <v/>
      </c>
      <c r="D265" t="str">
        <f>IF('Aset Takberwujud'!$B60="","",'Aset Takberwujud'!D60)</f>
        <v/>
      </c>
      <c r="E265" s="22" t="str">
        <f>IF($B265="","",IF(N('Aset Takberwujud'!$AG60)=0,0,IF(AND((YEAR(E$211)*12+MONTH(E$211))&gt;='Aset Takberwujud'!$Y60,(YEAR(E$211)*12+MONTH(E$211))&lt;=MIN('Aset Takberwujud'!$Z60,IF('Aset Takberwujud'!$S60="Unit Produksi",99999,'Aset Takberwujud'!$Y60+'Aset Takberwujud'!$T60*12-1))),'Aset Takberwujud'!$AQ60/'Aset Takberwujud'!$AG60,0)))</f>
        <v/>
      </c>
      <c r="F265" s="22" t="str">
        <f>IF($B265="","",IF(N('Aset Takberwujud'!$AG60)=0,0,IF(AND((YEAR(F$211)*12+MONTH(F$211))&gt;='Aset Takberwujud'!$Y60,(YEAR(F$211)*12+MONTH(F$211))&lt;=MIN('Aset Takberwujud'!$Z60,IF('Aset Takberwujud'!$S60="Unit Produksi",99999,'Aset Takberwujud'!$Y60+'Aset Takberwujud'!$T60*12-1))),'Aset Takberwujud'!$AQ60/'Aset Takberwujud'!$AG60,0)))</f>
        <v/>
      </c>
      <c r="G265" s="22" t="str">
        <f>IF($B265="","",IF(N('Aset Takberwujud'!$AG60)=0,0,IF(AND((YEAR(G$211)*12+MONTH(G$211))&gt;='Aset Takberwujud'!$Y60,(YEAR(G$211)*12+MONTH(G$211))&lt;=MIN('Aset Takberwujud'!$Z60,IF('Aset Takberwujud'!$S60="Unit Produksi",99999,'Aset Takberwujud'!$Y60+'Aset Takberwujud'!$T60*12-1))),'Aset Takberwujud'!$AQ60/'Aset Takberwujud'!$AG60,0)))</f>
        <v/>
      </c>
      <c r="H265" s="22" t="str">
        <f>IF($B265="","",IF(N('Aset Takberwujud'!$AG60)=0,0,IF(AND((YEAR(H$211)*12+MONTH(H$211))&gt;='Aset Takberwujud'!$Y60,(YEAR(H$211)*12+MONTH(H$211))&lt;=MIN('Aset Takberwujud'!$Z60,IF('Aset Takberwujud'!$S60="Unit Produksi",99999,'Aset Takberwujud'!$Y60+'Aset Takberwujud'!$T60*12-1))),'Aset Takberwujud'!$AQ60/'Aset Takberwujud'!$AG60,0)))</f>
        <v/>
      </c>
      <c r="I265" s="22" t="str">
        <f>IF($B265="","",IF(N('Aset Takberwujud'!$AG60)=0,0,IF(AND((YEAR(I$211)*12+MONTH(I$211))&gt;='Aset Takberwujud'!$Y60,(YEAR(I$211)*12+MONTH(I$211))&lt;=MIN('Aset Takberwujud'!$Z60,IF('Aset Takberwujud'!$S60="Unit Produksi",99999,'Aset Takberwujud'!$Y60+'Aset Takberwujud'!$T60*12-1))),'Aset Takberwujud'!$AQ60/'Aset Takberwujud'!$AG60,0)))</f>
        <v/>
      </c>
      <c r="J265" s="22" t="str">
        <f>IF($B265="","",IF(N('Aset Takberwujud'!$AG60)=0,0,IF(AND((YEAR(J$211)*12+MONTH(J$211))&gt;='Aset Takberwujud'!$Y60,(YEAR(J$211)*12+MONTH(J$211))&lt;=MIN('Aset Takberwujud'!$Z60,IF('Aset Takberwujud'!$S60="Unit Produksi",99999,'Aset Takberwujud'!$Y60+'Aset Takberwujud'!$T60*12-1))),'Aset Takberwujud'!$AQ60/'Aset Takberwujud'!$AG60,0)))</f>
        <v/>
      </c>
      <c r="K265" s="22" t="str">
        <f>IF($B265="","",IF(N('Aset Takberwujud'!$AG60)=0,0,IF(AND((YEAR(K$211)*12+MONTH(K$211))&gt;='Aset Takberwujud'!$Y60,(YEAR(K$211)*12+MONTH(K$211))&lt;=MIN('Aset Takberwujud'!$Z60,IF('Aset Takberwujud'!$S60="Unit Produksi",99999,'Aset Takberwujud'!$Y60+'Aset Takberwujud'!$T60*12-1))),'Aset Takberwujud'!$AQ60/'Aset Takberwujud'!$AG60,0)))</f>
        <v/>
      </c>
      <c r="L265" s="22" t="str">
        <f>IF($B265="","",IF(N('Aset Takberwujud'!$AG60)=0,0,IF(AND((YEAR(L$211)*12+MONTH(L$211))&gt;='Aset Takberwujud'!$Y60,(YEAR(L$211)*12+MONTH(L$211))&lt;=MIN('Aset Takberwujud'!$Z60,IF('Aset Takberwujud'!$S60="Unit Produksi",99999,'Aset Takberwujud'!$Y60+'Aset Takberwujud'!$T60*12-1))),'Aset Takberwujud'!$AQ60/'Aset Takberwujud'!$AG60,0)))</f>
        <v/>
      </c>
      <c r="M265" s="22" t="str">
        <f>IF($B265="","",IF(N('Aset Takberwujud'!$AG60)=0,0,IF(AND((YEAR(M$211)*12+MONTH(M$211))&gt;='Aset Takberwujud'!$Y60,(YEAR(M$211)*12+MONTH(M$211))&lt;=MIN('Aset Takberwujud'!$Z60,IF('Aset Takberwujud'!$S60="Unit Produksi",99999,'Aset Takberwujud'!$Y60+'Aset Takberwujud'!$T60*12-1))),'Aset Takberwujud'!$AQ60/'Aset Takberwujud'!$AG60,0)))</f>
        <v/>
      </c>
      <c r="N265" s="22" t="str">
        <f>IF($B265="","",IF(N('Aset Takberwujud'!$AG60)=0,0,IF(AND((YEAR(N$211)*12+MONTH(N$211))&gt;='Aset Takberwujud'!$Y60,(YEAR(N$211)*12+MONTH(N$211))&lt;=MIN('Aset Takberwujud'!$Z60,IF('Aset Takberwujud'!$S60="Unit Produksi",99999,'Aset Takberwujud'!$Y60+'Aset Takberwujud'!$T60*12-1))),'Aset Takberwujud'!$AQ60/'Aset Takberwujud'!$AG60,0)))</f>
        <v/>
      </c>
      <c r="O265" s="22" t="str">
        <f>IF($B265="","",IF(N('Aset Takberwujud'!$AG60)=0,0,IF(AND((YEAR(O$211)*12+MONTH(O$211))&gt;='Aset Takberwujud'!$Y60,(YEAR(O$211)*12+MONTH(O$211))&lt;=MIN('Aset Takberwujud'!$Z60,IF('Aset Takberwujud'!$S60="Unit Produksi",99999,'Aset Takberwujud'!$Y60+'Aset Takberwujud'!$T60*12-1))),'Aset Takberwujud'!$AQ60/'Aset Takberwujud'!$AG60,0)))</f>
        <v/>
      </c>
      <c r="P265" s="22" t="str">
        <f>IF($B265="","",IF(N('Aset Takberwujud'!$AG60)=0,0,IF(AND((YEAR(P$211)*12+MONTH(P$211))&gt;='Aset Takberwujud'!$Y60,(YEAR(P$211)*12+MONTH(P$211))&lt;=MIN('Aset Takberwujud'!$Z60,IF('Aset Takberwujud'!$S60="Unit Produksi",99999,'Aset Takberwujud'!$Y60+'Aset Takberwujud'!$T60*12-1))),'Aset Takberwujud'!$AQ60/'Aset Takberwujud'!$AG60,0)))</f>
        <v/>
      </c>
      <c r="Q265" s="22" t="str">
        <f>IF($B265="","",SUM(E265:P265))</f>
        <v/>
      </c>
      <c r="R265" s="22" t="str">
        <f>IF($B265="","",'Aset Takberwujud'!AQ60)</f>
        <v/>
      </c>
      <c r="S265" s="22" t="str">
        <f>IF($B265="","",ROUND(Q265-R265,0))</f>
        <v/>
      </c>
    </row>
    <row r="266" spans="1:19" x14ac:dyDescent="0.25">
      <c r="A266" t="str">
        <f>IF('Aset Takberwujud'!$B61="","",'Aset Takberwujud'!A61)</f>
        <v/>
      </c>
      <c r="B266" t="str">
        <f>IF('Aset Takberwujud'!$B61="","",'Aset Takberwujud'!B61)</f>
        <v/>
      </c>
      <c r="C266" t="str">
        <f>IF('Aset Takberwujud'!$B61="","",'Aset Takberwujud'!C61)</f>
        <v/>
      </c>
      <c r="D266" t="str">
        <f>IF('Aset Takberwujud'!$B61="","",'Aset Takberwujud'!D61)</f>
        <v/>
      </c>
      <c r="E266" s="22" t="str">
        <f>IF($B266="","",IF(N('Aset Takberwujud'!$AG61)=0,0,IF(AND((YEAR(E$211)*12+MONTH(E$211))&gt;='Aset Takberwujud'!$Y61,(YEAR(E$211)*12+MONTH(E$211))&lt;=MIN('Aset Takberwujud'!$Z61,IF('Aset Takberwujud'!$S61="Unit Produksi",99999,'Aset Takberwujud'!$Y61+'Aset Takberwujud'!$T61*12-1))),'Aset Takberwujud'!$AQ61/'Aset Takberwujud'!$AG61,0)))</f>
        <v/>
      </c>
      <c r="F266" s="22" t="str">
        <f>IF($B266="","",IF(N('Aset Takberwujud'!$AG61)=0,0,IF(AND((YEAR(F$211)*12+MONTH(F$211))&gt;='Aset Takberwujud'!$Y61,(YEAR(F$211)*12+MONTH(F$211))&lt;=MIN('Aset Takberwujud'!$Z61,IF('Aset Takberwujud'!$S61="Unit Produksi",99999,'Aset Takberwujud'!$Y61+'Aset Takberwujud'!$T61*12-1))),'Aset Takberwujud'!$AQ61/'Aset Takberwujud'!$AG61,0)))</f>
        <v/>
      </c>
      <c r="G266" s="22" t="str">
        <f>IF($B266="","",IF(N('Aset Takberwujud'!$AG61)=0,0,IF(AND((YEAR(G$211)*12+MONTH(G$211))&gt;='Aset Takberwujud'!$Y61,(YEAR(G$211)*12+MONTH(G$211))&lt;=MIN('Aset Takberwujud'!$Z61,IF('Aset Takberwujud'!$S61="Unit Produksi",99999,'Aset Takberwujud'!$Y61+'Aset Takberwujud'!$T61*12-1))),'Aset Takberwujud'!$AQ61/'Aset Takberwujud'!$AG61,0)))</f>
        <v/>
      </c>
      <c r="H266" s="22" t="str">
        <f>IF($B266="","",IF(N('Aset Takberwujud'!$AG61)=0,0,IF(AND((YEAR(H$211)*12+MONTH(H$211))&gt;='Aset Takberwujud'!$Y61,(YEAR(H$211)*12+MONTH(H$211))&lt;=MIN('Aset Takberwujud'!$Z61,IF('Aset Takberwujud'!$S61="Unit Produksi",99999,'Aset Takberwujud'!$Y61+'Aset Takberwujud'!$T61*12-1))),'Aset Takberwujud'!$AQ61/'Aset Takberwujud'!$AG61,0)))</f>
        <v/>
      </c>
      <c r="I266" s="22" t="str">
        <f>IF($B266="","",IF(N('Aset Takberwujud'!$AG61)=0,0,IF(AND((YEAR(I$211)*12+MONTH(I$211))&gt;='Aset Takberwujud'!$Y61,(YEAR(I$211)*12+MONTH(I$211))&lt;=MIN('Aset Takberwujud'!$Z61,IF('Aset Takberwujud'!$S61="Unit Produksi",99999,'Aset Takberwujud'!$Y61+'Aset Takberwujud'!$T61*12-1))),'Aset Takberwujud'!$AQ61/'Aset Takberwujud'!$AG61,0)))</f>
        <v/>
      </c>
      <c r="J266" s="22" t="str">
        <f>IF($B266="","",IF(N('Aset Takberwujud'!$AG61)=0,0,IF(AND((YEAR(J$211)*12+MONTH(J$211))&gt;='Aset Takberwujud'!$Y61,(YEAR(J$211)*12+MONTH(J$211))&lt;=MIN('Aset Takberwujud'!$Z61,IF('Aset Takberwujud'!$S61="Unit Produksi",99999,'Aset Takberwujud'!$Y61+'Aset Takberwujud'!$T61*12-1))),'Aset Takberwujud'!$AQ61/'Aset Takberwujud'!$AG61,0)))</f>
        <v/>
      </c>
      <c r="K266" s="22" t="str">
        <f>IF($B266="","",IF(N('Aset Takberwujud'!$AG61)=0,0,IF(AND((YEAR(K$211)*12+MONTH(K$211))&gt;='Aset Takberwujud'!$Y61,(YEAR(K$211)*12+MONTH(K$211))&lt;=MIN('Aset Takberwujud'!$Z61,IF('Aset Takberwujud'!$S61="Unit Produksi",99999,'Aset Takberwujud'!$Y61+'Aset Takberwujud'!$T61*12-1))),'Aset Takberwujud'!$AQ61/'Aset Takberwujud'!$AG61,0)))</f>
        <v/>
      </c>
      <c r="L266" s="22" t="str">
        <f>IF($B266="","",IF(N('Aset Takberwujud'!$AG61)=0,0,IF(AND((YEAR(L$211)*12+MONTH(L$211))&gt;='Aset Takberwujud'!$Y61,(YEAR(L$211)*12+MONTH(L$211))&lt;=MIN('Aset Takberwujud'!$Z61,IF('Aset Takberwujud'!$S61="Unit Produksi",99999,'Aset Takberwujud'!$Y61+'Aset Takberwujud'!$T61*12-1))),'Aset Takberwujud'!$AQ61/'Aset Takberwujud'!$AG61,0)))</f>
        <v/>
      </c>
      <c r="M266" s="22" t="str">
        <f>IF($B266="","",IF(N('Aset Takberwujud'!$AG61)=0,0,IF(AND((YEAR(M$211)*12+MONTH(M$211))&gt;='Aset Takberwujud'!$Y61,(YEAR(M$211)*12+MONTH(M$211))&lt;=MIN('Aset Takberwujud'!$Z61,IF('Aset Takberwujud'!$S61="Unit Produksi",99999,'Aset Takberwujud'!$Y61+'Aset Takberwujud'!$T61*12-1))),'Aset Takberwujud'!$AQ61/'Aset Takberwujud'!$AG61,0)))</f>
        <v/>
      </c>
      <c r="N266" s="22" t="str">
        <f>IF($B266="","",IF(N('Aset Takberwujud'!$AG61)=0,0,IF(AND((YEAR(N$211)*12+MONTH(N$211))&gt;='Aset Takberwujud'!$Y61,(YEAR(N$211)*12+MONTH(N$211))&lt;=MIN('Aset Takberwujud'!$Z61,IF('Aset Takberwujud'!$S61="Unit Produksi",99999,'Aset Takberwujud'!$Y61+'Aset Takberwujud'!$T61*12-1))),'Aset Takberwujud'!$AQ61/'Aset Takberwujud'!$AG61,0)))</f>
        <v/>
      </c>
      <c r="O266" s="22" t="str">
        <f>IF($B266="","",IF(N('Aset Takberwujud'!$AG61)=0,0,IF(AND((YEAR(O$211)*12+MONTH(O$211))&gt;='Aset Takberwujud'!$Y61,(YEAR(O$211)*12+MONTH(O$211))&lt;=MIN('Aset Takberwujud'!$Z61,IF('Aset Takberwujud'!$S61="Unit Produksi",99999,'Aset Takberwujud'!$Y61+'Aset Takberwujud'!$T61*12-1))),'Aset Takberwujud'!$AQ61/'Aset Takberwujud'!$AG61,0)))</f>
        <v/>
      </c>
      <c r="P266" s="22" t="str">
        <f>IF($B266="","",IF(N('Aset Takberwujud'!$AG61)=0,0,IF(AND((YEAR(P$211)*12+MONTH(P$211))&gt;='Aset Takberwujud'!$Y61,(YEAR(P$211)*12+MONTH(P$211))&lt;=MIN('Aset Takberwujud'!$Z61,IF('Aset Takberwujud'!$S61="Unit Produksi",99999,'Aset Takberwujud'!$Y61+'Aset Takberwujud'!$T61*12-1))),'Aset Takberwujud'!$AQ61/'Aset Takberwujud'!$AG61,0)))</f>
        <v/>
      </c>
      <c r="Q266" s="22" t="str">
        <f>IF($B266="","",SUM(E266:P266))</f>
        <v/>
      </c>
      <c r="R266" s="22" t="str">
        <f>IF($B266="","",'Aset Takberwujud'!AQ61)</f>
        <v/>
      </c>
      <c r="S266" s="22" t="str">
        <f>IF($B266="","",ROUND(Q266-R266,0))</f>
        <v/>
      </c>
    </row>
    <row r="267" spans="1:19" x14ac:dyDescent="0.25">
      <c r="A267" t="str">
        <f>IF('Aset Takberwujud'!$B62="","",'Aset Takberwujud'!A62)</f>
        <v/>
      </c>
      <c r="B267" t="str">
        <f>IF('Aset Takberwujud'!$B62="","",'Aset Takberwujud'!B62)</f>
        <v/>
      </c>
      <c r="C267" t="str">
        <f>IF('Aset Takberwujud'!$B62="","",'Aset Takberwujud'!C62)</f>
        <v/>
      </c>
      <c r="D267" t="str">
        <f>IF('Aset Takberwujud'!$B62="","",'Aset Takberwujud'!D62)</f>
        <v/>
      </c>
      <c r="E267" s="22" t="str">
        <f>IF($B267="","",IF(N('Aset Takberwujud'!$AG62)=0,0,IF(AND((YEAR(E$211)*12+MONTH(E$211))&gt;='Aset Takberwujud'!$Y62,(YEAR(E$211)*12+MONTH(E$211))&lt;=MIN('Aset Takberwujud'!$Z62,IF('Aset Takberwujud'!$S62="Unit Produksi",99999,'Aset Takberwujud'!$Y62+'Aset Takberwujud'!$T62*12-1))),'Aset Takberwujud'!$AQ62/'Aset Takberwujud'!$AG62,0)))</f>
        <v/>
      </c>
      <c r="F267" s="22" t="str">
        <f>IF($B267="","",IF(N('Aset Takberwujud'!$AG62)=0,0,IF(AND((YEAR(F$211)*12+MONTH(F$211))&gt;='Aset Takberwujud'!$Y62,(YEAR(F$211)*12+MONTH(F$211))&lt;=MIN('Aset Takberwujud'!$Z62,IF('Aset Takberwujud'!$S62="Unit Produksi",99999,'Aset Takberwujud'!$Y62+'Aset Takberwujud'!$T62*12-1))),'Aset Takberwujud'!$AQ62/'Aset Takberwujud'!$AG62,0)))</f>
        <v/>
      </c>
      <c r="G267" s="22" t="str">
        <f>IF($B267="","",IF(N('Aset Takberwujud'!$AG62)=0,0,IF(AND((YEAR(G$211)*12+MONTH(G$211))&gt;='Aset Takberwujud'!$Y62,(YEAR(G$211)*12+MONTH(G$211))&lt;=MIN('Aset Takberwujud'!$Z62,IF('Aset Takberwujud'!$S62="Unit Produksi",99999,'Aset Takberwujud'!$Y62+'Aset Takberwujud'!$T62*12-1))),'Aset Takberwujud'!$AQ62/'Aset Takberwujud'!$AG62,0)))</f>
        <v/>
      </c>
      <c r="H267" s="22" t="str">
        <f>IF($B267="","",IF(N('Aset Takberwujud'!$AG62)=0,0,IF(AND((YEAR(H$211)*12+MONTH(H$211))&gt;='Aset Takberwujud'!$Y62,(YEAR(H$211)*12+MONTH(H$211))&lt;=MIN('Aset Takberwujud'!$Z62,IF('Aset Takberwujud'!$S62="Unit Produksi",99999,'Aset Takberwujud'!$Y62+'Aset Takberwujud'!$T62*12-1))),'Aset Takberwujud'!$AQ62/'Aset Takberwujud'!$AG62,0)))</f>
        <v/>
      </c>
      <c r="I267" s="22" t="str">
        <f>IF($B267="","",IF(N('Aset Takberwujud'!$AG62)=0,0,IF(AND((YEAR(I$211)*12+MONTH(I$211))&gt;='Aset Takberwujud'!$Y62,(YEAR(I$211)*12+MONTH(I$211))&lt;=MIN('Aset Takberwujud'!$Z62,IF('Aset Takberwujud'!$S62="Unit Produksi",99999,'Aset Takberwujud'!$Y62+'Aset Takberwujud'!$T62*12-1))),'Aset Takberwujud'!$AQ62/'Aset Takberwujud'!$AG62,0)))</f>
        <v/>
      </c>
      <c r="J267" s="22" t="str">
        <f>IF($B267="","",IF(N('Aset Takberwujud'!$AG62)=0,0,IF(AND((YEAR(J$211)*12+MONTH(J$211))&gt;='Aset Takberwujud'!$Y62,(YEAR(J$211)*12+MONTH(J$211))&lt;=MIN('Aset Takberwujud'!$Z62,IF('Aset Takberwujud'!$S62="Unit Produksi",99999,'Aset Takberwujud'!$Y62+'Aset Takberwujud'!$T62*12-1))),'Aset Takberwujud'!$AQ62/'Aset Takberwujud'!$AG62,0)))</f>
        <v/>
      </c>
      <c r="K267" s="22" t="str">
        <f>IF($B267="","",IF(N('Aset Takberwujud'!$AG62)=0,0,IF(AND((YEAR(K$211)*12+MONTH(K$211))&gt;='Aset Takberwujud'!$Y62,(YEAR(K$211)*12+MONTH(K$211))&lt;=MIN('Aset Takberwujud'!$Z62,IF('Aset Takberwujud'!$S62="Unit Produksi",99999,'Aset Takberwujud'!$Y62+'Aset Takberwujud'!$T62*12-1))),'Aset Takberwujud'!$AQ62/'Aset Takberwujud'!$AG62,0)))</f>
        <v/>
      </c>
      <c r="L267" s="22" t="str">
        <f>IF($B267="","",IF(N('Aset Takberwujud'!$AG62)=0,0,IF(AND((YEAR(L$211)*12+MONTH(L$211))&gt;='Aset Takberwujud'!$Y62,(YEAR(L$211)*12+MONTH(L$211))&lt;=MIN('Aset Takberwujud'!$Z62,IF('Aset Takberwujud'!$S62="Unit Produksi",99999,'Aset Takberwujud'!$Y62+'Aset Takberwujud'!$T62*12-1))),'Aset Takberwujud'!$AQ62/'Aset Takberwujud'!$AG62,0)))</f>
        <v/>
      </c>
      <c r="M267" s="22" t="str">
        <f>IF($B267="","",IF(N('Aset Takberwujud'!$AG62)=0,0,IF(AND((YEAR(M$211)*12+MONTH(M$211))&gt;='Aset Takberwujud'!$Y62,(YEAR(M$211)*12+MONTH(M$211))&lt;=MIN('Aset Takberwujud'!$Z62,IF('Aset Takberwujud'!$S62="Unit Produksi",99999,'Aset Takberwujud'!$Y62+'Aset Takberwujud'!$T62*12-1))),'Aset Takberwujud'!$AQ62/'Aset Takberwujud'!$AG62,0)))</f>
        <v/>
      </c>
      <c r="N267" s="22" t="str">
        <f>IF($B267="","",IF(N('Aset Takberwujud'!$AG62)=0,0,IF(AND((YEAR(N$211)*12+MONTH(N$211))&gt;='Aset Takberwujud'!$Y62,(YEAR(N$211)*12+MONTH(N$211))&lt;=MIN('Aset Takberwujud'!$Z62,IF('Aset Takberwujud'!$S62="Unit Produksi",99999,'Aset Takberwujud'!$Y62+'Aset Takberwujud'!$T62*12-1))),'Aset Takberwujud'!$AQ62/'Aset Takberwujud'!$AG62,0)))</f>
        <v/>
      </c>
      <c r="O267" s="22" t="str">
        <f>IF($B267="","",IF(N('Aset Takberwujud'!$AG62)=0,0,IF(AND((YEAR(O$211)*12+MONTH(O$211))&gt;='Aset Takberwujud'!$Y62,(YEAR(O$211)*12+MONTH(O$211))&lt;=MIN('Aset Takberwujud'!$Z62,IF('Aset Takberwujud'!$S62="Unit Produksi",99999,'Aset Takberwujud'!$Y62+'Aset Takberwujud'!$T62*12-1))),'Aset Takberwujud'!$AQ62/'Aset Takberwujud'!$AG62,0)))</f>
        <v/>
      </c>
      <c r="P267" s="22" t="str">
        <f>IF($B267="","",IF(N('Aset Takberwujud'!$AG62)=0,0,IF(AND((YEAR(P$211)*12+MONTH(P$211))&gt;='Aset Takberwujud'!$Y62,(YEAR(P$211)*12+MONTH(P$211))&lt;=MIN('Aset Takberwujud'!$Z62,IF('Aset Takberwujud'!$S62="Unit Produksi",99999,'Aset Takberwujud'!$Y62+'Aset Takberwujud'!$T62*12-1))),'Aset Takberwujud'!$AQ62/'Aset Takberwujud'!$AG62,0)))</f>
        <v/>
      </c>
      <c r="Q267" s="22" t="str">
        <f>IF($B267="","",SUM(E267:P267))</f>
        <v/>
      </c>
      <c r="R267" s="22" t="str">
        <f>IF($B267="","",'Aset Takberwujud'!AQ62)</f>
        <v/>
      </c>
      <c r="S267" s="22" t="str">
        <f>IF($B267="","",ROUND(Q267-R267,0))</f>
        <v/>
      </c>
    </row>
    <row r="268" spans="1:19" x14ac:dyDescent="0.25">
      <c r="A268" t="str">
        <f>IF('Aset Takberwujud'!$B63="","",'Aset Takberwujud'!A63)</f>
        <v/>
      </c>
      <c r="B268" t="str">
        <f>IF('Aset Takberwujud'!$B63="","",'Aset Takberwujud'!B63)</f>
        <v/>
      </c>
      <c r="C268" t="str">
        <f>IF('Aset Takberwujud'!$B63="","",'Aset Takberwujud'!C63)</f>
        <v/>
      </c>
      <c r="D268" t="str">
        <f>IF('Aset Takberwujud'!$B63="","",'Aset Takberwujud'!D63)</f>
        <v/>
      </c>
      <c r="E268" s="22" t="str">
        <f>IF($B268="","",IF(N('Aset Takberwujud'!$AG63)=0,0,IF(AND((YEAR(E$211)*12+MONTH(E$211))&gt;='Aset Takberwujud'!$Y63,(YEAR(E$211)*12+MONTH(E$211))&lt;=MIN('Aset Takberwujud'!$Z63,IF('Aset Takberwujud'!$S63="Unit Produksi",99999,'Aset Takberwujud'!$Y63+'Aset Takberwujud'!$T63*12-1))),'Aset Takberwujud'!$AQ63/'Aset Takberwujud'!$AG63,0)))</f>
        <v/>
      </c>
      <c r="F268" s="22" t="str">
        <f>IF($B268="","",IF(N('Aset Takberwujud'!$AG63)=0,0,IF(AND((YEAR(F$211)*12+MONTH(F$211))&gt;='Aset Takberwujud'!$Y63,(YEAR(F$211)*12+MONTH(F$211))&lt;=MIN('Aset Takberwujud'!$Z63,IF('Aset Takberwujud'!$S63="Unit Produksi",99999,'Aset Takberwujud'!$Y63+'Aset Takberwujud'!$T63*12-1))),'Aset Takberwujud'!$AQ63/'Aset Takberwujud'!$AG63,0)))</f>
        <v/>
      </c>
      <c r="G268" s="22" t="str">
        <f>IF($B268="","",IF(N('Aset Takberwujud'!$AG63)=0,0,IF(AND((YEAR(G$211)*12+MONTH(G$211))&gt;='Aset Takberwujud'!$Y63,(YEAR(G$211)*12+MONTH(G$211))&lt;=MIN('Aset Takberwujud'!$Z63,IF('Aset Takberwujud'!$S63="Unit Produksi",99999,'Aset Takberwujud'!$Y63+'Aset Takberwujud'!$T63*12-1))),'Aset Takberwujud'!$AQ63/'Aset Takberwujud'!$AG63,0)))</f>
        <v/>
      </c>
      <c r="H268" s="22" t="str">
        <f>IF($B268="","",IF(N('Aset Takberwujud'!$AG63)=0,0,IF(AND((YEAR(H$211)*12+MONTH(H$211))&gt;='Aset Takberwujud'!$Y63,(YEAR(H$211)*12+MONTH(H$211))&lt;=MIN('Aset Takberwujud'!$Z63,IF('Aset Takberwujud'!$S63="Unit Produksi",99999,'Aset Takberwujud'!$Y63+'Aset Takberwujud'!$T63*12-1))),'Aset Takberwujud'!$AQ63/'Aset Takberwujud'!$AG63,0)))</f>
        <v/>
      </c>
      <c r="I268" s="22" t="str">
        <f>IF($B268="","",IF(N('Aset Takberwujud'!$AG63)=0,0,IF(AND((YEAR(I$211)*12+MONTH(I$211))&gt;='Aset Takberwujud'!$Y63,(YEAR(I$211)*12+MONTH(I$211))&lt;=MIN('Aset Takberwujud'!$Z63,IF('Aset Takberwujud'!$S63="Unit Produksi",99999,'Aset Takberwujud'!$Y63+'Aset Takberwujud'!$T63*12-1))),'Aset Takberwujud'!$AQ63/'Aset Takberwujud'!$AG63,0)))</f>
        <v/>
      </c>
      <c r="J268" s="22" t="str">
        <f>IF($B268="","",IF(N('Aset Takberwujud'!$AG63)=0,0,IF(AND((YEAR(J$211)*12+MONTH(J$211))&gt;='Aset Takberwujud'!$Y63,(YEAR(J$211)*12+MONTH(J$211))&lt;=MIN('Aset Takberwujud'!$Z63,IF('Aset Takberwujud'!$S63="Unit Produksi",99999,'Aset Takberwujud'!$Y63+'Aset Takberwujud'!$T63*12-1))),'Aset Takberwujud'!$AQ63/'Aset Takberwujud'!$AG63,0)))</f>
        <v/>
      </c>
      <c r="K268" s="22" t="str">
        <f>IF($B268="","",IF(N('Aset Takberwujud'!$AG63)=0,0,IF(AND((YEAR(K$211)*12+MONTH(K$211))&gt;='Aset Takberwujud'!$Y63,(YEAR(K$211)*12+MONTH(K$211))&lt;=MIN('Aset Takberwujud'!$Z63,IF('Aset Takberwujud'!$S63="Unit Produksi",99999,'Aset Takberwujud'!$Y63+'Aset Takberwujud'!$T63*12-1))),'Aset Takberwujud'!$AQ63/'Aset Takberwujud'!$AG63,0)))</f>
        <v/>
      </c>
      <c r="L268" s="22" t="str">
        <f>IF($B268="","",IF(N('Aset Takberwujud'!$AG63)=0,0,IF(AND((YEAR(L$211)*12+MONTH(L$211))&gt;='Aset Takberwujud'!$Y63,(YEAR(L$211)*12+MONTH(L$211))&lt;=MIN('Aset Takberwujud'!$Z63,IF('Aset Takberwujud'!$S63="Unit Produksi",99999,'Aset Takberwujud'!$Y63+'Aset Takberwujud'!$T63*12-1))),'Aset Takberwujud'!$AQ63/'Aset Takberwujud'!$AG63,0)))</f>
        <v/>
      </c>
      <c r="M268" s="22" t="str">
        <f>IF($B268="","",IF(N('Aset Takberwujud'!$AG63)=0,0,IF(AND((YEAR(M$211)*12+MONTH(M$211))&gt;='Aset Takberwujud'!$Y63,(YEAR(M$211)*12+MONTH(M$211))&lt;=MIN('Aset Takberwujud'!$Z63,IF('Aset Takberwujud'!$S63="Unit Produksi",99999,'Aset Takberwujud'!$Y63+'Aset Takberwujud'!$T63*12-1))),'Aset Takberwujud'!$AQ63/'Aset Takberwujud'!$AG63,0)))</f>
        <v/>
      </c>
      <c r="N268" s="22" t="str">
        <f>IF($B268="","",IF(N('Aset Takberwujud'!$AG63)=0,0,IF(AND((YEAR(N$211)*12+MONTH(N$211))&gt;='Aset Takberwujud'!$Y63,(YEAR(N$211)*12+MONTH(N$211))&lt;=MIN('Aset Takberwujud'!$Z63,IF('Aset Takberwujud'!$S63="Unit Produksi",99999,'Aset Takberwujud'!$Y63+'Aset Takberwujud'!$T63*12-1))),'Aset Takberwujud'!$AQ63/'Aset Takberwujud'!$AG63,0)))</f>
        <v/>
      </c>
      <c r="O268" s="22" t="str">
        <f>IF($B268="","",IF(N('Aset Takberwujud'!$AG63)=0,0,IF(AND((YEAR(O$211)*12+MONTH(O$211))&gt;='Aset Takberwujud'!$Y63,(YEAR(O$211)*12+MONTH(O$211))&lt;=MIN('Aset Takberwujud'!$Z63,IF('Aset Takberwujud'!$S63="Unit Produksi",99999,'Aset Takberwujud'!$Y63+'Aset Takberwujud'!$T63*12-1))),'Aset Takberwujud'!$AQ63/'Aset Takberwujud'!$AG63,0)))</f>
        <v/>
      </c>
      <c r="P268" s="22" t="str">
        <f>IF($B268="","",IF(N('Aset Takberwujud'!$AG63)=0,0,IF(AND((YEAR(P$211)*12+MONTH(P$211))&gt;='Aset Takberwujud'!$Y63,(YEAR(P$211)*12+MONTH(P$211))&lt;=MIN('Aset Takberwujud'!$Z63,IF('Aset Takberwujud'!$S63="Unit Produksi",99999,'Aset Takberwujud'!$Y63+'Aset Takberwujud'!$T63*12-1))),'Aset Takberwujud'!$AQ63/'Aset Takberwujud'!$AG63,0)))</f>
        <v/>
      </c>
      <c r="Q268" s="22" t="str">
        <f>IF($B268="","",SUM(E268:P268))</f>
        <v/>
      </c>
      <c r="R268" s="22" t="str">
        <f>IF($B268="","",'Aset Takberwujud'!AQ63)</f>
        <v/>
      </c>
      <c r="S268" s="22" t="str">
        <f>IF($B268="","",ROUND(Q268-R268,0))</f>
        <v/>
      </c>
    </row>
    <row r="269" spans="1:19" x14ac:dyDescent="0.25">
      <c r="A269" t="str">
        <f>IF('Aset Takberwujud'!$B64="","",'Aset Takberwujud'!A64)</f>
        <v/>
      </c>
      <c r="B269" t="str">
        <f>IF('Aset Takberwujud'!$B64="","",'Aset Takberwujud'!B64)</f>
        <v/>
      </c>
      <c r="C269" t="str">
        <f>IF('Aset Takberwujud'!$B64="","",'Aset Takberwujud'!C64)</f>
        <v/>
      </c>
      <c r="D269" t="str">
        <f>IF('Aset Takberwujud'!$B64="","",'Aset Takberwujud'!D64)</f>
        <v/>
      </c>
      <c r="E269" s="22" t="str">
        <f>IF($B269="","",IF(N('Aset Takberwujud'!$AG64)=0,0,IF(AND((YEAR(E$211)*12+MONTH(E$211))&gt;='Aset Takberwujud'!$Y64,(YEAR(E$211)*12+MONTH(E$211))&lt;=MIN('Aset Takberwujud'!$Z64,IF('Aset Takberwujud'!$S64="Unit Produksi",99999,'Aset Takberwujud'!$Y64+'Aset Takberwujud'!$T64*12-1))),'Aset Takberwujud'!$AQ64/'Aset Takberwujud'!$AG64,0)))</f>
        <v/>
      </c>
      <c r="F269" s="22" t="str">
        <f>IF($B269="","",IF(N('Aset Takberwujud'!$AG64)=0,0,IF(AND((YEAR(F$211)*12+MONTH(F$211))&gt;='Aset Takberwujud'!$Y64,(YEAR(F$211)*12+MONTH(F$211))&lt;=MIN('Aset Takberwujud'!$Z64,IF('Aset Takberwujud'!$S64="Unit Produksi",99999,'Aset Takberwujud'!$Y64+'Aset Takberwujud'!$T64*12-1))),'Aset Takberwujud'!$AQ64/'Aset Takberwujud'!$AG64,0)))</f>
        <v/>
      </c>
      <c r="G269" s="22" t="str">
        <f>IF($B269="","",IF(N('Aset Takberwujud'!$AG64)=0,0,IF(AND((YEAR(G$211)*12+MONTH(G$211))&gt;='Aset Takberwujud'!$Y64,(YEAR(G$211)*12+MONTH(G$211))&lt;=MIN('Aset Takberwujud'!$Z64,IF('Aset Takberwujud'!$S64="Unit Produksi",99999,'Aset Takberwujud'!$Y64+'Aset Takberwujud'!$T64*12-1))),'Aset Takberwujud'!$AQ64/'Aset Takberwujud'!$AG64,0)))</f>
        <v/>
      </c>
      <c r="H269" s="22" t="str">
        <f>IF($B269="","",IF(N('Aset Takberwujud'!$AG64)=0,0,IF(AND((YEAR(H$211)*12+MONTH(H$211))&gt;='Aset Takberwujud'!$Y64,(YEAR(H$211)*12+MONTH(H$211))&lt;=MIN('Aset Takberwujud'!$Z64,IF('Aset Takberwujud'!$S64="Unit Produksi",99999,'Aset Takberwujud'!$Y64+'Aset Takberwujud'!$T64*12-1))),'Aset Takberwujud'!$AQ64/'Aset Takberwujud'!$AG64,0)))</f>
        <v/>
      </c>
      <c r="I269" s="22" t="str">
        <f>IF($B269="","",IF(N('Aset Takberwujud'!$AG64)=0,0,IF(AND((YEAR(I$211)*12+MONTH(I$211))&gt;='Aset Takberwujud'!$Y64,(YEAR(I$211)*12+MONTH(I$211))&lt;=MIN('Aset Takberwujud'!$Z64,IF('Aset Takberwujud'!$S64="Unit Produksi",99999,'Aset Takberwujud'!$Y64+'Aset Takberwujud'!$T64*12-1))),'Aset Takberwujud'!$AQ64/'Aset Takberwujud'!$AG64,0)))</f>
        <v/>
      </c>
      <c r="J269" s="22" t="str">
        <f>IF($B269="","",IF(N('Aset Takberwujud'!$AG64)=0,0,IF(AND((YEAR(J$211)*12+MONTH(J$211))&gt;='Aset Takberwujud'!$Y64,(YEAR(J$211)*12+MONTH(J$211))&lt;=MIN('Aset Takberwujud'!$Z64,IF('Aset Takberwujud'!$S64="Unit Produksi",99999,'Aset Takberwujud'!$Y64+'Aset Takberwujud'!$T64*12-1))),'Aset Takberwujud'!$AQ64/'Aset Takberwujud'!$AG64,0)))</f>
        <v/>
      </c>
      <c r="K269" s="22" t="str">
        <f>IF($B269="","",IF(N('Aset Takberwujud'!$AG64)=0,0,IF(AND((YEAR(K$211)*12+MONTH(K$211))&gt;='Aset Takberwujud'!$Y64,(YEAR(K$211)*12+MONTH(K$211))&lt;=MIN('Aset Takberwujud'!$Z64,IF('Aset Takberwujud'!$S64="Unit Produksi",99999,'Aset Takberwujud'!$Y64+'Aset Takberwujud'!$T64*12-1))),'Aset Takberwujud'!$AQ64/'Aset Takberwujud'!$AG64,0)))</f>
        <v/>
      </c>
      <c r="L269" s="22" t="str">
        <f>IF($B269="","",IF(N('Aset Takberwujud'!$AG64)=0,0,IF(AND((YEAR(L$211)*12+MONTH(L$211))&gt;='Aset Takberwujud'!$Y64,(YEAR(L$211)*12+MONTH(L$211))&lt;=MIN('Aset Takberwujud'!$Z64,IF('Aset Takberwujud'!$S64="Unit Produksi",99999,'Aset Takberwujud'!$Y64+'Aset Takberwujud'!$T64*12-1))),'Aset Takberwujud'!$AQ64/'Aset Takberwujud'!$AG64,0)))</f>
        <v/>
      </c>
      <c r="M269" s="22" t="str">
        <f>IF($B269="","",IF(N('Aset Takberwujud'!$AG64)=0,0,IF(AND((YEAR(M$211)*12+MONTH(M$211))&gt;='Aset Takberwujud'!$Y64,(YEAR(M$211)*12+MONTH(M$211))&lt;=MIN('Aset Takberwujud'!$Z64,IF('Aset Takberwujud'!$S64="Unit Produksi",99999,'Aset Takberwujud'!$Y64+'Aset Takberwujud'!$T64*12-1))),'Aset Takberwujud'!$AQ64/'Aset Takberwujud'!$AG64,0)))</f>
        <v/>
      </c>
      <c r="N269" s="22" t="str">
        <f>IF($B269="","",IF(N('Aset Takberwujud'!$AG64)=0,0,IF(AND((YEAR(N$211)*12+MONTH(N$211))&gt;='Aset Takberwujud'!$Y64,(YEAR(N$211)*12+MONTH(N$211))&lt;=MIN('Aset Takberwujud'!$Z64,IF('Aset Takberwujud'!$S64="Unit Produksi",99999,'Aset Takberwujud'!$Y64+'Aset Takberwujud'!$T64*12-1))),'Aset Takberwujud'!$AQ64/'Aset Takberwujud'!$AG64,0)))</f>
        <v/>
      </c>
      <c r="O269" s="22" t="str">
        <f>IF($B269="","",IF(N('Aset Takberwujud'!$AG64)=0,0,IF(AND((YEAR(O$211)*12+MONTH(O$211))&gt;='Aset Takberwujud'!$Y64,(YEAR(O$211)*12+MONTH(O$211))&lt;=MIN('Aset Takberwujud'!$Z64,IF('Aset Takberwujud'!$S64="Unit Produksi",99999,'Aset Takberwujud'!$Y64+'Aset Takberwujud'!$T64*12-1))),'Aset Takberwujud'!$AQ64/'Aset Takberwujud'!$AG64,0)))</f>
        <v/>
      </c>
      <c r="P269" s="22" t="str">
        <f>IF($B269="","",IF(N('Aset Takberwujud'!$AG64)=0,0,IF(AND((YEAR(P$211)*12+MONTH(P$211))&gt;='Aset Takberwujud'!$Y64,(YEAR(P$211)*12+MONTH(P$211))&lt;=MIN('Aset Takberwujud'!$Z64,IF('Aset Takberwujud'!$S64="Unit Produksi",99999,'Aset Takberwujud'!$Y64+'Aset Takberwujud'!$T64*12-1))),'Aset Takberwujud'!$AQ64/'Aset Takberwujud'!$AG64,0)))</f>
        <v/>
      </c>
      <c r="Q269" s="22" t="str">
        <f>IF($B269="","",SUM(E269:P269))</f>
        <v/>
      </c>
      <c r="R269" s="22" t="str">
        <f>IF($B269="","",'Aset Takberwujud'!AQ64)</f>
        <v/>
      </c>
      <c r="S269" s="22" t="str">
        <f>IF($B269="","",ROUND(Q269-R269,0))</f>
        <v/>
      </c>
    </row>
    <row r="270" spans="1:19" x14ac:dyDescent="0.25">
      <c r="A270" t="str">
        <f>IF('Aset Takberwujud'!$B65="","",'Aset Takberwujud'!A65)</f>
        <v/>
      </c>
      <c r="B270" t="str">
        <f>IF('Aset Takberwujud'!$B65="","",'Aset Takberwujud'!B65)</f>
        <v/>
      </c>
      <c r="C270" t="str">
        <f>IF('Aset Takberwujud'!$B65="","",'Aset Takberwujud'!C65)</f>
        <v/>
      </c>
      <c r="D270" t="str">
        <f>IF('Aset Takberwujud'!$B65="","",'Aset Takberwujud'!D65)</f>
        <v/>
      </c>
      <c r="E270" s="22" t="str">
        <f>IF($B270="","",IF(N('Aset Takberwujud'!$AG65)=0,0,IF(AND((YEAR(E$211)*12+MONTH(E$211))&gt;='Aset Takberwujud'!$Y65,(YEAR(E$211)*12+MONTH(E$211))&lt;=MIN('Aset Takberwujud'!$Z65,IF('Aset Takberwujud'!$S65="Unit Produksi",99999,'Aset Takberwujud'!$Y65+'Aset Takberwujud'!$T65*12-1))),'Aset Takberwujud'!$AQ65/'Aset Takberwujud'!$AG65,0)))</f>
        <v/>
      </c>
      <c r="F270" s="22" t="str">
        <f>IF($B270="","",IF(N('Aset Takberwujud'!$AG65)=0,0,IF(AND((YEAR(F$211)*12+MONTH(F$211))&gt;='Aset Takberwujud'!$Y65,(YEAR(F$211)*12+MONTH(F$211))&lt;=MIN('Aset Takberwujud'!$Z65,IF('Aset Takberwujud'!$S65="Unit Produksi",99999,'Aset Takberwujud'!$Y65+'Aset Takberwujud'!$T65*12-1))),'Aset Takberwujud'!$AQ65/'Aset Takberwujud'!$AG65,0)))</f>
        <v/>
      </c>
      <c r="G270" s="22" t="str">
        <f>IF($B270="","",IF(N('Aset Takberwujud'!$AG65)=0,0,IF(AND((YEAR(G$211)*12+MONTH(G$211))&gt;='Aset Takberwujud'!$Y65,(YEAR(G$211)*12+MONTH(G$211))&lt;=MIN('Aset Takberwujud'!$Z65,IF('Aset Takberwujud'!$S65="Unit Produksi",99999,'Aset Takberwujud'!$Y65+'Aset Takberwujud'!$T65*12-1))),'Aset Takberwujud'!$AQ65/'Aset Takberwujud'!$AG65,0)))</f>
        <v/>
      </c>
      <c r="H270" s="22" t="str">
        <f>IF($B270="","",IF(N('Aset Takberwujud'!$AG65)=0,0,IF(AND((YEAR(H$211)*12+MONTH(H$211))&gt;='Aset Takberwujud'!$Y65,(YEAR(H$211)*12+MONTH(H$211))&lt;=MIN('Aset Takberwujud'!$Z65,IF('Aset Takberwujud'!$S65="Unit Produksi",99999,'Aset Takberwujud'!$Y65+'Aset Takberwujud'!$T65*12-1))),'Aset Takberwujud'!$AQ65/'Aset Takberwujud'!$AG65,0)))</f>
        <v/>
      </c>
      <c r="I270" s="22" t="str">
        <f>IF($B270="","",IF(N('Aset Takberwujud'!$AG65)=0,0,IF(AND((YEAR(I$211)*12+MONTH(I$211))&gt;='Aset Takberwujud'!$Y65,(YEAR(I$211)*12+MONTH(I$211))&lt;=MIN('Aset Takberwujud'!$Z65,IF('Aset Takberwujud'!$S65="Unit Produksi",99999,'Aset Takberwujud'!$Y65+'Aset Takberwujud'!$T65*12-1))),'Aset Takberwujud'!$AQ65/'Aset Takberwujud'!$AG65,0)))</f>
        <v/>
      </c>
      <c r="J270" s="22" t="str">
        <f>IF($B270="","",IF(N('Aset Takberwujud'!$AG65)=0,0,IF(AND((YEAR(J$211)*12+MONTH(J$211))&gt;='Aset Takberwujud'!$Y65,(YEAR(J$211)*12+MONTH(J$211))&lt;=MIN('Aset Takberwujud'!$Z65,IF('Aset Takberwujud'!$S65="Unit Produksi",99999,'Aset Takberwujud'!$Y65+'Aset Takberwujud'!$T65*12-1))),'Aset Takberwujud'!$AQ65/'Aset Takberwujud'!$AG65,0)))</f>
        <v/>
      </c>
      <c r="K270" s="22" t="str">
        <f>IF($B270="","",IF(N('Aset Takberwujud'!$AG65)=0,0,IF(AND((YEAR(K$211)*12+MONTH(K$211))&gt;='Aset Takberwujud'!$Y65,(YEAR(K$211)*12+MONTH(K$211))&lt;=MIN('Aset Takberwujud'!$Z65,IF('Aset Takberwujud'!$S65="Unit Produksi",99999,'Aset Takberwujud'!$Y65+'Aset Takberwujud'!$T65*12-1))),'Aset Takberwujud'!$AQ65/'Aset Takberwujud'!$AG65,0)))</f>
        <v/>
      </c>
      <c r="L270" s="22" t="str">
        <f>IF($B270="","",IF(N('Aset Takberwujud'!$AG65)=0,0,IF(AND((YEAR(L$211)*12+MONTH(L$211))&gt;='Aset Takberwujud'!$Y65,(YEAR(L$211)*12+MONTH(L$211))&lt;=MIN('Aset Takberwujud'!$Z65,IF('Aset Takberwujud'!$S65="Unit Produksi",99999,'Aset Takberwujud'!$Y65+'Aset Takberwujud'!$T65*12-1))),'Aset Takberwujud'!$AQ65/'Aset Takberwujud'!$AG65,0)))</f>
        <v/>
      </c>
      <c r="M270" s="22" t="str">
        <f>IF($B270="","",IF(N('Aset Takberwujud'!$AG65)=0,0,IF(AND((YEAR(M$211)*12+MONTH(M$211))&gt;='Aset Takberwujud'!$Y65,(YEAR(M$211)*12+MONTH(M$211))&lt;=MIN('Aset Takberwujud'!$Z65,IF('Aset Takberwujud'!$S65="Unit Produksi",99999,'Aset Takberwujud'!$Y65+'Aset Takberwujud'!$T65*12-1))),'Aset Takberwujud'!$AQ65/'Aset Takberwujud'!$AG65,0)))</f>
        <v/>
      </c>
      <c r="N270" s="22" t="str">
        <f>IF($B270="","",IF(N('Aset Takberwujud'!$AG65)=0,0,IF(AND((YEAR(N$211)*12+MONTH(N$211))&gt;='Aset Takberwujud'!$Y65,(YEAR(N$211)*12+MONTH(N$211))&lt;=MIN('Aset Takberwujud'!$Z65,IF('Aset Takberwujud'!$S65="Unit Produksi",99999,'Aset Takberwujud'!$Y65+'Aset Takberwujud'!$T65*12-1))),'Aset Takberwujud'!$AQ65/'Aset Takberwujud'!$AG65,0)))</f>
        <v/>
      </c>
      <c r="O270" s="22" t="str">
        <f>IF($B270="","",IF(N('Aset Takberwujud'!$AG65)=0,0,IF(AND((YEAR(O$211)*12+MONTH(O$211))&gt;='Aset Takberwujud'!$Y65,(YEAR(O$211)*12+MONTH(O$211))&lt;=MIN('Aset Takberwujud'!$Z65,IF('Aset Takberwujud'!$S65="Unit Produksi",99999,'Aset Takberwujud'!$Y65+'Aset Takberwujud'!$T65*12-1))),'Aset Takberwujud'!$AQ65/'Aset Takberwujud'!$AG65,0)))</f>
        <v/>
      </c>
      <c r="P270" s="22" t="str">
        <f>IF($B270="","",IF(N('Aset Takberwujud'!$AG65)=0,0,IF(AND((YEAR(P$211)*12+MONTH(P$211))&gt;='Aset Takberwujud'!$Y65,(YEAR(P$211)*12+MONTH(P$211))&lt;=MIN('Aset Takberwujud'!$Z65,IF('Aset Takberwujud'!$S65="Unit Produksi",99999,'Aset Takberwujud'!$Y65+'Aset Takberwujud'!$T65*12-1))),'Aset Takberwujud'!$AQ65/'Aset Takberwujud'!$AG65,0)))</f>
        <v/>
      </c>
      <c r="Q270" s="22" t="str">
        <f>IF($B270="","",SUM(E270:P270))</f>
        <v/>
      </c>
      <c r="R270" s="22" t="str">
        <f>IF($B270="","",'Aset Takberwujud'!AQ65)</f>
        <v/>
      </c>
      <c r="S270" s="22" t="str">
        <f>IF($B270="","",ROUND(Q270-R270,0))</f>
        <v/>
      </c>
    </row>
    <row r="271" spans="1:19" x14ac:dyDescent="0.25">
      <c r="A271" t="str">
        <f>IF('Aset Takberwujud'!$B66="","",'Aset Takberwujud'!A66)</f>
        <v/>
      </c>
      <c r="B271" t="str">
        <f>IF('Aset Takberwujud'!$B66="","",'Aset Takberwujud'!B66)</f>
        <v/>
      </c>
      <c r="C271" t="str">
        <f>IF('Aset Takberwujud'!$B66="","",'Aset Takberwujud'!C66)</f>
        <v/>
      </c>
      <c r="D271" t="str">
        <f>IF('Aset Takberwujud'!$B66="","",'Aset Takberwujud'!D66)</f>
        <v/>
      </c>
      <c r="E271" s="22" t="str">
        <f>IF($B271="","",IF(N('Aset Takberwujud'!$AG66)=0,0,IF(AND((YEAR(E$211)*12+MONTH(E$211))&gt;='Aset Takberwujud'!$Y66,(YEAR(E$211)*12+MONTH(E$211))&lt;=MIN('Aset Takberwujud'!$Z66,IF('Aset Takberwujud'!$S66="Unit Produksi",99999,'Aset Takberwujud'!$Y66+'Aset Takberwujud'!$T66*12-1))),'Aset Takberwujud'!$AQ66/'Aset Takberwujud'!$AG66,0)))</f>
        <v/>
      </c>
      <c r="F271" s="22" t="str">
        <f>IF($B271="","",IF(N('Aset Takberwujud'!$AG66)=0,0,IF(AND((YEAR(F$211)*12+MONTH(F$211))&gt;='Aset Takberwujud'!$Y66,(YEAR(F$211)*12+MONTH(F$211))&lt;=MIN('Aset Takberwujud'!$Z66,IF('Aset Takberwujud'!$S66="Unit Produksi",99999,'Aset Takberwujud'!$Y66+'Aset Takberwujud'!$T66*12-1))),'Aset Takberwujud'!$AQ66/'Aset Takberwujud'!$AG66,0)))</f>
        <v/>
      </c>
      <c r="G271" s="22" t="str">
        <f>IF($B271="","",IF(N('Aset Takberwujud'!$AG66)=0,0,IF(AND((YEAR(G$211)*12+MONTH(G$211))&gt;='Aset Takberwujud'!$Y66,(YEAR(G$211)*12+MONTH(G$211))&lt;=MIN('Aset Takberwujud'!$Z66,IF('Aset Takberwujud'!$S66="Unit Produksi",99999,'Aset Takberwujud'!$Y66+'Aset Takberwujud'!$T66*12-1))),'Aset Takberwujud'!$AQ66/'Aset Takberwujud'!$AG66,0)))</f>
        <v/>
      </c>
      <c r="H271" s="22" t="str">
        <f>IF($B271="","",IF(N('Aset Takberwujud'!$AG66)=0,0,IF(AND((YEAR(H$211)*12+MONTH(H$211))&gt;='Aset Takberwujud'!$Y66,(YEAR(H$211)*12+MONTH(H$211))&lt;=MIN('Aset Takberwujud'!$Z66,IF('Aset Takberwujud'!$S66="Unit Produksi",99999,'Aset Takberwujud'!$Y66+'Aset Takberwujud'!$T66*12-1))),'Aset Takberwujud'!$AQ66/'Aset Takberwujud'!$AG66,0)))</f>
        <v/>
      </c>
      <c r="I271" s="22" t="str">
        <f>IF($B271="","",IF(N('Aset Takberwujud'!$AG66)=0,0,IF(AND((YEAR(I$211)*12+MONTH(I$211))&gt;='Aset Takberwujud'!$Y66,(YEAR(I$211)*12+MONTH(I$211))&lt;=MIN('Aset Takberwujud'!$Z66,IF('Aset Takberwujud'!$S66="Unit Produksi",99999,'Aset Takberwujud'!$Y66+'Aset Takberwujud'!$T66*12-1))),'Aset Takberwujud'!$AQ66/'Aset Takberwujud'!$AG66,0)))</f>
        <v/>
      </c>
      <c r="J271" s="22" t="str">
        <f>IF($B271="","",IF(N('Aset Takberwujud'!$AG66)=0,0,IF(AND((YEAR(J$211)*12+MONTH(J$211))&gt;='Aset Takberwujud'!$Y66,(YEAR(J$211)*12+MONTH(J$211))&lt;=MIN('Aset Takberwujud'!$Z66,IF('Aset Takberwujud'!$S66="Unit Produksi",99999,'Aset Takberwujud'!$Y66+'Aset Takberwujud'!$T66*12-1))),'Aset Takberwujud'!$AQ66/'Aset Takberwujud'!$AG66,0)))</f>
        <v/>
      </c>
      <c r="K271" s="22" t="str">
        <f>IF($B271="","",IF(N('Aset Takberwujud'!$AG66)=0,0,IF(AND((YEAR(K$211)*12+MONTH(K$211))&gt;='Aset Takberwujud'!$Y66,(YEAR(K$211)*12+MONTH(K$211))&lt;=MIN('Aset Takberwujud'!$Z66,IF('Aset Takberwujud'!$S66="Unit Produksi",99999,'Aset Takberwujud'!$Y66+'Aset Takberwujud'!$T66*12-1))),'Aset Takberwujud'!$AQ66/'Aset Takberwujud'!$AG66,0)))</f>
        <v/>
      </c>
      <c r="L271" s="22" t="str">
        <f>IF($B271="","",IF(N('Aset Takberwujud'!$AG66)=0,0,IF(AND((YEAR(L$211)*12+MONTH(L$211))&gt;='Aset Takberwujud'!$Y66,(YEAR(L$211)*12+MONTH(L$211))&lt;=MIN('Aset Takberwujud'!$Z66,IF('Aset Takberwujud'!$S66="Unit Produksi",99999,'Aset Takberwujud'!$Y66+'Aset Takberwujud'!$T66*12-1))),'Aset Takberwujud'!$AQ66/'Aset Takberwujud'!$AG66,0)))</f>
        <v/>
      </c>
      <c r="M271" s="22" t="str">
        <f>IF($B271="","",IF(N('Aset Takberwujud'!$AG66)=0,0,IF(AND((YEAR(M$211)*12+MONTH(M$211))&gt;='Aset Takberwujud'!$Y66,(YEAR(M$211)*12+MONTH(M$211))&lt;=MIN('Aset Takberwujud'!$Z66,IF('Aset Takberwujud'!$S66="Unit Produksi",99999,'Aset Takberwujud'!$Y66+'Aset Takberwujud'!$T66*12-1))),'Aset Takberwujud'!$AQ66/'Aset Takberwujud'!$AG66,0)))</f>
        <v/>
      </c>
      <c r="N271" s="22" t="str">
        <f>IF($B271="","",IF(N('Aset Takberwujud'!$AG66)=0,0,IF(AND((YEAR(N$211)*12+MONTH(N$211))&gt;='Aset Takberwujud'!$Y66,(YEAR(N$211)*12+MONTH(N$211))&lt;=MIN('Aset Takberwujud'!$Z66,IF('Aset Takberwujud'!$S66="Unit Produksi",99999,'Aset Takberwujud'!$Y66+'Aset Takberwujud'!$T66*12-1))),'Aset Takberwujud'!$AQ66/'Aset Takberwujud'!$AG66,0)))</f>
        <v/>
      </c>
      <c r="O271" s="22" t="str">
        <f>IF($B271="","",IF(N('Aset Takberwujud'!$AG66)=0,0,IF(AND((YEAR(O$211)*12+MONTH(O$211))&gt;='Aset Takberwujud'!$Y66,(YEAR(O$211)*12+MONTH(O$211))&lt;=MIN('Aset Takberwujud'!$Z66,IF('Aset Takberwujud'!$S66="Unit Produksi",99999,'Aset Takberwujud'!$Y66+'Aset Takberwujud'!$T66*12-1))),'Aset Takberwujud'!$AQ66/'Aset Takberwujud'!$AG66,0)))</f>
        <v/>
      </c>
      <c r="P271" s="22" t="str">
        <f>IF($B271="","",IF(N('Aset Takberwujud'!$AG66)=0,0,IF(AND((YEAR(P$211)*12+MONTH(P$211))&gt;='Aset Takberwujud'!$Y66,(YEAR(P$211)*12+MONTH(P$211))&lt;=MIN('Aset Takberwujud'!$Z66,IF('Aset Takberwujud'!$S66="Unit Produksi",99999,'Aset Takberwujud'!$Y66+'Aset Takberwujud'!$T66*12-1))),'Aset Takberwujud'!$AQ66/'Aset Takberwujud'!$AG66,0)))</f>
        <v/>
      </c>
      <c r="Q271" s="22" t="str">
        <f>IF($B271="","",SUM(E271:P271))</f>
        <v/>
      </c>
      <c r="R271" s="22" t="str">
        <f>IF($B271="","",'Aset Takberwujud'!AQ66)</f>
        <v/>
      </c>
      <c r="S271" s="22" t="str">
        <f>IF($B271="","",ROUND(Q271-R271,0))</f>
        <v/>
      </c>
    </row>
    <row r="272" spans="1:19" x14ac:dyDescent="0.25">
      <c r="A272" t="str">
        <f>IF('Aset Takberwujud'!$B67="","",'Aset Takberwujud'!A67)</f>
        <v/>
      </c>
      <c r="B272" t="str">
        <f>IF('Aset Takberwujud'!$B67="","",'Aset Takberwujud'!B67)</f>
        <v/>
      </c>
      <c r="C272" t="str">
        <f>IF('Aset Takberwujud'!$B67="","",'Aset Takberwujud'!C67)</f>
        <v/>
      </c>
      <c r="D272" t="str">
        <f>IF('Aset Takberwujud'!$B67="","",'Aset Takberwujud'!D67)</f>
        <v/>
      </c>
      <c r="E272" s="22" t="str">
        <f>IF($B272="","",IF(N('Aset Takberwujud'!$AG67)=0,0,IF(AND((YEAR(E$211)*12+MONTH(E$211))&gt;='Aset Takberwujud'!$Y67,(YEAR(E$211)*12+MONTH(E$211))&lt;=MIN('Aset Takberwujud'!$Z67,IF('Aset Takberwujud'!$S67="Unit Produksi",99999,'Aset Takberwujud'!$Y67+'Aset Takberwujud'!$T67*12-1))),'Aset Takberwujud'!$AQ67/'Aset Takberwujud'!$AG67,0)))</f>
        <v/>
      </c>
      <c r="F272" s="22" t="str">
        <f>IF($B272="","",IF(N('Aset Takberwujud'!$AG67)=0,0,IF(AND((YEAR(F$211)*12+MONTH(F$211))&gt;='Aset Takberwujud'!$Y67,(YEAR(F$211)*12+MONTH(F$211))&lt;=MIN('Aset Takberwujud'!$Z67,IF('Aset Takberwujud'!$S67="Unit Produksi",99999,'Aset Takberwujud'!$Y67+'Aset Takberwujud'!$T67*12-1))),'Aset Takberwujud'!$AQ67/'Aset Takberwujud'!$AG67,0)))</f>
        <v/>
      </c>
      <c r="G272" s="22" t="str">
        <f>IF($B272="","",IF(N('Aset Takberwujud'!$AG67)=0,0,IF(AND((YEAR(G$211)*12+MONTH(G$211))&gt;='Aset Takberwujud'!$Y67,(YEAR(G$211)*12+MONTH(G$211))&lt;=MIN('Aset Takberwujud'!$Z67,IF('Aset Takberwujud'!$S67="Unit Produksi",99999,'Aset Takberwujud'!$Y67+'Aset Takberwujud'!$T67*12-1))),'Aset Takberwujud'!$AQ67/'Aset Takberwujud'!$AG67,0)))</f>
        <v/>
      </c>
      <c r="H272" s="22" t="str">
        <f>IF($B272="","",IF(N('Aset Takberwujud'!$AG67)=0,0,IF(AND((YEAR(H$211)*12+MONTH(H$211))&gt;='Aset Takberwujud'!$Y67,(YEAR(H$211)*12+MONTH(H$211))&lt;=MIN('Aset Takberwujud'!$Z67,IF('Aset Takberwujud'!$S67="Unit Produksi",99999,'Aset Takberwujud'!$Y67+'Aset Takberwujud'!$T67*12-1))),'Aset Takberwujud'!$AQ67/'Aset Takberwujud'!$AG67,0)))</f>
        <v/>
      </c>
      <c r="I272" s="22" t="str">
        <f>IF($B272="","",IF(N('Aset Takberwujud'!$AG67)=0,0,IF(AND((YEAR(I$211)*12+MONTH(I$211))&gt;='Aset Takberwujud'!$Y67,(YEAR(I$211)*12+MONTH(I$211))&lt;=MIN('Aset Takberwujud'!$Z67,IF('Aset Takberwujud'!$S67="Unit Produksi",99999,'Aset Takberwujud'!$Y67+'Aset Takberwujud'!$T67*12-1))),'Aset Takberwujud'!$AQ67/'Aset Takberwujud'!$AG67,0)))</f>
        <v/>
      </c>
      <c r="J272" s="22" t="str">
        <f>IF($B272="","",IF(N('Aset Takberwujud'!$AG67)=0,0,IF(AND((YEAR(J$211)*12+MONTH(J$211))&gt;='Aset Takberwujud'!$Y67,(YEAR(J$211)*12+MONTH(J$211))&lt;=MIN('Aset Takberwujud'!$Z67,IF('Aset Takberwujud'!$S67="Unit Produksi",99999,'Aset Takberwujud'!$Y67+'Aset Takberwujud'!$T67*12-1))),'Aset Takberwujud'!$AQ67/'Aset Takberwujud'!$AG67,0)))</f>
        <v/>
      </c>
      <c r="K272" s="22" t="str">
        <f>IF($B272="","",IF(N('Aset Takberwujud'!$AG67)=0,0,IF(AND((YEAR(K$211)*12+MONTH(K$211))&gt;='Aset Takberwujud'!$Y67,(YEAR(K$211)*12+MONTH(K$211))&lt;=MIN('Aset Takberwujud'!$Z67,IF('Aset Takberwujud'!$S67="Unit Produksi",99999,'Aset Takberwujud'!$Y67+'Aset Takberwujud'!$T67*12-1))),'Aset Takberwujud'!$AQ67/'Aset Takberwujud'!$AG67,0)))</f>
        <v/>
      </c>
      <c r="L272" s="22" t="str">
        <f>IF($B272="","",IF(N('Aset Takberwujud'!$AG67)=0,0,IF(AND((YEAR(L$211)*12+MONTH(L$211))&gt;='Aset Takberwujud'!$Y67,(YEAR(L$211)*12+MONTH(L$211))&lt;=MIN('Aset Takberwujud'!$Z67,IF('Aset Takberwujud'!$S67="Unit Produksi",99999,'Aset Takberwujud'!$Y67+'Aset Takberwujud'!$T67*12-1))),'Aset Takberwujud'!$AQ67/'Aset Takberwujud'!$AG67,0)))</f>
        <v/>
      </c>
      <c r="M272" s="22" t="str">
        <f>IF($B272="","",IF(N('Aset Takberwujud'!$AG67)=0,0,IF(AND((YEAR(M$211)*12+MONTH(M$211))&gt;='Aset Takberwujud'!$Y67,(YEAR(M$211)*12+MONTH(M$211))&lt;=MIN('Aset Takberwujud'!$Z67,IF('Aset Takberwujud'!$S67="Unit Produksi",99999,'Aset Takberwujud'!$Y67+'Aset Takberwujud'!$T67*12-1))),'Aset Takberwujud'!$AQ67/'Aset Takberwujud'!$AG67,0)))</f>
        <v/>
      </c>
      <c r="N272" s="22" t="str">
        <f>IF($B272="","",IF(N('Aset Takberwujud'!$AG67)=0,0,IF(AND((YEAR(N$211)*12+MONTH(N$211))&gt;='Aset Takberwujud'!$Y67,(YEAR(N$211)*12+MONTH(N$211))&lt;=MIN('Aset Takberwujud'!$Z67,IF('Aset Takberwujud'!$S67="Unit Produksi",99999,'Aset Takberwujud'!$Y67+'Aset Takberwujud'!$T67*12-1))),'Aset Takberwujud'!$AQ67/'Aset Takberwujud'!$AG67,0)))</f>
        <v/>
      </c>
      <c r="O272" s="22" t="str">
        <f>IF($B272="","",IF(N('Aset Takberwujud'!$AG67)=0,0,IF(AND((YEAR(O$211)*12+MONTH(O$211))&gt;='Aset Takberwujud'!$Y67,(YEAR(O$211)*12+MONTH(O$211))&lt;=MIN('Aset Takberwujud'!$Z67,IF('Aset Takberwujud'!$S67="Unit Produksi",99999,'Aset Takberwujud'!$Y67+'Aset Takberwujud'!$T67*12-1))),'Aset Takberwujud'!$AQ67/'Aset Takberwujud'!$AG67,0)))</f>
        <v/>
      </c>
      <c r="P272" s="22" t="str">
        <f>IF($B272="","",IF(N('Aset Takberwujud'!$AG67)=0,0,IF(AND((YEAR(P$211)*12+MONTH(P$211))&gt;='Aset Takberwujud'!$Y67,(YEAR(P$211)*12+MONTH(P$211))&lt;=MIN('Aset Takberwujud'!$Z67,IF('Aset Takberwujud'!$S67="Unit Produksi",99999,'Aset Takberwujud'!$Y67+'Aset Takberwujud'!$T67*12-1))),'Aset Takberwujud'!$AQ67/'Aset Takberwujud'!$AG67,0)))</f>
        <v/>
      </c>
      <c r="Q272" s="22" t="str">
        <f>IF($B272="","",SUM(E272:P272))</f>
        <v/>
      </c>
      <c r="R272" s="22" t="str">
        <f>IF($B272="","",'Aset Takberwujud'!AQ67)</f>
        <v/>
      </c>
      <c r="S272" s="22" t="str">
        <f>IF($B272="","",ROUND(Q272-R272,0))</f>
        <v/>
      </c>
    </row>
    <row r="273" spans="1:19" x14ac:dyDescent="0.25">
      <c r="A273" t="str">
        <f>IF('Aset Takberwujud'!$B68="","",'Aset Takberwujud'!A68)</f>
        <v/>
      </c>
      <c r="B273" t="str">
        <f>IF('Aset Takberwujud'!$B68="","",'Aset Takberwujud'!B68)</f>
        <v/>
      </c>
      <c r="C273" t="str">
        <f>IF('Aset Takberwujud'!$B68="","",'Aset Takberwujud'!C68)</f>
        <v/>
      </c>
      <c r="D273" t="str">
        <f>IF('Aset Takberwujud'!$B68="","",'Aset Takberwujud'!D68)</f>
        <v/>
      </c>
      <c r="E273" s="22" t="str">
        <f>IF($B273="","",IF(N('Aset Takberwujud'!$AG68)=0,0,IF(AND((YEAR(E$211)*12+MONTH(E$211))&gt;='Aset Takberwujud'!$Y68,(YEAR(E$211)*12+MONTH(E$211))&lt;=MIN('Aset Takberwujud'!$Z68,IF('Aset Takberwujud'!$S68="Unit Produksi",99999,'Aset Takberwujud'!$Y68+'Aset Takberwujud'!$T68*12-1))),'Aset Takberwujud'!$AQ68/'Aset Takberwujud'!$AG68,0)))</f>
        <v/>
      </c>
      <c r="F273" s="22" t="str">
        <f>IF($B273="","",IF(N('Aset Takberwujud'!$AG68)=0,0,IF(AND((YEAR(F$211)*12+MONTH(F$211))&gt;='Aset Takberwujud'!$Y68,(YEAR(F$211)*12+MONTH(F$211))&lt;=MIN('Aset Takberwujud'!$Z68,IF('Aset Takberwujud'!$S68="Unit Produksi",99999,'Aset Takberwujud'!$Y68+'Aset Takberwujud'!$T68*12-1))),'Aset Takberwujud'!$AQ68/'Aset Takberwujud'!$AG68,0)))</f>
        <v/>
      </c>
      <c r="G273" s="22" t="str">
        <f>IF($B273="","",IF(N('Aset Takberwujud'!$AG68)=0,0,IF(AND((YEAR(G$211)*12+MONTH(G$211))&gt;='Aset Takberwujud'!$Y68,(YEAR(G$211)*12+MONTH(G$211))&lt;=MIN('Aset Takberwujud'!$Z68,IF('Aset Takberwujud'!$S68="Unit Produksi",99999,'Aset Takberwujud'!$Y68+'Aset Takberwujud'!$T68*12-1))),'Aset Takberwujud'!$AQ68/'Aset Takberwujud'!$AG68,0)))</f>
        <v/>
      </c>
      <c r="H273" s="22" t="str">
        <f>IF($B273="","",IF(N('Aset Takberwujud'!$AG68)=0,0,IF(AND((YEAR(H$211)*12+MONTH(H$211))&gt;='Aset Takberwujud'!$Y68,(YEAR(H$211)*12+MONTH(H$211))&lt;=MIN('Aset Takberwujud'!$Z68,IF('Aset Takberwujud'!$S68="Unit Produksi",99999,'Aset Takberwujud'!$Y68+'Aset Takberwujud'!$T68*12-1))),'Aset Takberwujud'!$AQ68/'Aset Takberwujud'!$AG68,0)))</f>
        <v/>
      </c>
      <c r="I273" s="22" t="str">
        <f>IF($B273="","",IF(N('Aset Takberwujud'!$AG68)=0,0,IF(AND((YEAR(I$211)*12+MONTH(I$211))&gt;='Aset Takberwujud'!$Y68,(YEAR(I$211)*12+MONTH(I$211))&lt;=MIN('Aset Takberwujud'!$Z68,IF('Aset Takberwujud'!$S68="Unit Produksi",99999,'Aset Takberwujud'!$Y68+'Aset Takberwujud'!$T68*12-1))),'Aset Takberwujud'!$AQ68/'Aset Takberwujud'!$AG68,0)))</f>
        <v/>
      </c>
      <c r="J273" s="22" t="str">
        <f>IF($B273="","",IF(N('Aset Takberwujud'!$AG68)=0,0,IF(AND((YEAR(J$211)*12+MONTH(J$211))&gt;='Aset Takberwujud'!$Y68,(YEAR(J$211)*12+MONTH(J$211))&lt;=MIN('Aset Takberwujud'!$Z68,IF('Aset Takberwujud'!$S68="Unit Produksi",99999,'Aset Takberwujud'!$Y68+'Aset Takberwujud'!$T68*12-1))),'Aset Takberwujud'!$AQ68/'Aset Takberwujud'!$AG68,0)))</f>
        <v/>
      </c>
      <c r="K273" s="22" t="str">
        <f>IF($B273="","",IF(N('Aset Takberwujud'!$AG68)=0,0,IF(AND((YEAR(K$211)*12+MONTH(K$211))&gt;='Aset Takberwujud'!$Y68,(YEAR(K$211)*12+MONTH(K$211))&lt;=MIN('Aset Takberwujud'!$Z68,IF('Aset Takberwujud'!$S68="Unit Produksi",99999,'Aset Takberwujud'!$Y68+'Aset Takberwujud'!$T68*12-1))),'Aset Takberwujud'!$AQ68/'Aset Takberwujud'!$AG68,0)))</f>
        <v/>
      </c>
      <c r="L273" s="22" t="str">
        <f>IF($B273="","",IF(N('Aset Takberwujud'!$AG68)=0,0,IF(AND((YEAR(L$211)*12+MONTH(L$211))&gt;='Aset Takberwujud'!$Y68,(YEAR(L$211)*12+MONTH(L$211))&lt;=MIN('Aset Takberwujud'!$Z68,IF('Aset Takberwujud'!$S68="Unit Produksi",99999,'Aset Takberwujud'!$Y68+'Aset Takberwujud'!$T68*12-1))),'Aset Takberwujud'!$AQ68/'Aset Takberwujud'!$AG68,0)))</f>
        <v/>
      </c>
      <c r="M273" s="22" t="str">
        <f>IF($B273="","",IF(N('Aset Takberwujud'!$AG68)=0,0,IF(AND((YEAR(M$211)*12+MONTH(M$211))&gt;='Aset Takberwujud'!$Y68,(YEAR(M$211)*12+MONTH(M$211))&lt;=MIN('Aset Takberwujud'!$Z68,IF('Aset Takberwujud'!$S68="Unit Produksi",99999,'Aset Takberwujud'!$Y68+'Aset Takberwujud'!$T68*12-1))),'Aset Takberwujud'!$AQ68/'Aset Takberwujud'!$AG68,0)))</f>
        <v/>
      </c>
      <c r="N273" s="22" t="str">
        <f>IF($B273="","",IF(N('Aset Takberwujud'!$AG68)=0,0,IF(AND((YEAR(N$211)*12+MONTH(N$211))&gt;='Aset Takberwujud'!$Y68,(YEAR(N$211)*12+MONTH(N$211))&lt;=MIN('Aset Takberwujud'!$Z68,IF('Aset Takberwujud'!$S68="Unit Produksi",99999,'Aset Takberwujud'!$Y68+'Aset Takberwujud'!$T68*12-1))),'Aset Takberwujud'!$AQ68/'Aset Takberwujud'!$AG68,0)))</f>
        <v/>
      </c>
      <c r="O273" s="22" t="str">
        <f>IF($B273="","",IF(N('Aset Takberwujud'!$AG68)=0,0,IF(AND((YEAR(O$211)*12+MONTH(O$211))&gt;='Aset Takberwujud'!$Y68,(YEAR(O$211)*12+MONTH(O$211))&lt;=MIN('Aset Takberwujud'!$Z68,IF('Aset Takberwujud'!$S68="Unit Produksi",99999,'Aset Takberwujud'!$Y68+'Aset Takberwujud'!$T68*12-1))),'Aset Takberwujud'!$AQ68/'Aset Takberwujud'!$AG68,0)))</f>
        <v/>
      </c>
      <c r="P273" s="22" t="str">
        <f>IF($B273="","",IF(N('Aset Takberwujud'!$AG68)=0,0,IF(AND((YEAR(P$211)*12+MONTH(P$211))&gt;='Aset Takberwujud'!$Y68,(YEAR(P$211)*12+MONTH(P$211))&lt;=MIN('Aset Takberwujud'!$Z68,IF('Aset Takberwujud'!$S68="Unit Produksi",99999,'Aset Takberwujud'!$Y68+'Aset Takberwujud'!$T68*12-1))),'Aset Takberwujud'!$AQ68/'Aset Takberwujud'!$AG68,0)))</f>
        <v/>
      </c>
      <c r="Q273" s="22" t="str">
        <f>IF($B273="","",SUM(E273:P273))</f>
        <v/>
      </c>
      <c r="R273" s="22" t="str">
        <f>IF($B273="","",'Aset Takberwujud'!AQ68)</f>
        <v/>
      </c>
      <c r="S273" s="22" t="str">
        <f>IF($B273="","",ROUND(Q273-R273,0))</f>
        <v/>
      </c>
    </row>
    <row r="274" spans="1:19" x14ac:dyDescent="0.25">
      <c r="A274" t="str">
        <f>IF('Aset Takberwujud'!$B69="","",'Aset Takberwujud'!A69)</f>
        <v/>
      </c>
      <c r="B274" t="str">
        <f>IF('Aset Takberwujud'!$B69="","",'Aset Takberwujud'!B69)</f>
        <v/>
      </c>
      <c r="C274" t="str">
        <f>IF('Aset Takberwujud'!$B69="","",'Aset Takberwujud'!C69)</f>
        <v/>
      </c>
      <c r="D274" t="str">
        <f>IF('Aset Takberwujud'!$B69="","",'Aset Takberwujud'!D69)</f>
        <v/>
      </c>
      <c r="E274" s="22" t="str">
        <f>IF($B274="","",IF(N('Aset Takberwujud'!$AG69)=0,0,IF(AND((YEAR(E$211)*12+MONTH(E$211))&gt;='Aset Takberwujud'!$Y69,(YEAR(E$211)*12+MONTH(E$211))&lt;=MIN('Aset Takberwujud'!$Z69,IF('Aset Takberwujud'!$S69="Unit Produksi",99999,'Aset Takberwujud'!$Y69+'Aset Takberwujud'!$T69*12-1))),'Aset Takberwujud'!$AQ69/'Aset Takberwujud'!$AG69,0)))</f>
        <v/>
      </c>
      <c r="F274" s="22" t="str">
        <f>IF($B274="","",IF(N('Aset Takberwujud'!$AG69)=0,0,IF(AND((YEAR(F$211)*12+MONTH(F$211))&gt;='Aset Takberwujud'!$Y69,(YEAR(F$211)*12+MONTH(F$211))&lt;=MIN('Aset Takberwujud'!$Z69,IF('Aset Takberwujud'!$S69="Unit Produksi",99999,'Aset Takberwujud'!$Y69+'Aset Takberwujud'!$T69*12-1))),'Aset Takberwujud'!$AQ69/'Aset Takberwujud'!$AG69,0)))</f>
        <v/>
      </c>
      <c r="G274" s="22" t="str">
        <f>IF($B274="","",IF(N('Aset Takberwujud'!$AG69)=0,0,IF(AND((YEAR(G$211)*12+MONTH(G$211))&gt;='Aset Takberwujud'!$Y69,(YEAR(G$211)*12+MONTH(G$211))&lt;=MIN('Aset Takberwujud'!$Z69,IF('Aset Takberwujud'!$S69="Unit Produksi",99999,'Aset Takberwujud'!$Y69+'Aset Takberwujud'!$T69*12-1))),'Aset Takberwujud'!$AQ69/'Aset Takberwujud'!$AG69,0)))</f>
        <v/>
      </c>
      <c r="H274" s="22" t="str">
        <f>IF($B274="","",IF(N('Aset Takberwujud'!$AG69)=0,0,IF(AND((YEAR(H$211)*12+MONTH(H$211))&gt;='Aset Takberwujud'!$Y69,(YEAR(H$211)*12+MONTH(H$211))&lt;=MIN('Aset Takberwujud'!$Z69,IF('Aset Takberwujud'!$S69="Unit Produksi",99999,'Aset Takberwujud'!$Y69+'Aset Takberwujud'!$T69*12-1))),'Aset Takberwujud'!$AQ69/'Aset Takberwujud'!$AG69,0)))</f>
        <v/>
      </c>
      <c r="I274" s="22" t="str">
        <f>IF($B274="","",IF(N('Aset Takberwujud'!$AG69)=0,0,IF(AND((YEAR(I$211)*12+MONTH(I$211))&gt;='Aset Takberwujud'!$Y69,(YEAR(I$211)*12+MONTH(I$211))&lt;=MIN('Aset Takberwujud'!$Z69,IF('Aset Takberwujud'!$S69="Unit Produksi",99999,'Aset Takberwujud'!$Y69+'Aset Takberwujud'!$T69*12-1))),'Aset Takberwujud'!$AQ69/'Aset Takberwujud'!$AG69,0)))</f>
        <v/>
      </c>
      <c r="J274" s="22" t="str">
        <f>IF($B274="","",IF(N('Aset Takberwujud'!$AG69)=0,0,IF(AND((YEAR(J$211)*12+MONTH(J$211))&gt;='Aset Takberwujud'!$Y69,(YEAR(J$211)*12+MONTH(J$211))&lt;=MIN('Aset Takberwujud'!$Z69,IF('Aset Takberwujud'!$S69="Unit Produksi",99999,'Aset Takberwujud'!$Y69+'Aset Takberwujud'!$T69*12-1))),'Aset Takberwujud'!$AQ69/'Aset Takberwujud'!$AG69,0)))</f>
        <v/>
      </c>
      <c r="K274" s="22" t="str">
        <f>IF($B274="","",IF(N('Aset Takberwujud'!$AG69)=0,0,IF(AND((YEAR(K$211)*12+MONTH(K$211))&gt;='Aset Takberwujud'!$Y69,(YEAR(K$211)*12+MONTH(K$211))&lt;=MIN('Aset Takberwujud'!$Z69,IF('Aset Takberwujud'!$S69="Unit Produksi",99999,'Aset Takberwujud'!$Y69+'Aset Takberwujud'!$T69*12-1))),'Aset Takberwujud'!$AQ69/'Aset Takberwujud'!$AG69,0)))</f>
        <v/>
      </c>
      <c r="L274" s="22" t="str">
        <f>IF($B274="","",IF(N('Aset Takberwujud'!$AG69)=0,0,IF(AND((YEAR(L$211)*12+MONTH(L$211))&gt;='Aset Takberwujud'!$Y69,(YEAR(L$211)*12+MONTH(L$211))&lt;=MIN('Aset Takberwujud'!$Z69,IF('Aset Takberwujud'!$S69="Unit Produksi",99999,'Aset Takberwujud'!$Y69+'Aset Takberwujud'!$T69*12-1))),'Aset Takberwujud'!$AQ69/'Aset Takberwujud'!$AG69,0)))</f>
        <v/>
      </c>
      <c r="M274" s="22" t="str">
        <f>IF($B274="","",IF(N('Aset Takberwujud'!$AG69)=0,0,IF(AND((YEAR(M$211)*12+MONTH(M$211))&gt;='Aset Takberwujud'!$Y69,(YEAR(M$211)*12+MONTH(M$211))&lt;=MIN('Aset Takberwujud'!$Z69,IF('Aset Takberwujud'!$S69="Unit Produksi",99999,'Aset Takberwujud'!$Y69+'Aset Takberwujud'!$T69*12-1))),'Aset Takberwujud'!$AQ69/'Aset Takberwujud'!$AG69,0)))</f>
        <v/>
      </c>
      <c r="N274" s="22" t="str">
        <f>IF($B274="","",IF(N('Aset Takberwujud'!$AG69)=0,0,IF(AND((YEAR(N$211)*12+MONTH(N$211))&gt;='Aset Takberwujud'!$Y69,(YEAR(N$211)*12+MONTH(N$211))&lt;=MIN('Aset Takberwujud'!$Z69,IF('Aset Takberwujud'!$S69="Unit Produksi",99999,'Aset Takberwujud'!$Y69+'Aset Takberwujud'!$T69*12-1))),'Aset Takberwujud'!$AQ69/'Aset Takberwujud'!$AG69,0)))</f>
        <v/>
      </c>
      <c r="O274" s="22" t="str">
        <f>IF($B274="","",IF(N('Aset Takberwujud'!$AG69)=0,0,IF(AND((YEAR(O$211)*12+MONTH(O$211))&gt;='Aset Takberwujud'!$Y69,(YEAR(O$211)*12+MONTH(O$211))&lt;=MIN('Aset Takberwujud'!$Z69,IF('Aset Takberwujud'!$S69="Unit Produksi",99999,'Aset Takberwujud'!$Y69+'Aset Takberwujud'!$T69*12-1))),'Aset Takberwujud'!$AQ69/'Aset Takberwujud'!$AG69,0)))</f>
        <v/>
      </c>
      <c r="P274" s="22" t="str">
        <f>IF($B274="","",IF(N('Aset Takberwujud'!$AG69)=0,0,IF(AND((YEAR(P$211)*12+MONTH(P$211))&gt;='Aset Takberwujud'!$Y69,(YEAR(P$211)*12+MONTH(P$211))&lt;=MIN('Aset Takberwujud'!$Z69,IF('Aset Takberwujud'!$S69="Unit Produksi",99999,'Aset Takberwujud'!$Y69+'Aset Takberwujud'!$T69*12-1))),'Aset Takberwujud'!$AQ69/'Aset Takberwujud'!$AG69,0)))</f>
        <v/>
      </c>
      <c r="Q274" s="22" t="str">
        <f>IF($B274="","",SUM(E274:P274))</f>
        <v/>
      </c>
      <c r="R274" s="22" t="str">
        <f>IF($B274="","",'Aset Takberwujud'!AQ69)</f>
        <v/>
      </c>
      <c r="S274" s="22" t="str">
        <f>IF($B274="","",ROUND(Q274-R274,0))</f>
        <v/>
      </c>
    </row>
    <row r="275" spans="1:19" x14ac:dyDescent="0.25">
      <c r="A275" t="str">
        <f>IF('Aset Takberwujud'!$B70="","",'Aset Takberwujud'!A70)</f>
        <v/>
      </c>
      <c r="B275" t="str">
        <f>IF('Aset Takberwujud'!$B70="","",'Aset Takberwujud'!B70)</f>
        <v/>
      </c>
      <c r="C275" t="str">
        <f>IF('Aset Takberwujud'!$B70="","",'Aset Takberwujud'!C70)</f>
        <v/>
      </c>
      <c r="D275" t="str">
        <f>IF('Aset Takberwujud'!$B70="","",'Aset Takberwujud'!D70)</f>
        <v/>
      </c>
      <c r="E275" s="22" t="str">
        <f>IF($B275="","",IF(N('Aset Takberwujud'!$AG70)=0,0,IF(AND((YEAR(E$211)*12+MONTH(E$211))&gt;='Aset Takberwujud'!$Y70,(YEAR(E$211)*12+MONTH(E$211))&lt;=MIN('Aset Takberwujud'!$Z70,IF('Aset Takberwujud'!$S70="Unit Produksi",99999,'Aset Takberwujud'!$Y70+'Aset Takberwujud'!$T70*12-1))),'Aset Takberwujud'!$AQ70/'Aset Takberwujud'!$AG70,0)))</f>
        <v/>
      </c>
      <c r="F275" s="22" t="str">
        <f>IF($B275="","",IF(N('Aset Takberwujud'!$AG70)=0,0,IF(AND((YEAR(F$211)*12+MONTH(F$211))&gt;='Aset Takberwujud'!$Y70,(YEAR(F$211)*12+MONTH(F$211))&lt;=MIN('Aset Takberwujud'!$Z70,IF('Aset Takberwujud'!$S70="Unit Produksi",99999,'Aset Takberwujud'!$Y70+'Aset Takberwujud'!$T70*12-1))),'Aset Takberwujud'!$AQ70/'Aset Takberwujud'!$AG70,0)))</f>
        <v/>
      </c>
      <c r="G275" s="22" t="str">
        <f>IF($B275="","",IF(N('Aset Takberwujud'!$AG70)=0,0,IF(AND((YEAR(G$211)*12+MONTH(G$211))&gt;='Aset Takberwujud'!$Y70,(YEAR(G$211)*12+MONTH(G$211))&lt;=MIN('Aset Takberwujud'!$Z70,IF('Aset Takberwujud'!$S70="Unit Produksi",99999,'Aset Takberwujud'!$Y70+'Aset Takberwujud'!$T70*12-1))),'Aset Takberwujud'!$AQ70/'Aset Takberwujud'!$AG70,0)))</f>
        <v/>
      </c>
      <c r="H275" s="22" t="str">
        <f>IF($B275="","",IF(N('Aset Takberwujud'!$AG70)=0,0,IF(AND((YEAR(H$211)*12+MONTH(H$211))&gt;='Aset Takberwujud'!$Y70,(YEAR(H$211)*12+MONTH(H$211))&lt;=MIN('Aset Takberwujud'!$Z70,IF('Aset Takberwujud'!$S70="Unit Produksi",99999,'Aset Takberwujud'!$Y70+'Aset Takberwujud'!$T70*12-1))),'Aset Takberwujud'!$AQ70/'Aset Takberwujud'!$AG70,0)))</f>
        <v/>
      </c>
      <c r="I275" s="22" t="str">
        <f>IF($B275="","",IF(N('Aset Takberwujud'!$AG70)=0,0,IF(AND((YEAR(I$211)*12+MONTH(I$211))&gt;='Aset Takberwujud'!$Y70,(YEAR(I$211)*12+MONTH(I$211))&lt;=MIN('Aset Takberwujud'!$Z70,IF('Aset Takberwujud'!$S70="Unit Produksi",99999,'Aset Takberwujud'!$Y70+'Aset Takberwujud'!$T70*12-1))),'Aset Takberwujud'!$AQ70/'Aset Takberwujud'!$AG70,0)))</f>
        <v/>
      </c>
      <c r="J275" s="22" t="str">
        <f>IF($B275="","",IF(N('Aset Takberwujud'!$AG70)=0,0,IF(AND((YEAR(J$211)*12+MONTH(J$211))&gt;='Aset Takberwujud'!$Y70,(YEAR(J$211)*12+MONTH(J$211))&lt;=MIN('Aset Takberwujud'!$Z70,IF('Aset Takberwujud'!$S70="Unit Produksi",99999,'Aset Takberwujud'!$Y70+'Aset Takberwujud'!$T70*12-1))),'Aset Takberwujud'!$AQ70/'Aset Takberwujud'!$AG70,0)))</f>
        <v/>
      </c>
      <c r="K275" s="22" t="str">
        <f>IF($B275="","",IF(N('Aset Takberwujud'!$AG70)=0,0,IF(AND((YEAR(K$211)*12+MONTH(K$211))&gt;='Aset Takberwujud'!$Y70,(YEAR(K$211)*12+MONTH(K$211))&lt;=MIN('Aset Takberwujud'!$Z70,IF('Aset Takberwujud'!$S70="Unit Produksi",99999,'Aset Takberwujud'!$Y70+'Aset Takberwujud'!$T70*12-1))),'Aset Takberwujud'!$AQ70/'Aset Takberwujud'!$AG70,0)))</f>
        <v/>
      </c>
      <c r="L275" s="22" t="str">
        <f>IF($B275="","",IF(N('Aset Takberwujud'!$AG70)=0,0,IF(AND((YEAR(L$211)*12+MONTH(L$211))&gt;='Aset Takberwujud'!$Y70,(YEAR(L$211)*12+MONTH(L$211))&lt;=MIN('Aset Takberwujud'!$Z70,IF('Aset Takberwujud'!$S70="Unit Produksi",99999,'Aset Takberwujud'!$Y70+'Aset Takberwujud'!$T70*12-1))),'Aset Takberwujud'!$AQ70/'Aset Takberwujud'!$AG70,0)))</f>
        <v/>
      </c>
      <c r="M275" s="22" t="str">
        <f>IF($B275="","",IF(N('Aset Takberwujud'!$AG70)=0,0,IF(AND((YEAR(M$211)*12+MONTH(M$211))&gt;='Aset Takberwujud'!$Y70,(YEAR(M$211)*12+MONTH(M$211))&lt;=MIN('Aset Takberwujud'!$Z70,IF('Aset Takberwujud'!$S70="Unit Produksi",99999,'Aset Takberwujud'!$Y70+'Aset Takberwujud'!$T70*12-1))),'Aset Takberwujud'!$AQ70/'Aset Takberwujud'!$AG70,0)))</f>
        <v/>
      </c>
      <c r="N275" s="22" t="str">
        <f>IF($B275="","",IF(N('Aset Takberwujud'!$AG70)=0,0,IF(AND((YEAR(N$211)*12+MONTH(N$211))&gt;='Aset Takberwujud'!$Y70,(YEAR(N$211)*12+MONTH(N$211))&lt;=MIN('Aset Takberwujud'!$Z70,IF('Aset Takberwujud'!$S70="Unit Produksi",99999,'Aset Takberwujud'!$Y70+'Aset Takberwujud'!$T70*12-1))),'Aset Takberwujud'!$AQ70/'Aset Takberwujud'!$AG70,0)))</f>
        <v/>
      </c>
      <c r="O275" s="22" t="str">
        <f>IF($B275="","",IF(N('Aset Takberwujud'!$AG70)=0,0,IF(AND((YEAR(O$211)*12+MONTH(O$211))&gt;='Aset Takberwujud'!$Y70,(YEAR(O$211)*12+MONTH(O$211))&lt;=MIN('Aset Takberwujud'!$Z70,IF('Aset Takberwujud'!$S70="Unit Produksi",99999,'Aset Takberwujud'!$Y70+'Aset Takberwujud'!$T70*12-1))),'Aset Takberwujud'!$AQ70/'Aset Takberwujud'!$AG70,0)))</f>
        <v/>
      </c>
      <c r="P275" s="22" t="str">
        <f>IF($B275="","",IF(N('Aset Takberwujud'!$AG70)=0,0,IF(AND((YEAR(P$211)*12+MONTH(P$211))&gt;='Aset Takberwujud'!$Y70,(YEAR(P$211)*12+MONTH(P$211))&lt;=MIN('Aset Takberwujud'!$Z70,IF('Aset Takberwujud'!$S70="Unit Produksi",99999,'Aset Takberwujud'!$Y70+'Aset Takberwujud'!$T70*12-1))),'Aset Takberwujud'!$AQ70/'Aset Takberwujud'!$AG70,0)))</f>
        <v/>
      </c>
      <c r="Q275" s="22" t="str">
        <f>IF($B275="","",SUM(E275:P275))</f>
        <v/>
      </c>
      <c r="R275" s="22" t="str">
        <f>IF($B275="","",'Aset Takberwujud'!AQ70)</f>
        <v/>
      </c>
      <c r="S275" s="22" t="str">
        <f>IF($B275="","",ROUND(Q275-R275,0))</f>
        <v/>
      </c>
    </row>
    <row r="276" spans="1:19" x14ac:dyDescent="0.25">
      <c r="A276" t="str">
        <f>IF('Aset Takberwujud'!$B71="","",'Aset Takberwujud'!A71)</f>
        <v/>
      </c>
      <c r="B276" t="str">
        <f>IF('Aset Takberwujud'!$B71="","",'Aset Takberwujud'!B71)</f>
        <v/>
      </c>
      <c r="C276" t="str">
        <f>IF('Aset Takberwujud'!$B71="","",'Aset Takberwujud'!C71)</f>
        <v/>
      </c>
      <c r="D276" t="str">
        <f>IF('Aset Takberwujud'!$B71="","",'Aset Takberwujud'!D71)</f>
        <v/>
      </c>
      <c r="E276" s="22" t="str">
        <f>IF($B276="","",IF(N('Aset Takberwujud'!$AG71)=0,0,IF(AND((YEAR(E$211)*12+MONTH(E$211))&gt;='Aset Takberwujud'!$Y71,(YEAR(E$211)*12+MONTH(E$211))&lt;=MIN('Aset Takberwujud'!$Z71,IF('Aset Takberwujud'!$S71="Unit Produksi",99999,'Aset Takberwujud'!$Y71+'Aset Takberwujud'!$T71*12-1))),'Aset Takberwujud'!$AQ71/'Aset Takberwujud'!$AG71,0)))</f>
        <v/>
      </c>
      <c r="F276" s="22" t="str">
        <f>IF($B276="","",IF(N('Aset Takberwujud'!$AG71)=0,0,IF(AND((YEAR(F$211)*12+MONTH(F$211))&gt;='Aset Takberwujud'!$Y71,(YEAR(F$211)*12+MONTH(F$211))&lt;=MIN('Aset Takberwujud'!$Z71,IF('Aset Takberwujud'!$S71="Unit Produksi",99999,'Aset Takberwujud'!$Y71+'Aset Takberwujud'!$T71*12-1))),'Aset Takberwujud'!$AQ71/'Aset Takberwujud'!$AG71,0)))</f>
        <v/>
      </c>
      <c r="G276" s="22" t="str">
        <f>IF($B276="","",IF(N('Aset Takberwujud'!$AG71)=0,0,IF(AND((YEAR(G$211)*12+MONTH(G$211))&gt;='Aset Takberwujud'!$Y71,(YEAR(G$211)*12+MONTH(G$211))&lt;=MIN('Aset Takberwujud'!$Z71,IF('Aset Takberwujud'!$S71="Unit Produksi",99999,'Aset Takberwujud'!$Y71+'Aset Takberwujud'!$T71*12-1))),'Aset Takberwujud'!$AQ71/'Aset Takberwujud'!$AG71,0)))</f>
        <v/>
      </c>
      <c r="H276" s="22" t="str">
        <f>IF($B276="","",IF(N('Aset Takberwujud'!$AG71)=0,0,IF(AND((YEAR(H$211)*12+MONTH(H$211))&gt;='Aset Takberwujud'!$Y71,(YEAR(H$211)*12+MONTH(H$211))&lt;=MIN('Aset Takberwujud'!$Z71,IF('Aset Takberwujud'!$S71="Unit Produksi",99999,'Aset Takberwujud'!$Y71+'Aset Takberwujud'!$T71*12-1))),'Aset Takberwujud'!$AQ71/'Aset Takberwujud'!$AG71,0)))</f>
        <v/>
      </c>
      <c r="I276" s="22" t="str">
        <f>IF($B276="","",IF(N('Aset Takberwujud'!$AG71)=0,0,IF(AND((YEAR(I$211)*12+MONTH(I$211))&gt;='Aset Takberwujud'!$Y71,(YEAR(I$211)*12+MONTH(I$211))&lt;=MIN('Aset Takberwujud'!$Z71,IF('Aset Takberwujud'!$S71="Unit Produksi",99999,'Aset Takberwujud'!$Y71+'Aset Takberwujud'!$T71*12-1))),'Aset Takberwujud'!$AQ71/'Aset Takberwujud'!$AG71,0)))</f>
        <v/>
      </c>
      <c r="J276" s="22" t="str">
        <f>IF($B276="","",IF(N('Aset Takberwujud'!$AG71)=0,0,IF(AND((YEAR(J$211)*12+MONTH(J$211))&gt;='Aset Takberwujud'!$Y71,(YEAR(J$211)*12+MONTH(J$211))&lt;=MIN('Aset Takberwujud'!$Z71,IF('Aset Takberwujud'!$S71="Unit Produksi",99999,'Aset Takberwujud'!$Y71+'Aset Takberwujud'!$T71*12-1))),'Aset Takberwujud'!$AQ71/'Aset Takberwujud'!$AG71,0)))</f>
        <v/>
      </c>
      <c r="K276" s="22" t="str">
        <f>IF($B276="","",IF(N('Aset Takberwujud'!$AG71)=0,0,IF(AND((YEAR(K$211)*12+MONTH(K$211))&gt;='Aset Takberwujud'!$Y71,(YEAR(K$211)*12+MONTH(K$211))&lt;=MIN('Aset Takberwujud'!$Z71,IF('Aset Takberwujud'!$S71="Unit Produksi",99999,'Aset Takberwujud'!$Y71+'Aset Takberwujud'!$T71*12-1))),'Aset Takberwujud'!$AQ71/'Aset Takberwujud'!$AG71,0)))</f>
        <v/>
      </c>
      <c r="L276" s="22" t="str">
        <f>IF($B276="","",IF(N('Aset Takberwujud'!$AG71)=0,0,IF(AND((YEAR(L$211)*12+MONTH(L$211))&gt;='Aset Takberwujud'!$Y71,(YEAR(L$211)*12+MONTH(L$211))&lt;=MIN('Aset Takberwujud'!$Z71,IF('Aset Takberwujud'!$S71="Unit Produksi",99999,'Aset Takberwujud'!$Y71+'Aset Takberwujud'!$T71*12-1))),'Aset Takberwujud'!$AQ71/'Aset Takberwujud'!$AG71,0)))</f>
        <v/>
      </c>
      <c r="M276" s="22" t="str">
        <f>IF($B276="","",IF(N('Aset Takberwujud'!$AG71)=0,0,IF(AND((YEAR(M$211)*12+MONTH(M$211))&gt;='Aset Takberwujud'!$Y71,(YEAR(M$211)*12+MONTH(M$211))&lt;=MIN('Aset Takberwujud'!$Z71,IF('Aset Takberwujud'!$S71="Unit Produksi",99999,'Aset Takberwujud'!$Y71+'Aset Takberwujud'!$T71*12-1))),'Aset Takberwujud'!$AQ71/'Aset Takberwujud'!$AG71,0)))</f>
        <v/>
      </c>
      <c r="N276" s="22" t="str">
        <f>IF($B276="","",IF(N('Aset Takberwujud'!$AG71)=0,0,IF(AND((YEAR(N$211)*12+MONTH(N$211))&gt;='Aset Takberwujud'!$Y71,(YEAR(N$211)*12+MONTH(N$211))&lt;=MIN('Aset Takberwujud'!$Z71,IF('Aset Takberwujud'!$S71="Unit Produksi",99999,'Aset Takberwujud'!$Y71+'Aset Takberwujud'!$T71*12-1))),'Aset Takberwujud'!$AQ71/'Aset Takberwujud'!$AG71,0)))</f>
        <v/>
      </c>
      <c r="O276" s="22" t="str">
        <f>IF($B276="","",IF(N('Aset Takberwujud'!$AG71)=0,0,IF(AND((YEAR(O$211)*12+MONTH(O$211))&gt;='Aset Takberwujud'!$Y71,(YEAR(O$211)*12+MONTH(O$211))&lt;=MIN('Aset Takberwujud'!$Z71,IF('Aset Takberwujud'!$S71="Unit Produksi",99999,'Aset Takberwujud'!$Y71+'Aset Takberwujud'!$T71*12-1))),'Aset Takberwujud'!$AQ71/'Aset Takberwujud'!$AG71,0)))</f>
        <v/>
      </c>
      <c r="P276" s="22" t="str">
        <f>IF($B276="","",IF(N('Aset Takberwujud'!$AG71)=0,0,IF(AND((YEAR(P$211)*12+MONTH(P$211))&gt;='Aset Takberwujud'!$Y71,(YEAR(P$211)*12+MONTH(P$211))&lt;=MIN('Aset Takberwujud'!$Z71,IF('Aset Takberwujud'!$S71="Unit Produksi",99999,'Aset Takberwujud'!$Y71+'Aset Takberwujud'!$T71*12-1))),'Aset Takberwujud'!$AQ71/'Aset Takberwujud'!$AG71,0)))</f>
        <v/>
      </c>
      <c r="Q276" s="22" t="str">
        <f>IF($B276="","",SUM(E276:P276))</f>
        <v/>
      </c>
      <c r="R276" s="22" t="str">
        <f>IF($B276="","",'Aset Takberwujud'!AQ71)</f>
        <v/>
      </c>
      <c r="S276" s="22" t="str">
        <f>IF($B276="","",ROUND(Q276-R276,0))</f>
        <v/>
      </c>
    </row>
    <row r="277" spans="1:19" x14ac:dyDescent="0.25">
      <c r="A277" t="str">
        <f>IF('Aset Takberwujud'!$B72="","",'Aset Takberwujud'!A72)</f>
        <v/>
      </c>
      <c r="B277" t="str">
        <f>IF('Aset Takberwujud'!$B72="","",'Aset Takberwujud'!B72)</f>
        <v/>
      </c>
      <c r="C277" t="str">
        <f>IF('Aset Takberwujud'!$B72="","",'Aset Takberwujud'!C72)</f>
        <v/>
      </c>
      <c r="D277" t="str">
        <f>IF('Aset Takberwujud'!$B72="","",'Aset Takberwujud'!D72)</f>
        <v/>
      </c>
      <c r="E277" s="22" t="str">
        <f>IF($B277="","",IF(N('Aset Takberwujud'!$AG72)=0,0,IF(AND((YEAR(E$211)*12+MONTH(E$211))&gt;='Aset Takberwujud'!$Y72,(YEAR(E$211)*12+MONTH(E$211))&lt;=MIN('Aset Takberwujud'!$Z72,IF('Aset Takberwujud'!$S72="Unit Produksi",99999,'Aset Takberwujud'!$Y72+'Aset Takberwujud'!$T72*12-1))),'Aset Takberwujud'!$AQ72/'Aset Takberwujud'!$AG72,0)))</f>
        <v/>
      </c>
      <c r="F277" s="22" t="str">
        <f>IF($B277="","",IF(N('Aset Takberwujud'!$AG72)=0,0,IF(AND((YEAR(F$211)*12+MONTH(F$211))&gt;='Aset Takberwujud'!$Y72,(YEAR(F$211)*12+MONTH(F$211))&lt;=MIN('Aset Takberwujud'!$Z72,IF('Aset Takberwujud'!$S72="Unit Produksi",99999,'Aset Takberwujud'!$Y72+'Aset Takberwujud'!$T72*12-1))),'Aset Takberwujud'!$AQ72/'Aset Takberwujud'!$AG72,0)))</f>
        <v/>
      </c>
      <c r="G277" s="22" t="str">
        <f>IF($B277="","",IF(N('Aset Takberwujud'!$AG72)=0,0,IF(AND((YEAR(G$211)*12+MONTH(G$211))&gt;='Aset Takberwujud'!$Y72,(YEAR(G$211)*12+MONTH(G$211))&lt;=MIN('Aset Takberwujud'!$Z72,IF('Aset Takberwujud'!$S72="Unit Produksi",99999,'Aset Takberwujud'!$Y72+'Aset Takberwujud'!$T72*12-1))),'Aset Takberwujud'!$AQ72/'Aset Takberwujud'!$AG72,0)))</f>
        <v/>
      </c>
      <c r="H277" s="22" t="str">
        <f>IF($B277="","",IF(N('Aset Takberwujud'!$AG72)=0,0,IF(AND((YEAR(H$211)*12+MONTH(H$211))&gt;='Aset Takberwujud'!$Y72,(YEAR(H$211)*12+MONTH(H$211))&lt;=MIN('Aset Takberwujud'!$Z72,IF('Aset Takberwujud'!$S72="Unit Produksi",99999,'Aset Takberwujud'!$Y72+'Aset Takberwujud'!$T72*12-1))),'Aset Takberwujud'!$AQ72/'Aset Takberwujud'!$AG72,0)))</f>
        <v/>
      </c>
      <c r="I277" s="22" t="str">
        <f>IF($B277="","",IF(N('Aset Takberwujud'!$AG72)=0,0,IF(AND((YEAR(I$211)*12+MONTH(I$211))&gt;='Aset Takberwujud'!$Y72,(YEAR(I$211)*12+MONTH(I$211))&lt;=MIN('Aset Takberwujud'!$Z72,IF('Aset Takberwujud'!$S72="Unit Produksi",99999,'Aset Takberwujud'!$Y72+'Aset Takberwujud'!$T72*12-1))),'Aset Takberwujud'!$AQ72/'Aset Takberwujud'!$AG72,0)))</f>
        <v/>
      </c>
      <c r="J277" s="22" t="str">
        <f>IF($B277="","",IF(N('Aset Takberwujud'!$AG72)=0,0,IF(AND((YEAR(J$211)*12+MONTH(J$211))&gt;='Aset Takberwujud'!$Y72,(YEAR(J$211)*12+MONTH(J$211))&lt;=MIN('Aset Takberwujud'!$Z72,IF('Aset Takberwujud'!$S72="Unit Produksi",99999,'Aset Takberwujud'!$Y72+'Aset Takberwujud'!$T72*12-1))),'Aset Takberwujud'!$AQ72/'Aset Takberwujud'!$AG72,0)))</f>
        <v/>
      </c>
      <c r="K277" s="22" t="str">
        <f>IF($B277="","",IF(N('Aset Takberwujud'!$AG72)=0,0,IF(AND((YEAR(K$211)*12+MONTH(K$211))&gt;='Aset Takberwujud'!$Y72,(YEAR(K$211)*12+MONTH(K$211))&lt;=MIN('Aset Takberwujud'!$Z72,IF('Aset Takberwujud'!$S72="Unit Produksi",99999,'Aset Takberwujud'!$Y72+'Aset Takberwujud'!$T72*12-1))),'Aset Takberwujud'!$AQ72/'Aset Takberwujud'!$AG72,0)))</f>
        <v/>
      </c>
      <c r="L277" s="22" t="str">
        <f>IF($B277="","",IF(N('Aset Takberwujud'!$AG72)=0,0,IF(AND((YEAR(L$211)*12+MONTH(L$211))&gt;='Aset Takberwujud'!$Y72,(YEAR(L$211)*12+MONTH(L$211))&lt;=MIN('Aset Takberwujud'!$Z72,IF('Aset Takberwujud'!$S72="Unit Produksi",99999,'Aset Takberwujud'!$Y72+'Aset Takberwujud'!$T72*12-1))),'Aset Takberwujud'!$AQ72/'Aset Takberwujud'!$AG72,0)))</f>
        <v/>
      </c>
      <c r="M277" s="22" t="str">
        <f>IF($B277="","",IF(N('Aset Takberwujud'!$AG72)=0,0,IF(AND((YEAR(M$211)*12+MONTH(M$211))&gt;='Aset Takberwujud'!$Y72,(YEAR(M$211)*12+MONTH(M$211))&lt;=MIN('Aset Takberwujud'!$Z72,IF('Aset Takberwujud'!$S72="Unit Produksi",99999,'Aset Takberwujud'!$Y72+'Aset Takberwujud'!$T72*12-1))),'Aset Takberwujud'!$AQ72/'Aset Takberwujud'!$AG72,0)))</f>
        <v/>
      </c>
      <c r="N277" s="22" t="str">
        <f>IF($B277="","",IF(N('Aset Takberwujud'!$AG72)=0,0,IF(AND((YEAR(N$211)*12+MONTH(N$211))&gt;='Aset Takberwujud'!$Y72,(YEAR(N$211)*12+MONTH(N$211))&lt;=MIN('Aset Takberwujud'!$Z72,IF('Aset Takberwujud'!$S72="Unit Produksi",99999,'Aset Takberwujud'!$Y72+'Aset Takberwujud'!$T72*12-1))),'Aset Takberwujud'!$AQ72/'Aset Takberwujud'!$AG72,0)))</f>
        <v/>
      </c>
      <c r="O277" s="22" t="str">
        <f>IF($B277="","",IF(N('Aset Takberwujud'!$AG72)=0,0,IF(AND((YEAR(O$211)*12+MONTH(O$211))&gt;='Aset Takberwujud'!$Y72,(YEAR(O$211)*12+MONTH(O$211))&lt;=MIN('Aset Takberwujud'!$Z72,IF('Aset Takberwujud'!$S72="Unit Produksi",99999,'Aset Takberwujud'!$Y72+'Aset Takberwujud'!$T72*12-1))),'Aset Takberwujud'!$AQ72/'Aset Takberwujud'!$AG72,0)))</f>
        <v/>
      </c>
      <c r="P277" s="22" t="str">
        <f>IF($B277="","",IF(N('Aset Takberwujud'!$AG72)=0,0,IF(AND((YEAR(P$211)*12+MONTH(P$211))&gt;='Aset Takberwujud'!$Y72,(YEAR(P$211)*12+MONTH(P$211))&lt;=MIN('Aset Takberwujud'!$Z72,IF('Aset Takberwujud'!$S72="Unit Produksi",99999,'Aset Takberwujud'!$Y72+'Aset Takberwujud'!$T72*12-1))),'Aset Takberwujud'!$AQ72/'Aset Takberwujud'!$AG72,0)))</f>
        <v/>
      </c>
      <c r="Q277" s="22" t="str">
        <f>IF($B277="","",SUM(E277:P277))</f>
        <v/>
      </c>
      <c r="R277" s="22" t="str">
        <f>IF($B277="","",'Aset Takberwujud'!AQ72)</f>
        <v/>
      </c>
      <c r="S277" s="22" t="str">
        <f>IF($B277="","",ROUND(Q277-R277,0))</f>
        <v/>
      </c>
    </row>
    <row r="278" spans="1:19" x14ac:dyDescent="0.25">
      <c r="A278" t="str">
        <f>IF('Aset Takberwujud'!$B73="","",'Aset Takberwujud'!A73)</f>
        <v/>
      </c>
      <c r="B278" t="str">
        <f>IF('Aset Takberwujud'!$B73="","",'Aset Takberwujud'!B73)</f>
        <v/>
      </c>
      <c r="C278" t="str">
        <f>IF('Aset Takberwujud'!$B73="","",'Aset Takberwujud'!C73)</f>
        <v/>
      </c>
      <c r="D278" t="str">
        <f>IF('Aset Takberwujud'!$B73="","",'Aset Takberwujud'!D73)</f>
        <v/>
      </c>
      <c r="E278" s="22" t="str">
        <f>IF($B278="","",IF(N('Aset Takberwujud'!$AG73)=0,0,IF(AND((YEAR(E$211)*12+MONTH(E$211))&gt;='Aset Takberwujud'!$Y73,(YEAR(E$211)*12+MONTH(E$211))&lt;=MIN('Aset Takberwujud'!$Z73,IF('Aset Takberwujud'!$S73="Unit Produksi",99999,'Aset Takberwujud'!$Y73+'Aset Takberwujud'!$T73*12-1))),'Aset Takberwujud'!$AQ73/'Aset Takberwujud'!$AG73,0)))</f>
        <v/>
      </c>
      <c r="F278" s="22" t="str">
        <f>IF($B278="","",IF(N('Aset Takberwujud'!$AG73)=0,0,IF(AND((YEAR(F$211)*12+MONTH(F$211))&gt;='Aset Takberwujud'!$Y73,(YEAR(F$211)*12+MONTH(F$211))&lt;=MIN('Aset Takberwujud'!$Z73,IF('Aset Takberwujud'!$S73="Unit Produksi",99999,'Aset Takberwujud'!$Y73+'Aset Takberwujud'!$T73*12-1))),'Aset Takberwujud'!$AQ73/'Aset Takberwujud'!$AG73,0)))</f>
        <v/>
      </c>
      <c r="G278" s="22" t="str">
        <f>IF($B278="","",IF(N('Aset Takberwujud'!$AG73)=0,0,IF(AND((YEAR(G$211)*12+MONTH(G$211))&gt;='Aset Takberwujud'!$Y73,(YEAR(G$211)*12+MONTH(G$211))&lt;=MIN('Aset Takberwujud'!$Z73,IF('Aset Takberwujud'!$S73="Unit Produksi",99999,'Aset Takberwujud'!$Y73+'Aset Takberwujud'!$T73*12-1))),'Aset Takberwujud'!$AQ73/'Aset Takberwujud'!$AG73,0)))</f>
        <v/>
      </c>
      <c r="H278" s="22" t="str">
        <f>IF($B278="","",IF(N('Aset Takberwujud'!$AG73)=0,0,IF(AND((YEAR(H$211)*12+MONTH(H$211))&gt;='Aset Takberwujud'!$Y73,(YEAR(H$211)*12+MONTH(H$211))&lt;=MIN('Aset Takberwujud'!$Z73,IF('Aset Takberwujud'!$S73="Unit Produksi",99999,'Aset Takberwujud'!$Y73+'Aset Takberwujud'!$T73*12-1))),'Aset Takberwujud'!$AQ73/'Aset Takberwujud'!$AG73,0)))</f>
        <v/>
      </c>
      <c r="I278" s="22" t="str">
        <f>IF($B278="","",IF(N('Aset Takberwujud'!$AG73)=0,0,IF(AND((YEAR(I$211)*12+MONTH(I$211))&gt;='Aset Takberwujud'!$Y73,(YEAR(I$211)*12+MONTH(I$211))&lt;=MIN('Aset Takberwujud'!$Z73,IF('Aset Takberwujud'!$S73="Unit Produksi",99999,'Aset Takberwujud'!$Y73+'Aset Takberwujud'!$T73*12-1))),'Aset Takberwujud'!$AQ73/'Aset Takberwujud'!$AG73,0)))</f>
        <v/>
      </c>
      <c r="J278" s="22" t="str">
        <f>IF($B278="","",IF(N('Aset Takberwujud'!$AG73)=0,0,IF(AND((YEAR(J$211)*12+MONTH(J$211))&gt;='Aset Takberwujud'!$Y73,(YEAR(J$211)*12+MONTH(J$211))&lt;=MIN('Aset Takberwujud'!$Z73,IF('Aset Takberwujud'!$S73="Unit Produksi",99999,'Aset Takberwujud'!$Y73+'Aset Takberwujud'!$T73*12-1))),'Aset Takberwujud'!$AQ73/'Aset Takberwujud'!$AG73,0)))</f>
        <v/>
      </c>
      <c r="K278" s="22" t="str">
        <f>IF($B278="","",IF(N('Aset Takberwujud'!$AG73)=0,0,IF(AND((YEAR(K$211)*12+MONTH(K$211))&gt;='Aset Takberwujud'!$Y73,(YEAR(K$211)*12+MONTH(K$211))&lt;=MIN('Aset Takberwujud'!$Z73,IF('Aset Takberwujud'!$S73="Unit Produksi",99999,'Aset Takberwujud'!$Y73+'Aset Takberwujud'!$T73*12-1))),'Aset Takberwujud'!$AQ73/'Aset Takberwujud'!$AG73,0)))</f>
        <v/>
      </c>
      <c r="L278" s="22" t="str">
        <f>IF($B278="","",IF(N('Aset Takberwujud'!$AG73)=0,0,IF(AND((YEAR(L$211)*12+MONTH(L$211))&gt;='Aset Takberwujud'!$Y73,(YEAR(L$211)*12+MONTH(L$211))&lt;=MIN('Aset Takberwujud'!$Z73,IF('Aset Takberwujud'!$S73="Unit Produksi",99999,'Aset Takberwujud'!$Y73+'Aset Takberwujud'!$T73*12-1))),'Aset Takberwujud'!$AQ73/'Aset Takberwujud'!$AG73,0)))</f>
        <v/>
      </c>
      <c r="M278" s="22" t="str">
        <f>IF($B278="","",IF(N('Aset Takberwujud'!$AG73)=0,0,IF(AND((YEAR(M$211)*12+MONTH(M$211))&gt;='Aset Takberwujud'!$Y73,(YEAR(M$211)*12+MONTH(M$211))&lt;=MIN('Aset Takberwujud'!$Z73,IF('Aset Takberwujud'!$S73="Unit Produksi",99999,'Aset Takberwujud'!$Y73+'Aset Takberwujud'!$T73*12-1))),'Aset Takberwujud'!$AQ73/'Aset Takberwujud'!$AG73,0)))</f>
        <v/>
      </c>
      <c r="N278" s="22" t="str">
        <f>IF($B278="","",IF(N('Aset Takberwujud'!$AG73)=0,0,IF(AND((YEAR(N$211)*12+MONTH(N$211))&gt;='Aset Takberwujud'!$Y73,(YEAR(N$211)*12+MONTH(N$211))&lt;=MIN('Aset Takberwujud'!$Z73,IF('Aset Takberwujud'!$S73="Unit Produksi",99999,'Aset Takberwujud'!$Y73+'Aset Takberwujud'!$T73*12-1))),'Aset Takberwujud'!$AQ73/'Aset Takberwujud'!$AG73,0)))</f>
        <v/>
      </c>
      <c r="O278" s="22" t="str">
        <f>IF($B278="","",IF(N('Aset Takberwujud'!$AG73)=0,0,IF(AND((YEAR(O$211)*12+MONTH(O$211))&gt;='Aset Takberwujud'!$Y73,(YEAR(O$211)*12+MONTH(O$211))&lt;=MIN('Aset Takberwujud'!$Z73,IF('Aset Takberwujud'!$S73="Unit Produksi",99999,'Aset Takberwujud'!$Y73+'Aset Takberwujud'!$T73*12-1))),'Aset Takberwujud'!$AQ73/'Aset Takberwujud'!$AG73,0)))</f>
        <v/>
      </c>
      <c r="P278" s="22" t="str">
        <f>IF($B278="","",IF(N('Aset Takberwujud'!$AG73)=0,0,IF(AND((YEAR(P$211)*12+MONTH(P$211))&gt;='Aset Takberwujud'!$Y73,(YEAR(P$211)*12+MONTH(P$211))&lt;=MIN('Aset Takberwujud'!$Z73,IF('Aset Takberwujud'!$S73="Unit Produksi",99999,'Aset Takberwujud'!$Y73+'Aset Takberwujud'!$T73*12-1))),'Aset Takberwujud'!$AQ73/'Aset Takberwujud'!$AG73,0)))</f>
        <v/>
      </c>
      <c r="Q278" s="22" t="str">
        <f>IF($B278="","",SUM(E278:P278))</f>
        <v/>
      </c>
      <c r="R278" s="22" t="str">
        <f>IF($B278="","",'Aset Takberwujud'!AQ73)</f>
        <v/>
      </c>
      <c r="S278" s="22" t="str">
        <f>IF($B278="","",ROUND(Q278-R278,0))</f>
        <v/>
      </c>
    </row>
    <row r="279" spans="1:19" x14ac:dyDescent="0.25">
      <c r="A279" t="str">
        <f>IF('Aset Takberwujud'!$B74="","",'Aset Takberwujud'!A74)</f>
        <v/>
      </c>
      <c r="B279" t="str">
        <f>IF('Aset Takberwujud'!$B74="","",'Aset Takberwujud'!B74)</f>
        <v/>
      </c>
      <c r="C279" t="str">
        <f>IF('Aset Takberwujud'!$B74="","",'Aset Takberwujud'!C74)</f>
        <v/>
      </c>
      <c r="D279" t="str">
        <f>IF('Aset Takberwujud'!$B74="","",'Aset Takberwujud'!D74)</f>
        <v/>
      </c>
      <c r="E279" s="22" t="str">
        <f>IF($B279="","",IF(N('Aset Takberwujud'!$AG74)=0,0,IF(AND((YEAR(E$211)*12+MONTH(E$211))&gt;='Aset Takberwujud'!$Y74,(YEAR(E$211)*12+MONTH(E$211))&lt;=MIN('Aset Takberwujud'!$Z74,IF('Aset Takberwujud'!$S74="Unit Produksi",99999,'Aset Takberwujud'!$Y74+'Aset Takberwujud'!$T74*12-1))),'Aset Takberwujud'!$AQ74/'Aset Takberwujud'!$AG74,0)))</f>
        <v/>
      </c>
      <c r="F279" s="22" t="str">
        <f>IF($B279="","",IF(N('Aset Takberwujud'!$AG74)=0,0,IF(AND((YEAR(F$211)*12+MONTH(F$211))&gt;='Aset Takberwujud'!$Y74,(YEAR(F$211)*12+MONTH(F$211))&lt;=MIN('Aset Takberwujud'!$Z74,IF('Aset Takberwujud'!$S74="Unit Produksi",99999,'Aset Takberwujud'!$Y74+'Aset Takberwujud'!$T74*12-1))),'Aset Takberwujud'!$AQ74/'Aset Takberwujud'!$AG74,0)))</f>
        <v/>
      </c>
      <c r="G279" s="22" t="str">
        <f>IF($B279="","",IF(N('Aset Takberwujud'!$AG74)=0,0,IF(AND((YEAR(G$211)*12+MONTH(G$211))&gt;='Aset Takberwujud'!$Y74,(YEAR(G$211)*12+MONTH(G$211))&lt;=MIN('Aset Takberwujud'!$Z74,IF('Aset Takberwujud'!$S74="Unit Produksi",99999,'Aset Takberwujud'!$Y74+'Aset Takberwujud'!$T74*12-1))),'Aset Takberwujud'!$AQ74/'Aset Takberwujud'!$AG74,0)))</f>
        <v/>
      </c>
      <c r="H279" s="22" t="str">
        <f>IF($B279="","",IF(N('Aset Takberwujud'!$AG74)=0,0,IF(AND((YEAR(H$211)*12+MONTH(H$211))&gt;='Aset Takberwujud'!$Y74,(YEAR(H$211)*12+MONTH(H$211))&lt;=MIN('Aset Takberwujud'!$Z74,IF('Aset Takberwujud'!$S74="Unit Produksi",99999,'Aset Takberwujud'!$Y74+'Aset Takberwujud'!$T74*12-1))),'Aset Takberwujud'!$AQ74/'Aset Takberwujud'!$AG74,0)))</f>
        <v/>
      </c>
      <c r="I279" s="22" t="str">
        <f>IF($B279="","",IF(N('Aset Takberwujud'!$AG74)=0,0,IF(AND((YEAR(I$211)*12+MONTH(I$211))&gt;='Aset Takberwujud'!$Y74,(YEAR(I$211)*12+MONTH(I$211))&lt;=MIN('Aset Takberwujud'!$Z74,IF('Aset Takberwujud'!$S74="Unit Produksi",99999,'Aset Takberwujud'!$Y74+'Aset Takberwujud'!$T74*12-1))),'Aset Takberwujud'!$AQ74/'Aset Takberwujud'!$AG74,0)))</f>
        <v/>
      </c>
      <c r="J279" s="22" t="str">
        <f>IF($B279="","",IF(N('Aset Takberwujud'!$AG74)=0,0,IF(AND((YEAR(J$211)*12+MONTH(J$211))&gt;='Aset Takberwujud'!$Y74,(YEAR(J$211)*12+MONTH(J$211))&lt;=MIN('Aset Takberwujud'!$Z74,IF('Aset Takberwujud'!$S74="Unit Produksi",99999,'Aset Takberwujud'!$Y74+'Aset Takberwujud'!$T74*12-1))),'Aset Takberwujud'!$AQ74/'Aset Takberwujud'!$AG74,0)))</f>
        <v/>
      </c>
      <c r="K279" s="22" t="str">
        <f>IF($B279="","",IF(N('Aset Takberwujud'!$AG74)=0,0,IF(AND((YEAR(K$211)*12+MONTH(K$211))&gt;='Aset Takberwujud'!$Y74,(YEAR(K$211)*12+MONTH(K$211))&lt;=MIN('Aset Takberwujud'!$Z74,IF('Aset Takberwujud'!$S74="Unit Produksi",99999,'Aset Takberwujud'!$Y74+'Aset Takberwujud'!$T74*12-1))),'Aset Takberwujud'!$AQ74/'Aset Takberwujud'!$AG74,0)))</f>
        <v/>
      </c>
      <c r="L279" s="22" t="str">
        <f>IF($B279="","",IF(N('Aset Takberwujud'!$AG74)=0,0,IF(AND((YEAR(L$211)*12+MONTH(L$211))&gt;='Aset Takberwujud'!$Y74,(YEAR(L$211)*12+MONTH(L$211))&lt;=MIN('Aset Takberwujud'!$Z74,IF('Aset Takberwujud'!$S74="Unit Produksi",99999,'Aset Takberwujud'!$Y74+'Aset Takberwujud'!$T74*12-1))),'Aset Takberwujud'!$AQ74/'Aset Takberwujud'!$AG74,0)))</f>
        <v/>
      </c>
      <c r="M279" s="22" t="str">
        <f>IF($B279="","",IF(N('Aset Takberwujud'!$AG74)=0,0,IF(AND((YEAR(M$211)*12+MONTH(M$211))&gt;='Aset Takberwujud'!$Y74,(YEAR(M$211)*12+MONTH(M$211))&lt;=MIN('Aset Takberwujud'!$Z74,IF('Aset Takberwujud'!$S74="Unit Produksi",99999,'Aset Takberwujud'!$Y74+'Aset Takberwujud'!$T74*12-1))),'Aset Takberwujud'!$AQ74/'Aset Takberwujud'!$AG74,0)))</f>
        <v/>
      </c>
      <c r="N279" s="22" t="str">
        <f>IF($B279="","",IF(N('Aset Takberwujud'!$AG74)=0,0,IF(AND((YEAR(N$211)*12+MONTH(N$211))&gt;='Aset Takberwujud'!$Y74,(YEAR(N$211)*12+MONTH(N$211))&lt;=MIN('Aset Takberwujud'!$Z74,IF('Aset Takberwujud'!$S74="Unit Produksi",99999,'Aset Takberwujud'!$Y74+'Aset Takberwujud'!$T74*12-1))),'Aset Takberwujud'!$AQ74/'Aset Takberwujud'!$AG74,0)))</f>
        <v/>
      </c>
      <c r="O279" s="22" t="str">
        <f>IF($B279="","",IF(N('Aset Takberwujud'!$AG74)=0,0,IF(AND((YEAR(O$211)*12+MONTH(O$211))&gt;='Aset Takberwujud'!$Y74,(YEAR(O$211)*12+MONTH(O$211))&lt;=MIN('Aset Takberwujud'!$Z74,IF('Aset Takberwujud'!$S74="Unit Produksi",99999,'Aset Takberwujud'!$Y74+'Aset Takberwujud'!$T74*12-1))),'Aset Takberwujud'!$AQ74/'Aset Takberwujud'!$AG74,0)))</f>
        <v/>
      </c>
      <c r="P279" s="22" t="str">
        <f>IF($B279="","",IF(N('Aset Takberwujud'!$AG74)=0,0,IF(AND((YEAR(P$211)*12+MONTH(P$211))&gt;='Aset Takberwujud'!$Y74,(YEAR(P$211)*12+MONTH(P$211))&lt;=MIN('Aset Takberwujud'!$Z74,IF('Aset Takberwujud'!$S74="Unit Produksi",99999,'Aset Takberwujud'!$Y74+'Aset Takberwujud'!$T74*12-1))),'Aset Takberwujud'!$AQ74/'Aset Takberwujud'!$AG74,0)))</f>
        <v/>
      </c>
      <c r="Q279" s="22" t="str">
        <f>IF($B279="","",SUM(E279:P279))</f>
        <v/>
      </c>
      <c r="R279" s="22" t="str">
        <f>IF($B279="","",'Aset Takberwujud'!AQ74)</f>
        <v/>
      </c>
      <c r="S279" s="22" t="str">
        <f>IF($B279="","",ROUND(Q279-R279,0))</f>
        <v/>
      </c>
    </row>
    <row r="280" spans="1:19" x14ac:dyDescent="0.25">
      <c r="A280" t="str">
        <f>IF('Aset Takberwujud'!$B75="","",'Aset Takberwujud'!A75)</f>
        <v/>
      </c>
      <c r="B280" t="str">
        <f>IF('Aset Takberwujud'!$B75="","",'Aset Takberwujud'!B75)</f>
        <v/>
      </c>
      <c r="C280" t="str">
        <f>IF('Aset Takberwujud'!$B75="","",'Aset Takberwujud'!C75)</f>
        <v/>
      </c>
      <c r="D280" t="str">
        <f>IF('Aset Takberwujud'!$B75="","",'Aset Takberwujud'!D75)</f>
        <v/>
      </c>
      <c r="E280" s="22" t="str">
        <f>IF($B280="","",IF(N('Aset Takberwujud'!$AG75)=0,0,IF(AND((YEAR(E$211)*12+MONTH(E$211))&gt;='Aset Takberwujud'!$Y75,(YEAR(E$211)*12+MONTH(E$211))&lt;=MIN('Aset Takberwujud'!$Z75,IF('Aset Takberwujud'!$S75="Unit Produksi",99999,'Aset Takberwujud'!$Y75+'Aset Takberwujud'!$T75*12-1))),'Aset Takberwujud'!$AQ75/'Aset Takberwujud'!$AG75,0)))</f>
        <v/>
      </c>
      <c r="F280" s="22" t="str">
        <f>IF($B280="","",IF(N('Aset Takberwujud'!$AG75)=0,0,IF(AND((YEAR(F$211)*12+MONTH(F$211))&gt;='Aset Takberwujud'!$Y75,(YEAR(F$211)*12+MONTH(F$211))&lt;=MIN('Aset Takberwujud'!$Z75,IF('Aset Takberwujud'!$S75="Unit Produksi",99999,'Aset Takberwujud'!$Y75+'Aset Takberwujud'!$T75*12-1))),'Aset Takberwujud'!$AQ75/'Aset Takberwujud'!$AG75,0)))</f>
        <v/>
      </c>
      <c r="G280" s="22" t="str">
        <f>IF($B280="","",IF(N('Aset Takberwujud'!$AG75)=0,0,IF(AND((YEAR(G$211)*12+MONTH(G$211))&gt;='Aset Takberwujud'!$Y75,(YEAR(G$211)*12+MONTH(G$211))&lt;=MIN('Aset Takberwujud'!$Z75,IF('Aset Takberwujud'!$S75="Unit Produksi",99999,'Aset Takberwujud'!$Y75+'Aset Takberwujud'!$T75*12-1))),'Aset Takberwujud'!$AQ75/'Aset Takberwujud'!$AG75,0)))</f>
        <v/>
      </c>
      <c r="H280" s="22" t="str">
        <f>IF($B280="","",IF(N('Aset Takberwujud'!$AG75)=0,0,IF(AND((YEAR(H$211)*12+MONTH(H$211))&gt;='Aset Takberwujud'!$Y75,(YEAR(H$211)*12+MONTH(H$211))&lt;=MIN('Aset Takberwujud'!$Z75,IF('Aset Takberwujud'!$S75="Unit Produksi",99999,'Aset Takberwujud'!$Y75+'Aset Takberwujud'!$T75*12-1))),'Aset Takberwujud'!$AQ75/'Aset Takberwujud'!$AG75,0)))</f>
        <v/>
      </c>
      <c r="I280" s="22" t="str">
        <f>IF($B280="","",IF(N('Aset Takberwujud'!$AG75)=0,0,IF(AND((YEAR(I$211)*12+MONTH(I$211))&gt;='Aset Takberwujud'!$Y75,(YEAR(I$211)*12+MONTH(I$211))&lt;=MIN('Aset Takberwujud'!$Z75,IF('Aset Takberwujud'!$S75="Unit Produksi",99999,'Aset Takberwujud'!$Y75+'Aset Takberwujud'!$T75*12-1))),'Aset Takberwujud'!$AQ75/'Aset Takberwujud'!$AG75,0)))</f>
        <v/>
      </c>
      <c r="J280" s="22" t="str">
        <f>IF($B280="","",IF(N('Aset Takberwujud'!$AG75)=0,0,IF(AND((YEAR(J$211)*12+MONTH(J$211))&gt;='Aset Takberwujud'!$Y75,(YEAR(J$211)*12+MONTH(J$211))&lt;=MIN('Aset Takberwujud'!$Z75,IF('Aset Takberwujud'!$S75="Unit Produksi",99999,'Aset Takberwujud'!$Y75+'Aset Takberwujud'!$T75*12-1))),'Aset Takberwujud'!$AQ75/'Aset Takberwujud'!$AG75,0)))</f>
        <v/>
      </c>
      <c r="K280" s="22" t="str">
        <f>IF($B280="","",IF(N('Aset Takberwujud'!$AG75)=0,0,IF(AND((YEAR(K$211)*12+MONTH(K$211))&gt;='Aset Takberwujud'!$Y75,(YEAR(K$211)*12+MONTH(K$211))&lt;=MIN('Aset Takberwujud'!$Z75,IF('Aset Takberwujud'!$S75="Unit Produksi",99999,'Aset Takberwujud'!$Y75+'Aset Takberwujud'!$T75*12-1))),'Aset Takberwujud'!$AQ75/'Aset Takberwujud'!$AG75,0)))</f>
        <v/>
      </c>
      <c r="L280" s="22" t="str">
        <f>IF($B280="","",IF(N('Aset Takberwujud'!$AG75)=0,0,IF(AND((YEAR(L$211)*12+MONTH(L$211))&gt;='Aset Takberwujud'!$Y75,(YEAR(L$211)*12+MONTH(L$211))&lt;=MIN('Aset Takberwujud'!$Z75,IF('Aset Takberwujud'!$S75="Unit Produksi",99999,'Aset Takberwujud'!$Y75+'Aset Takberwujud'!$T75*12-1))),'Aset Takberwujud'!$AQ75/'Aset Takberwujud'!$AG75,0)))</f>
        <v/>
      </c>
      <c r="M280" s="22" t="str">
        <f>IF($B280="","",IF(N('Aset Takberwujud'!$AG75)=0,0,IF(AND((YEAR(M$211)*12+MONTH(M$211))&gt;='Aset Takberwujud'!$Y75,(YEAR(M$211)*12+MONTH(M$211))&lt;=MIN('Aset Takberwujud'!$Z75,IF('Aset Takberwujud'!$S75="Unit Produksi",99999,'Aset Takberwujud'!$Y75+'Aset Takberwujud'!$T75*12-1))),'Aset Takberwujud'!$AQ75/'Aset Takberwujud'!$AG75,0)))</f>
        <v/>
      </c>
      <c r="N280" s="22" t="str">
        <f>IF($B280="","",IF(N('Aset Takberwujud'!$AG75)=0,0,IF(AND((YEAR(N$211)*12+MONTH(N$211))&gt;='Aset Takberwujud'!$Y75,(YEAR(N$211)*12+MONTH(N$211))&lt;=MIN('Aset Takberwujud'!$Z75,IF('Aset Takberwujud'!$S75="Unit Produksi",99999,'Aset Takberwujud'!$Y75+'Aset Takberwujud'!$T75*12-1))),'Aset Takberwujud'!$AQ75/'Aset Takberwujud'!$AG75,0)))</f>
        <v/>
      </c>
      <c r="O280" s="22" t="str">
        <f>IF($B280="","",IF(N('Aset Takberwujud'!$AG75)=0,0,IF(AND((YEAR(O$211)*12+MONTH(O$211))&gt;='Aset Takberwujud'!$Y75,(YEAR(O$211)*12+MONTH(O$211))&lt;=MIN('Aset Takberwujud'!$Z75,IF('Aset Takberwujud'!$S75="Unit Produksi",99999,'Aset Takberwujud'!$Y75+'Aset Takberwujud'!$T75*12-1))),'Aset Takberwujud'!$AQ75/'Aset Takberwujud'!$AG75,0)))</f>
        <v/>
      </c>
      <c r="P280" s="22" t="str">
        <f>IF($B280="","",IF(N('Aset Takberwujud'!$AG75)=0,0,IF(AND((YEAR(P$211)*12+MONTH(P$211))&gt;='Aset Takberwujud'!$Y75,(YEAR(P$211)*12+MONTH(P$211))&lt;=MIN('Aset Takberwujud'!$Z75,IF('Aset Takberwujud'!$S75="Unit Produksi",99999,'Aset Takberwujud'!$Y75+'Aset Takberwujud'!$T75*12-1))),'Aset Takberwujud'!$AQ75/'Aset Takberwujud'!$AG75,0)))</f>
        <v/>
      </c>
      <c r="Q280" s="22" t="str">
        <f>IF($B280="","",SUM(E280:P280))</f>
        <v/>
      </c>
      <c r="R280" s="22" t="str">
        <f>IF($B280="","",'Aset Takberwujud'!AQ75)</f>
        <v/>
      </c>
      <c r="S280" s="22" t="str">
        <f>IF($B280="","",ROUND(Q280-R280,0))</f>
        <v/>
      </c>
    </row>
    <row r="281" spans="1:19" x14ac:dyDescent="0.25">
      <c r="A281" t="str">
        <f>IF('Aset Takberwujud'!$B76="","",'Aset Takberwujud'!A76)</f>
        <v/>
      </c>
      <c r="B281" t="str">
        <f>IF('Aset Takberwujud'!$B76="","",'Aset Takberwujud'!B76)</f>
        <v/>
      </c>
      <c r="C281" t="str">
        <f>IF('Aset Takberwujud'!$B76="","",'Aset Takberwujud'!C76)</f>
        <v/>
      </c>
      <c r="D281" t="str">
        <f>IF('Aset Takberwujud'!$B76="","",'Aset Takberwujud'!D76)</f>
        <v/>
      </c>
      <c r="E281" s="22" t="str">
        <f>IF($B281="","",IF(N('Aset Takberwujud'!$AG76)=0,0,IF(AND((YEAR(E$211)*12+MONTH(E$211))&gt;='Aset Takberwujud'!$Y76,(YEAR(E$211)*12+MONTH(E$211))&lt;=MIN('Aset Takberwujud'!$Z76,IF('Aset Takberwujud'!$S76="Unit Produksi",99999,'Aset Takberwujud'!$Y76+'Aset Takberwujud'!$T76*12-1))),'Aset Takberwujud'!$AQ76/'Aset Takberwujud'!$AG76,0)))</f>
        <v/>
      </c>
      <c r="F281" s="22" t="str">
        <f>IF($B281="","",IF(N('Aset Takberwujud'!$AG76)=0,0,IF(AND((YEAR(F$211)*12+MONTH(F$211))&gt;='Aset Takberwujud'!$Y76,(YEAR(F$211)*12+MONTH(F$211))&lt;=MIN('Aset Takberwujud'!$Z76,IF('Aset Takberwujud'!$S76="Unit Produksi",99999,'Aset Takberwujud'!$Y76+'Aset Takberwujud'!$T76*12-1))),'Aset Takberwujud'!$AQ76/'Aset Takberwujud'!$AG76,0)))</f>
        <v/>
      </c>
      <c r="G281" s="22" t="str">
        <f>IF($B281="","",IF(N('Aset Takberwujud'!$AG76)=0,0,IF(AND((YEAR(G$211)*12+MONTH(G$211))&gt;='Aset Takberwujud'!$Y76,(YEAR(G$211)*12+MONTH(G$211))&lt;=MIN('Aset Takberwujud'!$Z76,IF('Aset Takberwujud'!$S76="Unit Produksi",99999,'Aset Takberwujud'!$Y76+'Aset Takberwujud'!$T76*12-1))),'Aset Takberwujud'!$AQ76/'Aset Takberwujud'!$AG76,0)))</f>
        <v/>
      </c>
      <c r="H281" s="22" t="str">
        <f>IF($B281="","",IF(N('Aset Takberwujud'!$AG76)=0,0,IF(AND((YEAR(H$211)*12+MONTH(H$211))&gt;='Aset Takberwujud'!$Y76,(YEAR(H$211)*12+MONTH(H$211))&lt;=MIN('Aset Takberwujud'!$Z76,IF('Aset Takberwujud'!$S76="Unit Produksi",99999,'Aset Takberwujud'!$Y76+'Aset Takberwujud'!$T76*12-1))),'Aset Takberwujud'!$AQ76/'Aset Takberwujud'!$AG76,0)))</f>
        <v/>
      </c>
      <c r="I281" s="22" t="str">
        <f>IF($B281="","",IF(N('Aset Takberwujud'!$AG76)=0,0,IF(AND((YEAR(I$211)*12+MONTH(I$211))&gt;='Aset Takberwujud'!$Y76,(YEAR(I$211)*12+MONTH(I$211))&lt;=MIN('Aset Takberwujud'!$Z76,IF('Aset Takberwujud'!$S76="Unit Produksi",99999,'Aset Takberwujud'!$Y76+'Aset Takberwujud'!$T76*12-1))),'Aset Takberwujud'!$AQ76/'Aset Takberwujud'!$AG76,0)))</f>
        <v/>
      </c>
      <c r="J281" s="22" t="str">
        <f>IF($B281="","",IF(N('Aset Takberwujud'!$AG76)=0,0,IF(AND((YEAR(J$211)*12+MONTH(J$211))&gt;='Aset Takberwujud'!$Y76,(YEAR(J$211)*12+MONTH(J$211))&lt;=MIN('Aset Takberwujud'!$Z76,IF('Aset Takberwujud'!$S76="Unit Produksi",99999,'Aset Takberwujud'!$Y76+'Aset Takberwujud'!$T76*12-1))),'Aset Takberwujud'!$AQ76/'Aset Takberwujud'!$AG76,0)))</f>
        <v/>
      </c>
      <c r="K281" s="22" t="str">
        <f>IF($B281="","",IF(N('Aset Takberwujud'!$AG76)=0,0,IF(AND((YEAR(K$211)*12+MONTH(K$211))&gt;='Aset Takberwujud'!$Y76,(YEAR(K$211)*12+MONTH(K$211))&lt;=MIN('Aset Takberwujud'!$Z76,IF('Aset Takberwujud'!$S76="Unit Produksi",99999,'Aset Takberwujud'!$Y76+'Aset Takberwujud'!$T76*12-1))),'Aset Takberwujud'!$AQ76/'Aset Takberwujud'!$AG76,0)))</f>
        <v/>
      </c>
      <c r="L281" s="22" t="str">
        <f>IF($B281="","",IF(N('Aset Takberwujud'!$AG76)=0,0,IF(AND((YEAR(L$211)*12+MONTH(L$211))&gt;='Aset Takberwujud'!$Y76,(YEAR(L$211)*12+MONTH(L$211))&lt;=MIN('Aset Takberwujud'!$Z76,IF('Aset Takberwujud'!$S76="Unit Produksi",99999,'Aset Takberwujud'!$Y76+'Aset Takberwujud'!$T76*12-1))),'Aset Takberwujud'!$AQ76/'Aset Takberwujud'!$AG76,0)))</f>
        <v/>
      </c>
      <c r="M281" s="22" t="str">
        <f>IF($B281="","",IF(N('Aset Takberwujud'!$AG76)=0,0,IF(AND((YEAR(M$211)*12+MONTH(M$211))&gt;='Aset Takberwujud'!$Y76,(YEAR(M$211)*12+MONTH(M$211))&lt;=MIN('Aset Takberwujud'!$Z76,IF('Aset Takberwujud'!$S76="Unit Produksi",99999,'Aset Takberwujud'!$Y76+'Aset Takberwujud'!$T76*12-1))),'Aset Takberwujud'!$AQ76/'Aset Takberwujud'!$AG76,0)))</f>
        <v/>
      </c>
      <c r="N281" s="22" t="str">
        <f>IF($B281="","",IF(N('Aset Takberwujud'!$AG76)=0,0,IF(AND((YEAR(N$211)*12+MONTH(N$211))&gt;='Aset Takberwujud'!$Y76,(YEAR(N$211)*12+MONTH(N$211))&lt;=MIN('Aset Takberwujud'!$Z76,IF('Aset Takberwujud'!$S76="Unit Produksi",99999,'Aset Takberwujud'!$Y76+'Aset Takberwujud'!$T76*12-1))),'Aset Takberwujud'!$AQ76/'Aset Takberwujud'!$AG76,0)))</f>
        <v/>
      </c>
      <c r="O281" s="22" t="str">
        <f>IF($B281="","",IF(N('Aset Takberwujud'!$AG76)=0,0,IF(AND((YEAR(O$211)*12+MONTH(O$211))&gt;='Aset Takberwujud'!$Y76,(YEAR(O$211)*12+MONTH(O$211))&lt;=MIN('Aset Takberwujud'!$Z76,IF('Aset Takberwujud'!$S76="Unit Produksi",99999,'Aset Takberwujud'!$Y76+'Aset Takberwujud'!$T76*12-1))),'Aset Takberwujud'!$AQ76/'Aset Takberwujud'!$AG76,0)))</f>
        <v/>
      </c>
      <c r="P281" s="22" t="str">
        <f>IF($B281="","",IF(N('Aset Takberwujud'!$AG76)=0,0,IF(AND((YEAR(P$211)*12+MONTH(P$211))&gt;='Aset Takberwujud'!$Y76,(YEAR(P$211)*12+MONTH(P$211))&lt;=MIN('Aset Takberwujud'!$Z76,IF('Aset Takberwujud'!$S76="Unit Produksi",99999,'Aset Takberwujud'!$Y76+'Aset Takberwujud'!$T76*12-1))),'Aset Takberwujud'!$AQ76/'Aset Takberwujud'!$AG76,0)))</f>
        <v/>
      </c>
      <c r="Q281" s="22" t="str">
        <f>IF($B281="","",SUM(E281:P281))</f>
        <v/>
      </c>
      <c r="R281" s="22" t="str">
        <f>IF($B281="","",'Aset Takberwujud'!AQ76)</f>
        <v/>
      </c>
      <c r="S281" s="22" t="str">
        <f>IF($B281="","",ROUND(Q281-R281,0))</f>
        <v/>
      </c>
    </row>
    <row r="282" spans="1:19" x14ac:dyDescent="0.25">
      <c r="A282" t="str">
        <f>IF('Aset Takberwujud'!$B77="","",'Aset Takberwujud'!A77)</f>
        <v/>
      </c>
      <c r="B282" t="str">
        <f>IF('Aset Takberwujud'!$B77="","",'Aset Takberwujud'!B77)</f>
        <v/>
      </c>
      <c r="C282" t="str">
        <f>IF('Aset Takberwujud'!$B77="","",'Aset Takberwujud'!C77)</f>
        <v/>
      </c>
      <c r="D282" t="str">
        <f>IF('Aset Takberwujud'!$B77="","",'Aset Takberwujud'!D77)</f>
        <v/>
      </c>
      <c r="E282" s="22" t="str">
        <f>IF($B282="","",IF(N('Aset Takberwujud'!$AG77)=0,0,IF(AND((YEAR(E$211)*12+MONTH(E$211))&gt;='Aset Takberwujud'!$Y77,(YEAR(E$211)*12+MONTH(E$211))&lt;=MIN('Aset Takberwujud'!$Z77,IF('Aset Takberwujud'!$S77="Unit Produksi",99999,'Aset Takberwujud'!$Y77+'Aset Takberwujud'!$T77*12-1))),'Aset Takberwujud'!$AQ77/'Aset Takberwujud'!$AG77,0)))</f>
        <v/>
      </c>
      <c r="F282" s="22" t="str">
        <f>IF($B282="","",IF(N('Aset Takberwujud'!$AG77)=0,0,IF(AND((YEAR(F$211)*12+MONTH(F$211))&gt;='Aset Takberwujud'!$Y77,(YEAR(F$211)*12+MONTH(F$211))&lt;=MIN('Aset Takberwujud'!$Z77,IF('Aset Takberwujud'!$S77="Unit Produksi",99999,'Aset Takberwujud'!$Y77+'Aset Takberwujud'!$T77*12-1))),'Aset Takberwujud'!$AQ77/'Aset Takberwujud'!$AG77,0)))</f>
        <v/>
      </c>
      <c r="G282" s="22" t="str">
        <f>IF($B282="","",IF(N('Aset Takberwujud'!$AG77)=0,0,IF(AND((YEAR(G$211)*12+MONTH(G$211))&gt;='Aset Takberwujud'!$Y77,(YEAR(G$211)*12+MONTH(G$211))&lt;=MIN('Aset Takberwujud'!$Z77,IF('Aset Takberwujud'!$S77="Unit Produksi",99999,'Aset Takberwujud'!$Y77+'Aset Takberwujud'!$T77*12-1))),'Aset Takberwujud'!$AQ77/'Aset Takberwujud'!$AG77,0)))</f>
        <v/>
      </c>
      <c r="H282" s="22" t="str">
        <f>IF($B282="","",IF(N('Aset Takberwujud'!$AG77)=0,0,IF(AND((YEAR(H$211)*12+MONTH(H$211))&gt;='Aset Takberwujud'!$Y77,(YEAR(H$211)*12+MONTH(H$211))&lt;=MIN('Aset Takberwujud'!$Z77,IF('Aset Takberwujud'!$S77="Unit Produksi",99999,'Aset Takberwujud'!$Y77+'Aset Takberwujud'!$T77*12-1))),'Aset Takberwujud'!$AQ77/'Aset Takberwujud'!$AG77,0)))</f>
        <v/>
      </c>
      <c r="I282" s="22" t="str">
        <f>IF($B282="","",IF(N('Aset Takberwujud'!$AG77)=0,0,IF(AND((YEAR(I$211)*12+MONTH(I$211))&gt;='Aset Takberwujud'!$Y77,(YEAR(I$211)*12+MONTH(I$211))&lt;=MIN('Aset Takberwujud'!$Z77,IF('Aset Takberwujud'!$S77="Unit Produksi",99999,'Aset Takberwujud'!$Y77+'Aset Takberwujud'!$T77*12-1))),'Aset Takberwujud'!$AQ77/'Aset Takberwujud'!$AG77,0)))</f>
        <v/>
      </c>
      <c r="J282" s="22" t="str">
        <f>IF($B282="","",IF(N('Aset Takberwujud'!$AG77)=0,0,IF(AND((YEAR(J$211)*12+MONTH(J$211))&gt;='Aset Takberwujud'!$Y77,(YEAR(J$211)*12+MONTH(J$211))&lt;=MIN('Aset Takberwujud'!$Z77,IF('Aset Takberwujud'!$S77="Unit Produksi",99999,'Aset Takberwujud'!$Y77+'Aset Takberwujud'!$T77*12-1))),'Aset Takberwujud'!$AQ77/'Aset Takberwujud'!$AG77,0)))</f>
        <v/>
      </c>
      <c r="K282" s="22" t="str">
        <f>IF($B282="","",IF(N('Aset Takberwujud'!$AG77)=0,0,IF(AND((YEAR(K$211)*12+MONTH(K$211))&gt;='Aset Takberwujud'!$Y77,(YEAR(K$211)*12+MONTH(K$211))&lt;=MIN('Aset Takberwujud'!$Z77,IF('Aset Takberwujud'!$S77="Unit Produksi",99999,'Aset Takberwujud'!$Y77+'Aset Takberwujud'!$T77*12-1))),'Aset Takberwujud'!$AQ77/'Aset Takberwujud'!$AG77,0)))</f>
        <v/>
      </c>
      <c r="L282" s="22" t="str">
        <f>IF($B282="","",IF(N('Aset Takberwujud'!$AG77)=0,0,IF(AND((YEAR(L$211)*12+MONTH(L$211))&gt;='Aset Takberwujud'!$Y77,(YEAR(L$211)*12+MONTH(L$211))&lt;=MIN('Aset Takberwujud'!$Z77,IF('Aset Takberwujud'!$S77="Unit Produksi",99999,'Aset Takberwujud'!$Y77+'Aset Takberwujud'!$T77*12-1))),'Aset Takberwujud'!$AQ77/'Aset Takberwujud'!$AG77,0)))</f>
        <v/>
      </c>
      <c r="M282" s="22" t="str">
        <f>IF($B282="","",IF(N('Aset Takberwujud'!$AG77)=0,0,IF(AND((YEAR(M$211)*12+MONTH(M$211))&gt;='Aset Takberwujud'!$Y77,(YEAR(M$211)*12+MONTH(M$211))&lt;=MIN('Aset Takberwujud'!$Z77,IF('Aset Takberwujud'!$S77="Unit Produksi",99999,'Aset Takberwujud'!$Y77+'Aset Takberwujud'!$T77*12-1))),'Aset Takberwujud'!$AQ77/'Aset Takberwujud'!$AG77,0)))</f>
        <v/>
      </c>
      <c r="N282" s="22" t="str">
        <f>IF($B282="","",IF(N('Aset Takberwujud'!$AG77)=0,0,IF(AND((YEAR(N$211)*12+MONTH(N$211))&gt;='Aset Takberwujud'!$Y77,(YEAR(N$211)*12+MONTH(N$211))&lt;=MIN('Aset Takberwujud'!$Z77,IF('Aset Takberwujud'!$S77="Unit Produksi",99999,'Aset Takberwujud'!$Y77+'Aset Takberwujud'!$T77*12-1))),'Aset Takberwujud'!$AQ77/'Aset Takberwujud'!$AG77,0)))</f>
        <v/>
      </c>
      <c r="O282" s="22" t="str">
        <f>IF($B282="","",IF(N('Aset Takberwujud'!$AG77)=0,0,IF(AND((YEAR(O$211)*12+MONTH(O$211))&gt;='Aset Takberwujud'!$Y77,(YEAR(O$211)*12+MONTH(O$211))&lt;=MIN('Aset Takberwujud'!$Z77,IF('Aset Takberwujud'!$S77="Unit Produksi",99999,'Aset Takberwujud'!$Y77+'Aset Takberwujud'!$T77*12-1))),'Aset Takberwujud'!$AQ77/'Aset Takberwujud'!$AG77,0)))</f>
        <v/>
      </c>
      <c r="P282" s="22" t="str">
        <f>IF($B282="","",IF(N('Aset Takberwujud'!$AG77)=0,0,IF(AND((YEAR(P$211)*12+MONTH(P$211))&gt;='Aset Takberwujud'!$Y77,(YEAR(P$211)*12+MONTH(P$211))&lt;=MIN('Aset Takberwujud'!$Z77,IF('Aset Takberwujud'!$S77="Unit Produksi",99999,'Aset Takberwujud'!$Y77+'Aset Takberwujud'!$T77*12-1))),'Aset Takberwujud'!$AQ77/'Aset Takberwujud'!$AG77,0)))</f>
        <v/>
      </c>
      <c r="Q282" s="22" t="str">
        <f>IF($B282="","",SUM(E282:P282))</f>
        <v/>
      </c>
      <c r="R282" s="22" t="str">
        <f>IF($B282="","",'Aset Takberwujud'!AQ77)</f>
        <v/>
      </c>
      <c r="S282" s="22" t="str">
        <f>IF($B282="","",ROUND(Q282-R282,0))</f>
        <v/>
      </c>
    </row>
    <row r="283" spans="1:19" x14ac:dyDescent="0.25">
      <c r="A283" t="str">
        <f>IF('Aset Takberwujud'!$B78="","",'Aset Takberwujud'!A78)</f>
        <v/>
      </c>
      <c r="B283" t="str">
        <f>IF('Aset Takberwujud'!$B78="","",'Aset Takberwujud'!B78)</f>
        <v/>
      </c>
      <c r="C283" t="str">
        <f>IF('Aset Takberwujud'!$B78="","",'Aset Takberwujud'!C78)</f>
        <v/>
      </c>
      <c r="D283" t="str">
        <f>IF('Aset Takberwujud'!$B78="","",'Aset Takberwujud'!D78)</f>
        <v/>
      </c>
      <c r="E283" s="22" t="str">
        <f>IF($B283="","",IF(N('Aset Takberwujud'!$AG78)=0,0,IF(AND((YEAR(E$211)*12+MONTH(E$211))&gt;='Aset Takberwujud'!$Y78,(YEAR(E$211)*12+MONTH(E$211))&lt;=MIN('Aset Takberwujud'!$Z78,IF('Aset Takberwujud'!$S78="Unit Produksi",99999,'Aset Takberwujud'!$Y78+'Aset Takberwujud'!$T78*12-1))),'Aset Takberwujud'!$AQ78/'Aset Takberwujud'!$AG78,0)))</f>
        <v/>
      </c>
      <c r="F283" s="22" t="str">
        <f>IF($B283="","",IF(N('Aset Takberwujud'!$AG78)=0,0,IF(AND((YEAR(F$211)*12+MONTH(F$211))&gt;='Aset Takberwujud'!$Y78,(YEAR(F$211)*12+MONTH(F$211))&lt;=MIN('Aset Takberwujud'!$Z78,IF('Aset Takberwujud'!$S78="Unit Produksi",99999,'Aset Takberwujud'!$Y78+'Aset Takberwujud'!$T78*12-1))),'Aset Takberwujud'!$AQ78/'Aset Takberwujud'!$AG78,0)))</f>
        <v/>
      </c>
      <c r="G283" s="22" t="str">
        <f>IF($B283="","",IF(N('Aset Takberwujud'!$AG78)=0,0,IF(AND((YEAR(G$211)*12+MONTH(G$211))&gt;='Aset Takberwujud'!$Y78,(YEAR(G$211)*12+MONTH(G$211))&lt;=MIN('Aset Takberwujud'!$Z78,IF('Aset Takberwujud'!$S78="Unit Produksi",99999,'Aset Takberwujud'!$Y78+'Aset Takberwujud'!$T78*12-1))),'Aset Takberwujud'!$AQ78/'Aset Takberwujud'!$AG78,0)))</f>
        <v/>
      </c>
      <c r="H283" s="22" t="str">
        <f>IF($B283="","",IF(N('Aset Takberwujud'!$AG78)=0,0,IF(AND((YEAR(H$211)*12+MONTH(H$211))&gt;='Aset Takberwujud'!$Y78,(YEAR(H$211)*12+MONTH(H$211))&lt;=MIN('Aset Takberwujud'!$Z78,IF('Aset Takberwujud'!$S78="Unit Produksi",99999,'Aset Takberwujud'!$Y78+'Aset Takberwujud'!$T78*12-1))),'Aset Takberwujud'!$AQ78/'Aset Takberwujud'!$AG78,0)))</f>
        <v/>
      </c>
      <c r="I283" s="22" t="str">
        <f>IF($B283="","",IF(N('Aset Takberwujud'!$AG78)=0,0,IF(AND((YEAR(I$211)*12+MONTH(I$211))&gt;='Aset Takberwujud'!$Y78,(YEAR(I$211)*12+MONTH(I$211))&lt;=MIN('Aset Takberwujud'!$Z78,IF('Aset Takberwujud'!$S78="Unit Produksi",99999,'Aset Takberwujud'!$Y78+'Aset Takberwujud'!$T78*12-1))),'Aset Takberwujud'!$AQ78/'Aset Takberwujud'!$AG78,0)))</f>
        <v/>
      </c>
      <c r="J283" s="22" t="str">
        <f>IF($B283="","",IF(N('Aset Takberwujud'!$AG78)=0,0,IF(AND((YEAR(J$211)*12+MONTH(J$211))&gt;='Aset Takberwujud'!$Y78,(YEAR(J$211)*12+MONTH(J$211))&lt;=MIN('Aset Takberwujud'!$Z78,IF('Aset Takberwujud'!$S78="Unit Produksi",99999,'Aset Takberwujud'!$Y78+'Aset Takberwujud'!$T78*12-1))),'Aset Takberwujud'!$AQ78/'Aset Takberwujud'!$AG78,0)))</f>
        <v/>
      </c>
      <c r="K283" s="22" t="str">
        <f>IF($B283="","",IF(N('Aset Takberwujud'!$AG78)=0,0,IF(AND((YEAR(K$211)*12+MONTH(K$211))&gt;='Aset Takberwujud'!$Y78,(YEAR(K$211)*12+MONTH(K$211))&lt;=MIN('Aset Takberwujud'!$Z78,IF('Aset Takberwujud'!$S78="Unit Produksi",99999,'Aset Takberwujud'!$Y78+'Aset Takberwujud'!$T78*12-1))),'Aset Takberwujud'!$AQ78/'Aset Takberwujud'!$AG78,0)))</f>
        <v/>
      </c>
      <c r="L283" s="22" t="str">
        <f>IF($B283="","",IF(N('Aset Takberwujud'!$AG78)=0,0,IF(AND((YEAR(L$211)*12+MONTH(L$211))&gt;='Aset Takberwujud'!$Y78,(YEAR(L$211)*12+MONTH(L$211))&lt;=MIN('Aset Takberwujud'!$Z78,IF('Aset Takberwujud'!$S78="Unit Produksi",99999,'Aset Takberwujud'!$Y78+'Aset Takberwujud'!$T78*12-1))),'Aset Takberwujud'!$AQ78/'Aset Takberwujud'!$AG78,0)))</f>
        <v/>
      </c>
      <c r="M283" s="22" t="str">
        <f>IF($B283="","",IF(N('Aset Takberwujud'!$AG78)=0,0,IF(AND((YEAR(M$211)*12+MONTH(M$211))&gt;='Aset Takberwujud'!$Y78,(YEAR(M$211)*12+MONTH(M$211))&lt;=MIN('Aset Takberwujud'!$Z78,IF('Aset Takberwujud'!$S78="Unit Produksi",99999,'Aset Takberwujud'!$Y78+'Aset Takberwujud'!$T78*12-1))),'Aset Takberwujud'!$AQ78/'Aset Takberwujud'!$AG78,0)))</f>
        <v/>
      </c>
      <c r="N283" s="22" t="str">
        <f>IF($B283="","",IF(N('Aset Takberwujud'!$AG78)=0,0,IF(AND((YEAR(N$211)*12+MONTH(N$211))&gt;='Aset Takberwujud'!$Y78,(YEAR(N$211)*12+MONTH(N$211))&lt;=MIN('Aset Takberwujud'!$Z78,IF('Aset Takberwujud'!$S78="Unit Produksi",99999,'Aset Takberwujud'!$Y78+'Aset Takberwujud'!$T78*12-1))),'Aset Takberwujud'!$AQ78/'Aset Takberwujud'!$AG78,0)))</f>
        <v/>
      </c>
      <c r="O283" s="22" t="str">
        <f>IF($B283="","",IF(N('Aset Takberwujud'!$AG78)=0,0,IF(AND((YEAR(O$211)*12+MONTH(O$211))&gt;='Aset Takberwujud'!$Y78,(YEAR(O$211)*12+MONTH(O$211))&lt;=MIN('Aset Takberwujud'!$Z78,IF('Aset Takberwujud'!$S78="Unit Produksi",99999,'Aset Takberwujud'!$Y78+'Aset Takberwujud'!$T78*12-1))),'Aset Takberwujud'!$AQ78/'Aset Takberwujud'!$AG78,0)))</f>
        <v/>
      </c>
      <c r="P283" s="22" t="str">
        <f>IF($B283="","",IF(N('Aset Takberwujud'!$AG78)=0,0,IF(AND((YEAR(P$211)*12+MONTH(P$211))&gt;='Aset Takberwujud'!$Y78,(YEAR(P$211)*12+MONTH(P$211))&lt;=MIN('Aset Takberwujud'!$Z78,IF('Aset Takberwujud'!$S78="Unit Produksi",99999,'Aset Takberwujud'!$Y78+'Aset Takberwujud'!$T78*12-1))),'Aset Takberwujud'!$AQ78/'Aset Takberwujud'!$AG78,0)))</f>
        <v/>
      </c>
      <c r="Q283" s="22" t="str">
        <f>IF($B283="","",SUM(E283:P283))</f>
        <v/>
      </c>
      <c r="R283" s="22" t="str">
        <f>IF($B283="","",'Aset Takberwujud'!AQ78)</f>
        <v/>
      </c>
      <c r="S283" s="22" t="str">
        <f>IF($B283="","",ROUND(Q283-R283,0))</f>
        <v/>
      </c>
    </row>
    <row r="284" spans="1:19" x14ac:dyDescent="0.25">
      <c r="A284" t="str">
        <f>IF('Aset Takberwujud'!$B79="","",'Aset Takberwujud'!A79)</f>
        <v/>
      </c>
      <c r="B284" t="str">
        <f>IF('Aset Takberwujud'!$B79="","",'Aset Takberwujud'!B79)</f>
        <v/>
      </c>
      <c r="C284" t="str">
        <f>IF('Aset Takberwujud'!$B79="","",'Aset Takberwujud'!C79)</f>
        <v/>
      </c>
      <c r="D284" t="str">
        <f>IF('Aset Takberwujud'!$B79="","",'Aset Takberwujud'!D79)</f>
        <v/>
      </c>
      <c r="E284" s="22" t="str">
        <f>IF($B284="","",IF(N('Aset Takberwujud'!$AG79)=0,0,IF(AND((YEAR(E$211)*12+MONTH(E$211))&gt;='Aset Takberwujud'!$Y79,(YEAR(E$211)*12+MONTH(E$211))&lt;=MIN('Aset Takberwujud'!$Z79,IF('Aset Takberwujud'!$S79="Unit Produksi",99999,'Aset Takberwujud'!$Y79+'Aset Takberwujud'!$T79*12-1))),'Aset Takberwujud'!$AQ79/'Aset Takberwujud'!$AG79,0)))</f>
        <v/>
      </c>
      <c r="F284" s="22" t="str">
        <f>IF($B284="","",IF(N('Aset Takberwujud'!$AG79)=0,0,IF(AND((YEAR(F$211)*12+MONTH(F$211))&gt;='Aset Takberwujud'!$Y79,(YEAR(F$211)*12+MONTH(F$211))&lt;=MIN('Aset Takberwujud'!$Z79,IF('Aset Takberwujud'!$S79="Unit Produksi",99999,'Aset Takberwujud'!$Y79+'Aset Takberwujud'!$T79*12-1))),'Aset Takberwujud'!$AQ79/'Aset Takberwujud'!$AG79,0)))</f>
        <v/>
      </c>
      <c r="G284" s="22" t="str">
        <f>IF($B284="","",IF(N('Aset Takberwujud'!$AG79)=0,0,IF(AND((YEAR(G$211)*12+MONTH(G$211))&gt;='Aset Takberwujud'!$Y79,(YEAR(G$211)*12+MONTH(G$211))&lt;=MIN('Aset Takberwujud'!$Z79,IF('Aset Takberwujud'!$S79="Unit Produksi",99999,'Aset Takberwujud'!$Y79+'Aset Takberwujud'!$T79*12-1))),'Aset Takberwujud'!$AQ79/'Aset Takberwujud'!$AG79,0)))</f>
        <v/>
      </c>
      <c r="H284" s="22" t="str">
        <f>IF($B284="","",IF(N('Aset Takberwujud'!$AG79)=0,0,IF(AND((YEAR(H$211)*12+MONTH(H$211))&gt;='Aset Takberwujud'!$Y79,(YEAR(H$211)*12+MONTH(H$211))&lt;=MIN('Aset Takberwujud'!$Z79,IF('Aset Takberwujud'!$S79="Unit Produksi",99999,'Aset Takberwujud'!$Y79+'Aset Takberwujud'!$T79*12-1))),'Aset Takberwujud'!$AQ79/'Aset Takberwujud'!$AG79,0)))</f>
        <v/>
      </c>
      <c r="I284" s="22" t="str">
        <f>IF($B284="","",IF(N('Aset Takberwujud'!$AG79)=0,0,IF(AND((YEAR(I$211)*12+MONTH(I$211))&gt;='Aset Takberwujud'!$Y79,(YEAR(I$211)*12+MONTH(I$211))&lt;=MIN('Aset Takberwujud'!$Z79,IF('Aset Takberwujud'!$S79="Unit Produksi",99999,'Aset Takberwujud'!$Y79+'Aset Takberwujud'!$T79*12-1))),'Aset Takberwujud'!$AQ79/'Aset Takberwujud'!$AG79,0)))</f>
        <v/>
      </c>
      <c r="J284" s="22" t="str">
        <f>IF($B284="","",IF(N('Aset Takberwujud'!$AG79)=0,0,IF(AND((YEAR(J$211)*12+MONTH(J$211))&gt;='Aset Takberwujud'!$Y79,(YEAR(J$211)*12+MONTH(J$211))&lt;=MIN('Aset Takberwujud'!$Z79,IF('Aset Takberwujud'!$S79="Unit Produksi",99999,'Aset Takberwujud'!$Y79+'Aset Takberwujud'!$T79*12-1))),'Aset Takberwujud'!$AQ79/'Aset Takberwujud'!$AG79,0)))</f>
        <v/>
      </c>
      <c r="K284" s="22" t="str">
        <f>IF($B284="","",IF(N('Aset Takberwujud'!$AG79)=0,0,IF(AND((YEAR(K$211)*12+MONTH(K$211))&gt;='Aset Takberwujud'!$Y79,(YEAR(K$211)*12+MONTH(K$211))&lt;=MIN('Aset Takberwujud'!$Z79,IF('Aset Takberwujud'!$S79="Unit Produksi",99999,'Aset Takberwujud'!$Y79+'Aset Takberwujud'!$T79*12-1))),'Aset Takberwujud'!$AQ79/'Aset Takberwujud'!$AG79,0)))</f>
        <v/>
      </c>
      <c r="L284" s="22" t="str">
        <f>IF($B284="","",IF(N('Aset Takberwujud'!$AG79)=0,0,IF(AND((YEAR(L$211)*12+MONTH(L$211))&gt;='Aset Takberwujud'!$Y79,(YEAR(L$211)*12+MONTH(L$211))&lt;=MIN('Aset Takberwujud'!$Z79,IF('Aset Takberwujud'!$S79="Unit Produksi",99999,'Aset Takberwujud'!$Y79+'Aset Takberwujud'!$T79*12-1))),'Aset Takberwujud'!$AQ79/'Aset Takberwujud'!$AG79,0)))</f>
        <v/>
      </c>
      <c r="M284" s="22" t="str">
        <f>IF($B284="","",IF(N('Aset Takberwujud'!$AG79)=0,0,IF(AND((YEAR(M$211)*12+MONTH(M$211))&gt;='Aset Takberwujud'!$Y79,(YEAR(M$211)*12+MONTH(M$211))&lt;=MIN('Aset Takberwujud'!$Z79,IF('Aset Takberwujud'!$S79="Unit Produksi",99999,'Aset Takberwujud'!$Y79+'Aset Takberwujud'!$T79*12-1))),'Aset Takberwujud'!$AQ79/'Aset Takberwujud'!$AG79,0)))</f>
        <v/>
      </c>
      <c r="N284" s="22" t="str">
        <f>IF($B284="","",IF(N('Aset Takberwujud'!$AG79)=0,0,IF(AND((YEAR(N$211)*12+MONTH(N$211))&gt;='Aset Takberwujud'!$Y79,(YEAR(N$211)*12+MONTH(N$211))&lt;=MIN('Aset Takberwujud'!$Z79,IF('Aset Takberwujud'!$S79="Unit Produksi",99999,'Aset Takberwujud'!$Y79+'Aset Takberwujud'!$T79*12-1))),'Aset Takberwujud'!$AQ79/'Aset Takberwujud'!$AG79,0)))</f>
        <v/>
      </c>
      <c r="O284" s="22" t="str">
        <f>IF($B284="","",IF(N('Aset Takberwujud'!$AG79)=0,0,IF(AND((YEAR(O$211)*12+MONTH(O$211))&gt;='Aset Takberwujud'!$Y79,(YEAR(O$211)*12+MONTH(O$211))&lt;=MIN('Aset Takberwujud'!$Z79,IF('Aset Takberwujud'!$S79="Unit Produksi",99999,'Aset Takberwujud'!$Y79+'Aset Takberwujud'!$T79*12-1))),'Aset Takberwujud'!$AQ79/'Aset Takberwujud'!$AG79,0)))</f>
        <v/>
      </c>
      <c r="P284" s="22" t="str">
        <f>IF($B284="","",IF(N('Aset Takberwujud'!$AG79)=0,0,IF(AND((YEAR(P$211)*12+MONTH(P$211))&gt;='Aset Takberwujud'!$Y79,(YEAR(P$211)*12+MONTH(P$211))&lt;=MIN('Aset Takberwujud'!$Z79,IF('Aset Takberwujud'!$S79="Unit Produksi",99999,'Aset Takberwujud'!$Y79+'Aset Takberwujud'!$T79*12-1))),'Aset Takberwujud'!$AQ79/'Aset Takberwujud'!$AG79,0)))</f>
        <v/>
      </c>
      <c r="Q284" s="22" t="str">
        <f>IF($B284="","",SUM(E284:P284))</f>
        <v/>
      </c>
      <c r="R284" s="22" t="str">
        <f>IF($B284="","",'Aset Takberwujud'!AQ79)</f>
        <v/>
      </c>
      <c r="S284" s="22" t="str">
        <f>IF($B284="","",ROUND(Q284-R284,0))</f>
        <v/>
      </c>
    </row>
    <row r="285" spans="1:19" x14ac:dyDescent="0.25">
      <c r="A285" t="str">
        <f>IF('Aset Takberwujud'!$B80="","",'Aset Takberwujud'!A80)</f>
        <v/>
      </c>
      <c r="B285" t="str">
        <f>IF('Aset Takberwujud'!$B80="","",'Aset Takberwujud'!B80)</f>
        <v/>
      </c>
      <c r="C285" t="str">
        <f>IF('Aset Takberwujud'!$B80="","",'Aset Takberwujud'!C80)</f>
        <v/>
      </c>
      <c r="D285" t="str">
        <f>IF('Aset Takberwujud'!$B80="","",'Aset Takberwujud'!D80)</f>
        <v/>
      </c>
      <c r="E285" s="22" t="str">
        <f>IF($B285="","",IF(N('Aset Takberwujud'!$AG80)=0,0,IF(AND((YEAR(E$211)*12+MONTH(E$211))&gt;='Aset Takberwujud'!$Y80,(YEAR(E$211)*12+MONTH(E$211))&lt;=MIN('Aset Takberwujud'!$Z80,IF('Aset Takberwujud'!$S80="Unit Produksi",99999,'Aset Takberwujud'!$Y80+'Aset Takberwujud'!$T80*12-1))),'Aset Takberwujud'!$AQ80/'Aset Takberwujud'!$AG80,0)))</f>
        <v/>
      </c>
      <c r="F285" s="22" t="str">
        <f>IF($B285="","",IF(N('Aset Takberwujud'!$AG80)=0,0,IF(AND((YEAR(F$211)*12+MONTH(F$211))&gt;='Aset Takberwujud'!$Y80,(YEAR(F$211)*12+MONTH(F$211))&lt;=MIN('Aset Takberwujud'!$Z80,IF('Aset Takberwujud'!$S80="Unit Produksi",99999,'Aset Takberwujud'!$Y80+'Aset Takberwujud'!$T80*12-1))),'Aset Takberwujud'!$AQ80/'Aset Takberwujud'!$AG80,0)))</f>
        <v/>
      </c>
      <c r="G285" s="22" t="str">
        <f>IF($B285="","",IF(N('Aset Takberwujud'!$AG80)=0,0,IF(AND((YEAR(G$211)*12+MONTH(G$211))&gt;='Aset Takberwujud'!$Y80,(YEAR(G$211)*12+MONTH(G$211))&lt;=MIN('Aset Takberwujud'!$Z80,IF('Aset Takberwujud'!$S80="Unit Produksi",99999,'Aset Takberwujud'!$Y80+'Aset Takberwujud'!$T80*12-1))),'Aset Takberwujud'!$AQ80/'Aset Takberwujud'!$AG80,0)))</f>
        <v/>
      </c>
      <c r="H285" s="22" t="str">
        <f>IF($B285="","",IF(N('Aset Takberwujud'!$AG80)=0,0,IF(AND((YEAR(H$211)*12+MONTH(H$211))&gt;='Aset Takberwujud'!$Y80,(YEAR(H$211)*12+MONTH(H$211))&lt;=MIN('Aset Takberwujud'!$Z80,IF('Aset Takberwujud'!$S80="Unit Produksi",99999,'Aset Takberwujud'!$Y80+'Aset Takberwujud'!$T80*12-1))),'Aset Takberwujud'!$AQ80/'Aset Takberwujud'!$AG80,0)))</f>
        <v/>
      </c>
      <c r="I285" s="22" t="str">
        <f>IF($B285="","",IF(N('Aset Takberwujud'!$AG80)=0,0,IF(AND((YEAR(I$211)*12+MONTH(I$211))&gt;='Aset Takberwujud'!$Y80,(YEAR(I$211)*12+MONTH(I$211))&lt;=MIN('Aset Takberwujud'!$Z80,IF('Aset Takberwujud'!$S80="Unit Produksi",99999,'Aset Takberwujud'!$Y80+'Aset Takberwujud'!$T80*12-1))),'Aset Takberwujud'!$AQ80/'Aset Takberwujud'!$AG80,0)))</f>
        <v/>
      </c>
      <c r="J285" s="22" t="str">
        <f>IF($B285="","",IF(N('Aset Takberwujud'!$AG80)=0,0,IF(AND((YEAR(J$211)*12+MONTH(J$211))&gt;='Aset Takberwujud'!$Y80,(YEAR(J$211)*12+MONTH(J$211))&lt;=MIN('Aset Takberwujud'!$Z80,IF('Aset Takberwujud'!$S80="Unit Produksi",99999,'Aset Takberwujud'!$Y80+'Aset Takberwujud'!$T80*12-1))),'Aset Takberwujud'!$AQ80/'Aset Takberwujud'!$AG80,0)))</f>
        <v/>
      </c>
      <c r="K285" s="22" t="str">
        <f>IF($B285="","",IF(N('Aset Takberwujud'!$AG80)=0,0,IF(AND((YEAR(K$211)*12+MONTH(K$211))&gt;='Aset Takberwujud'!$Y80,(YEAR(K$211)*12+MONTH(K$211))&lt;=MIN('Aset Takberwujud'!$Z80,IF('Aset Takberwujud'!$S80="Unit Produksi",99999,'Aset Takberwujud'!$Y80+'Aset Takberwujud'!$T80*12-1))),'Aset Takberwujud'!$AQ80/'Aset Takberwujud'!$AG80,0)))</f>
        <v/>
      </c>
      <c r="L285" s="22" t="str">
        <f>IF($B285="","",IF(N('Aset Takberwujud'!$AG80)=0,0,IF(AND((YEAR(L$211)*12+MONTH(L$211))&gt;='Aset Takberwujud'!$Y80,(YEAR(L$211)*12+MONTH(L$211))&lt;=MIN('Aset Takberwujud'!$Z80,IF('Aset Takberwujud'!$S80="Unit Produksi",99999,'Aset Takberwujud'!$Y80+'Aset Takberwujud'!$T80*12-1))),'Aset Takberwujud'!$AQ80/'Aset Takberwujud'!$AG80,0)))</f>
        <v/>
      </c>
      <c r="M285" s="22" t="str">
        <f>IF($B285="","",IF(N('Aset Takberwujud'!$AG80)=0,0,IF(AND((YEAR(M$211)*12+MONTH(M$211))&gt;='Aset Takberwujud'!$Y80,(YEAR(M$211)*12+MONTH(M$211))&lt;=MIN('Aset Takberwujud'!$Z80,IF('Aset Takberwujud'!$S80="Unit Produksi",99999,'Aset Takberwujud'!$Y80+'Aset Takberwujud'!$T80*12-1))),'Aset Takberwujud'!$AQ80/'Aset Takberwujud'!$AG80,0)))</f>
        <v/>
      </c>
      <c r="N285" s="22" t="str">
        <f>IF($B285="","",IF(N('Aset Takberwujud'!$AG80)=0,0,IF(AND((YEAR(N$211)*12+MONTH(N$211))&gt;='Aset Takberwujud'!$Y80,(YEAR(N$211)*12+MONTH(N$211))&lt;=MIN('Aset Takberwujud'!$Z80,IF('Aset Takberwujud'!$S80="Unit Produksi",99999,'Aset Takberwujud'!$Y80+'Aset Takberwujud'!$T80*12-1))),'Aset Takberwujud'!$AQ80/'Aset Takberwujud'!$AG80,0)))</f>
        <v/>
      </c>
      <c r="O285" s="22" t="str">
        <f>IF($B285="","",IF(N('Aset Takberwujud'!$AG80)=0,0,IF(AND((YEAR(O$211)*12+MONTH(O$211))&gt;='Aset Takberwujud'!$Y80,(YEAR(O$211)*12+MONTH(O$211))&lt;=MIN('Aset Takberwujud'!$Z80,IF('Aset Takberwujud'!$S80="Unit Produksi",99999,'Aset Takberwujud'!$Y80+'Aset Takberwujud'!$T80*12-1))),'Aset Takberwujud'!$AQ80/'Aset Takberwujud'!$AG80,0)))</f>
        <v/>
      </c>
      <c r="P285" s="22" t="str">
        <f>IF($B285="","",IF(N('Aset Takberwujud'!$AG80)=0,0,IF(AND((YEAR(P$211)*12+MONTH(P$211))&gt;='Aset Takberwujud'!$Y80,(YEAR(P$211)*12+MONTH(P$211))&lt;=MIN('Aset Takberwujud'!$Z80,IF('Aset Takberwujud'!$S80="Unit Produksi",99999,'Aset Takberwujud'!$Y80+'Aset Takberwujud'!$T80*12-1))),'Aset Takberwujud'!$AQ80/'Aset Takberwujud'!$AG80,0)))</f>
        <v/>
      </c>
      <c r="Q285" s="22" t="str">
        <f>IF($B285="","",SUM(E285:P285))</f>
        <v/>
      </c>
      <c r="R285" s="22" t="str">
        <f>IF($B285="","",'Aset Takberwujud'!AQ80)</f>
        <v/>
      </c>
      <c r="S285" s="22" t="str">
        <f>IF($B285="","",ROUND(Q285-R285,0))</f>
        <v/>
      </c>
    </row>
    <row r="286" spans="1:19" x14ac:dyDescent="0.25">
      <c r="A286" t="str">
        <f>IF('Aset Takberwujud'!$B81="","",'Aset Takberwujud'!A81)</f>
        <v/>
      </c>
      <c r="B286" t="str">
        <f>IF('Aset Takberwujud'!$B81="","",'Aset Takberwujud'!B81)</f>
        <v/>
      </c>
      <c r="C286" t="str">
        <f>IF('Aset Takberwujud'!$B81="","",'Aset Takberwujud'!C81)</f>
        <v/>
      </c>
      <c r="D286" t="str">
        <f>IF('Aset Takberwujud'!$B81="","",'Aset Takberwujud'!D81)</f>
        <v/>
      </c>
      <c r="E286" s="22" t="str">
        <f>IF($B286="","",IF(N('Aset Takberwujud'!$AG81)=0,0,IF(AND((YEAR(E$211)*12+MONTH(E$211))&gt;='Aset Takberwujud'!$Y81,(YEAR(E$211)*12+MONTH(E$211))&lt;=MIN('Aset Takberwujud'!$Z81,IF('Aset Takberwujud'!$S81="Unit Produksi",99999,'Aset Takberwujud'!$Y81+'Aset Takberwujud'!$T81*12-1))),'Aset Takberwujud'!$AQ81/'Aset Takberwujud'!$AG81,0)))</f>
        <v/>
      </c>
      <c r="F286" s="22" t="str">
        <f>IF($B286="","",IF(N('Aset Takberwujud'!$AG81)=0,0,IF(AND((YEAR(F$211)*12+MONTH(F$211))&gt;='Aset Takberwujud'!$Y81,(YEAR(F$211)*12+MONTH(F$211))&lt;=MIN('Aset Takberwujud'!$Z81,IF('Aset Takberwujud'!$S81="Unit Produksi",99999,'Aset Takberwujud'!$Y81+'Aset Takberwujud'!$T81*12-1))),'Aset Takberwujud'!$AQ81/'Aset Takberwujud'!$AG81,0)))</f>
        <v/>
      </c>
      <c r="G286" s="22" t="str">
        <f>IF($B286="","",IF(N('Aset Takberwujud'!$AG81)=0,0,IF(AND((YEAR(G$211)*12+MONTH(G$211))&gt;='Aset Takberwujud'!$Y81,(YEAR(G$211)*12+MONTH(G$211))&lt;=MIN('Aset Takberwujud'!$Z81,IF('Aset Takberwujud'!$S81="Unit Produksi",99999,'Aset Takberwujud'!$Y81+'Aset Takberwujud'!$T81*12-1))),'Aset Takberwujud'!$AQ81/'Aset Takberwujud'!$AG81,0)))</f>
        <v/>
      </c>
      <c r="H286" s="22" t="str">
        <f>IF($B286="","",IF(N('Aset Takberwujud'!$AG81)=0,0,IF(AND((YEAR(H$211)*12+MONTH(H$211))&gt;='Aset Takberwujud'!$Y81,(YEAR(H$211)*12+MONTH(H$211))&lt;=MIN('Aset Takberwujud'!$Z81,IF('Aset Takberwujud'!$S81="Unit Produksi",99999,'Aset Takberwujud'!$Y81+'Aset Takberwujud'!$T81*12-1))),'Aset Takberwujud'!$AQ81/'Aset Takberwujud'!$AG81,0)))</f>
        <v/>
      </c>
      <c r="I286" s="22" t="str">
        <f>IF($B286="","",IF(N('Aset Takberwujud'!$AG81)=0,0,IF(AND((YEAR(I$211)*12+MONTH(I$211))&gt;='Aset Takberwujud'!$Y81,(YEAR(I$211)*12+MONTH(I$211))&lt;=MIN('Aset Takberwujud'!$Z81,IF('Aset Takberwujud'!$S81="Unit Produksi",99999,'Aset Takberwujud'!$Y81+'Aset Takberwujud'!$T81*12-1))),'Aset Takberwujud'!$AQ81/'Aset Takberwujud'!$AG81,0)))</f>
        <v/>
      </c>
      <c r="J286" s="22" t="str">
        <f>IF($B286="","",IF(N('Aset Takberwujud'!$AG81)=0,0,IF(AND((YEAR(J$211)*12+MONTH(J$211))&gt;='Aset Takberwujud'!$Y81,(YEAR(J$211)*12+MONTH(J$211))&lt;=MIN('Aset Takberwujud'!$Z81,IF('Aset Takberwujud'!$S81="Unit Produksi",99999,'Aset Takberwujud'!$Y81+'Aset Takberwujud'!$T81*12-1))),'Aset Takberwujud'!$AQ81/'Aset Takberwujud'!$AG81,0)))</f>
        <v/>
      </c>
      <c r="K286" s="22" t="str">
        <f>IF($B286="","",IF(N('Aset Takberwujud'!$AG81)=0,0,IF(AND((YEAR(K$211)*12+MONTH(K$211))&gt;='Aset Takberwujud'!$Y81,(YEAR(K$211)*12+MONTH(K$211))&lt;=MIN('Aset Takberwujud'!$Z81,IF('Aset Takberwujud'!$S81="Unit Produksi",99999,'Aset Takberwujud'!$Y81+'Aset Takberwujud'!$T81*12-1))),'Aset Takberwujud'!$AQ81/'Aset Takberwujud'!$AG81,0)))</f>
        <v/>
      </c>
      <c r="L286" s="22" t="str">
        <f>IF($B286="","",IF(N('Aset Takberwujud'!$AG81)=0,0,IF(AND((YEAR(L$211)*12+MONTH(L$211))&gt;='Aset Takberwujud'!$Y81,(YEAR(L$211)*12+MONTH(L$211))&lt;=MIN('Aset Takberwujud'!$Z81,IF('Aset Takberwujud'!$S81="Unit Produksi",99999,'Aset Takberwujud'!$Y81+'Aset Takberwujud'!$T81*12-1))),'Aset Takberwujud'!$AQ81/'Aset Takberwujud'!$AG81,0)))</f>
        <v/>
      </c>
      <c r="M286" s="22" t="str">
        <f>IF($B286="","",IF(N('Aset Takberwujud'!$AG81)=0,0,IF(AND((YEAR(M$211)*12+MONTH(M$211))&gt;='Aset Takberwujud'!$Y81,(YEAR(M$211)*12+MONTH(M$211))&lt;=MIN('Aset Takberwujud'!$Z81,IF('Aset Takberwujud'!$S81="Unit Produksi",99999,'Aset Takberwujud'!$Y81+'Aset Takberwujud'!$T81*12-1))),'Aset Takberwujud'!$AQ81/'Aset Takberwujud'!$AG81,0)))</f>
        <v/>
      </c>
      <c r="N286" s="22" t="str">
        <f>IF($B286="","",IF(N('Aset Takberwujud'!$AG81)=0,0,IF(AND((YEAR(N$211)*12+MONTH(N$211))&gt;='Aset Takberwujud'!$Y81,(YEAR(N$211)*12+MONTH(N$211))&lt;=MIN('Aset Takberwujud'!$Z81,IF('Aset Takberwujud'!$S81="Unit Produksi",99999,'Aset Takberwujud'!$Y81+'Aset Takberwujud'!$T81*12-1))),'Aset Takberwujud'!$AQ81/'Aset Takberwujud'!$AG81,0)))</f>
        <v/>
      </c>
      <c r="O286" s="22" t="str">
        <f>IF($B286="","",IF(N('Aset Takberwujud'!$AG81)=0,0,IF(AND((YEAR(O$211)*12+MONTH(O$211))&gt;='Aset Takberwujud'!$Y81,(YEAR(O$211)*12+MONTH(O$211))&lt;=MIN('Aset Takberwujud'!$Z81,IF('Aset Takberwujud'!$S81="Unit Produksi",99999,'Aset Takberwujud'!$Y81+'Aset Takberwujud'!$T81*12-1))),'Aset Takberwujud'!$AQ81/'Aset Takberwujud'!$AG81,0)))</f>
        <v/>
      </c>
      <c r="P286" s="22" t="str">
        <f>IF($B286="","",IF(N('Aset Takberwujud'!$AG81)=0,0,IF(AND((YEAR(P$211)*12+MONTH(P$211))&gt;='Aset Takberwujud'!$Y81,(YEAR(P$211)*12+MONTH(P$211))&lt;=MIN('Aset Takberwujud'!$Z81,IF('Aset Takberwujud'!$S81="Unit Produksi",99999,'Aset Takberwujud'!$Y81+'Aset Takberwujud'!$T81*12-1))),'Aset Takberwujud'!$AQ81/'Aset Takberwujud'!$AG81,0)))</f>
        <v/>
      </c>
      <c r="Q286" s="22" t="str">
        <f>IF($B286="","",SUM(E286:P286))</f>
        <v/>
      </c>
      <c r="R286" s="22" t="str">
        <f>IF($B286="","",'Aset Takberwujud'!AQ81)</f>
        <v/>
      </c>
      <c r="S286" s="22" t="str">
        <f>IF($B286="","",ROUND(Q286-R286,0))</f>
        <v/>
      </c>
    </row>
    <row r="287" spans="1:19" x14ac:dyDescent="0.25">
      <c r="A287" t="str">
        <f>IF('Aset Takberwujud'!$B82="","",'Aset Takberwujud'!A82)</f>
        <v/>
      </c>
      <c r="B287" t="str">
        <f>IF('Aset Takberwujud'!$B82="","",'Aset Takberwujud'!B82)</f>
        <v/>
      </c>
      <c r="C287" t="str">
        <f>IF('Aset Takberwujud'!$B82="","",'Aset Takberwujud'!C82)</f>
        <v/>
      </c>
      <c r="D287" t="str">
        <f>IF('Aset Takberwujud'!$B82="","",'Aset Takberwujud'!D82)</f>
        <v/>
      </c>
      <c r="E287" s="22" t="str">
        <f>IF($B287="","",IF(N('Aset Takberwujud'!$AG82)=0,0,IF(AND((YEAR(E$211)*12+MONTH(E$211))&gt;='Aset Takberwujud'!$Y82,(YEAR(E$211)*12+MONTH(E$211))&lt;=MIN('Aset Takberwujud'!$Z82,IF('Aset Takberwujud'!$S82="Unit Produksi",99999,'Aset Takberwujud'!$Y82+'Aset Takberwujud'!$T82*12-1))),'Aset Takberwujud'!$AQ82/'Aset Takberwujud'!$AG82,0)))</f>
        <v/>
      </c>
      <c r="F287" s="22" t="str">
        <f>IF($B287="","",IF(N('Aset Takberwujud'!$AG82)=0,0,IF(AND((YEAR(F$211)*12+MONTH(F$211))&gt;='Aset Takberwujud'!$Y82,(YEAR(F$211)*12+MONTH(F$211))&lt;=MIN('Aset Takberwujud'!$Z82,IF('Aset Takberwujud'!$S82="Unit Produksi",99999,'Aset Takberwujud'!$Y82+'Aset Takberwujud'!$T82*12-1))),'Aset Takberwujud'!$AQ82/'Aset Takberwujud'!$AG82,0)))</f>
        <v/>
      </c>
      <c r="G287" s="22" t="str">
        <f>IF($B287="","",IF(N('Aset Takberwujud'!$AG82)=0,0,IF(AND((YEAR(G$211)*12+MONTH(G$211))&gt;='Aset Takberwujud'!$Y82,(YEAR(G$211)*12+MONTH(G$211))&lt;=MIN('Aset Takberwujud'!$Z82,IF('Aset Takberwujud'!$S82="Unit Produksi",99999,'Aset Takberwujud'!$Y82+'Aset Takberwujud'!$T82*12-1))),'Aset Takberwujud'!$AQ82/'Aset Takberwujud'!$AG82,0)))</f>
        <v/>
      </c>
      <c r="H287" s="22" t="str">
        <f>IF($B287="","",IF(N('Aset Takberwujud'!$AG82)=0,0,IF(AND((YEAR(H$211)*12+MONTH(H$211))&gt;='Aset Takberwujud'!$Y82,(YEAR(H$211)*12+MONTH(H$211))&lt;=MIN('Aset Takberwujud'!$Z82,IF('Aset Takberwujud'!$S82="Unit Produksi",99999,'Aset Takberwujud'!$Y82+'Aset Takberwujud'!$T82*12-1))),'Aset Takberwujud'!$AQ82/'Aset Takberwujud'!$AG82,0)))</f>
        <v/>
      </c>
      <c r="I287" s="22" t="str">
        <f>IF($B287="","",IF(N('Aset Takberwujud'!$AG82)=0,0,IF(AND((YEAR(I$211)*12+MONTH(I$211))&gt;='Aset Takberwujud'!$Y82,(YEAR(I$211)*12+MONTH(I$211))&lt;=MIN('Aset Takberwujud'!$Z82,IF('Aset Takberwujud'!$S82="Unit Produksi",99999,'Aset Takberwujud'!$Y82+'Aset Takberwujud'!$T82*12-1))),'Aset Takberwujud'!$AQ82/'Aset Takberwujud'!$AG82,0)))</f>
        <v/>
      </c>
      <c r="J287" s="22" t="str">
        <f>IF($B287="","",IF(N('Aset Takberwujud'!$AG82)=0,0,IF(AND((YEAR(J$211)*12+MONTH(J$211))&gt;='Aset Takberwujud'!$Y82,(YEAR(J$211)*12+MONTH(J$211))&lt;=MIN('Aset Takberwujud'!$Z82,IF('Aset Takberwujud'!$S82="Unit Produksi",99999,'Aset Takberwujud'!$Y82+'Aset Takberwujud'!$T82*12-1))),'Aset Takberwujud'!$AQ82/'Aset Takberwujud'!$AG82,0)))</f>
        <v/>
      </c>
      <c r="K287" s="22" t="str">
        <f>IF($B287="","",IF(N('Aset Takberwujud'!$AG82)=0,0,IF(AND((YEAR(K$211)*12+MONTH(K$211))&gt;='Aset Takberwujud'!$Y82,(YEAR(K$211)*12+MONTH(K$211))&lt;=MIN('Aset Takberwujud'!$Z82,IF('Aset Takberwujud'!$S82="Unit Produksi",99999,'Aset Takberwujud'!$Y82+'Aset Takberwujud'!$T82*12-1))),'Aset Takberwujud'!$AQ82/'Aset Takberwujud'!$AG82,0)))</f>
        <v/>
      </c>
      <c r="L287" s="22" t="str">
        <f>IF($B287="","",IF(N('Aset Takberwujud'!$AG82)=0,0,IF(AND((YEAR(L$211)*12+MONTH(L$211))&gt;='Aset Takberwujud'!$Y82,(YEAR(L$211)*12+MONTH(L$211))&lt;=MIN('Aset Takberwujud'!$Z82,IF('Aset Takberwujud'!$S82="Unit Produksi",99999,'Aset Takberwujud'!$Y82+'Aset Takberwujud'!$T82*12-1))),'Aset Takberwujud'!$AQ82/'Aset Takberwujud'!$AG82,0)))</f>
        <v/>
      </c>
      <c r="M287" s="22" t="str">
        <f>IF($B287="","",IF(N('Aset Takberwujud'!$AG82)=0,0,IF(AND((YEAR(M$211)*12+MONTH(M$211))&gt;='Aset Takberwujud'!$Y82,(YEAR(M$211)*12+MONTH(M$211))&lt;=MIN('Aset Takberwujud'!$Z82,IF('Aset Takberwujud'!$S82="Unit Produksi",99999,'Aset Takberwujud'!$Y82+'Aset Takberwujud'!$T82*12-1))),'Aset Takberwujud'!$AQ82/'Aset Takberwujud'!$AG82,0)))</f>
        <v/>
      </c>
      <c r="N287" s="22" t="str">
        <f>IF($B287="","",IF(N('Aset Takberwujud'!$AG82)=0,0,IF(AND((YEAR(N$211)*12+MONTH(N$211))&gt;='Aset Takberwujud'!$Y82,(YEAR(N$211)*12+MONTH(N$211))&lt;=MIN('Aset Takberwujud'!$Z82,IF('Aset Takberwujud'!$S82="Unit Produksi",99999,'Aset Takberwujud'!$Y82+'Aset Takberwujud'!$T82*12-1))),'Aset Takberwujud'!$AQ82/'Aset Takberwujud'!$AG82,0)))</f>
        <v/>
      </c>
      <c r="O287" s="22" t="str">
        <f>IF($B287="","",IF(N('Aset Takberwujud'!$AG82)=0,0,IF(AND((YEAR(O$211)*12+MONTH(O$211))&gt;='Aset Takberwujud'!$Y82,(YEAR(O$211)*12+MONTH(O$211))&lt;=MIN('Aset Takberwujud'!$Z82,IF('Aset Takberwujud'!$S82="Unit Produksi",99999,'Aset Takberwujud'!$Y82+'Aset Takberwujud'!$T82*12-1))),'Aset Takberwujud'!$AQ82/'Aset Takberwujud'!$AG82,0)))</f>
        <v/>
      </c>
      <c r="P287" s="22" t="str">
        <f>IF($B287="","",IF(N('Aset Takberwujud'!$AG82)=0,0,IF(AND((YEAR(P$211)*12+MONTH(P$211))&gt;='Aset Takberwujud'!$Y82,(YEAR(P$211)*12+MONTH(P$211))&lt;=MIN('Aset Takberwujud'!$Z82,IF('Aset Takberwujud'!$S82="Unit Produksi",99999,'Aset Takberwujud'!$Y82+'Aset Takberwujud'!$T82*12-1))),'Aset Takberwujud'!$AQ82/'Aset Takberwujud'!$AG82,0)))</f>
        <v/>
      </c>
      <c r="Q287" s="22" t="str">
        <f>IF($B287="","",SUM(E287:P287))</f>
        <v/>
      </c>
      <c r="R287" s="22" t="str">
        <f>IF($B287="","",'Aset Takberwujud'!AQ82)</f>
        <v/>
      </c>
      <c r="S287" s="22" t="str">
        <f>IF($B287="","",ROUND(Q287-R287,0))</f>
        <v/>
      </c>
    </row>
    <row r="288" spans="1:19" x14ac:dyDescent="0.25">
      <c r="A288" t="str">
        <f>IF('Aset Takberwujud'!$B83="","",'Aset Takberwujud'!A83)</f>
        <v/>
      </c>
      <c r="B288" t="str">
        <f>IF('Aset Takberwujud'!$B83="","",'Aset Takberwujud'!B83)</f>
        <v/>
      </c>
      <c r="C288" t="str">
        <f>IF('Aset Takberwujud'!$B83="","",'Aset Takberwujud'!C83)</f>
        <v/>
      </c>
      <c r="D288" t="str">
        <f>IF('Aset Takberwujud'!$B83="","",'Aset Takberwujud'!D83)</f>
        <v/>
      </c>
      <c r="E288" s="22" t="str">
        <f>IF($B288="","",IF(N('Aset Takberwujud'!$AG83)=0,0,IF(AND((YEAR(E$211)*12+MONTH(E$211))&gt;='Aset Takberwujud'!$Y83,(YEAR(E$211)*12+MONTH(E$211))&lt;=MIN('Aset Takberwujud'!$Z83,IF('Aset Takberwujud'!$S83="Unit Produksi",99999,'Aset Takberwujud'!$Y83+'Aset Takberwujud'!$T83*12-1))),'Aset Takberwujud'!$AQ83/'Aset Takberwujud'!$AG83,0)))</f>
        <v/>
      </c>
      <c r="F288" s="22" t="str">
        <f>IF($B288="","",IF(N('Aset Takberwujud'!$AG83)=0,0,IF(AND((YEAR(F$211)*12+MONTH(F$211))&gt;='Aset Takberwujud'!$Y83,(YEAR(F$211)*12+MONTH(F$211))&lt;=MIN('Aset Takberwujud'!$Z83,IF('Aset Takberwujud'!$S83="Unit Produksi",99999,'Aset Takberwujud'!$Y83+'Aset Takberwujud'!$T83*12-1))),'Aset Takberwujud'!$AQ83/'Aset Takberwujud'!$AG83,0)))</f>
        <v/>
      </c>
      <c r="G288" s="22" t="str">
        <f>IF($B288="","",IF(N('Aset Takberwujud'!$AG83)=0,0,IF(AND((YEAR(G$211)*12+MONTH(G$211))&gt;='Aset Takberwujud'!$Y83,(YEAR(G$211)*12+MONTH(G$211))&lt;=MIN('Aset Takberwujud'!$Z83,IF('Aset Takberwujud'!$S83="Unit Produksi",99999,'Aset Takberwujud'!$Y83+'Aset Takberwujud'!$T83*12-1))),'Aset Takberwujud'!$AQ83/'Aset Takberwujud'!$AG83,0)))</f>
        <v/>
      </c>
      <c r="H288" s="22" t="str">
        <f>IF($B288="","",IF(N('Aset Takberwujud'!$AG83)=0,0,IF(AND((YEAR(H$211)*12+MONTH(H$211))&gt;='Aset Takberwujud'!$Y83,(YEAR(H$211)*12+MONTH(H$211))&lt;=MIN('Aset Takberwujud'!$Z83,IF('Aset Takberwujud'!$S83="Unit Produksi",99999,'Aset Takberwujud'!$Y83+'Aset Takberwujud'!$T83*12-1))),'Aset Takberwujud'!$AQ83/'Aset Takberwujud'!$AG83,0)))</f>
        <v/>
      </c>
      <c r="I288" s="22" t="str">
        <f>IF($B288="","",IF(N('Aset Takberwujud'!$AG83)=0,0,IF(AND((YEAR(I$211)*12+MONTH(I$211))&gt;='Aset Takberwujud'!$Y83,(YEAR(I$211)*12+MONTH(I$211))&lt;=MIN('Aset Takberwujud'!$Z83,IF('Aset Takberwujud'!$S83="Unit Produksi",99999,'Aset Takberwujud'!$Y83+'Aset Takberwujud'!$T83*12-1))),'Aset Takberwujud'!$AQ83/'Aset Takberwujud'!$AG83,0)))</f>
        <v/>
      </c>
      <c r="J288" s="22" t="str">
        <f>IF($B288="","",IF(N('Aset Takberwujud'!$AG83)=0,0,IF(AND((YEAR(J$211)*12+MONTH(J$211))&gt;='Aset Takberwujud'!$Y83,(YEAR(J$211)*12+MONTH(J$211))&lt;=MIN('Aset Takberwujud'!$Z83,IF('Aset Takberwujud'!$S83="Unit Produksi",99999,'Aset Takberwujud'!$Y83+'Aset Takberwujud'!$T83*12-1))),'Aset Takberwujud'!$AQ83/'Aset Takberwujud'!$AG83,0)))</f>
        <v/>
      </c>
      <c r="K288" s="22" t="str">
        <f>IF($B288="","",IF(N('Aset Takberwujud'!$AG83)=0,0,IF(AND((YEAR(K$211)*12+MONTH(K$211))&gt;='Aset Takberwujud'!$Y83,(YEAR(K$211)*12+MONTH(K$211))&lt;=MIN('Aset Takberwujud'!$Z83,IF('Aset Takberwujud'!$S83="Unit Produksi",99999,'Aset Takberwujud'!$Y83+'Aset Takberwujud'!$T83*12-1))),'Aset Takberwujud'!$AQ83/'Aset Takberwujud'!$AG83,0)))</f>
        <v/>
      </c>
      <c r="L288" s="22" t="str">
        <f>IF($B288="","",IF(N('Aset Takberwujud'!$AG83)=0,0,IF(AND((YEAR(L$211)*12+MONTH(L$211))&gt;='Aset Takberwujud'!$Y83,(YEAR(L$211)*12+MONTH(L$211))&lt;=MIN('Aset Takberwujud'!$Z83,IF('Aset Takberwujud'!$S83="Unit Produksi",99999,'Aset Takberwujud'!$Y83+'Aset Takberwujud'!$T83*12-1))),'Aset Takberwujud'!$AQ83/'Aset Takberwujud'!$AG83,0)))</f>
        <v/>
      </c>
      <c r="M288" s="22" t="str">
        <f>IF($B288="","",IF(N('Aset Takberwujud'!$AG83)=0,0,IF(AND((YEAR(M$211)*12+MONTH(M$211))&gt;='Aset Takberwujud'!$Y83,(YEAR(M$211)*12+MONTH(M$211))&lt;=MIN('Aset Takberwujud'!$Z83,IF('Aset Takberwujud'!$S83="Unit Produksi",99999,'Aset Takberwujud'!$Y83+'Aset Takberwujud'!$T83*12-1))),'Aset Takberwujud'!$AQ83/'Aset Takberwujud'!$AG83,0)))</f>
        <v/>
      </c>
      <c r="N288" s="22" t="str">
        <f>IF($B288="","",IF(N('Aset Takberwujud'!$AG83)=0,0,IF(AND((YEAR(N$211)*12+MONTH(N$211))&gt;='Aset Takberwujud'!$Y83,(YEAR(N$211)*12+MONTH(N$211))&lt;=MIN('Aset Takberwujud'!$Z83,IF('Aset Takberwujud'!$S83="Unit Produksi",99999,'Aset Takberwujud'!$Y83+'Aset Takberwujud'!$T83*12-1))),'Aset Takberwujud'!$AQ83/'Aset Takberwujud'!$AG83,0)))</f>
        <v/>
      </c>
      <c r="O288" s="22" t="str">
        <f>IF($B288="","",IF(N('Aset Takberwujud'!$AG83)=0,0,IF(AND((YEAR(O$211)*12+MONTH(O$211))&gt;='Aset Takberwujud'!$Y83,(YEAR(O$211)*12+MONTH(O$211))&lt;=MIN('Aset Takberwujud'!$Z83,IF('Aset Takberwujud'!$S83="Unit Produksi",99999,'Aset Takberwujud'!$Y83+'Aset Takberwujud'!$T83*12-1))),'Aset Takberwujud'!$AQ83/'Aset Takberwujud'!$AG83,0)))</f>
        <v/>
      </c>
      <c r="P288" s="22" t="str">
        <f>IF($B288="","",IF(N('Aset Takberwujud'!$AG83)=0,0,IF(AND((YEAR(P$211)*12+MONTH(P$211))&gt;='Aset Takberwujud'!$Y83,(YEAR(P$211)*12+MONTH(P$211))&lt;=MIN('Aset Takberwujud'!$Z83,IF('Aset Takberwujud'!$S83="Unit Produksi",99999,'Aset Takberwujud'!$Y83+'Aset Takberwujud'!$T83*12-1))),'Aset Takberwujud'!$AQ83/'Aset Takberwujud'!$AG83,0)))</f>
        <v/>
      </c>
      <c r="Q288" s="22" t="str">
        <f>IF($B288="","",SUM(E288:P288))</f>
        <v/>
      </c>
      <c r="R288" s="22" t="str">
        <f>IF($B288="","",'Aset Takberwujud'!AQ83)</f>
        <v/>
      </c>
      <c r="S288" s="22" t="str">
        <f>IF($B288="","",ROUND(Q288-R288,0))</f>
        <v/>
      </c>
    </row>
    <row r="289" spans="1:19" x14ac:dyDescent="0.25">
      <c r="A289" t="str">
        <f>IF('Aset Takberwujud'!$B84="","",'Aset Takberwujud'!A84)</f>
        <v/>
      </c>
      <c r="B289" t="str">
        <f>IF('Aset Takberwujud'!$B84="","",'Aset Takberwujud'!B84)</f>
        <v/>
      </c>
      <c r="C289" t="str">
        <f>IF('Aset Takberwujud'!$B84="","",'Aset Takberwujud'!C84)</f>
        <v/>
      </c>
      <c r="D289" t="str">
        <f>IF('Aset Takberwujud'!$B84="","",'Aset Takberwujud'!D84)</f>
        <v/>
      </c>
      <c r="E289" s="22" t="str">
        <f>IF($B289="","",IF(N('Aset Takberwujud'!$AG84)=0,0,IF(AND((YEAR(E$211)*12+MONTH(E$211))&gt;='Aset Takberwujud'!$Y84,(YEAR(E$211)*12+MONTH(E$211))&lt;=MIN('Aset Takberwujud'!$Z84,IF('Aset Takberwujud'!$S84="Unit Produksi",99999,'Aset Takberwujud'!$Y84+'Aset Takberwujud'!$T84*12-1))),'Aset Takberwujud'!$AQ84/'Aset Takberwujud'!$AG84,0)))</f>
        <v/>
      </c>
      <c r="F289" s="22" t="str">
        <f>IF($B289="","",IF(N('Aset Takberwujud'!$AG84)=0,0,IF(AND((YEAR(F$211)*12+MONTH(F$211))&gt;='Aset Takberwujud'!$Y84,(YEAR(F$211)*12+MONTH(F$211))&lt;=MIN('Aset Takberwujud'!$Z84,IF('Aset Takberwujud'!$S84="Unit Produksi",99999,'Aset Takberwujud'!$Y84+'Aset Takberwujud'!$T84*12-1))),'Aset Takberwujud'!$AQ84/'Aset Takberwujud'!$AG84,0)))</f>
        <v/>
      </c>
      <c r="G289" s="22" t="str">
        <f>IF($B289="","",IF(N('Aset Takberwujud'!$AG84)=0,0,IF(AND((YEAR(G$211)*12+MONTH(G$211))&gt;='Aset Takberwujud'!$Y84,(YEAR(G$211)*12+MONTH(G$211))&lt;=MIN('Aset Takberwujud'!$Z84,IF('Aset Takberwujud'!$S84="Unit Produksi",99999,'Aset Takberwujud'!$Y84+'Aset Takberwujud'!$T84*12-1))),'Aset Takberwujud'!$AQ84/'Aset Takberwujud'!$AG84,0)))</f>
        <v/>
      </c>
      <c r="H289" s="22" t="str">
        <f>IF($B289="","",IF(N('Aset Takberwujud'!$AG84)=0,0,IF(AND((YEAR(H$211)*12+MONTH(H$211))&gt;='Aset Takberwujud'!$Y84,(YEAR(H$211)*12+MONTH(H$211))&lt;=MIN('Aset Takberwujud'!$Z84,IF('Aset Takberwujud'!$S84="Unit Produksi",99999,'Aset Takberwujud'!$Y84+'Aset Takberwujud'!$T84*12-1))),'Aset Takberwujud'!$AQ84/'Aset Takberwujud'!$AG84,0)))</f>
        <v/>
      </c>
      <c r="I289" s="22" t="str">
        <f>IF($B289="","",IF(N('Aset Takberwujud'!$AG84)=0,0,IF(AND((YEAR(I$211)*12+MONTH(I$211))&gt;='Aset Takberwujud'!$Y84,(YEAR(I$211)*12+MONTH(I$211))&lt;=MIN('Aset Takberwujud'!$Z84,IF('Aset Takberwujud'!$S84="Unit Produksi",99999,'Aset Takberwujud'!$Y84+'Aset Takberwujud'!$T84*12-1))),'Aset Takberwujud'!$AQ84/'Aset Takberwujud'!$AG84,0)))</f>
        <v/>
      </c>
      <c r="J289" s="22" t="str">
        <f>IF($B289="","",IF(N('Aset Takberwujud'!$AG84)=0,0,IF(AND((YEAR(J$211)*12+MONTH(J$211))&gt;='Aset Takberwujud'!$Y84,(YEAR(J$211)*12+MONTH(J$211))&lt;=MIN('Aset Takberwujud'!$Z84,IF('Aset Takberwujud'!$S84="Unit Produksi",99999,'Aset Takberwujud'!$Y84+'Aset Takberwujud'!$T84*12-1))),'Aset Takberwujud'!$AQ84/'Aset Takberwujud'!$AG84,0)))</f>
        <v/>
      </c>
      <c r="K289" s="22" t="str">
        <f>IF($B289="","",IF(N('Aset Takberwujud'!$AG84)=0,0,IF(AND((YEAR(K$211)*12+MONTH(K$211))&gt;='Aset Takberwujud'!$Y84,(YEAR(K$211)*12+MONTH(K$211))&lt;=MIN('Aset Takberwujud'!$Z84,IF('Aset Takberwujud'!$S84="Unit Produksi",99999,'Aset Takberwujud'!$Y84+'Aset Takberwujud'!$T84*12-1))),'Aset Takberwujud'!$AQ84/'Aset Takberwujud'!$AG84,0)))</f>
        <v/>
      </c>
      <c r="L289" s="22" t="str">
        <f>IF($B289="","",IF(N('Aset Takberwujud'!$AG84)=0,0,IF(AND((YEAR(L$211)*12+MONTH(L$211))&gt;='Aset Takberwujud'!$Y84,(YEAR(L$211)*12+MONTH(L$211))&lt;=MIN('Aset Takberwujud'!$Z84,IF('Aset Takberwujud'!$S84="Unit Produksi",99999,'Aset Takberwujud'!$Y84+'Aset Takberwujud'!$T84*12-1))),'Aset Takberwujud'!$AQ84/'Aset Takberwujud'!$AG84,0)))</f>
        <v/>
      </c>
      <c r="M289" s="22" t="str">
        <f>IF($B289="","",IF(N('Aset Takberwujud'!$AG84)=0,0,IF(AND((YEAR(M$211)*12+MONTH(M$211))&gt;='Aset Takberwujud'!$Y84,(YEAR(M$211)*12+MONTH(M$211))&lt;=MIN('Aset Takberwujud'!$Z84,IF('Aset Takberwujud'!$S84="Unit Produksi",99999,'Aset Takberwujud'!$Y84+'Aset Takberwujud'!$T84*12-1))),'Aset Takberwujud'!$AQ84/'Aset Takberwujud'!$AG84,0)))</f>
        <v/>
      </c>
      <c r="N289" s="22" t="str">
        <f>IF($B289="","",IF(N('Aset Takberwujud'!$AG84)=0,0,IF(AND((YEAR(N$211)*12+MONTH(N$211))&gt;='Aset Takberwujud'!$Y84,(YEAR(N$211)*12+MONTH(N$211))&lt;=MIN('Aset Takberwujud'!$Z84,IF('Aset Takberwujud'!$S84="Unit Produksi",99999,'Aset Takberwujud'!$Y84+'Aset Takberwujud'!$T84*12-1))),'Aset Takberwujud'!$AQ84/'Aset Takberwujud'!$AG84,0)))</f>
        <v/>
      </c>
      <c r="O289" s="22" t="str">
        <f>IF($B289="","",IF(N('Aset Takberwujud'!$AG84)=0,0,IF(AND((YEAR(O$211)*12+MONTH(O$211))&gt;='Aset Takberwujud'!$Y84,(YEAR(O$211)*12+MONTH(O$211))&lt;=MIN('Aset Takberwujud'!$Z84,IF('Aset Takberwujud'!$S84="Unit Produksi",99999,'Aset Takberwujud'!$Y84+'Aset Takberwujud'!$T84*12-1))),'Aset Takberwujud'!$AQ84/'Aset Takberwujud'!$AG84,0)))</f>
        <v/>
      </c>
      <c r="P289" s="22" t="str">
        <f>IF($B289="","",IF(N('Aset Takberwujud'!$AG84)=0,0,IF(AND((YEAR(P$211)*12+MONTH(P$211))&gt;='Aset Takberwujud'!$Y84,(YEAR(P$211)*12+MONTH(P$211))&lt;=MIN('Aset Takberwujud'!$Z84,IF('Aset Takberwujud'!$S84="Unit Produksi",99999,'Aset Takberwujud'!$Y84+'Aset Takberwujud'!$T84*12-1))),'Aset Takberwujud'!$AQ84/'Aset Takberwujud'!$AG84,0)))</f>
        <v/>
      </c>
      <c r="Q289" s="22" t="str">
        <f>IF($B289="","",SUM(E289:P289))</f>
        <v/>
      </c>
      <c r="R289" s="22" t="str">
        <f>IF($B289="","",'Aset Takberwujud'!AQ84)</f>
        <v/>
      </c>
      <c r="S289" s="22" t="str">
        <f>IF($B289="","",ROUND(Q289-R289,0))</f>
        <v/>
      </c>
    </row>
    <row r="290" spans="1:19" x14ac:dyDescent="0.25">
      <c r="A290" t="str">
        <f>IF('Aset Takberwujud'!$B85="","",'Aset Takberwujud'!A85)</f>
        <v/>
      </c>
      <c r="B290" t="str">
        <f>IF('Aset Takberwujud'!$B85="","",'Aset Takberwujud'!B85)</f>
        <v/>
      </c>
      <c r="C290" t="str">
        <f>IF('Aset Takberwujud'!$B85="","",'Aset Takberwujud'!C85)</f>
        <v/>
      </c>
      <c r="D290" t="str">
        <f>IF('Aset Takberwujud'!$B85="","",'Aset Takberwujud'!D85)</f>
        <v/>
      </c>
      <c r="E290" s="22" t="str">
        <f>IF($B290="","",IF(N('Aset Takberwujud'!$AG85)=0,0,IF(AND((YEAR(E$211)*12+MONTH(E$211))&gt;='Aset Takberwujud'!$Y85,(YEAR(E$211)*12+MONTH(E$211))&lt;=MIN('Aset Takberwujud'!$Z85,IF('Aset Takberwujud'!$S85="Unit Produksi",99999,'Aset Takberwujud'!$Y85+'Aset Takberwujud'!$T85*12-1))),'Aset Takberwujud'!$AQ85/'Aset Takberwujud'!$AG85,0)))</f>
        <v/>
      </c>
      <c r="F290" s="22" t="str">
        <f>IF($B290="","",IF(N('Aset Takberwujud'!$AG85)=0,0,IF(AND((YEAR(F$211)*12+MONTH(F$211))&gt;='Aset Takberwujud'!$Y85,(YEAR(F$211)*12+MONTH(F$211))&lt;=MIN('Aset Takberwujud'!$Z85,IF('Aset Takberwujud'!$S85="Unit Produksi",99999,'Aset Takberwujud'!$Y85+'Aset Takberwujud'!$T85*12-1))),'Aset Takberwujud'!$AQ85/'Aset Takberwujud'!$AG85,0)))</f>
        <v/>
      </c>
      <c r="G290" s="22" t="str">
        <f>IF($B290="","",IF(N('Aset Takberwujud'!$AG85)=0,0,IF(AND((YEAR(G$211)*12+MONTH(G$211))&gt;='Aset Takberwujud'!$Y85,(YEAR(G$211)*12+MONTH(G$211))&lt;=MIN('Aset Takberwujud'!$Z85,IF('Aset Takberwujud'!$S85="Unit Produksi",99999,'Aset Takberwujud'!$Y85+'Aset Takberwujud'!$T85*12-1))),'Aset Takberwujud'!$AQ85/'Aset Takberwujud'!$AG85,0)))</f>
        <v/>
      </c>
      <c r="H290" s="22" t="str">
        <f>IF($B290="","",IF(N('Aset Takberwujud'!$AG85)=0,0,IF(AND((YEAR(H$211)*12+MONTH(H$211))&gt;='Aset Takberwujud'!$Y85,(YEAR(H$211)*12+MONTH(H$211))&lt;=MIN('Aset Takberwujud'!$Z85,IF('Aset Takberwujud'!$S85="Unit Produksi",99999,'Aset Takberwujud'!$Y85+'Aset Takberwujud'!$T85*12-1))),'Aset Takberwujud'!$AQ85/'Aset Takberwujud'!$AG85,0)))</f>
        <v/>
      </c>
      <c r="I290" s="22" t="str">
        <f>IF($B290="","",IF(N('Aset Takberwujud'!$AG85)=0,0,IF(AND((YEAR(I$211)*12+MONTH(I$211))&gt;='Aset Takberwujud'!$Y85,(YEAR(I$211)*12+MONTH(I$211))&lt;=MIN('Aset Takberwujud'!$Z85,IF('Aset Takberwujud'!$S85="Unit Produksi",99999,'Aset Takberwujud'!$Y85+'Aset Takberwujud'!$T85*12-1))),'Aset Takberwujud'!$AQ85/'Aset Takberwujud'!$AG85,0)))</f>
        <v/>
      </c>
      <c r="J290" s="22" t="str">
        <f>IF($B290="","",IF(N('Aset Takberwujud'!$AG85)=0,0,IF(AND((YEAR(J$211)*12+MONTH(J$211))&gt;='Aset Takberwujud'!$Y85,(YEAR(J$211)*12+MONTH(J$211))&lt;=MIN('Aset Takberwujud'!$Z85,IF('Aset Takberwujud'!$S85="Unit Produksi",99999,'Aset Takberwujud'!$Y85+'Aset Takberwujud'!$T85*12-1))),'Aset Takberwujud'!$AQ85/'Aset Takberwujud'!$AG85,0)))</f>
        <v/>
      </c>
      <c r="K290" s="22" t="str">
        <f>IF($B290="","",IF(N('Aset Takberwujud'!$AG85)=0,0,IF(AND((YEAR(K$211)*12+MONTH(K$211))&gt;='Aset Takberwujud'!$Y85,(YEAR(K$211)*12+MONTH(K$211))&lt;=MIN('Aset Takberwujud'!$Z85,IF('Aset Takberwujud'!$S85="Unit Produksi",99999,'Aset Takberwujud'!$Y85+'Aset Takberwujud'!$T85*12-1))),'Aset Takberwujud'!$AQ85/'Aset Takberwujud'!$AG85,0)))</f>
        <v/>
      </c>
      <c r="L290" s="22" t="str">
        <f>IF($B290="","",IF(N('Aset Takberwujud'!$AG85)=0,0,IF(AND((YEAR(L$211)*12+MONTH(L$211))&gt;='Aset Takberwujud'!$Y85,(YEAR(L$211)*12+MONTH(L$211))&lt;=MIN('Aset Takberwujud'!$Z85,IF('Aset Takberwujud'!$S85="Unit Produksi",99999,'Aset Takberwujud'!$Y85+'Aset Takberwujud'!$T85*12-1))),'Aset Takberwujud'!$AQ85/'Aset Takberwujud'!$AG85,0)))</f>
        <v/>
      </c>
      <c r="M290" s="22" t="str">
        <f>IF($B290="","",IF(N('Aset Takberwujud'!$AG85)=0,0,IF(AND((YEAR(M$211)*12+MONTH(M$211))&gt;='Aset Takberwujud'!$Y85,(YEAR(M$211)*12+MONTH(M$211))&lt;=MIN('Aset Takberwujud'!$Z85,IF('Aset Takberwujud'!$S85="Unit Produksi",99999,'Aset Takberwujud'!$Y85+'Aset Takberwujud'!$T85*12-1))),'Aset Takberwujud'!$AQ85/'Aset Takberwujud'!$AG85,0)))</f>
        <v/>
      </c>
      <c r="N290" s="22" t="str">
        <f>IF($B290="","",IF(N('Aset Takberwujud'!$AG85)=0,0,IF(AND((YEAR(N$211)*12+MONTH(N$211))&gt;='Aset Takberwujud'!$Y85,(YEAR(N$211)*12+MONTH(N$211))&lt;=MIN('Aset Takberwujud'!$Z85,IF('Aset Takberwujud'!$S85="Unit Produksi",99999,'Aset Takberwujud'!$Y85+'Aset Takberwujud'!$T85*12-1))),'Aset Takberwujud'!$AQ85/'Aset Takberwujud'!$AG85,0)))</f>
        <v/>
      </c>
      <c r="O290" s="22" t="str">
        <f>IF($B290="","",IF(N('Aset Takberwujud'!$AG85)=0,0,IF(AND((YEAR(O$211)*12+MONTH(O$211))&gt;='Aset Takberwujud'!$Y85,(YEAR(O$211)*12+MONTH(O$211))&lt;=MIN('Aset Takberwujud'!$Z85,IF('Aset Takberwujud'!$S85="Unit Produksi",99999,'Aset Takberwujud'!$Y85+'Aset Takberwujud'!$T85*12-1))),'Aset Takberwujud'!$AQ85/'Aset Takberwujud'!$AG85,0)))</f>
        <v/>
      </c>
      <c r="P290" s="22" t="str">
        <f>IF($B290="","",IF(N('Aset Takberwujud'!$AG85)=0,0,IF(AND((YEAR(P$211)*12+MONTH(P$211))&gt;='Aset Takberwujud'!$Y85,(YEAR(P$211)*12+MONTH(P$211))&lt;=MIN('Aset Takberwujud'!$Z85,IF('Aset Takberwujud'!$S85="Unit Produksi",99999,'Aset Takberwujud'!$Y85+'Aset Takberwujud'!$T85*12-1))),'Aset Takberwujud'!$AQ85/'Aset Takberwujud'!$AG85,0)))</f>
        <v/>
      </c>
      <c r="Q290" s="22" t="str">
        <f>IF($B290="","",SUM(E290:P290))</f>
        <v/>
      </c>
      <c r="R290" s="22" t="str">
        <f>IF($B290="","",'Aset Takberwujud'!AQ85)</f>
        <v/>
      </c>
      <c r="S290" s="22" t="str">
        <f>IF($B290="","",ROUND(Q290-R290,0))</f>
        <v/>
      </c>
    </row>
    <row r="291" spans="1:19" x14ac:dyDescent="0.25">
      <c r="A291" t="str">
        <f>IF('Aset Takberwujud'!$B86="","",'Aset Takberwujud'!A86)</f>
        <v/>
      </c>
      <c r="B291" t="str">
        <f>IF('Aset Takberwujud'!$B86="","",'Aset Takberwujud'!B86)</f>
        <v/>
      </c>
      <c r="C291" t="str">
        <f>IF('Aset Takberwujud'!$B86="","",'Aset Takberwujud'!C86)</f>
        <v/>
      </c>
      <c r="D291" t="str">
        <f>IF('Aset Takberwujud'!$B86="","",'Aset Takberwujud'!D86)</f>
        <v/>
      </c>
      <c r="E291" s="22" t="str">
        <f>IF($B291="","",IF(N('Aset Takberwujud'!$AG86)=0,0,IF(AND((YEAR(E$211)*12+MONTH(E$211))&gt;='Aset Takberwujud'!$Y86,(YEAR(E$211)*12+MONTH(E$211))&lt;=MIN('Aset Takberwujud'!$Z86,IF('Aset Takberwujud'!$S86="Unit Produksi",99999,'Aset Takberwujud'!$Y86+'Aset Takberwujud'!$T86*12-1))),'Aset Takberwujud'!$AQ86/'Aset Takberwujud'!$AG86,0)))</f>
        <v/>
      </c>
      <c r="F291" s="22" t="str">
        <f>IF($B291="","",IF(N('Aset Takberwujud'!$AG86)=0,0,IF(AND((YEAR(F$211)*12+MONTH(F$211))&gt;='Aset Takberwujud'!$Y86,(YEAR(F$211)*12+MONTH(F$211))&lt;=MIN('Aset Takberwujud'!$Z86,IF('Aset Takberwujud'!$S86="Unit Produksi",99999,'Aset Takberwujud'!$Y86+'Aset Takberwujud'!$T86*12-1))),'Aset Takberwujud'!$AQ86/'Aset Takberwujud'!$AG86,0)))</f>
        <v/>
      </c>
      <c r="G291" s="22" t="str">
        <f>IF($B291="","",IF(N('Aset Takberwujud'!$AG86)=0,0,IF(AND((YEAR(G$211)*12+MONTH(G$211))&gt;='Aset Takberwujud'!$Y86,(YEAR(G$211)*12+MONTH(G$211))&lt;=MIN('Aset Takberwujud'!$Z86,IF('Aset Takberwujud'!$S86="Unit Produksi",99999,'Aset Takberwujud'!$Y86+'Aset Takberwujud'!$T86*12-1))),'Aset Takberwujud'!$AQ86/'Aset Takberwujud'!$AG86,0)))</f>
        <v/>
      </c>
      <c r="H291" s="22" t="str">
        <f>IF($B291="","",IF(N('Aset Takberwujud'!$AG86)=0,0,IF(AND((YEAR(H$211)*12+MONTH(H$211))&gt;='Aset Takberwujud'!$Y86,(YEAR(H$211)*12+MONTH(H$211))&lt;=MIN('Aset Takberwujud'!$Z86,IF('Aset Takberwujud'!$S86="Unit Produksi",99999,'Aset Takberwujud'!$Y86+'Aset Takberwujud'!$T86*12-1))),'Aset Takberwujud'!$AQ86/'Aset Takberwujud'!$AG86,0)))</f>
        <v/>
      </c>
      <c r="I291" s="22" t="str">
        <f>IF($B291="","",IF(N('Aset Takberwujud'!$AG86)=0,0,IF(AND((YEAR(I$211)*12+MONTH(I$211))&gt;='Aset Takberwujud'!$Y86,(YEAR(I$211)*12+MONTH(I$211))&lt;=MIN('Aset Takberwujud'!$Z86,IF('Aset Takberwujud'!$S86="Unit Produksi",99999,'Aset Takberwujud'!$Y86+'Aset Takberwujud'!$T86*12-1))),'Aset Takberwujud'!$AQ86/'Aset Takberwujud'!$AG86,0)))</f>
        <v/>
      </c>
      <c r="J291" s="22" t="str">
        <f>IF($B291="","",IF(N('Aset Takberwujud'!$AG86)=0,0,IF(AND((YEAR(J$211)*12+MONTH(J$211))&gt;='Aset Takberwujud'!$Y86,(YEAR(J$211)*12+MONTH(J$211))&lt;=MIN('Aset Takberwujud'!$Z86,IF('Aset Takberwujud'!$S86="Unit Produksi",99999,'Aset Takberwujud'!$Y86+'Aset Takberwujud'!$T86*12-1))),'Aset Takberwujud'!$AQ86/'Aset Takberwujud'!$AG86,0)))</f>
        <v/>
      </c>
      <c r="K291" s="22" t="str">
        <f>IF($B291="","",IF(N('Aset Takberwujud'!$AG86)=0,0,IF(AND((YEAR(K$211)*12+MONTH(K$211))&gt;='Aset Takberwujud'!$Y86,(YEAR(K$211)*12+MONTH(K$211))&lt;=MIN('Aset Takberwujud'!$Z86,IF('Aset Takberwujud'!$S86="Unit Produksi",99999,'Aset Takberwujud'!$Y86+'Aset Takberwujud'!$T86*12-1))),'Aset Takberwujud'!$AQ86/'Aset Takberwujud'!$AG86,0)))</f>
        <v/>
      </c>
      <c r="L291" s="22" t="str">
        <f>IF($B291="","",IF(N('Aset Takberwujud'!$AG86)=0,0,IF(AND((YEAR(L$211)*12+MONTH(L$211))&gt;='Aset Takberwujud'!$Y86,(YEAR(L$211)*12+MONTH(L$211))&lt;=MIN('Aset Takberwujud'!$Z86,IF('Aset Takberwujud'!$S86="Unit Produksi",99999,'Aset Takberwujud'!$Y86+'Aset Takberwujud'!$T86*12-1))),'Aset Takberwujud'!$AQ86/'Aset Takberwujud'!$AG86,0)))</f>
        <v/>
      </c>
      <c r="M291" s="22" t="str">
        <f>IF($B291="","",IF(N('Aset Takberwujud'!$AG86)=0,0,IF(AND((YEAR(M$211)*12+MONTH(M$211))&gt;='Aset Takberwujud'!$Y86,(YEAR(M$211)*12+MONTH(M$211))&lt;=MIN('Aset Takberwujud'!$Z86,IF('Aset Takberwujud'!$S86="Unit Produksi",99999,'Aset Takberwujud'!$Y86+'Aset Takberwujud'!$T86*12-1))),'Aset Takberwujud'!$AQ86/'Aset Takberwujud'!$AG86,0)))</f>
        <v/>
      </c>
      <c r="N291" s="22" t="str">
        <f>IF($B291="","",IF(N('Aset Takberwujud'!$AG86)=0,0,IF(AND((YEAR(N$211)*12+MONTH(N$211))&gt;='Aset Takberwujud'!$Y86,(YEAR(N$211)*12+MONTH(N$211))&lt;=MIN('Aset Takberwujud'!$Z86,IF('Aset Takberwujud'!$S86="Unit Produksi",99999,'Aset Takberwujud'!$Y86+'Aset Takberwujud'!$T86*12-1))),'Aset Takberwujud'!$AQ86/'Aset Takberwujud'!$AG86,0)))</f>
        <v/>
      </c>
      <c r="O291" s="22" t="str">
        <f>IF($B291="","",IF(N('Aset Takberwujud'!$AG86)=0,0,IF(AND((YEAR(O$211)*12+MONTH(O$211))&gt;='Aset Takberwujud'!$Y86,(YEAR(O$211)*12+MONTH(O$211))&lt;=MIN('Aset Takberwujud'!$Z86,IF('Aset Takberwujud'!$S86="Unit Produksi",99999,'Aset Takberwujud'!$Y86+'Aset Takberwujud'!$T86*12-1))),'Aset Takberwujud'!$AQ86/'Aset Takberwujud'!$AG86,0)))</f>
        <v/>
      </c>
      <c r="P291" s="22" t="str">
        <f>IF($B291="","",IF(N('Aset Takberwujud'!$AG86)=0,0,IF(AND((YEAR(P$211)*12+MONTH(P$211))&gt;='Aset Takberwujud'!$Y86,(YEAR(P$211)*12+MONTH(P$211))&lt;=MIN('Aset Takberwujud'!$Z86,IF('Aset Takberwujud'!$S86="Unit Produksi",99999,'Aset Takberwujud'!$Y86+'Aset Takberwujud'!$T86*12-1))),'Aset Takberwujud'!$AQ86/'Aset Takberwujud'!$AG86,0)))</f>
        <v/>
      </c>
      <c r="Q291" s="22" t="str">
        <f>IF($B291="","",SUM(E291:P291))</f>
        <v/>
      </c>
      <c r="R291" s="22" t="str">
        <f>IF($B291="","",'Aset Takberwujud'!AQ86)</f>
        <v/>
      </c>
      <c r="S291" s="22" t="str">
        <f>IF($B291="","",ROUND(Q291-R291,0))</f>
        <v/>
      </c>
    </row>
    <row r="292" spans="1:19" x14ac:dyDescent="0.25">
      <c r="A292" t="str">
        <f>IF('Aset Takberwujud'!$B87="","",'Aset Takberwujud'!A87)</f>
        <v/>
      </c>
      <c r="B292" t="str">
        <f>IF('Aset Takberwujud'!$B87="","",'Aset Takberwujud'!B87)</f>
        <v/>
      </c>
      <c r="C292" t="str">
        <f>IF('Aset Takberwujud'!$B87="","",'Aset Takberwujud'!C87)</f>
        <v/>
      </c>
      <c r="D292" t="str">
        <f>IF('Aset Takberwujud'!$B87="","",'Aset Takberwujud'!D87)</f>
        <v/>
      </c>
      <c r="E292" s="22" t="str">
        <f>IF($B292="","",IF(N('Aset Takberwujud'!$AG87)=0,0,IF(AND((YEAR(E$211)*12+MONTH(E$211))&gt;='Aset Takberwujud'!$Y87,(YEAR(E$211)*12+MONTH(E$211))&lt;=MIN('Aset Takberwujud'!$Z87,IF('Aset Takberwujud'!$S87="Unit Produksi",99999,'Aset Takberwujud'!$Y87+'Aset Takberwujud'!$T87*12-1))),'Aset Takberwujud'!$AQ87/'Aset Takberwujud'!$AG87,0)))</f>
        <v/>
      </c>
      <c r="F292" s="22" t="str">
        <f>IF($B292="","",IF(N('Aset Takberwujud'!$AG87)=0,0,IF(AND((YEAR(F$211)*12+MONTH(F$211))&gt;='Aset Takberwujud'!$Y87,(YEAR(F$211)*12+MONTH(F$211))&lt;=MIN('Aset Takberwujud'!$Z87,IF('Aset Takberwujud'!$S87="Unit Produksi",99999,'Aset Takberwujud'!$Y87+'Aset Takberwujud'!$T87*12-1))),'Aset Takberwujud'!$AQ87/'Aset Takberwujud'!$AG87,0)))</f>
        <v/>
      </c>
      <c r="G292" s="22" t="str">
        <f>IF($B292="","",IF(N('Aset Takberwujud'!$AG87)=0,0,IF(AND((YEAR(G$211)*12+MONTH(G$211))&gt;='Aset Takberwujud'!$Y87,(YEAR(G$211)*12+MONTH(G$211))&lt;=MIN('Aset Takberwujud'!$Z87,IF('Aset Takberwujud'!$S87="Unit Produksi",99999,'Aset Takberwujud'!$Y87+'Aset Takberwujud'!$T87*12-1))),'Aset Takberwujud'!$AQ87/'Aset Takberwujud'!$AG87,0)))</f>
        <v/>
      </c>
      <c r="H292" s="22" t="str">
        <f>IF($B292="","",IF(N('Aset Takberwujud'!$AG87)=0,0,IF(AND((YEAR(H$211)*12+MONTH(H$211))&gt;='Aset Takberwujud'!$Y87,(YEAR(H$211)*12+MONTH(H$211))&lt;=MIN('Aset Takberwujud'!$Z87,IF('Aset Takberwujud'!$S87="Unit Produksi",99999,'Aset Takberwujud'!$Y87+'Aset Takberwujud'!$T87*12-1))),'Aset Takberwujud'!$AQ87/'Aset Takberwujud'!$AG87,0)))</f>
        <v/>
      </c>
      <c r="I292" s="22" t="str">
        <f>IF($B292="","",IF(N('Aset Takberwujud'!$AG87)=0,0,IF(AND((YEAR(I$211)*12+MONTH(I$211))&gt;='Aset Takberwujud'!$Y87,(YEAR(I$211)*12+MONTH(I$211))&lt;=MIN('Aset Takberwujud'!$Z87,IF('Aset Takberwujud'!$S87="Unit Produksi",99999,'Aset Takberwujud'!$Y87+'Aset Takberwujud'!$T87*12-1))),'Aset Takberwujud'!$AQ87/'Aset Takberwujud'!$AG87,0)))</f>
        <v/>
      </c>
      <c r="J292" s="22" t="str">
        <f>IF($B292="","",IF(N('Aset Takberwujud'!$AG87)=0,0,IF(AND((YEAR(J$211)*12+MONTH(J$211))&gt;='Aset Takberwujud'!$Y87,(YEAR(J$211)*12+MONTH(J$211))&lt;=MIN('Aset Takberwujud'!$Z87,IF('Aset Takberwujud'!$S87="Unit Produksi",99999,'Aset Takberwujud'!$Y87+'Aset Takberwujud'!$T87*12-1))),'Aset Takberwujud'!$AQ87/'Aset Takberwujud'!$AG87,0)))</f>
        <v/>
      </c>
      <c r="K292" s="22" t="str">
        <f>IF($B292="","",IF(N('Aset Takberwujud'!$AG87)=0,0,IF(AND((YEAR(K$211)*12+MONTH(K$211))&gt;='Aset Takberwujud'!$Y87,(YEAR(K$211)*12+MONTH(K$211))&lt;=MIN('Aset Takberwujud'!$Z87,IF('Aset Takberwujud'!$S87="Unit Produksi",99999,'Aset Takberwujud'!$Y87+'Aset Takberwujud'!$T87*12-1))),'Aset Takberwujud'!$AQ87/'Aset Takberwujud'!$AG87,0)))</f>
        <v/>
      </c>
      <c r="L292" s="22" t="str">
        <f>IF($B292="","",IF(N('Aset Takberwujud'!$AG87)=0,0,IF(AND((YEAR(L$211)*12+MONTH(L$211))&gt;='Aset Takberwujud'!$Y87,(YEAR(L$211)*12+MONTH(L$211))&lt;=MIN('Aset Takberwujud'!$Z87,IF('Aset Takberwujud'!$S87="Unit Produksi",99999,'Aset Takberwujud'!$Y87+'Aset Takberwujud'!$T87*12-1))),'Aset Takberwujud'!$AQ87/'Aset Takberwujud'!$AG87,0)))</f>
        <v/>
      </c>
      <c r="M292" s="22" t="str">
        <f>IF($B292="","",IF(N('Aset Takberwujud'!$AG87)=0,0,IF(AND((YEAR(M$211)*12+MONTH(M$211))&gt;='Aset Takberwujud'!$Y87,(YEAR(M$211)*12+MONTH(M$211))&lt;=MIN('Aset Takberwujud'!$Z87,IF('Aset Takberwujud'!$S87="Unit Produksi",99999,'Aset Takberwujud'!$Y87+'Aset Takberwujud'!$T87*12-1))),'Aset Takberwujud'!$AQ87/'Aset Takberwujud'!$AG87,0)))</f>
        <v/>
      </c>
      <c r="N292" s="22" t="str">
        <f>IF($B292="","",IF(N('Aset Takberwujud'!$AG87)=0,0,IF(AND((YEAR(N$211)*12+MONTH(N$211))&gt;='Aset Takberwujud'!$Y87,(YEAR(N$211)*12+MONTH(N$211))&lt;=MIN('Aset Takberwujud'!$Z87,IF('Aset Takberwujud'!$S87="Unit Produksi",99999,'Aset Takberwujud'!$Y87+'Aset Takberwujud'!$T87*12-1))),'Aset Takberwujud'!$AQ87/'Aset Takberwujud'!$AG87,0)))</f>
        <v/>
      </c>
      <c r="O292" s="22" t="str">
        <f>IF($B292="","",IF(N('Aset Takberwujud'!$AG87)=0,0,IF(AND((YEAR(O$211)*12+MONTH(O$211))&gt;='Aset Takberwujud'!$Y87,(YEAR(O$211)*12+MONTH(O$211))&lt;=MIN('Aset Takberwujud'!$Z87,IF('Aset Takberwujud'!$S87="Unit Produksi",99999,'Aset Takberwujud'!$Y87+'Aset Takberwujud'!$T87*12-1))),'Aset Takberwujud'!$AQ87/'Aset Takberwujud'!$AG87,0)))</f>
        <v/>
      </c>
      <c r="P292" s="22" t="str">
        <f>IF($B292="","",IF(N('Aset Takberwujud'!$AG87)=0,0,IF(AND((YEAR(P$211)*12+MONTH(P$211))&gt;='Aset Takberwujud'!$Y87,(YEAR(P$211)*12+MONTH(P$211))&lt;=MIN('Aset Takberwujud'!$Z87,IF('Aset Takberwujud'!$S87="Unit Produksi",99999,'Aset Takberwujud'!$Y87+'Aset Takberwujud'!$T87*12-1))),'Aset Takberwujud'!$AQ87/'Aset Takberwujud'!$AG87,0)))</f>
        <v/>
      </c>
      <c r="Q292" s="22" t="str">
        <f>IF($B292="","",SUM(E292:P292))</f>
        <v/>
      </c>
      <c r="R292" s="22" t="str">
        <f>IF($B292="","",'Aset Takberwujud'!AQ87)</f>
        <v/>
      </c>
      <c r="S292" s="22" t="str">
        <f>IF($B292="","",ROUND(Q292-R292,0))</f>
        <v/>
      </c>
    </row>
    <row r="293" spans="1:19" x14ac:dyDescent="0.25">
      <c r="A293" t="str">
        <f>IF('Aset Takberwujud'!$B88="","",'Aset Takberwujud'!A88)</f>
        <v/>
      </c>
      <c r="B293" t="str">
        <f>IF('Aset Takberwujud'!$B88="","",'Aset Takberwujud'!B88)</f>
        <v/>
      </c>
      <c r="C293" t="str">
        <f>IF('Aset Takberwujud'!$B88="","",'Aset Takberwujud'!C88)</f>
        <v/>
      </c>
      <c r="D293" t="str">
        <f>IF('Aset Takberwujud'!$B88="","",'Aset Takberwujud'!D88)</f>
        <v/>
      </c>
      <c r="E293" s="22" t="str">
        <f>IF($B293="","",IF(N('Aset Takberwujud'!$AG88)=0,0,IF(AND((YEAR(E$211)*12+MONTH(E$211))&gt;='Aset Takberwujud'!$Y88,(YEAR(E$211)*12+MONTH(E$211))&lt;=MIN('Aset Takberwujud'!$Z88,IF('Aset Takberwujud'!$S88="Unit Produksi",99999,'Aset Takberwujud'!$Y88+'Aset Takberwujud'!$T88*12-1))),'Aset Takberwujud'!$AQ88/'Aset Takberwujud'!$AG88,0)))</f>
        <v/>
      </c>
      <c r="F293" s="22" t="str">
        <f>IF($B293="","",IF(N('Aset Takberwujud'!$AG88)=0,0,IF(AND((YEAR(F$211)*12+MONTH(F$211))&gt;='Aset Takberwujud'!$Y88,(YEAR(F$211)*12+MONTH(F$211))&lt;=MIN('Aset Takberwujud'!$Z88,IF('Aset Takberwujud'!$S88="Unit Produksi",99999,'Aset Takberwujud'!$Y88+'Aset Takberwujud'!$T88*12-1))),'Aset Takberwujud'!$AQ88/'Aset Takberwujud'!$AG88,0)))</f>
        <v/>
      </c>
      <c r="G293" s="22" t="str">
        <f>IF($B293="","",IF(N('Aset Takberwujud'!$AG88)=0,0,IF(AND((YEAR(G$211)*12+MONTH(G$211))&gt;='Aset Takberwujud'!$Y88,(YEAR(G$211)*12+MONTH(G$211))&lt;=MIN('Aset Takberwujud'!$Z88,IF('Aset Takberwujud'!$S88="Unit Produksi",99999,'Aset Takberwujud'!$Y88+'Aset Takberwujud'!$T88*12-1))),'Aset Takberwujud'!$AQ88/'Aset Takberwujud'!$AG88,0)))</f>
        <v/>
      </c>
      <c r="H293" s="22" t="str">
        <f>IF($B293="","",IF(N('Aset Takberwujud'!$AG88)=0,0,IF(AND((YEAR(H$211)*12+MONTH(H$211))&gt;='Aset Takberwujud'!$Y88,(YEAR(H$211)*12+MONTH(H$211))&lt;=MIN('Aset Takberwujud'!$Z88,IF('Aset Takberwujud'!$S88="Unit Produksi",99999,'Aset Takberwujud'!$Y88+'Aset Takberwujud'!$T88*12-1))),'Aset Takberwujud'!$AQ88/'Aset Takberwujud'!$AG88,0)))</f>
        <v/>
      </c>
      <c r="I293" s="22" t="str">
        <f>IF($B293="","",IF(N('Aset Takberwujud'!$AG88)=0,0,IF(AND((YEAR(I$211)*12+MONTH(I$211))&gt;='Aset Takberwujud'!$Y88,(YEAR(I$211)*12+MONTH(I$211))&lt;=MIN('Aset Takberwujud'!$Z88,IF('Aset Takberwujud'!$S88="Unit Produksi",99999,'Aset Takberwujud'!$Y88+'Aset Takberwujud'!$T88*12-1))),'Aset Takberwujud'!$AQ88/'Aset Takberwujud'!$AG88,0)))</f>
        <v/>
      </c>
      <c r="J293" s="22" t="str">
        <f>IF($B293="","",IF(N('Aset Takberwujud'!$AG88)=0,0,IF(AND((YEAR(J$211)*12+MONTH(J$211))&gt;='Aset Takberwujud'!$Y88,(YEAR(J$211)*12+MONTH(J$211))&lt;=MIN('Aset Takberwujud'!$Z88,IF('Aset Takberwujud'!$S88="Unit Produksi",99999,'Aset Takberwujud'!$Y88+'Aset Takberwujud'!$T88*12-1))),'Aset Takberwujud'!$AQ88/'Aset Takberwujud'!$AG88,0)))</f>
        <v/>
      </c>
      <c r="K293" s="22" t="str">
        <f>IF($B293="","",IF(N('Aset Takberwujud'!$AG88)=0,0,IF(AND((YEAR(K$211)*12+MONTH(K$211))&gt;='Aset Takberwujud'!$Y88,(YEAR(K$211)*12+MONTH(K$211))&lt;=MIN('Aset Takberwujud'!$Z88,IF('Aset Takberwujud'!$S88="Unit Produksi",99999,'Aset Takberwujud'!$Y88+'Aset Takberwujud'!$T88*12-1))),'Aset Takberwujud'!$AQ88/'Aset Takberwujud'!$AG88,0)))</f>
        <v/>
      </c>
      <c r="L293" s="22" t="str">
        <f>IF($B293="","",IF(N('Aset Takberwujud'!$AG88)=0,0,IF(AND((YEAR(L$211)*12+MONTH(L$211))&gt;='Aset Takberwujud'!$Y88,(YEAR(L$211)*12+MONTH(L$211))&lt;=MIN('Aset Takberwujud'!$Z88,IF('Aset Takberwujud'!$S88="Unit Produksi",99999,'Aset Takberwujud'!$Y88+'Aset Takberwujud'!$T88*12-1))),'Aset Takberwujud'!$AQ88/'Aset Takberwujud'!$AG88,0)))</f>
        <v/>
      </c>
      <c r="M293" s="22" t="str">
        <f>IF($B293="","",IF(N('Aset Takberwujud'!$AG88)=0,0,IF(AND((YEAR(M$211)*12+MONTH(M$211))&gt;='Aset Takberwujud'!$Y88,(YEAR(M$211)*12+MONTH(M$211))&lt;=MIN('Aset Takberwujud'!$Z88,IF('Aset Takberwujud'!$S88="Unit Produksi",99999,'Aset Takberwujud'!$Y88+'Aset Takberwujud'!$T88*12-1))),'Aset Takberwujud'!$AQ88/'Aset Takberwujud'!$AG88,0)))</f>
        <v/>
      </c>
      <c r="N293" s="22" t="str">
        <f>IF($B293="","",IF(N('Aset Takberwujud'!$AG88)=0,0,IF(AND((YEAR(N$211)*12+MONTH(N$211))&gt;='Aset Takberwujud'!$Y88,(YEAR(N$211)*12+MONTH(N$211))&lt;=MIN('Aset Takberwujud'!$Z88,IF('Aset Takberwujud'!$S88="Unit Produksi",99999,'Aset Takberwujud'!$Y88+'Aset Takberwujud'!$T88*12-1))),'Aset Takberwujud'!$AQ88/'Aset Takberwujud'!$AG88,0)))</f>
        <v/>
      </c>
      <c r="O293" s="22" t="str">
        <f>IF($B293="","",IF(N('Aset Takberwujud'!$AG88)=0,0,IF(AND((YEAR(O$211)*12+MONTH(O$211))&gt;='Aset Takberwujud'!$Y88,(YEAR(O$211)*12+MONTH(O$211))&lt;=MIN('Aset Takberwujud'!$Z88,IF('Aset Takberwujud'!$S88="Unit Produksi",99999,'Aset Takberwujud'!$Y88+'Aset Takberwujud'!$T88*12-1))),'Aset Takberwujud'!$AQ88/'Aset Takberwujud'!$AG88,0)))</f>
        <v/>
      </c>
      <c r="P293" s="22" t="str">
        <f>IF($B293="","",IF(N('Aset Takberwujud'!$AG88)=0,0,IF(AND((YEAR(P$211)*12+MONTH(P$211))&gt;='Aset Takberwujud'!$Y88,(YEAR(P$211)*12+MONTH(P$211))&lt;=MIN('Aset Takberwujud'!$Z88,IF('Aset Takberwujud'!$S88="Unit Produksi",99999,'Aset Takberwujud'!$Y88+'Aset Takberwujud'!$T88*12-1))),'Aset Takberwujud'!$AQ88/'Aset Takberwujud'!$AG88,0)))</f>
        <v/>
      </c>
      <c r="Q293" s="22" t="str">
        <f>IF($B293="","",SUM(E293:P293))</f>
        <v/>
      </c>
      <c r="R293" s="22" t="str">
        <f>IF($B293="","",'Aset Takberwujud'!AQ88)</f>
        <v/>
      </c>
      <c r="S293" s="22" t="str">
        <f>IF($B293="","",ROUND(Q293-R293,0))</f>
        <v/>
      </c>
    </row>
    <row r="294" spans="1:19" x14ac:dyDescent="0.25">
      <c r="A294" t="str">
        <f>IF('Aset Takberwujud'!$B89="","",'Aset Takberwujud'!A89)</f>
        <v/>
      </c>
      <c r="B294" t="str">
        <f>IF('Aset Takberwujud'!$B89="","",'Aset Takberwujud'!B89)</f>
        <v/>
      </c>
      <c r="C294" t="str">
        <f>IF('Aset Takberwujud'!$B89="","",'Aset Takberwujud'!C89)</f>
        <v/>
      </c>
      <c r="D294" t="str">
        <f>IF('Aset Takberwujud'!$B89="","",'Aset Takberwujud'!D89)</f>
        <v/>
      </c>
      <c r="E294" s="22" t="str">
        <f>IF($B294="","",IF(N('Aset Takberwujud'!$AG89)=0,0,IF(AND((YEAR(E$211)*12+MONTH(E$211))&gt;='Aset Takberwujud'!$Y89,(YEAR(E$211)*12+MONTH(E$211))&lt;=MIN('Aset Takberwujud'!$Z89,IF('Aset Takberwujud'!$S89="Unit Produksi",99999,'Aset Takberwujud'!$Y89+'Aset Takberwujud'!$T89*12-1))),'Aset Takberwujud'!$AQ89/'Aset Takberwujud'!$AG89,0)))</f>
        <v/>
      </c>
      <c r="F294" s="22" t="str">
        <f>IF($B294="","",IF(N('Aset Takberwujud'!$AG89)=0,0,IF(AND((YEAR(F$211)*12+MONTH(F$211))&gt;='Aset Takberwujud'!$Y89,(YEAR(F$211)*12+MONTH(F$211))&lt;=MIN('Aset Takberwujud'!$Z89,IF('Aset Takberwujud'!$S89="Unit Produksi",99999,'Aset Takberwujud'!$Y89+'Aset Takberwujud'!$T89*12-1))),'Aset Takberwujud'!$AQ89/'Aset Takberwujud'!$AG89,0)))</f>
        <v/>
      </c>
      <c r="G294" s="22" t="str">
        <f>IF($B294="","",IF(N('Aset Takberwujud'!$AG89)=0,0,IF(AND((YEAR(G$211)*12+MONTH(G$211))&gt;='Aset Takberwujud'!$Y89,(YEAR(G$211)*12+MONTH(G$211))&lt;=MIN('Aset Takberwujud'!$Z89,IF('Aset Takberwujud'!$S89="Unit Produksi",99999,'Aset Takberwujud'!$Y89+'Aset Takberwujud'!$T89*12-1))),'Aset Takberwujud'!$AQ89/'Aset Takberwujud'!$AG89,0)))</f>
        <v/>
      </c>
      <c r="H294" s="22" t="str">
        <f>IF($B294="","",IF(N('Aset Takberwujud'!$AG89)=0,0,IF(AND((YEAR(H$211)*12+MONTH(H$211))&gt;='Aset Takberwujud'!$Y89,(YEAR(H$211)*12+MONTH(H$211))&lt;=MIN('Aset Takberwujud'!$Z89,IF('Aset Takberwujud'!$S89="Unit Produksi",99999,'Aset Takberwujud'!$Y89+'Aset Takberwujud'!$T89*12-1))),'Aset Takberwujud'!$AQ89/'Aset Takberwujud'!$AG89,0)))</f>
        <v/>
      </c>
      <c r="I294" s="22" t="str">
        <f>IF($B294="","",IF(N('Aset Takberwujud'!$AG89)=0,0,IF(AND((YEAR(I$211)*12+MONTH(I$211))&gt;='Aset Takberwujud'!$Y89,(YEAR(I$211)*12+MONTH(I$211))&lt;=MIN('Aset Takberwujud'!$Z89,IF('Aset Takberwujud'!$S89="Unit Produksi",99999,'Aset Takberwujud'!$Y89+'Aset Takberwujud'!$T89*12-1))),'Aset Takberwujud'!$AQ89/'Aset Takberwujud'!$AG89,0)))</f>
        <v/>
      </c>
      <c r="J294" s="22" t="str">
        <f>IF($B294="","",IF(N('Aset Takberwujud'!$AG89)=0,0,IF(AND((YEAR(J$211)*12+MONTH(J$211))&gt;='Aset Takberwujud'!$Y89,(YEAR(J$211)*12+MONTH(J$211))&lt;=MIN('Aset Takberwujud'!$Z89,IF('Aset Takberwujud'!$S89="Unit Produksi",99999,'Aset Takberwujud'!$Y89+'Aset Takberwujud'!$T89*12-1))),'Aset Takberwujud'!$AQ89/'Aset Takberwujud'!$AG89,0)))</f>
        <v/>
      </c>
      <c r="K294" s="22" t="str">
        <f>IF($B294="","",IF(N('Aset Takberwujud'!$AG89)=0,0,IF(AND((YEAR(K$211)*12+MONTH(K$211))&gt;='Aset Takberwujud'!$Y89,(YEAR(K$211)*12+MONTH(K$211))&lt;=MIN('Aset Takberwujud'!$Z89,IF('Aset Takberwujud'!$S89="Unit Produksi",99999,'Aset Takberwujud'!$Y89+'Aset Takberwujud'!$T89*12-1))),'Aset Takberwujud'!$AQ89/'Aset Takberwujud'!$AG89,0)))</f>
        <v/>
      </c>
      <c r="L294" s="22" t="str">
        <f>IF($B294="","",IF(N('Aset Takberwujud'!$AG89)=0,0,IF(AND((YEAR(L$211)*12+MONTH(L$211))&gt;='Aset Takberwujud'!$Y89,(YEAR(L$211)*12+MONTH(L$211))&lt;=MIN('Aset Takberwujud'!$Z89,IF('Aset Takberwujud'!$S89="Unit Produksi",99999,'Aset Takberwujud'!$Y89+'Aset Takberwujud'!$T89*12-1))),'Aset Takberwujud'!$AQ89/'Aset Takberwujud'!$AG89,0)))</f>
        <v/>
      </c>
      <c r="M294" s="22" t="str">
        <f>IF($B294="","",IF(N('Aset Takberwujud'!$AG89)=0,0,IF(AND((YEAR(M$211)*12+MONTH(M$211))&gt;='Aset Takberwujud'!$Y89,(YEAR(M$211)*12+MONTH(M$211))&lt;=MIN('Aset Takberwujud'!$Z89,IF('Aset Takberwujud'!$S89="Unit Produksi",99999,'Aset Takberwujud'!$Y89+'Aset Takberwujud'!$T89*12-1))),'Aset Takberwujud'!$AQ89/'Aset Takberwujud'!$AG89,0)))</f>
        <v/>
      </c>
      <c r="N294" s="22" t="str">
        <f>IF($B294="","",IF(N('Aset Takberwujud'!$AG89)=0,0,IF(AND((YEAR(N$211)*12+MONTH(N$211))&gt;='Aset Takberwujud'!$Y89,(YEAR(N$211)*12+MONTH(N$211))&lt;=MIN('Aset Takberwujud'!$Z89,IF('Aset Takberwujud'!$S89="Unit Produksi",99999,'Aset Takberwujud'!$Y89+'Aset Takberwujud'!$T89*12-1))),'Aset Takberwujud'!$AQ89/'Aset Takberwujud'!$AG89,0)))</f>
        <v/>
      </c>
      <c r="O294" s="22" t="str">
        <f>IF($B294="","",IF(N('Aset Takberwujud'!$AG89)=0,0,IF(AND((YEAR(O$211)*12+MONTH(O$211))&gt;='Aset Takberwujud'!$Y89,(YEAR(O$211)*12+MONTH(O$211))&lt;=MIN('Aset Takberwujud'!$Z89,IF('Aset Takberwujud'!$S89="Unit Produksi",99999,'Aset Takberwujud'!$Y89+'Aset Takberwujud'!$T89*12-1))),'Aset Takberwujud'!$AQ89/'Aset Takberwujud'!$AG89,0)))</f>
        <v/>
      </c>
      <c r="P294" s="22" t="str">
        <f>IF($B294="","",IF(N('Aset Takberwujud'!$AG89)=0,0,IF(AND((YEAR(P$211)*12+MONTH(P$211))&gt;='Aset Takberwujud'!$Y89,(YEAR(P$211)*12+MONTH(P$211))&lt;=MIN('Aset Takberwujud'!$Z89,IF('Aset Takberwujud'!$S89="Unit Produksi",99999,'Aset Takberwujud'!$Y89+'Aset Takberwujud'!$T89*12-1))),'Aset Takberwujud'!$AQ89/'Aset Takberwujud'!$AG89,0)))</f>
        <v/>
      </c>
      <c r="Q294" s="22" t="str">
        <f>IF($B294="","",SUM(E294:P294))</f>
        <v/>
      </c>
      <c r="R294" s="22" t="str">
        <f>IF($B294="","",'Aset Takberwujud'!AQ89)</f>
        <v/>
      </c>
      <c r="S294" s="22" t="str">
        <f>IF($B294="","",ROUND(Q294-R294,0))</f>
        <v/>
      </c>
    </row>
    <row r="295" spans="1:19" x14ac:dyDescent="0.25">
      <c r="A295" t="str">
        <f>IF('Aset Takberwujud'!$B90="","",'Aset Takberwujud'!A90)</f>
        <v/>
      </c>
      <c r="B295" t="str">
        <f>IF('Aset Takberwujud'!$B90="","",'Aset Takberwujud'!B90)</f>
        <v/>
      </c>
      <c r="C295" t="str">
        <f>IF('Aset Takberwujud'!$B90="","",'Aset Takberwujud'!C90)</f>
        <v/>
      </c>
      <c r="D295" t="str">
        <f>IF('Aset Takberwujud'!$B90="","",'Aset Takberwujud'!D90)</f>
        <v/>
      </c>
      <c r="E295" s="22" t="str">
        <f>IF($B295="","",IF(N('Aset Takberwujud'!$AG90)=0,0,IF(AND((YEAR(E$211)*12+MONTH(E$211))&gt;='Aset Takberwujud'!$Y90,(YEAR(E$211)*12+MONTH(E$211))&lt;=MIN('Aset Takberwujud'!$Z90,IF('Aset Takberwujud'!$S90="Unit Produksi",99999,'Aset Takberwujud'!$Y90+'Aset Takberwujud'!$T90*12-1))),'Aset Takberwujud'!$AQ90/'Aset Takberwujud'!$AG90,0)))</f>
        <v/>
      </c>
      <c r="F295" s="22" t="str">
        <f>IF($B295="","",IF(N('Aset Takberwujud'!$AG90)=0,0,IF(AND((YEAR(F$211)*12+MONTH(F$211))&gt;='Aset Takberwujud'!$Y90,(YEAR(F$211)*12+MONTH(F$211))&lt;=MIN('Aset Takberwujud'!$Z90,IF('Aset Takberwujud'!$S90="Unit Produksi",99999,'Aset Takberwujud'!$Y90+'Aset Takberwujud'!$T90*12-1))),'Aset Takberwujud'!$AQ90/'Aset Takberwujud'!$AG90,0)))</f>
        <v/>
      </c>
      <c r="G295" s="22" t="str">
        <f>IF($B295="","",IF(N('Aset Takberwujud'!$AG90)=0,0,IF(AND((YEAR(G$211)*12+MONTH(G$211))&gt;='Aset Takberwujud'!$Y90,(YEAR(G$211)*12+MONTH(G$211))&lt;=MIN('Aset Takberwujud'!$Z90,IF('Aset Takberwujud'!$S90="Unit Produksi",99999,'Aset Takberwujud'!$Y90+'Aset Takberwujud'!$T90*12-1))),'Aset Takberwujud'!$AQ90/'Aset Takberwujud'!$AG90,0)))</f>
        <v/>
      </c>
      <c r="H295" s="22" t="str">
        <f>IF($B295="","",IF(N('Aset Takberwujud'!$AG90)=0,0,IF(AND((YEAR(H$211)*12+MONTH(H$211))&gt;='Aset Takberwujud'!$Y90,(YEAR(H$211)*12+MONTH(H$211))&lt;=MIN('Aset Takberwujud'!$Z90,IF('Aset Takberwujud'!$S90="Unit Produksi",99999,'Aset Takberwujud'!$Y90+'Aset Takberwujud'!$T90*12-1))),'Aset Takberwujud'!$AQ90/'Aset Takberwujud'!$AG90,0)))</f>
        <v/>
      </c>
      <c r="I295" s="22" t="str">
        <f>IF($B295="","",IF(N('Aset Takberwujud'!$AG90)=0,0,IF(AND((YEAR(I$211)*12+MONTH(I$211))&gt;='Aset Takberwujud'!$Y90,(YEAR(I$211)*12+MONTH(I$211))&lt;=MIN('Aset Takberwujud'!$Z90,IF('Aset Takberwujud'!$S90="Unit Produksi",99999,'Aset Takberwujud'!$Y90+'Aset Takberwujud'!$T90*12-1))),'Aset Takberwujud'!$AQ90/'Aset Takberwujud'!$AG90,0)))</f>
        <v/>
      </c>
      <c r="J295" s="22" t="str">
        <f>IF($B295="","",IF(N('Aset Takberwujud'!$AG90)=0,0,IF(AND((YEAR(J$211)*12+MONTH(J$211))&gt;='Aset Takberwujud'!$Y90,(YEAR(J$211)*12+MONTH(J$211))&lt;=MIN('Aset Takberwujud'!$Z90,IF('Aset Takberwujud'!$S90="Unit Produksi",99999,'Aset Takberwujud'!$Y90+'Aset Takberwujud'!$T90*12-1))),'Aset Takberwujud'!$AQ90/'Aset Takberwujud'!$AG90,0)))</f>
        <v/>
      </c>
      <c r="K295" s="22" t="str">
        <f>IF($B295="","",IF(N('Aset Takberwujud'!$AG90)=0,0,IF(AND((YEAR(K$211)*12+MONTH(K$211))&gt;='Aset Takberwujud'!$Y90,(YEAR(K$211)*12+MONTH(K$211))&lt;=MIN('Aset Takberwujud'!$Z90,IF('Aset Takberwujud'!$S90="Unit Produksi",99999,'Aset Takberwujud'!$Y90+'Aset Takberwujud'!$T90*12-1))),'Aset Takberwujud'!$AQ90/'Aset Takberwujud'!$AG90,0)))</f>
        <v/>
      </c>
      <c r="L295" s="22" t="str">
        <f>IF($B295="","",IF(N('Aset Takberwujud'!$AG90)=0,0,IF(AND((YEAR(L$211)*12+MONTH(L$211))&gt;='Aset Takberwujud'!$Y90,(YEAR(L$211)*12+MONTH(L$211))&lt;=MIN('Aset Takberwujud'!$Z90,IF('Aset Takberwujud'!$S90="Unit Produksi",99999,'Aset Takberwujud'!$Y90+'Aset Takberwujud'!$T90*12-1))),'Aset Takberwujud'!$AQ90/'Aset Takberwujud'!$AG90,0)))</f>
        <v/>
      </c>
      <c r="M295" s="22" t="str">
        <f>IF($B295="","",IF(N('Aset Takberwujud'!$AG90)=0,0,IF(AND((YEAR(M$211)*12+MONTH(M$211))&gt;='Aset Takberwujud'!$Y90,(YEAR(M$211)*12+MONTH(M$211))&lt;=MIN('Aset Takberwujud'!$Z90,IF('Aset Takberwujud'!$S90="Unit Produksi",99999,'Aset Takberwujud'!$Y90+'Aset Takberwujud'!$T90*12-1))),'Aset Takberwujud'!$AQ90/'Aset Takberwujud'!$AG90,0)))</f>
        <v/>
      </c>
      <c r="N295" s="22" t="str">
        <f>IF($B295="","",IF(N('Aset Takberwujud'!$AG90)=0,0,IF(AND((YEAR(N$211)*12+MONTH(N$211))&gt;='Aset Takberwujud'!$Y90,(YEAR(N$211)*12+MONTH(N$211))&lt;=MIN('Aset Takberwujud'!$Z90,IF('Aset Takberwujud'!$S90="Unit Produksi",99999,'Aset Takberwujud'!$Y90+'Aset Takberwujud'!$T90*12-1))),'Aset Takberwujud'!$AQ90/'Aset Takberwujud'!$AG90,0)))</f>
        <v/>
      </c>
      <c r="O295" s="22" t="str">
        <f>IF($B295="","",IF(N('Aset Takberwujud'!$AG90)=0,0,IF(AND((YEAR(O$211)*12+MONTH(O$211))&gt;='Aset Takberwujud'!$Y90,(YEAR(O$211)*12+MONTH(O$211))&lt;=MIN('Aset Takberwujud'!$Z90,IF('Aset Takberwujud'!$S90="Unit Produksi",99999,'Aset Takberwujud'!$Y90+'Aset Takberwujud'!$T90*12-1))),'Aset Takberwujud'!$AQ90/'Aset Takberwujud'!$AG90,0)))</f>
        <v/>
      </c>
      <c r="P295" s="22" t="str">
        <f>IF($B295="","",IF(N('Aset Takberwujud'!$AG90)=0,0,IF(AND((YEAR(P$211)*12+MONTH(P$211))&gt;='Aset Takberwujud'!$Y90,(YEAR(P$211)*12+MONTH(P$211))&lt;=MIN('Aset Takberwujud'!$Z90,IF('Aset Takberwujud'!$S90="Unit Produksi",99999,'Aset Takberwujud'!$Y90+'Aset Takberwujud'!$T90*12-1))),'Aset Takberwujud'!$AQ90/'Aset Takberwujud'!$AG90,0)))</f>
        <v/>
      </c>
      <c r="Q295" s="22" t="str">
        <f>IF($B295="","",SUM(E295:P295))</f>
        <v/>
      </c>
      <c r="R295" s="22" t="str">
        <f>IF($B295="","",'Aset Takberwujud'!AQ90)</f>
        <v/>
      </c>
      <c r="S295" s="22" t="str">
        <f>IF($B295="","",ROUND(Q295-R295,0))</f>
        <v/>
      </c>
    </row>
    <row r="296" spans="1:19" x14ac:dyDescent="0.25">
      <c r="A296" t="str">
        <f>IF('Aset Takberwujud'!$B91="","",'Aset Takberwujud'!A91)</f>
        <v/>
      </c>
      <c r="B296" t="str">
        <f>IF('Aset Takberwujud'!$B91="","",'Aset Takberwujud'!B91)</f>
        <v/>
      </c>
      <c r="C296" t="str">
        <f>IF('Aset Takberwujud'!$B91="","",'Aset Takberwujud'!C91)</f>
        <v/>
      </c>
      <c r="D296" t="str">
        <f>IF('Aset Takberwujud'!$B91="","",'Aset Takberwujud'!D91)</f>
        <v/>
      </c>
      <c r="E296" s="22" t="str">
        <f>IF($B296="","",IF(N('Aset Takberwujud'!$AG91)=0,0,IF(AND((YEAR(E$211)*12+MONTH(E$211))&gt;='Aset Takberwujud'!$Y91,(YEAR(E$211)*12+MONTH(E$211))&lt;=MIN('Aset Takberwujud'!$Z91,IF('Aset Takberwujud'!$S91="Unit Produksi",99999,'Aset Takberwujud'!$Y91+'Aset Takberwujud'!$T91*12-1))),'Aset Takberwujud'!$AQ91/'Aset Takberwujud'!$AG91,0)))</f>
        <v/>
      </c>
      <c r="F296" s="22" t="str">
        <f>IF($B296="","",IF(N('Aset Takberwujud'!$AG91)=0,0,IF(AND((YEAR(F$211)*12+MONTH(F$211))&gt;='Aset Takberwujud'!$Y91,(YEAR(F$211)*12+MONTH(F$211))&lt;=MIN('Aset Takberwujud'!$Z91,IF('Aset Takberwujud'!$S91="Unit Produksi",99999,'Aset Takberwujud'!$Y91+'Aset Takberwujud'!$T91*12-1))),'Aset Takberwujud'!$AQ91/'Aset Takberwujud'!$AG91,0)))</f>
        <v/>
      </c>
      <c r="G296" s="22" t="str">
        <f>IF($B296="","",IF(N('Aset Takberwujud'!$AG91)=0,0,IF(AND((YEAR(G$211)*12+MONTH(G$211))&gt;='Aset Takberwujud'!$Y91,(YEAR(G$211)*12+MONTH(G$211))&lt;=MIN('Aset Takberwujud'!$Z91,IF('Aset Takberwujud'!$S91="Unit Produksi",99999,'Aset Takberwujud'!$Y91+'Aset Takberwujud'!$T91*12-1))),'Aset Takberwujud'!$AQ91/'Aset Takberwujud'!$AG91,0)))</f>
        <v/>
      </c>
      <c r="H296" s="22" t="str">
        <f>IF($B296="","",IF(N('Aset Takberwujud'!$AG91)=0,0,IF(AND((YEAR(H$211)*12+MONTH(H$211))&gt;='Aset Takberwujud'!$Y91,(YEAR(H$211)*12+MONTH(H$211))&lt;=MIN('Aset Takberwujud'!$Z91,IF('Aset Takberwujud'!$S91="Unit Produksi",99999,'Aset Takberwujud'!$Y91+'Aset Takberwujud'!$T91*12-1))),'Aset Takberwujud'!$AQ91/'Aset Takberwujud'!$AG91,0)))</f>
        <v/>
      </c>
      <c r="I296" s="22" t="str">
        <f>IF($B296="","",IF(N('Aset Takberwujud'!$AG91)=0,0,IF(AND((YEAR(I$211)*12+MONTH(I$211))&gt;='Aset Takberwujud'!$Y91,(YEAR(I$211)*12+MONTH(I$211))&lt;=MIN('Aset Takberwujud'!$Z91,IF('Aset Takberwujud'!$S91="Unit Produksi",99999,'Aset Takberwujud'!$Y91+'Aset Takberwujud'!$T91*12-1))),'Aset Takberwujud'!$AQ91/'Aset Takberwujud'!$AG91,0)))</f>
        <v/>
      </c>
      <c r="J296" s="22" t="str">
        <f>IF($B296="","",IF(N('Aset Takberwujud'!$AG91)=0,0,IF(AND((YEAR(J$211)*12+MONTH(J$211))&gt;='Aset Takberwujud'!$Y91,(YEAR(J$211)*12+MONTH(J$211))&lt;=MIN('Aset Takberwujud'!$Z91,IF('Aset Takberwujud'!$S91="Unit Produksi",99999,'Aset Takberwujud'!$Y91+'Aset Takberwujud'!$T91*12-1))),'Aset Takberwujud'!$AQ91/'Aset Takberwujud'!$AG91,0)))</f>
        <v/>
      </c>
      <c r="K296" s="22" t="str">
        <f>IF($B296="","",IF(N('Aset Takberwujud'!$AG91)=0,0,IF(AND((YEAR(K$211)*12+MONTH(K$211))&gt;='Aset Takberwujud'!$Y91,(YEAR(K$211)*12+MONTH(K$211))&lt;=MIN('Aset Takberwujud'!$Z91,IF('Aset Takberwujud'!$S91="Unit Produksi",99999,'Aset Takberwujud'!$Y91+'Aset Takberwujud'!$T91*12-1))),'Aset Takberwujud'!$AQ91/'Aset Takberwujud'!$AG91,0)))</f>
        <v/>
      </c>
      <c r="L296" s="22" t="str">
        <f>IF($B296="","",IF(N('Aset Takberwujud'!$AG91)=0,0,IF(AND((YEAR(L$211)*12+MONTH(L$211))&gt;='Aset Takberwujud'!$Y91,(YEAR(L$211)*12+MONTH(L$211))&lt;=MIN('Aset Takberwujud'!$Z91,IF('Aset Takberwujud'!$S91="Unit Produksi",99999,'Aset Takberwujud'!$Y91+'Aset Takberwujud'!$T91*12-1))),'Aset Takberwujud'!$AQ91/'Aset Takberwujud'!$AG91,0)))</f>
        <v/>
      </c>
      <c r="M296" s="22" t="str">
        <f>IF($B296="","",IF(N('Aset Takberwujud'!$AG91)=0,0,IF(AND((YEAR(M$211)*12+MONTH(M$211))&gt;='Aset Takberwujud'!$Y91,(YEAR(M$211)*12+MONTH(M$211))&lt;=MIN('Aset Takberwujud'!$Z91,IF('Aset Takberwujud'!$S91="Unit Produksi",99999,'Aset Takberwujud'!$Y91+'Aset Takberwujud'!$T91*12-1))),'Aset Takberwujud'!$AQ91/'Aset Takberwujud'!$AG91,0)))</f>
        <v/>
      </c>
      <c r="N296" s="22" t="str">
        <f>IF($B296="","",IF(N('Aset Takberwujud'!$AG91)=0,0,IF(AND((YEAR(N$211)*12+MONTH(N$211))&gt;='Aset Takberwujud'!$Y91,(YEAR(N$211)*12+MONTH(N$211))&lt;=MIN('Aset Takberwujud'!$Z91,IF('Aset Takberwujud'!$S91="Unit Produksi",99999,'Aset Takberwujud'!$Y91+'Aset Takberwujud'!$T91*12-1))),'Aset Takberwujud'!$AQ91/'Aset Takberwujud'!$AG91,0)))</f>
        <v/>
      </c>
      <c r="O296" s="22" t="str">
        <f>IF($B296="","",IF(N('Aset Takberwujud'!$AG91)=0,0,IF(AND((YEAR(O$211)*12+MONTH(O$211))&gt;='Aset Takberwujud'!$Y91,(YEAR(O$211)*12+MONTH(O$211))&lt;=MIN('Aset Takberwujud'!$Z91,IF('Aset Takberwujud'!$S91="Unit Produksi",99999,'Aset Takberwujud'!$Y91+'Aset Takberwujud'!$T91*12-1))),'Aset Takberwujud'!$AQ91/'Aset Takberwujud'!$AG91,0)))</f>
        <v/>
      </c>
      <c r="P296" s="22" t="str">
        <f>IF($B296="","",IF(N('Aset Takberwujud'!$AG91)=0,0,IF(AND((YEAR(P$211)*12+MONTH(P$211))&gt;='Aset Takberwujud'!$Y91,(YEAR(P$211)*12+MONTH(P$211))&lt;=MIN('Aset Takberwujud'!$Z91,IF('Aset Takberwujud'!$S91="Unit Produksi",99999,'Aset Takberwujud'!$Y91+'Aset Takberwujud'!$T91*12-1))),'Aset Takberwujud'!$AQ91/'Aset Takberwujud'!$AG91,0)))</f>
        <v/>
      </c>
      <c r="Q296" s="22" t="str">
        <f>IF($B296="","",SUM(E296:P296))</f>
        <v/>
      </c>
      <c r="R296" s="22" t="str">
        <f>IF($B296="","",'Aset Takberwujud'!AQ91)</f>
        <v/>
      </c>
      <c r="S296" s="22" t="str">
        <f>IF($B296="","",ROUND(Q296-R296,0))</f>
        <v/>
      </c>
    </row>
    <row r="297" spans="1:19" x14ac:dyDescent="0.25">
      <c r="A297" t="str">
        <f>IF('Aset Takberwujud'!$B92="","",'Aset Takberwujud'!A92)</f>
        <v/>
      </c>
      <c r="B297" t="str">
        <f>IF('Aset Takberwujud'!$B92="","",'Aset Takberwujud'!B92)</f>
        <v/>
      </c>
      <c r="C297" t="str">
        <f>IF('Aset Takberwujud'!$B92="","",'Aset Takberwujud'!C92)</f>
        <v/>
      </c>
      <c r="D297" t="str">
        <f>IF('Aset Takberwujud'!$B92="","",'Aset Takberwujud'!D92)</f>
        <v/>
      </c>
      <c r="E297" s="22" t="str">
        <f>IF($B297="","",IF(N('Aset Takberwujud'!$AG92)=0,0,IF(AND((YEAR(E$211)*12+MONTH(E$211))&gt;='Aset Takberwujud'!$Y92,(YEAR(E$211)*12+MONTH(E$211))&lt;=MIN('Aset Takberwujud'!$Z92,IF('Aset Takberwujud'!$S92="Unit Produksi",99999,'Aset Takberwujud'!$Y92+'Aset Takberwujud'!$T92*12-1))),'Aset Takberwujud'!$AQ92/'Aset Takberwujud'!$AG92,0)))</f>
        <v/>
      </c>
      <c r="F297" s="22" t="str">
        <f>IF($B297="","",IF(N('Aset Takberwujud'!$AG92)=0,0,IF(AND((YEAR(F$211)*12+MONTH(F$211))&gt;='Aset Takberwujud'!$Y92,(YEAR(F$211)*12+MONTH(F$211))&lt;=MIN('Aset Takberwujud'!$Z92,IF('Aset Takberwujud'!$S92="Unit Produksi",99999,'Aset Takberwujud'!$Y92+'Aset Takberwujud'!$T92*12-1))),'Aset Takberwujud'!$AQ92/'Aset Takberwujud'!$AG92,0)))</f>
        <v/>
      </c>
      <c r="G297" s="22" t="str">
        <f>IF($B297="","",IF(N('Aset Takberwujud'!$AG92)=0,0,IF(AND((YEAR(G$211)*12+MONTH(G$211))&gt;='Aset Takberwujud'!$Y92,(YEAR(G$211)*12+MONTH(G$211))&lt;=MIN('Aset Takberwujud'!$Z92,IF('Aset Takberwujud'!$S92="Unit Produksi",99999,'Aset Takberwujud'!$Y92+'Aset Takberwujud'!$T92*12-1))),'Aset Takberwujud'!$AQ92/'Aset Takberwujud'!$AG92,0)))</f>
        <v/>
      </c>
      <c r="H297" s="22" t="str">
        <f>IF($B297="","",IF(N('Aset Takberwujud'!$AG92)=0,0,IF(AND((YEAR(H$211)*12+MONTH(H$211))&gt;='Aset Takberwujud'!$Y92,(YEAR(H$211)*12+MONTH(H$211))&lt;=MIN('Aset Takberwujud'!$Z92,IF('Aset Takberwujud'!$S92="Unit Produksi",99999,'Aset Takberwujud'!$Y92+'Aset Takberwujud'!$T92*12-1))),'Aset Takberwujud'!$AQ92/'Aset Takberwujud'!$AG92,0)))</f>
        <v/>
      </c>
      <c r="I297" s="22" t="str">
        <f>IF($B297="","",IF(N('Aset Takberwujud'!$AG92)=0,0,IF(AND((YEAR(I$211)*12+MONTH(I$211))&gt;='Aset Takberwujud'!$Y92,(YEAR(I$211)*12+MONTH(I$211))&lt;=MIN('Aset Takberwujud'!$Z92,IF('Aset Takberwujud'!$S92="Unit Produksi",99999,'Aset Takberwujud'!$Y92+'Aset Takberwujud'!$T92*12-1))),'Aset Takberwujud'!$AQ92/'Aset Takberwujud'!$AG92,0)))</f>
        <v/>
      </c>
      <c r="J297" s="22" t="str">
        <f>IF($B297="","",IF(N('Aset Takberwujud'!$AG92)=0,0,IF(AND((YEAR(J$211)*12+MONTH(J$211))&gt;='Aset Takberwujud'!$Y92,(YEAR(J$211)*12+MONTH(J$211))&lt;=MIN('Aset Takberwujud'!$Z92,IF('Aset Takberwujud'!$S92="Unit Produksi",99999,'Aset Takberwujud'!$Y92+'Aset Takberwujud'!$T92*12-1))),'Aset Takberwujud'!$AQ92/'Aset Takberwujud'!$AG92,0)))</f>
        <v/>
      </c>
      <c r="K297" s="22" t="str">
        <f>IF($B297="","",IF(N('Aset Takberwujud'!$AG92)=0,0,IF(AND((YEAR(K$211)*12+MONTH(K$211))&gt;='Aset Takberwujud'!$Y92,(YEAR(K$211)*12+MONTH(K$211))&lt;=MIN('Aset Takberwujud'!$Z92,IF('Aset Takberwujud'!$S92="Unit Produksi",99999,'Aset Takberwujud'!$Y92+'Aset Takberwujud'!$T92*12-1))),'Aset Takberwujud'!$AQ92/'Aset Takberwujud'!$AG92,0)))</f>
        <v/>
      </c>
      <c r="L297" s="22" t="str">
        <f>IF($B297="","",IF(N('Aset Takberwujud'!$AG92)=0,0,IF(AND((YEAR(L$211)*12+MONTH(L$211))&gt;='Aset Takberwujud'!$Y92,(YEAR(L$211)*12+MONTH(L$211))&lt;=MIN('Aset Takberwujud'!$Z92,IF('Aset Takberwujud'!$S92="Unit Produksi",99999,'Aset Takberwujud'!$Y92+'Aset Takberwujud'!$T92*12-1))),'Aset Takberwujud'!$AQ92/'Aset Takberwujud'!$AG92,0)))</f>
        <v/>
      </c>
      <c r="M297" s="22" t="str">
        <f>IF($B297="","",IF(N('Aset Takberwujud'!$AG92)=0,0,IF(AND((YEAR(M$211)*12+MONTH(M$211))&gt;='Aset Takberwujud'!$Y92,(YEAR(M$211)*12+MONTH(M$211))&lt;=MIN('Aset Takberwujud'!$Z92,IF('Aset Takberwujud'!$S92="Unit Produksi",99999,'Aset Takberwujud'!$Y92+'Aset Takberwujud'!$T92*12-1))),'Aset Takberwujud'!$AQ92/'Aset Takberwujud'!$AG92,0)))</f>
        <v/>
      </c>
      <c r="N297" s="22" t="str">
        <f>IF($B297="","",IF(N('Aset Takberwujud'!$AG92)=0,0,IF(AND((YEAR(N$211)*12+MONTH(N$211))&gt;='Aset Takberwujud'!$Y92,(YEAR(N$211)*12+MONTH(N$211))&lt;=MIN('Aset Takberwujud'!$Z92,IF('Aset Takberwujud'!$S92="Unit Produksi",99999,'Aset Takberwujud'!$Y92+'Aset Takberwujud'!$T92*12-1))),'Aset Takberwujud'!$AQ92/'Aset Takberwujud'!$AG92,0)))</f>
        <v/>
      </c>
      <c r="O297" s="22" t="str">
        <f>IF($B297="","",IF(N('Aset Takberwujud'!$AG92)=0,0,IF(AND((YEAR(O$211)*12+MONTH(O$211))&gt;='Aset Takberwujud'!$Y92,(YEAR(O$211)*12+MONTH(O$211))&lt;=MIN('Aset Takberwujud'!$Z92,IF('Aset Takberwujud'!$S92="Unit Produksi",99999,'Aset Takberwujud'!$Y92+'Aset Takberwujud'!$T92*12-1))),'Aset Takberwujud'!$AQ92/'Aset Takberwujud'!$AG92,0)))</f>
        <v/>
      </c>
      <c r="P297" s="22" t="str">
        <f>IF($B297="","",IF(N('Aset Takberwujud'!$AG92)=0,0,IF(AND((YEAR(P$211)*12+MONTH(P$211))&gt;='Aset Takberwujud'!$Y92,(YEAR(P$211)*12+MONTH(P$211))&lt;=MIN('Aset Takberwujud'!$Z92,IF('Aset Takberwujud'!$S92="Unit Produksi",99999,'Aset Takberwujud'!$Y92+'Aset Takberwujud'!$T92*12-1))),'Aset Takberwujud'!$AQ92/'Aset Takberwujud'!$AG92,0)))</f>
        <v/>
      </c>
      <c r="Q297" s="22" t="str">
        <f>IF($B297="","",SUM(E297:P297))</f>
        <v/>
      </c>
      <c r="R297" s="22" t="str">
        <f>IF($B297="","",'Aset Takberwujud'!AQ92)</f>
        <v/>
      </c>
      <c r="S297" s="22" t="str">
        <f>IF($B297="","",ROUND(Q297-R297,0))</f>
        <v/>
      </c>
    </row>
    <row r="298" spans="1:19" x14ac:dyDescent="0.25">
      <c r="A298" t="str">
        <f>IF('Aset Takberwujud'!$B93="","",'Aset Takberwujud'!A93)</f>
        <v/>
      </c>
      <c r="B298" t="str">
        <f>IF('Aset Takberwujud'!$B93="","",'Aset Takberwujud'!B93)</f>
        <v/>
      </c>
      <c r="C298" t="str">
        <f>IF('Aset Takberwujud'!$B93="","",'Aset Takberwujud'!C93)</f>
        <v/>
      </c>
      <c r="D298" t="str">
        <f>IF('Aset Takberwujud'!$B93="","",'Aset Takberwujud'!D93)</f>
        <v/>
      </c>
      <c r="E298" s="22" t="str">
        <f>IF($B298="","",IF(N('Aset Takberwujud'!$AG93)=0,0,IF(AND((YEAR(E$211)*12+MONTH(E$211))&gt;='Aset Takberwujud'!$Y93,(YEAR(E$211)*12+MONTH(E$211))&lt;=MIN('Aset Takberwujud'!$Z93,IF('Aset Takberwujud'!$S93="Unit Produksi",99999,'Aset Takberwujud'!$Y93+'Aset Takberwujud'!$T93*12-1))),'Aset Takberwujud'!$AQ93/'Aset Takberwujud'!$AG93,0)))</f>
        <v/>
      </c>
      <c r="F298" s="22" t="str">
        <f>IF($B298="","",IF(N('Aset Takberwujud'!$AG93)=0,0,IF(AND((YEAR(F$211)*12+MONTH(F$211))&gt;='Aset Takberwujud'!$Y93,(YEAR(F$211)*12+MONTH(F$211))&lt;=MIN('Aset Takberwujud'!$Z93,IF('Aset Takberwujud'!$S93="Unit Produksi",99999,'Aset Takberwujud'!$Y93+'Aset Takberwujud'!$T93*12-1))),'Aset Takberwujud'!$AQ93/'Aset Takberwujud'!$AG93,0)))</f>
        <v/>
      </c>
      <c r="G298" s="22" t="str">
        <f>IF($B298="","",IF(N('Aset Takberwujud'!$AG93)=0,0,IF(AND((YEAR(G$211)*12+MONTH(G$211))&gt;='Aset Takberwujud'!$Y93,(YEAR(G$211)*12+MONTH(G$211))&lt;=MIN('Aset Takberwujud'!$Z93,IF('Aset Takberwujud'!$S93="Unit Produksi",99999,'Aset Takberwujud'!$Y93+'Aset Takberwujud'!$T93*12-1))),'Aset Takberwujud'!$AQ93/'Aset Takberwujud'!$AG93,0)))</f>
        <v/>
      </c>
      <c r="H298" s="22" t="str">
        <f>IF($B298="","",IF(N('Aset Takberwujud'!$AG93)=0,0,IF(AND((YEAR(H$211)*12+MONTH(H$211))&gt;='Aset Takberwujud'!$Y93,(YEAR(H$211)*12+MONTH(H$211))&lt;=MIN('Aset Takberwujud'!$Z93,IF('Aset Takberwujud'!$S93="Unit Produksi",99999,'Aset Takberwujud'!$Y93+'Aset Takberwujud'!$T93*12-1))),'Aset Takberwujud'!$AQ93/'Aset Takberwujud'!$AG93,0)))</f>
        <v/>
      </c>
      <c r="I298" s="22" t="str">
        <f>IF($B298="","",IF(N('Aset Takberwujud'!$AG93)=0,0,IF(AND((YEAR(I$211)*12+MONTH(I$211))&gt;='Aset Takberwujud'!$Y93,(YEAR(I$211)*12+MONTH(I$211))&lt;=MIN('Aset Takberwujud'!$Z93,IF('Aset Takberwujud'!$S93="Unit Produksi",99999,'Aset Takberwujud'!$Y93+'Aset Takberwujud'!$T93*12-1))),'Aset Takberwujud'!$AQ93/'Aset Takberwujud'!$AG93,0)))</f>
        <v/>
      </c>
      <c r="J298" s="22" t="str">
        <f>IF($B298="","",IF(N('Aset Takberwujud'!$AG93)=0,0,IF(AND((YEAR(J$211)*12+MONTH(J$211))&gt;='Aset Takberwujud'!$Y93,(YEAR(J$211)*12+MONTH(J$211))&lt;=MIN('Aset Takberwujud'!$Z93,IF('Aset Takberwujud'!$S93="Unit Produksi",99999,'Aset Takberwujud'!$Y93+'Aset Takberwujud'!$T93*12-1))),'Aset Takberwujud'!$AQ93/'Aset Takberwujud'!$AG93,0)))</f>
        <v/>
      </c>
      <c r="K298" s="22" t="str">
        <f>IF($B298="","",IF(N('Aset Takberwujud'!$AG93)=0,0,IF(AND((YEAR(K$211)*12+MONTH(K$211))&gt;='Aset Takberwujud'!$Y93,(YEAR(K$211)*12+MONTH(K$211))&lt;=MIN('Aset Takberwujud'!$Z93,IF('Aset Takberwujud'!$S93="Unit Produksi",99999,'Aset Takberwujud'!$Y93+'Aset Takberwujud'!$T93*12-1))),'Aset Takberwujud'!$AQ93/'Aset Takberwujud'!$AG93,0)))</f>
        <v/>
      </c>
      <c r="L298" s="22" t="str">
        <f>IF($B298="","",IF(N('Aset Takberwujud'!$AG93)=0,0,IF(AND((YEAR(L$211)*12+MONTH(L$211))&gt;='Aset Takberwujud'!$Y93,(YEAR(L$211)*12+MONTH(L$211))&lt;=MIN('Aset Takberwujud'!$Z93,IF('Aset Takberwujud'!$S93="Unit Produksi",99999,'Aset Takberwujud'!$Y93+'Aset Takberwujud'!$T93*12-1))),'Aset Takberwujud'!$AQ93/'Aset Takberwujud'!$AG93,0)))</f>
        <v/>
      </c>
      <c r="M298" s="22" t="str">
        <f>IF($B298="","",IF(N('Aset Takberwujud'!$AG93)=0,0,IF(AND((YEAR(M$211)*12+MONTH(M$211))&gt;='Aset Takberwujud'!$Y93,(YEAR(M$211)*12+MONTH(M$211))&lt;=MIN('Aset Takberwujud'!$Z93,IF('Aset Takberwujud'!$S93="Unit Produksi",99999,'Aset Takberwujud'!$Y93+'Aset Takberwujud'!$T93*12-1))),'Aset Takberwujud'!$AQ93/'Aset Takberwujud'!$AG93,0)))</f>
        <v/>
      </c>
      <c r="N298" s="22" t="str">
        <f>IF($B298="","",IF(N('Aset Takberwujud'!$AG93)=0,0,IF(AND((YEAR(N$211)*12+MONTH(N$211))&gt;='Aset Takberwujud'!$Y93,(YEAR(N$211)*12+MONTH(N$211))&lt;=MIN('Aset Takberwujud'!$Z93,IF('Aset Takberwujud'!$S93="Unit Produksi",99999,'Aset Takberwujud'!$Y93+'Aset Takberwujud'!$T93*12-1))),'Aset Takberwujud'!$AQ93/'Aset Takberwujud'!$AG93,0)))</f>
        <v/>
      </c>
      <c r="O298" s="22" t="str">
        <f>IF($B298="","",IF(N('Aset Takberwujud'!$AG93)=0,0,IF(AND((YEAR(O$211)*12+MONTH(O$211))&gt;='Aset Takberwujud'!$Y93,(YEAR(O$211)*12+MONTH(O$211))&lt;=MIN('Aset Takberwujud'!$Z93,IF('Aset Takberwujud'!$S93="Unit Produksi",99999,'Aset Takberwujud'!$Y93+'Aset Takberwujud'!$T93*12-1))),'Aset Takberwujud'!$AQ93/'Aset Takberwujud'!$AG93,0)))</f>
        <v/>
      </c>
      <c r="P298" s="22" t="str">
        <f>IF($B298="","",IF(N('Aset Takberwujud'!$AG93)=0,0,IF(AND((YEAR(P$211)*12+MONTH(P$211))&gt;='Aset Takberwujud'!$Y93,(YEAR(P$211)*12+MONTH(P$211))&lt;=MIN('Aset Takberwujud'!$Z93,IF('Aset Takberwujud'!$S93="Unit Produksi",99999,'Aset Takberwujud'!$Y93+'Aset Takberwujud'!$T93*12-1))),'Aset Takberwujud'!$AQ93/'Aset Takberwujud'!$AG93,0)))</f>
        <v/>
      </c>
      <c r="Q298" s="22" t="str">
        <f>IF($B298="","",SUM(E298:P298))</f>
        <v/>
      </c>
      <c r="R298" s="22" t="str">
        <f>IF($B298="","",'Aset Takberwujud'!AQ93)</f>
        <v/>
      </c>
      <c r="S298" s="22" t="str">
        <f>IF($B298="","",ROUND(Q298-R298,0))</f>
        <v/>
      </c>
    </row>
    <row r="299" spans="1:19" x14ac:dyDescent="0.25">
      <c r="A299" t="str">
        <f>IF('Aset Takberwujud'!$B94="","",'Aset Takberwujud'!A94)</f>
        <v/>
      </c>
      <c r="B299" t="str">
        <f>IF('Aset Takberwujud'!$B94="","",'Aset Takberwujud'!B94)</f>
        <v/>
      </c>
      <c r="C299" t="str">
        <f>IF('Aset Takberwujud'!$B94="","",'Aset Takberwujud'!C94)</f>
        <v/>
      </c>
      <c r="D299" t="str">
        <f>IF('Aset Takberwujud'!$B94="","",'Aset Takberwujud'!D94)</f>
        <v/>
      </c>
      <c r="E299" s="22" t="str">
        <f>IF($B299="","",IF(N('Aset Takberwujud'!$AG94)=0,0,IF(AND((YEAR(E$211)*12+MONTH(E$211))&gt;='Aset Takberwujud'!$Y94,(YEAR(E$211)*12+MONTH(E$211))&lt;=MIN('Aset Takberwujud'!$Z94,IF('Aset Takberwujud'!$S94="Unit Produksi",99999,'Aset Takberwujud'!$Y94+'Aset Takberwujud'!$T94*12-1))),'Aset Takberwujud'!$AQ94/'Aset Takberwujud'!$AG94,0)))</f>
        <v/>
      </c>
      <c r="F299" s="22" t="str">
        <f>IF($B299="","",IF(N('Aset Takberwujud'!$AG94)=0,0,IF(AND((YEAR(F$211)*12+MONTH(F$211))&gt;='Aset Takberwujud'!$Y94,(YEAR(F$211)*12+MONTH(F$211))&lt;=MIN('Aset Takberwujud'!$Z94,IF('Aset Takberwujud'!$S94="Unit Produksi",99999,'Aset Takberwujud'!$Y94+'Aset Takberwujud'!$T94*12-1))),'Aset Takberwujud'!$AQ94/'Aset Takberwujud'!$AG94,0)))</f>
        <v/>
      </c>
      <c r="G299" s="22" t="str">
        <f>IF($B299="","",IF(N('Aset Takberwujud'!$AG94)=0,0,IF(AND((YEAR(G$211)*12+MONTH(G$211))&gt;='Aset Takberwujud'!$Y94,(YEAR(G$211)*12+MONTH(G$211))&lt;=MIN('Aset Takberwujud'!$Z94,IF('Aset Takberwujud'!$S94="Unit Produksi",99999,'Aset Takberwujud'!$Y94+'Aset Takberwujud'!$T94*12-1))),'Aset Takberwujud'!$AQ94/'Aset Takberwujud'!$AG94,0)))</f>
        <v/>
      </c>
      <c r="H299" s="22" t="str">
        <f>IF($B299="","",IF(N('Aset Takberwujud'!$AG94)=0,0,IF(AND((YEAR(H$211)*12+MONTH(H$211))&gt;='Aset Takberwujud'!$Y94,(YEAR(H$211)*12+MONTH(H$211))&lt;=MIN('Aset Takberwujud'!$Z94,IF('Aset Takberwujud'!$S94="Unit Produksi",99999,'Aset Takberwujud'!$Y94+'Aset Takberwujud'!$T94*12-1))),'Aset Takberwujud'!$AQ94/'Aset Takberwujud'!$AG94,0)))</f>
        <v/>
      </c>
      <c r="I299" s="22" t="str">
        <f>IF($B299="","",IF(N('Aset Takberwujud'!$AG94)=0,0,IF(AND((YEAR(I$211)*12+MONTH(I$211))&gt;='Aset Takberwujud'!$Y94,(YEAR(I$211)*12+MONTH(I$211))&lt;=MIN('Aset Takberwujud'!$Z94,IF('Aset Takberwujud'!$S94="Unit Produksi",99999,'Aset Takberwujud'!$Y94+'Aset Takberwujud'!$T94*12-1))),'Aset Takberwujud'!$AQ94/'Aset Takberwujud'!$AG94,0)))</f>
        <v/>
      </c>
      <c r="J299" s="22" t="str">
        <f>IF($B299="","",IF(N('Aset Takberwujud'!$AG94)=0,0,IF(AND((YEAR(J$211)*12+MONTH(J$211))&gt;='Aset Takberwujud'!$Y94,(YEAR(J$211)*12+MONTH(J$211))&lt;=MIN('Aset Takberwujud'!$Z94,IF('Aset Takberwujud'!$S94="Unit Produksi",99999,'Aset Takberwujud'!$Y94+'Aset Takberwujud'!$T94*12-1))),'Aset Takberwujud'!$AQ94/'Aset Takberwujud'!$AG94,0)))</f>
        <v/>
      </c>
      <c r="K299" s="22" t="str">
        <f>IF($B299="","",IF(N('Aset Takberwujud'!$AG94)=0,0,IF(AND((YEAR(K$211)*12+MONTH(K$211))&gt;='Aset Takberwujud'!$Y94,(YEAR(K$211)*12+MONTH(K$211))&lt;=MIN('Aset Takberwujud'!$Z94,IF('Aset Takberwujud'!$S94="Unit Produksi",99999,'Aset Takberwujud'!$Y94+'Aset Takberwujud'!$T94*12-1))),'Aset Takberwujud'!$AQ94/'Aset Takberwujud'!$AG94,0)))</f>
        <v/>
      </c>
      <c r="L299" s="22" t="str">
        <f>IF($B299="","",IF(N('Aset Takberwujud'!$AG94)=0,0,IF(AND((YEAR(L$211)*12+MONTH(L$211))&gt;='Aset Takberwujud'!$Y94,(YEAR(L$211)*12+MONTH(L$211))&lt;=MIN('Aset Takberwujud'!$Z94,IF('Aset Takberwujud'!$S94="Unit Produksi",99999,'Aset Takberwujud'!$Y94+'Aset Takberwujud'!$T94*12-1))),'Aset Takberwujud'!$AQ94/'Aset Takberwujud'!$AG94,0)))</f>
        <v/>
      </c>
      <c r="M299" s="22" t="str">
        <f>IF($B299="","",IF(N('Aset Takberwujud'!$AG94)=0,0,IF(AND((YEAR(M$211)*12+MONTH(M$211))&gt;='Aset Takberwujud'!$Y94,(YEAR(M$211)*12+MONTH(M$211))&lt;=MIN('Aset Takberwujud'!$Z94,IF('Aset Takberwujud'!$S94="Unit Produksi",99999,'Aset Takberwujud'!$Y94+'Aset Takberwujud'!$T94*12-1))),'Aset Takberwujud'!$AQ94/'Aset Takberwujud'!$AG94,0)))</f>
        <v/>
      </c>
      <c r="N299" s="22" t="str">
        <f>IF($B299="","",IF(N('Aset Takberwujud'!$AG94)=0,0,IF(AND((YEAR(N$211)*12+MONTH(N$211))&gt;='Aset Takberwujud'!$Y94,(YEAR(N$211)*12+MONTH(N$211))&lt;=MIN('Aset Takberwujud'!$Z94,IF('Aset Takberwujud'!$S94="Unit Produksi",99999,'Aset Takberwujud'!$Y94+'Aset Takberwujud'!$T94*12-1))),'Aset Takberwujud'!$AQ94/'Aset Takberwujud'!$AG94,0)))</f>
        <v/>
      </c>
      <c r="O299" s="22" t="str">
        <f>IF($B299="","",IF(N('Aset Takberwujud'!$AG94)=0,0,IF(AND((YEAR(O$211)*12+MONTH(O$211))&gt;='Aset Takberwujud'!$Y94,(YEAR(O$211)*12+MONTH(O$211))&lt;=MIN('Aset Takberwujud'!$Z94,IF('Aset Takberwujud'!$S94="Unit Produksi",99999,'Aset Takberwujud'!$Y94+'Aset Takberwujud'!$T94*12-1))),'Aset Takberwujud'!$AQ94/'Aset Takberwujud'!$AG94,0)))</f>
        <v/>
      </c>
      <c r="P299" s="22" t="str">
        <f>IF($B299="","",IF(N('Aset Takberwujud'!$AG94)=0,0,IF(AND((YEAR(P$211)*12+MONTH(P$211))&gt;='Aset Takberwujud'!$Y94,(YEAR(P$211)*12+MONTH(P$211))&lt;=MIN('Aset Takberwujud'!$Z94,IF('Aset Takberwujud'!$S94="Unit Produksi",99999,'Aset Takberwujud'!$Y94+'Aset Takberwujud'!$T94*12-1))),'Aset Takberwujud'!$AQ94/'Aset Takberwujud'!$AG94,0)))</f>
        <v/>
      </c>
      <c r="Q299" s="22" t="str">
        <f>IF($B299="","",SUM(E299:P299))</f>
        <v/>
      </c>
      <c r="R299" s="22" t="str">
        <f>IF($B299="","",'Aset Takberwujud'!AQ94)</f>
        <v/>
      </c>
      <c r="S299" s="22" t="str">
        <f>IF($B299="","",ROUND(Q299-R299,0))</f>
        <v/>
      </c>
    </row>
    <row r="300" spans="1:19" x14ac:dyDescent="0.25">
      <c r="A300" t="str">
        <f>IF('Aset Takberwujud'!$B95="","",'Aset Takberwujud'!A95)</f>
        <v/>
      </c>
      <c r="B300" t="str">
        <f>IF('Aset Takberwujud'!$B95="","",'Aset Takberwujud'!B95)</f>
        <v/>
      </c>
      <c r="C300" t="str">
        <f>IF('Aset Takberwujud'!$B95="","",'Aset Takberwujud'!C95)</f>
        <v/>
      </c>
      <c r="D300" t="str">
        <f>IF('Aset Takberwujud'!$B95="","",'Aset Takberwujud'!D95)</f>
        <v/>
      </c>
      <c r="E300" s="22" t="str">
        <f>IF($B300="","",IF(N('Aset Takberwujud'!$AG95)=0,0,IF(AND((YEAR(E$211)*12+MONTH(E$211))&gt;='Aset Takberwujud'!$Y95,(YEAR(E$211)*12+MONTH(E$211))&lt;=MIN('Aset Takberwujud'!$Z95,IF('Aset Takberwujud'!$S95="Unit Produksi",99999,'Aset Takberwujud'!$Y95+'Aset Takberwujud'!$T95*12-1))),'Aset Takberwujud'!$AQ95/'Aset Takberwujud'!$AG95,0)))</f>
        <v/>
      </c>
      <c r="F300" s="22" t="str">
        <f>IF($B300="","",IF(N('Aset Takberwujud'!$AG95)=0,0,IF(AND((YEAR(F$211)*12+MONTH(F$211))&gt;='Aset Takberwujud'!$Y95,(YEAR(F$211)*12+MONTH(F$211))&lt;=MIN('Aset Takberwujud'!$Z95,IF('Aset Takberwujud'!$S95="Unit Produksi",99999,'Aset Takberwujud'!$Y95+'Aset Takberwujud'!$T95*12-1))),'Aset Takberwujud'!$AQ95/'Aset Takberwujud'!$AG95,0)))</f>
        <v/>
      </c>
      <c r="G300" s="22" t="str">
        <f>IF($B300="","",IF(N('Aset Takberwujud'!$AG95)=0,0,IF(AND((YEAR(G$211)*12+MONTH(G$211))&gt;='Aset Takberwujud'!$Y95,(YEAR(G$211)*12+MONTH(G$211))&lt;=MIN('Aset Takberwujud'!$Z95,IF('Aset Takberwujud'!$S95="Unit Produksi",99999,'Aset Takberwujud'!$Y95+'Aset Takberwujud'!$T95*12-1))),'Aset Takberwujud'!$AQ95/'Aset Takberwujud'!$AG95,0)))</f>
        <v/>
      </c>
      <c r="H300" s="22" t="str">
        <f>IF($B300="","",IF(N('Aset Takberwujud'!$AG95)=0,0,IF(AND((YEAR(H$211)*12+MONTH(H$211))&gt;='Aset Takberwujud'!$Y95,(YEAR(H$211)*12+MONTH(H$211))&lt;=MIN('Aset Takberwujud'!$Z95,IF('Aset Takberwujud'!$S95="Unit Produksi",99999,'Aset Takberwujud'!$Y95+'Aset Takberwujud'!$T95*12-1))),'Aset Takberwujud'!$AQ95/'Aset Takberwujud'!$AG95,0)))</f>
        <v/>
      </c>
      <c r="I300" s="22" t="str">
        <f>IF($B300="","",IF(N('Aset Takberwujud'!$AG95)=0,0,IF(AND((YEAR(I$211)*12+MONTH(I$211))&gt;='Aset Takberwujud'!$Y95,(YEAR(I$211)*12+MONTH(I$211))&lt;=MIN('Aset Takberwujud'!$Z95,IF('Aset Takberwujud'!$S95="Unit Produksi",99999,'Aset Takberwujud'!$Y95+'Aset Takberwujud'!$T95*12-1))),'Aset Takberwujud'!$AQ95/'Aset Takberwujud'!$AG95,0)))</f>
        <v/>
      </c>
      <c r="J300" s="22" t="str">
        <f>IF($B300="","",IF(N('Aset Takberwujud'!$AG95)=0,0,IF(AND((YEAR(J$211)*12+MONTH(J$211))&gt;='Aset Takberwujud'!$Y95,(YEAR(J$211)*12+MONTH(J$211))&lt;=MIN('Aset Takberwujud'!$Z95,IF('Aset Takberwujud'!$S95="Unit Produksi",99999,'Aset Takberwujud'!$Y95+'Aset Takberwujud'!$T95*12-1))),'Aset Takberwujud'!$AQ95/'Aset Takberwujud'!$AG95,0)))</f>
        <v/>
      </c>
      <c r="K300" s="22" t="str">
        <f>IF($B300="","",IF(N('Aset Takberwujud'!$AG95)=0,0,IF(AND((YEAR(K$211)*12+MONTH(K$211))&gt;='Aset Takberwujud'!$Y95,(YEAR(K$211)*12+MONTH(K$211))&lt;=MIN('Aset Takberwujud'!$Z95,IF('Aset Takberwujud'!$S95="Unit Produksi",99999,'Aset Takberwujud'!$Y95+'Aset Takberwujud'!$T95*12-1))),'Aset Takberwujud'!$AQ95/'Aset Takberwujud'!$AG95,0)))</f>
        <v/>
      </c>
      <c r="L300" s="22" t="str">
        <f>IF($B300="","",IF(N('Aset Takberwujud'!$AG95)=0,0,IF(AND((YEAR(L$211)*12+MONTH(L$211))&gt;='Aset Takberwujud'!$Y95,(YEAR(L$211)*12+MONTH(L$211))&lt;=MIN('Aset Takberwujud'!$Z95,IF('Aset Takberwujud'!$S95="Unit Produksi",99999,'Aset Takberwujud'!$Y95+'Aset Takberwujud'!$T95*12-1))),'Aset Takberwujud'!$AQ95/'Aset Takberwujud'!$AG95,0)))</f>
        <v/>
      </c>
      <c r="M300" s="22" t="str">
        <f>IF($B300="","",IF(N('Aset Takberwujud'!$AG95)=0,0,IF(AND((YEAR(M$211)*12+MONTH(M$211))&gt;='Aset Takberwujud'!$Y95,(YEAR(M$211)*12+MONTH(M$211))&lt;=MIN('Aset Takberwujud'!$Z95,IF('Aset Takberwujud'!$S95="Unit Produksi",99999,'Aset Takberwujud'!$Y95+'Aset Takberwujud'!$T95*12-1))),'Aset Takberwujud'!$AQ95/'Aset Takberwujud'!$AG95,0)))</f>
        <v/>
      </c>
      <c r="N300" s="22" t="str">
        <f>IF($B300="","",IF(N('Aset Takberwujud'!$AG95)=0,0,IF(AND((YEAR(N$211)*12+MONTH(N$211))&gt;='Aset Takberwujud'!$Y95,(YEAR(N$211)*12+MONTH(N$211))&lt;=MIN('Aset Takberwujud'!$Z95,IF('Aset Takberwujud'!$S95="Unit Produksi",99999,'Aset Takberwujud'!$Y95+'Aset Takberwujud'!$T95*12-1))),'Aset Takberwujud'!$AQ95/'Aset Takberwujud'!$AG95,0)))</f>
        <v/>
      </c>
      <c r="O300" s="22" t="str">
        <f>IF($B300="","",IF(N('Aset Takberwujud'!$AG95)=0,0,IF(AND((YEAR(O$211)*12+MONTH(O$211))&gt;='Aset Takberwujud'!$Y95,(YEAR(O$211)*12+MONTH(O$211))&lt;=MIN('Aset Takberwujud'!$Z95,IF('Aset Takberwujud'!$S95="Unit Produksi",99999,'Aset Takberwujud'!$Y95+'Aset Takberwujud'!$T95*12-1))),'Aset Takberwujud'!$AQ95/'Aset Takberwujud'!$AG95,0)))</f>
        <v/>
      </c>
      <c r="P300" s="22" t="str">
        <f>IF($B300="","",IF(N('Aset Takberwujud'!$AG95)=0,0,IF(AND((YEAR(P$211)*12+MONTH(P$211))&gt;='Aset Takberwujud'!$Y95,(YEAR(P$211)*12+MONTH(P$211))&lt;=MIN('Aset Takberwujud'!$Z95,IF('Aset Takberwujud'!$S95="Unit Produksi",99999,'Aset Takberwujud'!$Y95+'Aset Takberwujud'!$T95*12-1))),'Aset Takberwujud'!$AQ95/'Aset Takberwujud'!$AG95,0)))</f>
        <v/>
      </c>
      <c r="Q300" s="22" t="str">
        <f>IF($B300="","",SUM(E300:P300))</f>
        <v/>
      </c>
      <c r="R300" s="22" t="str">
        <f>IF($B300="","",'Aset Takberwujud'!AQ95)</f>
        <v/>
      </c>
      <c r="S300" s="22" t="str">
        <f>IF($B300="","",ROUND(Q300-R300,0))</f>
        <v/>
      </c>
    </row>
    <row r="301" spans="1:19" x14ac:dyDescent="0.25">
      <c r="A301" t="str">
        <f>IF('Aset Takberwujud'!$B96="","",'Aset Takberwujud'!A96)</f>
        <v/>
      </c>
      <c r="B301" t="str">
        <f>IF('Aset Takberwujud'!$B96="","",'Aset Takberwujud'!B96)</f>
        <v/>
      </c>
      <c r="C301" t="str">
        <f>IF('Aset Takberwujud'!$B96="","",'Aset Takberwujud'!C96)</f>
        <v/>
      </c>
      <c r="D301" t="str">
        <f>IF('Aset Takberwujud'!$B96="","",'Aset Takberwujud'!D96)</f>
        <v/>
      </c>
      <c r="E301" s="22" t="str">
        <f>IF($B301="","",IF(N('Aset Takberwujud'!$AG96)=0,0,IF(AND((YEAR(E$211)*12+MONTH(E$211))&gt;='Aset Takberwujud'!$Y96,(YEAR(E$211)*12+MONTH(E$211))&lt;=MIN('Aset Takberwujud'!$Z96,IF('Aset Takberwujud'!$S96="Unit Produksi",99999,'Aset Takberwujud'!$Y96+'Aset Takberwujud'!$T96*12-1))),'Aset Takberwujud'!$AQ96/'Aset Takberwujud'!$AG96,0)))</f>
        <v/>
      </c>
      <c r="F301" s="22" t="str">
        <f>IF($B301="","",IF(N('Aset Takberwujud'!$AG96)=0,0,IF(AND((YEAR(F$211)*12+MONTH(F$211))&gt;='Aset Takberwujud'!$Y96,(YEAR(F$211)*12+MONTH(F$211))&lt;=MIN('Aset Takberwujud'!$Z96,IF('Aset Takberwujud'!$S96="Unit Produksi",99999,'Aset Takberwujud'!$Y96+'Aset Takberwujud'!$T96*12-1))),'Aset Takberwujud'!$AQ96/'Aset Takberwujud'!$AG96,0)))</f>
        <v/>
      </c>
      <c r="G301" s="22" t="str">
        <f>IF($B301="","",IF(N('Aset Takberwujud'!$AG96)=0,0,IF(AND((YEAR(G$211)*12+MONTH(G$211))&gt;='Aset Takberwujud'!$Y96,(YEAR(G$211)*12+MONTH(G$211))&lt;=MIN('Aset Takberwujud'!$Z96,IF('Aset Takberwujud'!$S96="Unit Produksi",99999,'Aset Takberwujud'!$Y96+'Aset Takberwujud'!$T96*12-1))),'Aset Takberwujud'!$AQ96/'Aset Takberwujud'!$AG96,0)))</f>
        <v/>
      </c>
      <c r="H301" s="22" t="str">
        <f>IF($B301="","",IF(N('Aset Takberwujud'!$AG96)=0,0,IF(AND((YEAR(H$211)*12+MONTH(H$211))&gt;='Aset Takberwujud'!$Y96,(YEAR(H$211)*12+MONTH(H$211))&lt;=MIN('Aset Takberwujud'!$Z96,IF('Aset Takberwujud'!$S96="Unit Produksi",99999,'Aset Takberwujud'!$Y96+'Aset Takberwujud'!$T96*12-1))),'Aset Takberwujud'!$AQ96/'Aset Takberwujud'!$AG96,0)))</f>
        <v/>
      </c>
      <c r="I301" s="22" t="str">
        <f>IF($B301="","",IF(N('Aset Takberwujud'!$AG96)=0,0,IF(AND((YEAR(I$211)*12+MONTH(I$211))&gt;='Aset Takberwujud'!$Y96,(YEAR(I$211)*12+MONTH(I$211))&lt;=MIN('Aset Takberwujud'!$Z96,IF('Aset Takberwujud'!$S96="Unit Produksi",99999,'Aset Takberwujud'!$Y96+'Aset Takberwujud'!$T96*12-1))),'Aset Takberwujud'!$AQ96/'Aset Takberwujud'!$AG96,0)))</f>
        <v/>
      </c>
      <c r="J301" s="22" t="str">
        <f>IF($B301="","",IF(N('Aset Takberwujud'!$AG96)=0,0,IF(AND((YEAR(J$211)*12+MONTH(J$211))&gt;='Aset Takberwujud'!$Y96,(YEAR(J$211)*12+MONTH(J$211))&lt;=MIN('Aset Takberwujud'!$Z96,IF('Aset Takberwujud'!$S96="Unit Produksi",99999,'Aset Takberwujud'!$Y96+'Aset Takberwujud'!$T96*12-1))),'Aset Takberwujud'!$AQ96/'Aset Takberwujud'!$AG96,0)))</f>
        <v/>
      </c>
      <c r="K301" s="22" t="str">
        <f>IF($B301="","",IF(N('Aset Takberwujud'!$AG96)=0,0,IF(AND((YEAR(K$211)*12+MONTH(K$211))&gt;='Aset Takberwujud'!$Y96,(YEAR(K$211)*12+MONTH(K$211))&lt;=MIN('Aset Takberwujud'!$Z96,IF('Aset Takberwujud'!$S96="Unit Produksi",99999,'Aset Takberwujud'!$Y96+'Aset Takberwujud'!$T96*12-1))),'Aset Takberwujud'!$AQ96/'Aset Takberwujud'!$AG96,0)))</f>
        <v/>
      </c>
      <c r="L301" s="22" t="str">
        <f>IF($B301="","",IF(N('Aset Takberwujud'!$AG96)=0,0,IF(AND((YEAR(L$211)*12+MONTH(L$211))&gt;='Aset Takberwujud'!$Y96,(YEAR(L$211)*12+MONTH(L$211))&lt;=MIN('Aset Takberwujud'!$Z96,IF('Aset Takberwujud'!$S96="Unit Produksi",99999,'Aset Takberwujud'!$Y96+'Aset Takberwujud'!$T96*12-1))),'Aset Takberwujud'!$AQ96/'Aset Takberwujud'!$AG96,0)))</f>
        <v/>
      </c>
      <c r="M301" s="22" t="str">
        <f>IF($B301="","",IF(N('Aset Takberwujud'!$AG96)=0,0,IF(AND((YEAR(M$211)*12+MONTH(M$211))&gt;='Aset Takberwujud'!$Y96,(YEAR(M$211)*12+MONTH(M$211))&lt;=MIN('Aset Takberwujud'!$Z96,IF('Aset Takberwujud'!$S96="Unit Produksi",99999,'Aset Takberwujud'!$Y96+'Aset Takberwujud'!$T96*12-1))),'Aset Takberwujud'!$AQ96/'Aset Takberwujud'!$AG96,0)))</f>
        <v/>
      </c>
      <c r="N301" s="22" t="str">
        <f>IF($B301="","",IF(N('Aset Takberwujud'!$AG96)=0,0,IF(AND((YEAR(N$211)*12+MONTH(N$211))&gt;='Aset Takberwujud'!$Y96,(YEAR(N$211)*12+MONTH(N$211))&lt;=MIN('Aset Takberwujud'!$Z96,IF('Aset Takberwujud'!$S96="Unit Produksi",99999,'Aset Takberwujud'!$Y96+'Aset Takberwujud'!$T96*12-1))),'Aset Takberwujud'!$AQ96/'Aset Takberwujud'!$AG96,0)))</f>
        <v/>
      </c>
      <c r="O301" s="22" t="str">
        <f>IF($B301="","",IF(N('Aset Takberwujud'!$AG96)=0,0,IF(AND((YEAR(O$211)*12+MONTH(O$211))&gt;='Aset Takberwujud'!$Y96,(YEAR(O$211)*12+MONTH(O$211))&lt;=MIN('Aset Takberwujud'!$Z96,IF('Aset Takberwujud'!$S96="Unit Produksi",99999,'Aset Takberwujud'!$Y96+'Aset Takberwujud'!$T96*12-1))),'Aset Takberwujud'!$AQ96/'Aset Takberwujud'!$AG96,0)))</f>
        <v/>
      </c>
      <c r="P301" s="22" t="str">
        <f>IF($B301="","",IF(N('Aset Takberwujud'!$AG96)=0,0,IF(AND((YEAR(P$211)*12+MONTH(P$211))&gt;='Aset Takberwujud'!$Y96,(YEAR(P$211)*12+MONTH(P$211))&lt;=MIN('Aset Takberwujud'!$Z96,IF('Aset Takberwujud'!$S96="Unit Produksi",99999,'Aset Takberwujud'!$Y96+'Aset Takberwujud'!$T96*12-1))),'Aset Takberwujud'!$AQ96/'Aset Takberwujud'!$AG96,0)))</f>
        <v/>
      </c>
      <c r="Q301" s="22" t="str">
        <f>IF($B301="","",SUM(E301:P301))</f>
        <v/>
      </c>
      <c r="R301" s="22" t="str">
        <f>IF($B301="","",'Aset Takberwujud'!AQ96)</f>
        <v/>
      </c>
      <c r="S301" s="22" t="str">
        <f>IF($B301="","",ROUND(Q301-R301,0))</f>
        <v/>
      </c>
    </row>
    <row r="302" spans="1:19" x14ac:dyDescent="0.25">
      <c r="A302" t="str">
        <f>IF('Aset Takberwujud'!$B97="","",'Aset Takberwujud'!A97)</f>
        <v/>
      </c>
      <c r="B302" t="str">
        <f>IF('Aset Takberwujud'!$B97="","",'Aset Takberwujud'!B97)</f>
        <v/>
      </c>
      <c r="C302" t="str">
        <f>IF('Aset Takberwujud'!$B97="","",'Aset Takberwujud'!C97)</f>
        <v/>
      </c>
      <c r="D302" t="str">
        <f>IF('Aset Takberwujud'!$B97="","",'Aset Takberwujud'!D97)</f>
        <v/>
      </c>
      <c r="E302" s="22" t="str">
        <f>IF($B302="","",IF(N('Aset Takberwujud'!$AG97)=0,0,IF(AND((YEAR(E$211)*12+MONTH(E$211))&gt;='Aset Takberwujud'!$Y97,(YEAR(E$211)*12+MONTH(E$211))&lt;=MIN('Aset Takberwujud'!$Z97,IF('Aset Takberwujud'!$S97="Unit Produksi",99999,'Aset Takberwujud'!$Y97+'Aset Takberwujud'!$T97*12-1))),'Aset Takberwujud'!$AQ97/'Aset Takberwujud'!$AG97,0)))</f>
        <v/>
      </c>
      <c r="F302" s="22" t="str">
        <f>IF($B302="","",IF(N('Aset Takberwujud'!$AG97)=0,0,IF(AND((YEAR(F$211)*12+MONTH(F$211))&gt;='Aset Takberwujud'!$Y97,(YEAR(F$211)*12+MONTH(F$211))&lt;=MIN('Aset Takberwujud'!$Z97,IF('Aset Takberwujud'!$S97="Unit Produksi",99999,'Aset Takberwujud'!$Y97+'Aset Takberwujud'!$T97*12-1))),'Aset Takberwujud'!$AQ97/'Aset Takberwujud'!$AG97,0)))</f>
        <v/>
      </c>
      <c r="G302" s="22" t="str">
        <f>IF($B302="","",IF(N('Aset Takberwujud'!$AG97)=0,0,IF(AND((YEAR(G$211)*12+MONTH(G$211))&gt;='Aset Takberwujud'!$Y97,(YEAR(G$211)*12+MONTH(G$211))&lt;=MIN('Aset Takberwujud'!$Z97,IF('Aset Takberwujud'!$S97="Unit Produksi",99999,'Aset Takberwujud'!$Y97+'Aset Takberwujud'!$T97*12-1))),'Aset Takberwujud'!$AQ97/'Aset Takberwujud'!$AG97,0)))</f>
        <v/>
      </c>
      <c r="H302" s="22" t="str">
        <f>IF($B302="","",IF(N('Aset Takberwujud'!$AG97)=0,0,IF(AND((YEAR(H$211)*12+MONTH(H$211))&gt;='Aset Takberwujud'!$Y97,(YEAR(H$211)*12+MONTH(H$211))&lt;=MIN('Aset Takberwujud'!$Z97,IF('Aset Takberwujud'!$S97="Unit Produksi",99999,'Aset Takberwujud'!$Y97+'Aset Takberwujud'!$T97*12-1))),'Aset Takberwujud'!$AQ97/'Aset Takberwujud'!$AG97,0)))</f>
        <v/>
      </c>
      <c r="I302" s="22" t="str">
        <f>IF($B302="","",IF(N('Aset Takberwujud'!$AG97)=0,0,IF(AND((YEAR(I$211)*12+MONTH(I$211))&gt;='Aset Takberwujud'!$Y97,(YEAR(I$211)*12+MONTH(I$211))&lt;=MIN('Aset Takberwujud'!$Z97,IF('Aset Takberwujud'!$S97="Unit Produksi",99999,'Aset Takberwujud'!$Y97+'Aset Takberwujud'!$T97*12-1))),'Aset Takberwujud'!$AQ97/'Aset Takberwujud'!$AG97,0)))</f>
        <v/>
      </c>
      <c r="J302" s="22" t="str">
        <f>IF($B302="","",IF(N('Aset Takberwujud'!$AG97)=0,0,IF(AND((YEAR(J$211)*12+MONTH(J$211))&gt;='Aset Takberwujud'!$Y97,(YEAR(J$211)*12+MONTH(J$211))&lt;=MIN('Aset Takberwujud'!$Z97,IF('Aset Takberwujud'!$S97="Unit Produksi",99999,'Aset Takberwujud'!$Y97+'Aset Takberwujud'!$T97*12-1))),'Aset Takberwujud'!$AQ97/'Aset Takberwujud'!$AG97,0)))</f>
        <v/>
      </c>
      <c r="K302" s="22" t="str">
        <f>IF($B302="","",IF(N('Aset Takberwujud'!$AG97)=0,0,IF(AND((YEAR(K$211)*12+MONTH(K$211))&gt;='Aset Takberwujud'!$Y97,(YEAR(K$211)*12+MONTH(K$211))&lt;=MIN('Aset Takberwujud'!$Z97,IF('Aset Takberwujud'!$S97="Unit Produksi",99999,'Aset Takberwujud'!$Y97+'Aset Takberwujud'!$T97*12-1))),'Aset Takberwujud'!$AQ97/'Aset Takberwujud'!$AG97,0)))</f>
        <v/>
      </c>
      <c r="L302" s="22" t="str">
        <f>IF($B302="","",IF(N('Aset Takberwujud'!$AG97)=0,0,IF(AND((YEAR(L$211)*12+MONTH(L$211))&gt;='Aset Takberwujud'!$Y97,(YEAR(L$211)*12+MONTH(L$211))&lt;=MIN('Aset Takberwujud'!$Z97,IF('Aset Takberwujud'!$S97="Unit Produksi",99999,'Aset Takberwujud'!$Y97+'Aset Takberwujud'!$T97*12-1))),'Aset Takberwujud'!$AQ97/'Aset Takberwujud'!$AG97,0)))</f>
        <v/>
      </c>
      <c r="M302" s="22" t="str">
        <f>IF($B302="","",IF(N('Aset Takberwujud'!$AG97)=0,0,IF(AND((YEAR(M$211)*12+MONTH(M$211))&gt;='Aset Takberwujud'!$Y97,(YEAR(M$211)*12+MONTH(M$211))&lt;=MIN('Aset Takberwujud'!$Z97,IF('Aset Takberwujud'!$S97="Unit Produksi",99999,'Aset Takberwujud'!$Y97+'Aset Takberwujud'!$T97*12-1))),'Aset Takberwujud'!$AQ97/'Aset Takberwujud'!$AG97,0)))</f>
        <v/>
      </c>
      <c r="N302" s="22" t="str">
        <f>IF($B302="","",IF(N('Aset Takberwujud'!$AG97)=0,0,IF(AND((YEAR(N$211)*12+MONTH(N$211))&gt;='Aset Takberwujud'!$Y97,(YEAR(N$211)*12+MONTH(N$211))&lt;=MIN('Aset Takberwujud'!$Z97,IF('Aset Takberwujud'!$S97="Unit Produksi",99999,'Aset Takberwujud'!$Y97+'Aset Takberwujud'!$T97*12-1))),'Aset Takberwujud'!$AQ97/'Aset Takberwujud'!$AG97,0)))</f>
        <v/>
      </c>
      <c r="O302" s="22" t="str">
        <f>IF($B302="","",IF(N('Aset Takberwujud'!$AG97)=0,0,IF(AND((YEAR(O$211)*12+MONTH(O$211))&gt;='Aset Takberwujud'!$Y97,(YEAR(O$211)*12+MONTH(O$211))&lt;=MIN('Aset Takberwujud'!$Z97,IF('Aset Takberwujud'!$S97="Unit Produksi",99999,'Aset Takberwujud'!$Y97+'Aset Takberwujud'!$T97*12-1))),'Aset Takberwujud'!$AQ97/'Aset Takberwujud'!$AG97,0)))</f>
        <v/>
      </c>
      <c r="P302" s="22" t="str">
        <f>IF($B302="","",IF(N('Aset Takberwujud'!$AG97)=0,0,IF(AND((YEAR(P$211)*12+MONTH(P$211))&gt;='Aset Takberwujud'!$Y97,(YEAR(P$211)*12+MONTH(P$211))&lt;=MIN('Aset Takberwujud'!$Z97,IF('Aset Takberwujud'!$S97="Unit Produksi",99999,'Aset Takberwujud'!$Y97+'Aset Takberwujud'!$T97*12-1))),'Aset Takberwujud'!$AQ97/'Aset Takberwujud'!$AG97,0)))</f>
        <v/>
      </c>
      <c r="Q302" s="22" t="str">
        <f>IF($B302="","",SUM(E302:P302))</f>
        <v/>
      </c>
      <c r="R302" s="22" t="str">
        <f>IF($B302="","",'Aset Takberwujud'!AQ97)</f>
        <v/>
      </c>
      <c r="S302" s="22" t="str">
        <f>IF($B302="","",ROUND(Q302-R302,0))</f>
        <v/>
      </c>
    </row>
    <row r="303" spans="1:19" x14ac:dyDescent="0.25">
      <c r="A303" t="str">
        <f>IF('Aset Takberwujud'!$B98="","",'Aset Takberwujud'!A98)</f>
        <v/>
      </c>
      <c r="B303" t="str">
        <f>IF('Aset Takberwujud'!$B98="","",'Aset Takberwujud'!B98)</f>
        <v/>
      </c>
      <c r="C303" t="str">
        <f>IF('Aset Takberwujud'!$B98="","",'Aset Takberwujud'!C98)</f>
        <v/>
      </c>
      <c r="D303" t="str">
        <f>IF('Aset Takberwujud'!$B98="","",'Aset Takberwujud'!D98)</f>
        <v/>
      </c>
      <c r="E303" s="22" t="str">
        <f>IF($B303="","",IF(N('Aset Takberwujud'!$AG98)=0,0,IF(AND((YEAR(E$211)*12+MONTH(E$211))&gt;='Aset Takberwujud'!$Y98,(YEAR(E$211)*12+MONTH(E$211))&lt;=MIN('Aset Takberwujud'!$Z98,IF('Aset Takberwujud'!$S98="Unit Produksi",99999,'Aset Takberwujud'!$Y98+'Aset Takberwujud'!$T98*12-1))),'Aset Takberwujud'!$AQ98/'Aset Takberwujud'!$AG98,0)))</f>
        <v/>
      </c>
      <c r="F303" s="22" t="str">
        <f>IF($B303="","",IF(N('Aset Takberwujud'!$AG98)=0,0,IF(AND((YEAR(F$211)*12+MONTH(F$211))&gt;='Aset Takberwujud'!$Y98,(YEAR(F$211)*12+MONTH(F$211))&lt;=MIN('Aset Takberwujud'!$Z98,IF('Aset Takberwujud'!$S98="Unit Produksi",99999,'Aset Takberwujud'!$Y98+'Aset Takberwujud'!$T98*12-1))),'Aset Takberwujud'!$AQ98/'Aset Takberwujud'!$AG98,0)))</f>
        <v/>
      </c>
      <c r="G303" s="22" t="str">
        <f>IF($B303="","",IF(N('Aset Takberwujud'!$AG98)=0,0,IF(AND((YEAR(G$211)*12+MONTH(G$211))&gt;='Aset Takberwujud'!$Y98,(YEAR(G$211)*12+MONTH(G$211))&lt;=MIN('Aset Takberwujud'!$Z98,IF('Aset Takberwujud'!$S98="Unit Produksi",99999,'Aset Takberwujud'!$Y98+'Aset Takberwujud'!$T98*12-1))),'Aset Takberwujud'!$AQ98/'Aset Takberwujud'!$AG98,0)))</f>
        <v/>
      </c>
      <c r="H303" s="22" t="str">
        <f>IF($B303="","",IF(N('Aset Takberwujud'!$AG98)=0,0,IF(AND((YEAR(H$211)*12+MONTH(H$211))&gt;='Aset Takberwujud'!$Y98,(YEAR(H$211)*12+MONTH(H$211))&lt;=MIN('Aset Takberwujud'!$Z98,IF('Aset Takberwujud'!$S98="Unit Produksi",99999,'Aset Takberwujud'!$Y98+'Aset Takberwujud'!$T98*12-1))),'Aset Takberwujud'!$AQ98/'Aset Takberwujud'!$AG98,0)))</f>
        <v/>
      </c>
      <c r="I303" s="22" t="str">
        <f>IF($B303="","",IF(N('Aset Takberwujud'!$AG98)=0,0,IF(AND((YEAR(I$211)*12+MONTH(I$211))&gt;='Aset Takberwujud'!$Y98,(YEAR(I$211)*12+MONTH(I$211))&lt;=MIN('Aset Takberwujud'!$Z98,IF('Aset Takberwujud'!$S98="Unit Produksi",99999,'Aset Takberwujud'!$Y98+'Aset Takberwujud'!$T98*12-1))),'Aset Takberwujud'!$AQ98/'Aset Takberwujud'!$AG98,0)))</f>
        <v/>
      </c>
      <c r="J303" s="22" t="str">
        <f>IF($B303="","",IF(N('Aset Takberwujud'!$AG98)=0,0,IF(AND((YEAR(J$211)*12+MONTH(J$211))&gt;='Aset Takberwujud'!$Y98,(YEAR(J$211)*12+MONTH(J$211))&lt;=MIN('Aset Takberwujud'!$Z98,IF('Aset Takberwujud'!$S98="Unit Produksi",99999,'Aset Takberwujud'!$Y98+'Aset Takberwujud'!$T98*12-1))),'Aset Takberwujud'!$AQ98/'Aset Takberwujud'!$AG98,0)))</f>
        <v/>
      </c>
      <c r="K303" s="22" t="str">
        <f>IF($B303="","",IF(N('Aset Takberwujud'!$AG98)=0,0,IF(AND((YEAR(K$211)*12+MONTH(K$211))&gt;='Aset Takberwujud'!$Y98,(YEAR(K$211)*12+MONTH(K$211))&lt;=MIN('Aset Takberwujud'!$Z98,IF('Aset Takberwujud'!$S98="Unit Produksi",99999,'Aset Takberwujud'!$Y98+'Aset Takberwujud'!$T98*12-1))),'Aset Takberwujud'!$AQ98/'Aset Takberwujud'!$AG98,0)))</f>
        <v/>
      </c>
      <c r="L303" s="22" t="str">
        <f>IF($B303="","",IF(N('Aset Takberwujud'!$AG98)=0,0,IF(AND((YEAR(L$211)*12+MONTH(L$211))&gt;='Aset Takberwujud'!$Y98,(YEAR(L$211)*12+MONTH(L$211))&lt;=MIN('Aset Takberwujud'!$Z98,IF('Aset Takberwujud'!$S98="Unit Produksi",99999,'Aset Takberwujud'!$Y98+'Aset Takberwujud'!$T98*12-1))),'Aset Takberwujud'!$AQ98/'Aset Takberwujud'!$AG98,0)))</f>
        <v/>
      </c>
      <c r="M303" s="22" t="str">
        <f>IF($B303="","",IF(N('Aset Takberwujud'!$AG98)=0,0,IF(AND((YEAR(M$211)*12+MONTH(M$211))&gt;='Aset Takberwujud'!$Y98,(YEAR(M$211)*12+MONTH(M$211))&lt;=MIN('Aset Takberwujud'!$Z98,IF('Aset Takberwujud'!$S98="Unit Produksi",99999,'Aset Takberwujud'!$Y98+'Aset Takberwujud'!$T98*12-1))),'Aset Takberwujud'!$AQ98/'Aset Takberwujud'!$AG98,0)))</f>
        <v/>
      </c>
      <c r="N303" s="22" t="str">
        <f>IF($B303="","",IF(N('Aset Takberwujud'!$AG98)=0,0,IF(AND((YEAR(N$211)*12+MONTH(N$211))&gt;='Aset Takberwujud'!$Y98,(YEAR(N$211)*12+MONTH(N$211))&lt;=MIN('Aset Takberwujud'!$Z98,IF('Aset Takberwujud'!$S98="Unit Produksi",99999,'Aset Takberwujud'!$Y98+'Aset Takberwujud'!$T98*12-1))),'Aset Takberwujud'!$AQ98/'Aset Takberwujud'!$AG98,0)))</f>
        <v/>
      </c>
      <c r="O303" s="22" t="str">
        <f>IF($B303="","",IF(N('Aset Takberwujud'!$AG98)=0,0,IF(AND((YEAR(O$211)*12+MONTH(O$211))&gt;='Aset Takberwujud'!$Y98,(YEAR(O$211)*12+MONTH(O$211))&lt;=MIN('Aset Takberwujud'!$Z98,IF('Aset Takberwujud'!$S98="Unit Produksi",99999,'Aset Takberwujud'!$Y98+'Aset Takberwujud'!$T98*12-1))),'Aset Takberwujud'!$AQ98/'Aset Takberwujud'!$AG98,0)))</f>
        <v/>
      </c>
      <c r="P303" s="22" t="str">
        <f>IF($B303="","",IF(N('Aset Takberwujud'!$AG98)=0,0,IF(AND((YEAR(P$211)*12+MONTH(P$211))&gt;='Aset Takberwujud'!$Y98,(YEAR(P$211)*12+MONTH(P$211))&lt;=MIN('Aset Takberwujud'!$Z98,IF('Aset Takberwujud'!$S98="Unit Produksi",99999,'Aset Takberwujud'!$Y98+'Aset Takberwujud'!$T98*12-1))),'Aset Takberwujud'!$AQ98/'Aset Takberwujud'!$AG98,0)))</f>
        <v/>
      </c>
      <c r="Q303" s="22" t="str">
        <f>IF($B303="","",SUM(E303:P303))</f>
        <v/>
      </c>
      <c r="R303" s="22" t="str">
        <f>IF($B303="","",'Aset Takberwujud'!AQ98)</f>
        <v/>
      </c>
      <c r="S303" s="22" t="str">
        <f>IF($B303="","",ROUND(Q303-R303,0))</f>
        <v/>
      </c>
    </row>
    <row r="304" spans="1:19" x14ac:dyDescent="0.25">
      <c r="A304" t="str">
        <f>IF('Aset Takberwujud'!$B99="","",'Aset Takberwujud'!A99)</f>
        <v/>
      </c>
      <c r="B304" t="str">
        <f>IF('Aset Takberwujud'!$B99="","",'Aset Takberwujud'!B99)</f>
        <v/>
      </c>
      <c r="C304" t="str">
        <f>IF('Aset Takberwujud'!$B99="","",'Aset Takberwujud'!C99)</f>
        <v/>
      </c>
      <c r="D304" t="str">
        <f>IF('Aset Takberwujud'!$B99="","",'Aset Takberwujud'!D99)</f>
        <v/>
      </c>
      <c r="E304" s="22" t="str">
        <f>IF($B304="","",IF(N('Aset Takberwujud'!$AG99)=0,0,IF(AND((YEAR(E$211)*12+MONTH(E$211))&gt;='Aset Takberwujud'!$Y99,(YEAR(E$211)*12+MONTH(E$211))&lt;=MIN('Aset Takberwujud'!$Z99,IF('Aset Takberwujud'!$S99="Unit Produksi",99999,'Aset Takberwujud'!$Y99+'Aset Takberwujud'!$T99*12-1))),'Aset Takberwujud'!$AQ99/'Aset Takberwujud'!$AG99,0)))</f>
        <v/>
      </c>
      <c r="F304" s="22" t="str">
        <f>IF($B304="","",IF(N('Aset Takberwujud'!$AG99)=0,0,IF(AND((YEAR(F$211)*12+MONTH(F$211))&gt;='Aset Takberwujud'!$Y99,(YEAR(F$211)*12+MONTH(F$211))&lt;=MIN('Aset Takberwujud'!$Z99,IF('Aset Takberwujud'!$S99="Unit Produksi",99999,'Aset Takberwujud'!$Y99+'Aset Takberwujud'!$T99*12-1))),'Aset Takberwujud'!$AQ99/'Aset Takberwujud'!$AG99,0)))</f>
        <v/>
      </c>
      <c r="G304" s="22" t="str">
        <f>IF($B304="","",IF(N('Aset Takberwujud'!$AG99)=0,0,IF(AND((YEAR(G$211)*12+MONTH(G$211))&gt;='Aset Takberwujud'!$Y99,(YEAR(G$211)*12+MONTH(G$211))&lt;=MIN('Aset Takberwujud'!$Z99,IF('Aset Takberwujud'!$S99="Unit Produksi",99999,'Aset Takberwujud'!$Y99+'Aset Takberwujud'!$T99*12-1))),'Aset Takberwujud'!$AQ99/'Aset Takberwujud'!$AG99,0)))</f>
        <v/>
      </c>
      <c r="H304" s="22" t="str">
        <f>IF($B304="","",IF(N('Aset Takberwujud'!$AG99)=0,0,IF(AND((YEAR(H$211)*12+MONTH(H$211))&gt;='Aset Takberwujud'!$Y99,(YEAR(H$211)*12+MONTH(H$211))&lt;=MIN('Aset Takberwujud'!$Z99,IF('Aset Takberwujud'!$S99="Unit Produksi",99999,'Aset Takberwujud'!$Y99+'Aset Takberwujud'!$T99*12-1))),'Aset Takberwujud'!$AQ99/'Aset Takberwujud'!$AG99,0)))</f>
        <v/>
      </c>
      <c r="I304" s="22" t="str">
        <f>IF($B304="","",IF(N('Aset Takberwujud'!$AG99)=0,0,IF(AND((YEAR(I$211)*12+MONTH(I$211))&gt;='Aset Takberwujud'!$Y99,(YEAR(I$211)*12+MONTH(I$211))&lt;=MIN('Aset Takberwujud'!$Z99,IF('Aset Takberwujud'!$S99="Unit Produksi",99999,'Aset Takberwujud'!$Y99+'Aset Takberwujud'!$T99*12-1))),'Aset Takberwujud'!$AQ99/'Aset Takberwujud'!$AG99,0)))</f>
        <v/>
      </c>
      <c r="J304" s="22" t="str">
        <f>IF($B304="","",IF(N('Aset Takberwujud'!$AG99)=0,0,IF(AND((YEAR(J$211)*12+MONTH(J$211))&gt;='Aset Takberwujud'!$Y99,(YEAR(J$211)*12+MONTH(J$211))&lt;=MIN('Aset Takberwujud'!$Z99,IF('Aset Takberwujud'!$S99="Unit Produksi",99999,'Aset Takberwujud'!$Y99+'Aset Takberwujud'!$T99*12-1))),'Aset Takberwujud'!$AQ99/'Aset Takberwujud'!$AG99,0)))</f>
        <v/>
      </c>
      <c r="K304" s="22" t="str">
        <f>IF($B304="","",IF(N('Aset Takberwujud'!$AG99)=0,0,IF(AND((YEAR(K$211)*12+MONTH(K$211))&gt;='Aset Takberwujud'!$Y99,(YEAR(K$211)*12+MONTH(K$211))&lt;=MIN('Aset Takberwujud'!$Z99,IF('Aset Takberwujud'!$S99="Unit Produksi",99999,'Aset Takberwujud'!$Y99+'Aset Takberwujud'!$T99*12-1))),'Aset Takberwujud'!$AQ99/'Aset Takberwujud'!$AG99,0)))</f>
        <v/>
      </c>
      <c r="L304" s="22" t="str">
        <f>IF($B304="","",IF(N('Aset Takberwujud'!$AG99)=0,0,IF(AND((YEAR(L$211)*12+MONTH(L$211))&gt;='Aset Takberwujud'!$Y99,(YEAR(L$211)*12+MONTH(L$211))&lt;=MIN('Aset Takberwujud'!$Z99,IF('Aset Takberwujud'!$S99="Unit Produksi",99999,'Aset Takberwujud'!$Y99+'Aset Takberwujud'!$T99*12-1))),'Aset Takberwujud'!$AQ99/'Aset Takberwujud'!$AG99,0)))</f>
        <v/>
      </c>
      <c r="M304" s="22" t="str">
        <f>IF($B304="","",IF(N('Aset Takberwujud'!$AG99)=0,0,IF(AND((YEAR(M$211)*12+MONTH(M$211))&gt;='Aset Takberwujud'!$Y99,(YEAR(M$211)*12+MONTH(M$211))&lt;=MIN('Aset Takberwujud'!$Z99,IF('Aset Takberwujud'!$S99="Unit Produksi",99999,'Aset Takberwujud'!$Y99+'Aset Takberwujud'!$T99*12-1))),'Aset Takberwujud'!$AQ99/'Aset Takberwujud'!$AG99,0)))</f>
        <v/>
      </c>
      <c r="N304" s="22" t="str">
        <f>IF($B304="","",IF(N('Aset Takberwujud'!$AG99)=0,0,IF(AND((YEAR(N$211)*12+MONTH(N$211))&gt;='Aset Takberwujud'!$Y99,(YEAR(N$211)*12+MONTH(N$211))&lt;=MIN('Aset Takberwujud'!$Z99,IF('Aset Takberwujud'!$S99="Unit Produksi",99999,'Aset Takberwujud'!$Y99+'Aset Takberwujud'!$T99*12-1))),'Aset Takberwujud'!$AQ99/'Aset Takberwujud'!$AG99,0)))</f>
        <v/>
      </c>
      <c r="O304" s="22" t="str">
        <f>IF($B304="","",IF(N('Aset Takberwujud'!$AG99)=0,0,IF(AND((YEAR(O$211)*12+MONTH(O$211))&gt;='Aset Takberwujud'!$Y99,(YEAR(O$211)*12+MONTH(O$211))&lt;=MIN('Aset Takberwujud'!$Z99,IF('Aset Takberwujud'!$S99="Unit Produksi",99999,'Aset Takberwujud'!$Y99+'Aset Takberwujud'!$T99*12-1))),'Aset Takberwujud'!$AQ99/'Aset Takberwujud'!$AG99,0)))</f>
        <v/>
      </c>
      <c r="P304" s="22" t="str">
        <f>IF($B304="","",IF(N('Aset Takberwujud'!$AG99)=0,0,IF(AND((YEAR(P$211)*12+MONTH(P$211))&gt;='Aset Takberwujud'!$Y99,(YEAR(P$211)*12+MONTH(P$211))&lt;=MIN('Aset Takberwujud'!$Z99,IF('Aset Takberwujud'!$S99="Unit Produksi",99999,'Aset Takberwujud'!$Y99+'Aset Takberwujud'!$T99*12-1))),'Aset Takberwujud'!$AQ99/'Aset Takberwujud'!$AG99,0)))</f>
        <v/>
      </c>
      <c r="Q304" s="22" t="str">
        <f>IF($B304="","",SUM(E304:P304))</f>
        <v/>
      </c>
      <c r="R304" s="22" t="str">
        <f>IF($B304="","",'Aset Takberwujud'!AQ99)</f>
        <v/>
      </c>
      <c r="S304" s="22" t="str">
        <f>IF($B304="","",ROUND(Q304-R304,0))</f>
        <v/>
      </c>
    </row>
    <row r="305" spans="1:19" x14ac:dyDescent="0.25">
      <c r="A305" t="str">
        <f>IF('Aset Takberwujud'!$B100="","",'Aset Takberwujud'!A100)</f>
        <v/>
      </c>
      <c r="B305" t="str">
        <f>IF('Aset Takberwujud'!$B100="","",'Aset Takberwujud'!B100)</f>
        <v/>
      </c>
      <c r="C305" t="str">
        <f>IF('Aset Takberwujud'!$B100="","",'Aset Takberwujud'!C100)</f>
        <v/>
      </c>
      <c r="D305" t="str">
        <f>IF('Aset Takberwujud'!$B100="","",'Aset Takberwujud'!D100)</f>
        <v/>
      </c>
      <c r="E305" s="22" t="str">
        <f>IF($B305="","",IF(N('Aset Takberwujud'!$AG100)=0,0,IF(AND((YEAR(E$211)*12+MONTH(E$211))&gt;='Aset Takberwujud'!$Y100,(YEAR(E$211)*12+MONTH(E$211))&lt;=MIN('Aset Takberwujud'!$Z100,IF('Aset Takberwujud'!$S100="Unit Produksi",99999,'Aset Takberwujud'!$Y100+'Aset Takberwujud'!$T100*12-1))),'Aset Takberwujud'!$AQ100/'Aset Takberwujud'!$AG100,0)))</f>
        <v/>
      </c>
      <c r="F305" s="22" t="str">
        <f>IF($B305="","",IF(N('Aset Takberwujud'!$AG100)=0,0,IF(AND((YEAR(F$211)*12+MONTH(F$211))&gt;='Aset Takberwujud'!$Y100,(YEAR(F$211)*12+MONTH(F$211))&lt;=MIN('Aset Takberwujud'!$Z100,IF('Aset Takberwujud'!$S100="Unit Produksi",99999,'Aset Takberwujud'!$Y100+'Aset Takberwujud'!$T100*12-1))),'Aset Takberwujud'!$AQ100/'Aset Takberwujud'!$AG100,0)))</f>
        <v/>
      </c>
      <c r="G305" s="22" t="str">
        <f>IF($B305="","",IF(N('Aset Takberwujud'!$AG100)=0,0,IF(AND((YEAR(G$211)*12+MONTH(G$211))&gt;='Aset Takberwujud'!$Y100,(YEAR(G$211)*12+MONTH(G$211))&lt;=MIN('Aset Takberwujud'!$Z100,IF('Aset Takberwujud'!$S100="Unit Produksi",99999,'Aset Takberwujud'!$Y100+'Aset Takberwujud'!$T100*12-1))),'Aset Takberwujud'!$AQ100/'Aset Takberwujud'!$AG100,0)))</f>
        <v/>
      </c>
      <c r="H305" s="22" t="str">
        <f>IF($B305="","",IF(N('Aset Takberwujud'!$AG100)=0,0,IF(AND((YEAR(H$211)*12+MONTH(H$211))&gt;='Aset Takberwujud'!$Y100,(YEAR(H$211)*12+MONTH(H$211))&lt;=MIN('Aset Takberwujud'!$Z100,IF('Aset Takberwujud'!$S100="Unit Produksi",99999,'Aset Takberwujud'!$Y100+'Aset Takberwujud'!$T100*12-1))),'Aset Takberwujud'!$AQ100/'Aset Takberwujud'!$AG100,0)))</f>
        <v/>
      </c>
      <c r="I305" s="22" t="str">
        <f>IF($B305="","",IF(N('Aset Takberwujud'!$AG100)=0,0,IF(AND((YEAR(I$211)*12+MONTH(I$211))&gt;='Aset Takberwujud'!$Y100,(YEAR(I$211)*12+MONTH(I$211))&lt;=MIN('Aset Takberwujud'!$Z100,IF('Aset Takberwujud'!$S100="Unit Produksi",99999,'Aset Takberwujud'!$Y100+'Aset Takberwujud'!$T100*12-1))),'Aset Takberwujud'!$AQ100/'Aset Takberwujud'!$AG100,0)))</f>
        <v/>
      </c>
      <c r="J305" s="22" t="str">
        <f>IF($B305="","",IF(N('Aset Takberwujud'!$AG100)=0,0,IF(AND((YEAR(J$211)*12+MONTH(J$211))&gt;='Aset Takberwujud'!$Y100,(YEAR(J$211)*12+MONTH(J$211))&lt;=MIN('Aset Takberwujud'!$Z100,IF('Aset Takberwujud'!$S100="Unit Produksi",99999,'Aset Takberwujud'!$Y100+'Aset Takberwujud'!$T100*12-1))),'Aset Takberwujud'!$AQ100/'Aset Takberwujud'!$AG100,0)))</f>
        <v/>
      </c>
      <c r="K305" s="22" t="str">
        <f>IF($B305="","",IF(N('Aset Takberwujud'!$AG100)=0,0,IF(AND((YEAR(K$211)*12+MONTH(K$211))&gt;='Aset Takberwujud'!$Y100,(YEAR(K$211)*12+MONTH(K$211))&lt;=MIN('Aset Takberwujud'!$Z100,IF('Aset Takberwujud'!$S100="Unit Produksi",99999,'Aset Takberwujud'!$Y100+'Aset Takberwujud'!$T100*12-1))),'Aset Takberwujud'!$AQ100/'Aset Takberwujud'!$AG100,0)))</f>
        <v/>
      </c>
      <c r="L305" s="22" t="str">
        <f>IF($B305="","",IF(N('Aset Takberwujud'!$AG100)=0,0,IF(AND((YEAR(L$211)*12+MONTH(L$211))&gt;='Aset Takberwujud'!$Y100,(YEAR(L$211)*12+MONTH(L$211))&lt;=MIN('Aset Takberwujud'!$Z100,IF('Aset Takberwujud'!$S100="Unit Produksi",99999,'Aset Takberwujud'!$Y100+'Aset Takberwujud'!$T100*12-1))),'Aset Takberwujud'!$AQ100/'Aset Takberwujud'!$AG100,0)))</f>
        <v/>
      </c>
      <c r="M305" s="22" t="str">
        <f>IF($B305="","",IF(N('Aset Takberwujud'!$AG100)=0,0,IF(AND((YEAR(M$211)*12+MONTH(M$211))&gt;='Aset Takberwujud'!$Y100,(YEAR(M$211)*12+MONTH(M$211))&lt;=MIN('Aset Takberwujud'!$Z100,IF('Aset Takberwujud'!$S100="Unit Produksi",99999,'Aset Takberwujud'!$Y100+'Aset Takberwujud'!$T100*12-1))),'Aset Takberwujud'!$AQ100/'Aset Takberwujud'!$AG100,0)))</f>
        <v/>
      </c>
      <c r="N305" s="22" t="str">
        <f>IF($B305="","",IF(N('Aset Takberwujud'!$AG100)=0,0,IF(AND((YEAR(N$211)*12+MONTH(N$211))&gt;='Aset Takberwujud'!$Y100,(YEAR(N$211)*12+MONTH(N$211))&lt;=MIN('Aset Takberwujud'!$Z100,IF('Aset Takberwujud'!$S100="Unit Produksi",99999,'Aset Takberwujud'!$Y100+'Aset Takberwujud'!$T100*12-1))),'Aset Takberwujud'!$AQ100/'Aset Takberwujud'!$AG100,0)))</f>
        <v/>
      </c>
      <c r="O305" s="22" t="str">
        <f>IF($B305="","",IF(N('Aset Takberwujud'!$AG100)=0,0,IF(AND((YEAR(O$211)*12+MONTH(O$211))&gt;='Aset Takberwujud'!$Y100,(YEAR(O$211)*12+MONTH(O$211))&lt;=MIN('Aset Takberwujud'!$Z100,IF('Aset Takberwujud'!$S100="Unit Produksi",99999,'Aset Takberwujud'!$Y100+'Aset Takberwujud'!$T100*12-1))),'Aset Takberwujud'!$AQ100/'Aset Takberwujud'!$AG100,0)))</f>
        <v/>
      </c>
      <c r="P305" s="22" t="str">
        <f>IF($B305="","",IF(N('Aset Takberwujud'!$AG100)=0,0,IF(AND((YEAR(P$211)*12+MONTH(P$211))&gt;='Aset Takberwujud'!$Y100,(YEAR(P$211)*12+MONTH(P$211))&lt;=MIN('Aset Takberwujud'!$Z100,IF('Aset Takberwujud'!$S100="Unit Produksi",99999,'Aset Takberwujud'!$Y100+'Aset Takberwujud'!$T100*12-1))),'Aset Takberwujud'!$AQ100/'Aset Takberwujud'!$AG100,0)))</f>
        <v/>
      </c>
      <c r="Q305" s="22" t="str">
        <f>IF($B305="","",SUM(E305:P305))</f>
        <v/>
      </c>
      <c r="R305" s="22" t="str">
        <f>IF($B305="","",'Aset Takberwujud'!AQ100)</f>
        <v/>
      </c>
      <c r="S305" s="22" t="str">
        <f>IF($B305="","",ROUND(Q305-R305,0))</f>
        <v/>
      </c>
    </row>
    <row r="306" spans="1:19" x14ac:dyDescent="0.25">
      <c r="A306" t="str">
        <f>IF('Aset Takberwujud'!$B101="","",'Aset Takberwujud'!A101)</f>
        <v/>
      </c>
      <c r="B306" t="str">
        <f>IF('Aset Takberwujud'!$B101="","",'Aset Takberwujud'!B101)</f>
        <v/>
      </c>
      <c r="C306" t="str">
        <f>IF('Aset Takberwujud'!$B101="","",'Aset Takberwujud'!C101)</f>
        <v/>
      </c>
      <c r="D306" t="str">
        <f>IF('Aset Takberwujud'!$B101="","",'Aset Takberwujud'!D101)</f>
        <v/>
      </c>
      <c r="E306" s="22" t="str">
        <f>IF($B306="","",IF(N('Aset Takberwujud'!$AG101)=0,0,IF(AND((YEAR(E$211)*12+MONTH(E$211))&gt;='Aset Takberwujud'!$Y101,(YEAR(E$211)*12+MONTH(E$211))&lt;=MIN('Aset Takberwujud'!$Z101,IF('Aset Takberwujud'!$S101="Unit Produksi",99999,'Aset Takberwujud'!$Y101+'Aset Takberwujud'!$T101*12-1))),'Aset Takberwujud'!$AQ101/'Aset Takberwujud'!$AG101,0)))</f>
        <v/>
      </c>
      <c r="F306" s="22" t="str">
        <f>IF($B306="","",IF(N('Aset Takberwujud'!$AG101)=0,0,IF(AND((YEAR(F$211)*12+MONTH(F$211))&gt;='Aset Takberwujud'!$Y101,(YEAR(F$211)*12+MONTH(F$211))&lt;=MIN('Aset Takberwujud'!$Z101,IF('Aset Takberwujud'!$S101="Unit Produksi",99999,'Aset Takberwujud'!$Y101+'Aset Takberwujud'!$T101*12-1))),'Aset Takberwujud'!$AQ101/'Aset Takberwujud'!$AG101,0)))</f>
        <v/>
      </c>
      <c r="G306" s="22" t="str">
        <f>IF($B306="","",IF(N('Aset Takberwujud'!$AG101)=0,0,IF(AND((YEAR(G$211)*12+MONTH(G$211))&gt;='Aset Takberwujud'!$Y101,(YEAR(G$211)*12+MONTH(G$211))&lt;=MIN('Aset Takberwujud'!$Z101,IF('Aset Takberwujud'!$S101="Unit Produksi",99999,'Aset Takberwujud'!$Y101+'Aset Takberwujud'!$T101*12-1))),'Aset Takberwujud'!$AQ101/'Aset Takberwujud'!$AG101,0)))</f>
        <v/>
      </c>
      <c r="H306" s="22" t="str">
        <f>IF($B306="","",IF(N('Aset Takberwujud'!$AG101)=0,0,IF(AND((YEAR(H$211)*12+MONTH(H$211))&gt;='Aset Takberwujud'!$Y101,(YEAR(H$211)*12+MONTH(H$211))&lt;=MIN('Aset Takberwujud'!$Z101,IF('Aset Takberwujud'!$S101="Unit Produksi",99999,'Aset Takberwujud'!$Y101+'Aset Takberwujud'!$T101*12-1))),'Aset Takberwujud'!$AQ101/'Aset Takberwujud'!$AG101,0)))</f>
        <v/>
      </c>
      <c r="I306" s="22" t="str">
        <f>IF($B306="","",IF(N('Aset Takberwujud'!$AG101)=0,0,IF(AND((YEAR(I$211)*12+MONTH(I$211))&gt;='Aset Takberwujud'!$Y101,(YEAR(I$211)*12+MONTH(I$211))&lt;=MIN('Aset Takberwujud'!$Z101,IF('Aset Takberwujud'!$S101="Unit Produksi",99999,'Aset Takberwujud'!$Y101+'Aset Takberwujud'!$T101*12-1))),'Aset Takberwujud'!$AQ101/'Aset Takberwujud'!$AG101,0)))</f>
        <v/>
      </c>
      <c r="J306" s="22" t="str">
        <f>IF($B306="","",IF(N('Aset Takberwujud'!$AG101)=0,0,IF(AND((YEAR(J$211)*12+MONTH(J$211))&gt;='Aset Takberwujud'!$Y101,(YEAR(J$211)*12+MONTH(J$211))&lt;=MIN('Aset Takberwujud'!$Z101,IF('Aset Takberwujud'!$S101="Unit Produksi",99999,'Aset Takberwujud'!$Y101+'Aset Takberwujud'!$T101*12-1))),'Aset Takberwujud'!$AQ101/'Aset Takberwujud'!$AG101,0)))</f>
        <v/>
      </c>
      <c r="K306" s="22" t="str">
        <f>IF($B306="","",IF(N('Aset Takberwujud'!$AG101)=0,0,IF(AND((YEAR(K$211)*12+MONTH(K$211))&gt;='Aset Takberwujud'!$Y101,(YEAR(K$211)*12+MONTH(K$211))&lt;=MIN('Aset Takberwujud'!$Z101,IF('Aset Takberwujud'!$S101="Unit Produksi",99999,'Aset Takberwujud'!$Y101+'Aset Takberwujud'!$T101*12-1))),'Aset Takberwujud'!$AQ101/'Aset Takberwujud'!$AG101,0)))</f>
        <v/>
      </c>
      <c r="L306" s="22" t="str">
        <f>IF($B306="","",IF(N('Aset Takberwujud'!$AG101)=0,0,IF(AND((YEAR(L$211)*12+MONTH(L$211))&gt;='Aset Takberwujud'!$Y101,(YEAR(L$211)*12+MONTH(L$211))&lt;=MIN('Aset Takberwujud'!$Z101,IF('Aset Takberwujud'!$S101="Unit Produksi",99999,'Aset Takberwujud'!$Y101+'Aset Takberwujud'!$T101*12-1))),'Aset Takberwujud'!$AQ101/'Aset Takberwujud'!$AG101,0)))</f>
        <v/>
      </c>
      <c r="M306" s="22" t="str">
        <f>IF($B306="","",IF(N('Aset Takberwujud'!$AG101)=0,0,IF(AND((YEAR(M$211)*12+MONTH(M$211))&gt;='Aset Takberwujud'!$Y101,(YEAR(M$211)*12+MONTH(M$211))&lt;=MIN('Aset Takberwujud'!$Z101,IF('Aset Takberwujud'!$S101="Unit Produksi",99999,'Aset Takberwujud'!$Y101+'Aset Takberwujud'!$T101*12-1))),'Aset Takberwujud'!$AQ101/'Aset Takberwujud'!$AG101,0)))</f>
        <v/>
      </c>
      <c r="N306" s="22" t="str">
        <f>IF($B306="","",IF(N('Aset Takberwujud'!$AG101)=0,0,IF(AND((YEAR(N$211)*12+MONTH(N$211))&gt;='Aset Takberwujud'!$Y101,(YEAR(N$211)*12+MONTH(N$211))&lt;=MIN('Aset Takberwujud'!$Z101,IF('Aset Takberwujud'!$S101="Unit Produksi",99999,'Aset Takberwujud'!$Y101+'Aset Takberwujud'!$T101*12-1))),'Aset Takberwujud'!$AQ101/'Aset Takberwujud'!$AG101,0)))</f>
        <v/>
      </c>
      <c r="O306" s="22" t="str">
        <f>IF($B306="","",IF(N('Aset Takberwujud'!$AG101)=0,0,IF(AND((YEAR(O$211)*12+MONTH(O$211))&gt;='Aset Takberwujud'!$Y101,(YEAR(O$211)*12+MONTH(O$211))&lt;=MIN('Aset Takberwujud'!$Z101,IF('Aset Takberwujud'!$S101="Unit Produksi",99999,'Aset Takberwujud'!$Y101+'Aset Takberwujud'!$T101*12-1))),'Aset Takberwujud'!$AQ101/'Aset Takberwujud'!$AG101,0)))</f>
        <v/>
      </c>
      <c r="P306" s="22" t="str">
        <f>IF($B306="","",IF(N('Aset Takberwujud'!$AG101)=0,0,IF(AND((YEAR(P$211)*12+MONTH(P$211))&gt;='Aset Takberwujud'!$Y101,(YEAR(P$211)*12+MONTH(P$211))&lt;=MIN('Aset Takberwujud'!$Z101,IF('Aset Takberwujud'!$S101="Unit Produksi",99999,'Aset Takberwujud'!$Y101+'Aset Takberwujud'!$T101*12-1))),'Aset Takberwujud'!$AQ101/'Aset Takberwujud'!$AG101,0)))</f>
        <v/>
      </c>
      <c r="Q306" s="22" t="str">
        <f>IF($B306="","",SUM(E306:P306))</f>
        <v/>
      </c>
      <c r="R306" s="22" t="str">
        <f>IF($B306="","",'Aset Takberwujud'!AQ101)</f>
        <v/>
      </c>
      <c r="S306" s="22" t="str">
        <f>IF($B306="","",ROUND(Q306-R306,0))</f>
        <v/>
      </c>
    </row>
    <row r="307" spans="1:19" x14ac:dyDescent="0.25">
      <c r="A307" t="str">
        <f>IF('Aset Takberwujud'!$B102="","",'Aset Takberwujud'!A102)</f>
        <v/>
      </c>
      <c r="B307" t="str">
        <f>IF('Aset Takberwujud'!$B102="","",'Aset Takberwujud'!B102)</f>
        <v/>
      </c>
      <c r="C307" t="str">
        <f>IF('Aset Takberwujud'!$B102="","",'Aset Takberwujud'!C102)</f>
        <v/>
      </c>
      <c r="D307" t="str">
        <f>IF('Aset Takberwujud'!$B102="","",'Aset Takberwujud'!D102)</f>
        <v/>
      </c>
      <c r="E307" s="22" t="str">
        <f>IF($B307="","",IF(N('Aset Takberwujud'!$AG102)=0,0,IF(AND((YEAR(E$211)*12+MONTH(E$211))&gt;='Aset Takberwujud'!$Y102,(YEAR(E$211)*12+MONTH(E$211))&lt;=MIN('Aset Takberwujud'!$Z102,IF('Aset Takberwujud'!$S102="Unit Produksi",99999,'Aset Takberwujud'!$Y102+'Aset Takberwujud'!$T102*12-1))),'Aset Takberwujud'!$AQ102/'Aset Takberwujud'!$AG102,0)))</f>
        <v/>
      </c>
      <c r="F307" s="22" t="str">
        <f>IF($B307="","",IF(N('Aset Takberwujud'!$AG102)=0,0,IF(AND((YEAR(F$211)*12+MONTH(F$211))&gt;='Aset Takberwujud'!$Y102,(YEAR(F$211)*12+MONTH(F$211))&lt;=MIN('Aset Takberwujud'!$Z102,IF('Aset Takberwujud'!$S102="Unit Produksi",99999,'Aset Takberwujud'!$Y102+'Aset Takberwujud'!$T102*12-1))),'Aset Takberwujud'!$AQ102/'Aset Takberwujud'!$AG102,0)))</f>
        <v/>
      </c>
      <c r="G307" s="22" t="str">
        <f>IF($B307="","",IF(N('Aset Takberwujud'!$AG102)=0,0,IF(AND((YEAR(G$211)*12+MONTH(G$211))&gt;='Aset Takberwujud'!$Y102,(YEAR(G$211)*12+MONTH(G$211))&lt;=MIN('Aset Takberwujud'!$Z102,IF('Aset Takberwujud'!$S102="Unit Produksi",99999,'Aset Takberwujud'!$Y102+'Aset Takberwujud'!$T102*12-1))),'Aset Takberwujud'!$AQ102/'Aset Takberwujud'!$AG102,0)))</f>
        <v/>
      </c>
      <c r="H307" s="22" t="str">
        <f>IF($B307="","",IF(N('Aset Takberwujud'!$AG102)=0,0,IF(AND((YEAR(H$211)*12+MONTH(H$211))&gt;='Aset Takberwujud'!$Y102,(YEAR(H$211)*12+MONTH(H$211))&lt;=MIN('Aset Takberwujud'!$Z102,IF('Aset Takberwujud'!$S102="Unit Produksi",99999,'Aset Takberwujud'!$Y102+'Aset Takberwujud'!$T102*12-1))),'Aset Takberwujud'!$AQ102/'Aset Takberwujud'!$AG102,0)))</f>
        <v/>
      </c>
      <c r="I307" s="22" t="str">
        <f>IF($B307="","",IF(N('Aset Takberwujud'!$AG102)=0,0,IF(AND((YEAR(I$211)*12+MONTH(I$211))&gt;='Aset Takberwujud'!$Y102,(YEAR(I$211)*12+MONTH(I$211))&lt;=MIN('Aset Takberwujud'!$Z102,IF('Aset Takberwujud'!$S102="Unit Produksi",99999,'Aset Takberwujud'!$Y102+'Aset Takberwujud'!$T102*12-1))),'Aset Takberwujud'!$AQ102/'Aset Takberwujud'!$AG102,0)))</f>
        <v/>
      </c>
      <c r="J307" s="22" t="str">
        <f>IF($B307="","",IF(N('Aset Takberwujud'!$AG102)=0,0,IF(AND((YEAR(J$211)*12+MONTH(J$211))&gt;='Aset Takberwujud'!$Y102,(YEAR(J$211)*12+MONTH(J$211))&lt;=MIN('Aset Takberwujud'!$Z102,IF('Aset Takberwujud'!$S102="Unit Produksi",99999,'Aset Takberwujud'!$Y102+'Aset Takberwujud'!$T102*12-1))),'Aset Takberwujud'!$AQ102/'Aset Takberwujud'!$AG102,0)))</f>
        <v/>
      </c>
      <c r="K307" s="22" t="str">
        <f>IF($B307="","",IF(N('Aset Takberwujud'!$AG102)=0,0,IF(AND((YEAR(K$211)*12+MONTH(K$211))&gt;='Aset Takberwujud'!$Y102,(YEAR(K$211)*12+MONTH(K$211))&lt;=MIN('Aset Takberwujud'!$Z102,IF('Aset Takberwujud'!$S102="Unit Produksi",99999,'Aset Takberwujud'!$Y102+'Aset Takberwujud'!$T102*12-1))),'Aset Takberwujud'!$AQ102/'Aset Takberwujud'!$AG102,0)))</f>
        <v/>
      </c>
      <c r="L307" s="22" t="str">
        <f>IF($B307="","",IF(N('Aset Takberwujud'!$AG102)=0,0,IF(AND((YEAR(L$211)*12+MONTH(L$211))&gt;='Aset Takberwujud'!$Y102,(YEAR(L$211)*12+MONTH(L$211))&lt;=MIN('Aset Takberwujud'!$Z102,IF('Aset Takberwujud'!$S102="Unit Produksi",99999,'Aset Takberwujud'!$Y102+'Aset Takberwujud'!$T102*12-1))),'Aset Takberwujud'!$AQ102/'Aset Takberwujud'!$AG102,0)))</f>
        <v/>
      </c>
      <c r="M307" s="22" t="str">
        <f>IF($B307="","",IF(N('Aset Takberwujud'!$AG102)=0,0,IF(AND((YEAR(M$211)*12+MONTH(M$211))&gt;='Aset Takberwujud'!$Y102,(YEAR(M$211)*12+MONTH(M$211))&lt;=MIN('Aset Takberwujud'!$Z102,IF('Aset Takberwujud'!$S102="Unit Produksi",99999,'Aset Takberwujud'!$Y102+'Aset Takberwujud'!$T102*12-1))),'Aset Takberwujud'!$AQ102/'Aset Takberwujud'!$AG102,0)))</f>
        <v/>
      </c>
      <c r="N307" s="22" t="str">
        <f>IF($B307="","",IF(N('Aset Takberwujud'!$AG102)=0,0,IF(AND((YEAR(N$211)*12+MONTH(N$211))&gt;='Aset Takberwujud'!$Y102,(YEAR(N$211)*12+MONTH(N$211))&lt;=MIN('Aset Takberwujud'!$Z102,IF('Aset Takberwujud'!$S102="Unit Produksi",99999,'Aset Takberwujud'!$Y102+'Aset Takberwujud'!$T102*12-1))),'Aset Takberwujud'!$AQ102/'Aset Takberwujud'!$AG102,0)))</f>
        <v/>
      </c>
      <c r="O307" s="22" t="str">
        <f>IF($B307="","",IF(N('Aset Takberwujud'!$AG102)=0,0,IF(AND((YEAR(O$211)*12+MONTH(O$211))&gt;='Aset Takberwujud'!$Y102,(YEAR(O$211)*12+MONTH(O$211))&lt;=MIN('Aset Takberwujud'!$Z102,IF('Aset Takberwujud'!$S102="Unit Produksi",99999,'Aset Takberwujud'!$Y102+'Aset Takberwujud'!$T102*12-1))),'Aset Takberwujud'!$AQ102/'Aset Takberwujud'!$AG102,0)))</f>
        <v/>
      </c>
      <c r="P307" s="22" t="str">
        <f>IF($B307="","",IF(N('Aset Takberwujud'!$AG102)=0,0,IF(AND((YEAR(P$211)*12+MONTH(P$211))&gt;='Aset Takberwujud'!$Y102,(YEAR(P$211)*12+MONTH(P$211))&lt;=MIN('Aset Takberwujud'!$Z102,IF('Aset Takberwujud'!$S102="Unit Produksi",99999,'Aset Takberwujud'!$Y102+'Aset Takberwujud'!$T102*12-1))),'Aset Takberwujud'!$AQ102/'Aset Takberwujud'!$AG102,0)))</f>
        <v/>
      </c>
      <c r="Q307" s="22" t="str">
        <f>IF($B307="","",SUM(E307:P307))</f>
        <v/>
      </c>
      <c r="R307" s="22" t="str">
        <f>IF($B307="","",'Aset Takberwujud'!AQ102)</f>
        <v/>
      </c>
      <c r="S307" s="22" t="str">
        <f>IF($B307="","",ROUND(Q307-R307,0))</f>
        <v/>
      </c>
    </row>
    <row r="308" spans="1:19" x14ac:dyDescent="0.25">
      <c r="A308" t="str">
        <f>IF('Aset Takberwujud'!$B103="","",'Aset Takberwujud'!A103)</f>
        <v/>
      </c>
      <c r="B308" t="str">
        <f>IF('Aset Takberwujud'!$B103="","",'Aset Takberwujud'!B103)</f>
        <v/>
      </c>
      <c r="C308" t="str">
        <f>IF('Aset Takberwujud'!$B103="","",'Aset Takberwujud'!C103)</f>
        <v/>
      </c>
      <c r="D308" t="str">
        <f>IF('Aset Takberwujud'!$B103="","",'Aset Takberwujud'!D103)</f>
        <v/>
      </c>
      <c r="E308" s="22" t="str">
        <f>IF($B308="","",IF(N('Aset Takberwujud'!$AG103)=0,0,IF(AND((YEAR(E$211)*12+MONTH(E$211))&gt;='Aset Takberwujud'!$Y103,(YEAR(E$211)*12+MONTH(E$211))&lt;=MIN('Aset Takberwujud'!$Z103,IF('Aset Takberwujud'!$S103="Unit Produksi",99999,'Aset Takberwujud'!$Y103+'Aset Takberwujud'!$T103*12-1))),'Aset Takberwujud'!$AQ103/'Aset Takberwujud'!$AG103,0)))</f>
        <v/>
      </c>
      <c r="F308" s="22" t="str">
        <f>IF($B308="","",IF(N('Aset Takberwujud'!$AG103)=0,0,IF(AND((YEAR(F$211)*12+MONTH(F$211))&gt;='Aset Takberwujud'!$Y103,(YEAR(F$211)*12+MONTH(F$211))&lt;=MIN('Aset Takberwujud'!$Z103,IF('Aset Takberwujud'!$S103="Unit Produksi",99999,'Aset Takberwujud'!$Y103+'Aset Takberwujud'!$T103*12-1))),'Aset Takberwujud'!$AQ103/'Aset Takberwujud'!$AG103,0)))</f>
        <v/>
      </c>
      <c r="G308" s="22" t="str">
        <f>IF($B308="","",IF(N('Aset Takberwujud'!$AG103)=0,0,IF(AND((YEAR(G$211)*12+MONTH(G$211))&gt;='Aset Takberwujud'!$Y103,(YEAR(G$211)*12+MONTH(G$211))&lt;=MIN('Aset Takberwujud'!$Z103,IF('Aset Takberwujud'!$S103="Unit Produksi",99999,'Aset Takberwujud'!$Y103+'Aset Takberwujud'!$T103*12-1))),'Aset Takberwujud'!$AQ103/'Aset Takberwujud'!$AG103,0)))</f>
        <v/>
      </c>
      <c r="H308" s="22" t="str">
        <f>IF($B308="","",IF(N('Aset Takberwujud'!$AG103)=0,0,IF(AND((YEAR(H$211)*12+MONTH(H$211))&gt;='Aset Takberwujud'!$Y103,(YEAR(H$211)*12+MONTH(H$211))&lt;=MIN('Aset Takberwujud'!$Z103,IF('Aset Takberwujud'!$S103="Unit Produksi",99999,'Aset Takberwujud'!$Y103+'Aset Takberwujud'!$T103*12-1))),'Aset Takberwujud'!$AQ103/'Aset Takberwujud'!$AG103,0)))</f>
        <v/>
      </c>
      <c r="I308" s="22" t="str">
        <f>IF($B308="","",IF(N('Aset Takberwujud'!$AG103)=0,0,IF(AND((YEAR(I$211)*12+MONTH(I$211))&gt;='Aset Takberwujud'!$Y103,(YEAR(I$211)*12+MONTH(I$211))&lt;=MIN('Aset Takberwujud'!$Z103,IF('Aset Takberwujud'!$S103="Unit Produksi",99999,'Aset Takberwujud'!$Y103+'Aset Takberwujud'!$T103*12-1))),'Aset Takberwujud'!$AQ103/'Aset Takberwujud'!$AG103,0)))</f>
        <v/>
      </c>
      <c r="J308" s="22" t="str">
        <f>IF($B308="","",IF(N('Aset Takberwujud'!$AG103)=0,0,IF(AND((YEAR(J$211)*12+MONTH(J$211))&gt;='Aset Takberwujud'!$Y103,(YEAR(J$211)*12+MONTH(J$211))&lt;=MIN('Aset Takberwujud'!$Z103,IF('Aset Takberwujud'!$S103="Unit Produksi",99999,'Aset Takberwujud'!$Y103+'Aset Takberwujud'!$T103*12-1))),'Aset Takberwujud'!$AQ103/'Aset Takberwujud'!$AG103,0)))</f>
        <v/>
      </c>
      <c r="K308" s="22" t="str">
        <f>IF($B308="","",IF(N('Aset Takberwujud'!$AG103)=0,0,IF(AND((YEAR(K$211)*12+MONTH(K$211))&gt;='Aset Takberwujud'!$Y103,(YEAR(K$211)*12+MONTH(K$211))&lt;=MIN('Aset Takberwujud'!$Z103,IF('Aset Takberwujud'!$S103="Unit Produksi",99999,'Aset Takberwujud'!$Y103+'Aset Takberwujud'!$T103*12-1))),'Aset Takberwujud'!$AQ103/'Aset Takberwujud'!$AG103,0)))</f>
        <v/>
      </c>
      <c r="L308" s="22" t="str">
        <f>IF($B308="","",IF(N('Aset Takberwujud'!$AG103)=0,0,IF(AND((YEAR(L$211)*12+MONTH(L$211))&gt;='Aset Takberwujud'!$Y103,(YEAR(L$211)*12+MONTH(L$211))&lt;=MIN('Aset Takberwujud'!$Z103,IF('Aset Takberwujud'!$S103="Unit Produksi",99999,'Aset Takberwujud'!$Y103+'Aset Takberwujud'!$T103*12-1))),'Aset Takberwujud'!$AQ103/'Aset Takberwujud'!$AG103,0)))</f>
        <v/>
      </c>
      <c r="M308" s="22" t="str">
        <f>IF($B308="","",IF(N('Aset Takberwujud'!$AG103)=0,0,IF(AND((YEAR(M$211)*12+MONTH(M$211))&gt;='Aset Takberwujud'!$Y103,(YEAR(M$211)*12+MONTH(M$211))&lt;=MIN('Aset Takberwujud'!$Z103,IF('Aset Takberwujud'!$S103="Unit Produksi",99999,'Aset Takberwujud'!$Y103+'Aset Takberwujud'!$T103*12-1))),'Aset Takberwujud'!$AQ103/'Aset Takberwujud'!$AG103,0)))</f>
        <v/>
      </c>
      <c r="N308" s="22" t="str">
        <f>IF($B308="","",IF(N('Aset Takberwujud'!$AG103)=0,0,IF(AND((YEAR(N$211)*12+MONTH(N$211))&gt;='Aset Takberwujud'!$Y103,(YEAR(N$211)*12+MONTH(N$211))&lt;=MIN('Aset Takberwujud'!$Z103,IF('Aset Takberwujud'!$S103="Unit Produksi",99999,'Aset Takberwujud'!$Y103+'Aset Takberwujud'!$T103*12-1))),'Aset Takberwujud'!$AQ103/'Aset Takberwujud'!$AG103,0)))</f>
        <v/>
      </c>
      <c r="O308" s="22" t="str">
        <f>IF($B308="","",IF(N('Aset Takberwujud'!$AG103)=0,0,IF(AND((YEAR(O$211)*12+MONTH(O$211))&gt;='Aset Takberwujud'!$Y103,(YEAR(O$211)*12+MONTH(O$211))&lt;=MIN('Aset Takberwujud'!$Z103,IF('Aset Takberwujud'!$S103="Unit Produksi",99999,'Aset Takberwujud'!$Y103+'Aset Takberwujud'!$T103*12-1))),'Aset Takberwujud'!$AQ103/'Aset Takberwujud'!$AG103,0)))</f>
        <v/>
      </c>
      <c r="P308" s="22" t="str">
        <f>IF($B308="","",IF(N('Aset Takberwujud'!$AG103)=0,0,IF(AND((YEAR(P$211)*12+MONTH(P$211))&gt;='Aset Takberwujud'!$Y103,(YEAR(P$211)*12+MONTH(P$211))&lt;=MIN('Aset Takberwujud'!$Z103,IF('Aset Takberwujud'!$S103="Unit Produksi",99999,'Aset Takberwujud'!$Y103+'Aset Takberwujud'!$T103*12-1))),'Aset Takberwujud'!$AQ103/'Aset Takberwujud'!$AG103,0)))</f>
        <v/>
      </c>
      <c r="Q308" s="22" t="str">
        <f>IF($B308="","",SUM(E308:P308))</f>
        <v/>
      </c>
      <c r="R308" s="22" t="str">
        <f>IF($B308="","",'Aset Takberwujud'!AQ103)</f>
        <v/>
      </c>
      <c r="S308" s="22" t="str">
        <f>IF($B308="","",ROUND(Q308-R308,0))</f>
        <v/>
      </c>
    </row>
    <row r="309" spans="1:19" x14ac:dyDescent="0.25">
      <c r="A309" t="str">
        <f>IF('Aset Takberwujud'!$B104="","",'Aset Takberwujud'!A104)</f>
        <v/>
      </c>
      <c r="B309" t="str">
        <f>IF('Aset Takberwujud'!$B104="","",'Aset Takberwujud'!B104)</f>
        <v/>
      </c>
      <c r="C309" t="str">
        <f>IF('Aset Takberwujud'!$B104="","",'Aset Takberwujud'!C104)</f>
        <v/>
      </c>
      <c r="D309" t="str">
        <f>IF('Aset Takberwujud'!$B104="","",'Aset Takberwujud'!D104)</f>
        <v/>
      </c>
      <c r="E309" s="22" t="str">
        <f>IF($B309="","",IF(N('Aset Takberwujud'!$AG104)=0,0,IF(AND((YEAR(E$211)*12+MONTH(E$211))&gt;='Aset Takberwujud'!$Y104,(YEAR(E$211)*12+MONTH(E$211))&lt;=MIN('Aset Takberwujud'!$Z104,IF('Aset Takberwujud'!$S104="Unit Produksi",99999,'Aset Takberwujud'!$Y104+'Aset Takberwujud'!$T104*12-1))),'Aset Takberwujud'!$AQ104/'Aset Takberwujud'!$AG104,0)))</f>
        <v/>
      </c>
      <c r="F309" s="22" t="str">
        <f>IF($B309="","",IF(N('Aset Takberwujud'!$AG104)=0,0,IF(AND((YEAR(F$211)*12+MONTH(F$211))&gt;='Aset Takberwujud'!$Y104,(YEAR(F$211)*12+MONTH(F$211))&lt;=MIN('Aset Takberwujud'!$Z104,IF('Aset Takberwujud'!$S104="Unit Produksi",99999,'Aset Takberwujud'!$Y104+'Aset Takberwujud'!$T104*12-1))),'Aset Takberwujud'!$AQ104/'Aset Takberwujud'!$AG104,0)))</f>
        <v/>
      </c>
      <c r="G309" s="22" t="str">
        <f>IF($B309="","",IF(N('Aset Takberwujud'!$AG104)=0,0,IF(AND((YEAR(G$211)*12+MONTH(G$211))&gt;='Aset Takberwujud'!$Y104,(YEAR(G$211)*12+MONTH(G$211))&lt;=MIN('Aset Takberwujud'!$Z104,IF('Aset Takberwujud'!$S104="Unit Produksi",99999,'Aset Takberwujud'!$Y104+'Aset Takberwujud'!$T104*12-1))),'Aset Takberwujud'!$AQ104/'Aset Takberwujud'!$AG104,0)))</f>
        <v/>
      </c>
      <c r="H309" s="22" t="str">
        <f>IF($B309="","",IF(N('Aset Takberwujud'!$AG104)=0,0,IF(AND((YEAR(H$211)*12+MONTH(H$211))&gt;='Aset Takberwujud'!$Y104,(YEAR(H$211)*12+MONTH(H$211))&lt;=MIN('Aset Takberwujud'!$Z104,IF('Aset Takberwujud'!$S104="Unit Produksi",99999,'Aset Takberwujud'!$Y104+'Aset Takberwujud'!$T104*12-1))),'Aset Takberwujud'!$AQ104/'Aset Takberwujud'!$AG104,0)))</f>
        <v/>
      </c>
      <c r="I309" s="22" t="str">
        <f>IF($B309="","",IF(N('Aset Takberwujud'!$AG104)=0,0,IF(AND((YEAR(I$211)*12+MONTH(I$211))&gt;='Aset Takberwujud'!$Y104,(YEAR(I$211)*12+MONTH(I$211))&lt;=MIN('Aset Takberwujud'!$Z104,IF('Aset Takberwujud'!$S104="Unit Produksi",99999,'Aset Takberwujud'!$Y104+'Aset Takberwujud'!$T104*12-1))),'Aset Takberwujud'!$AQ104/'Aset Takberwujud'!$AG104,0)))</f>
        <v/>
      </c>
      <c r="J309" s="22" t="str">
        <f>IF($B309="","",IF(N('Aset Takberwujud'!$AG104)=0,0,IF(AND((YEAR(J$211)*12+MONTH(J$211))&gt;='Aset Takberwujud'!$Y104,(YEAR(J$211)*12+MONTH(J$211))&lt;=MIN('Aset Takberwujud'!$Z104,IF('Aset Takberwujud'!$S104="Unit Produksi",99999,'Aset Takberwujud'!$Y104+'Aset Takberwujud'!$T104*12-1))),'Aset Takberwujud'!$AQ104/'Aset Takberwujud'!$AG104,0)))</f>
        <v/>
      </c>
      <c r="K309" s="22" t="str">
        <f>IF($B309="","",IF(N('Aset Takberwujud'!$AG104)=0,0,IF(AND((YEAR(K$211)*12+MONTH(K$211))&gt;='Aset Takberwujud'!$Y104,(YEAR(K$211)*12+MONTH(K$211))&lt;=MIN('Aset Takberwujud'!$Z104,IF('Aset Takberwujud'!$S104="Unit Produksi",99999,'Aset Takberwujud'!$Y104+'Aset Takberwujud'!$T104*12-1))),'Aset Takberwujud'!$AQ104/'Aset Takberwujud'!$AG104,0)))</f>
        <v/>
      </c>
      <c r="L309" s="22" t="str">
        <f>IF($B309="","",IF(N('Aset Takberwujud'!$AG104)=0,0,IF(AND((YEAR(L$211)*12+MONTH(L$211))&gt;='Aset Takberwujud'!$Y104,(YEAR(L$211)*12+MONTH(L$211))&lt;=MIN('Aset Takberwujud'!$Z104,IF('Aset Takberwujud'!$S104="Unit Produksi",99999,'Aset Takberwujud'!$Y104+'Aset Takberwujud'!$T104*12-1))),'Aset Takberwujud'!$AQ104/'Aset Takberwujud'!$AG104,0)))</f>
        <v/>
      </c>
      <c r="M309" s="22" t="str">
        <f>IF($B309="","",IF(N('Aset Takberwujud'!$AG104)=0,0,IF(AND((YEAR(M$211)*12+MONTH(M$211))&gt;='Aset Takberwujud'!$Y104,(YEAR(M$211)*12+MONTH(M$211))&lt;=MIN('Aset Takberwujud'!$Z104,IF('Aset Takberwujud'!$S104="Unit Produksi",99999,'Aset Takberwujud'!$Y104+'Aset Takberwujud'!$T104*12-1))),'Aset Takberwujud'!$AQ104/'Aset Takberwujud'!$AG104,0)))</f>
        <v/>
      </c>
      <c r="N309" s="22" t="str">
        <f>IF($B309="","",IF(N('Aset Takberwujud'!$AG104)=0,0,IF(AND((YEAR(N$211)*12+MONTH(N$211))&gt;='Aset Takberwujud'!$Y104,(YEAR(N$211)*12+MONTH(N$211))&lt;=MIN('Aset Takberwujud'!$Z104,IF('Aset Takberwujud'!$S104="Unit Produksi",99999,'Aset Takberwujud'!$Y104+'Aset Takberwujud'!$T104*12-1))),'Aset Takberwujud'!$AQ104/'Aset Takberwujud'!$AG104,0)))</f>
        <v/>
      </c>
      <c r="O309" s="22" t="str">
        <f>IF($B309="","",IF(N('Aset Takberwujud'!$AG104)=0,0,IF(AND((YEAR(O$211)*12+MONTH(O$211))&gt;='Aset Takberwujud'!$Y104,(YEAR(O$211)*12+MONTH(O$211))&lt;=MIN('Aset Takberwujud'!$Z104,IF('Aset Takberwujud'!$S104="Unit Produksi",99999,'Aset Takberwujud'!$Y104+'Aset Takberwujud'!$T104*12-1))),'Aset Takberwujud'!$AQ104/'Aset Takberwujud'!$AG104,0)))</f>
        <v/>
      </c>
      <c r="P309" s="22" t="str">
        <f>IF($B309="","",IF(N('Aset Takberwujud'!$AG104)=0,0,IF(AND((YEAR(P$211)*12+MONTH(P$211))&gt;='Aset Takberwujud'!$Y104,(YEAR(P$211)*12+MONTH(P$211))&lt;=MIN('Aset Takberwujud'!$Z104,IF('Aset Takberwujud'!$S104="Unit Produksi",99999,'Aset Takberwujud'!$Y104+'Aset Takberwujud'!$T104*12-1))),'Aset Takberwujud'!$AQ104/'Aset Takberwujud'!$AG104,0)))</f>
        <v/>
      </c>
      <c r="Q309" s="22" t="str">
        <f>IF($B309="","",SUM(E309:P309))</f>
        <v/>
      </c>
      <c r="R309" s="22" t="str">
        <f>IF($B309="","",'Aset Takberwujud'!AQ104)</f>
        <v/>
      </c>
      <c r="S309" s="22" t="str">
        <f>IF($B309="","",ROUND(Q309-R309,0))</f>
        <v/>
      </c>
    </row>
    <row r="310" spans="1:19" x14ac:dyDescent="0.25">
      <c r="A310" t="str">
        <f>IF('Aset Takberwujud'!$B105="","",'Aset Takberwujud'!A105)</f>
        <v/>
      </c>
      <c r="B310" t="str">
        <f>IF('Aset Takberwujud'!$B105="","",'Aset Takberwujud'!B105)</f>
        <v/>
      </c>
      <c r="C310" t="str">
        <f>IF('Aset Takberwujud'!$B105="","",'Aset Takberwujud'!C105)</f>
        <v/>
      </c>
      <c r="D310" t="str">
        <f>IF('Aset Takberwujud'!$B105="","",'Aset Takberwujud'!D105)</f>
        <v/>
      </c>
      <c r="E310" s="22" t="str">
        <f>IF($B310="","",IF(N('Aset Takberwujud'!$AG105)=0,0,IF(AND((YEAR(E$211)*12+MONTH(E$211))&gt;='Aset Takberwujud'!$Y105,(YEAR(E$211)*12+MONTH(E$211))&lt;=MIN('Aset Takberwujud'!$Z105,IF('Aset Takberwujud'!$S105="Unit Produksi",99999,'Aset Takberwujud'!$Y105+'Aset Takberwujud'!$T105*12-1))),'Aset Takberwujud'!$AQ105/'Aset Takberwujud'!$AG105,0)))</f>
        <v/>
      </c>
      <c r="F310" s="22" t="str">
        <f>IF($B310="","",IF(N('Aset Takberwujud'!$AG105)=0,0,IF(AND((YEAR(F$211)*12+MONTH(F$211))&gt;='Aset Takberwujud'!$Y105,(YEAR(F$211)*12+MONTH(F$211))&lt;=MIN('Aset Takberwujud'!$Z105,IF('Aset Takberwujud'!$S105="Unit Produksi",99999,'Aset Takberwujud'!$Y105+'Aset Takberwujud'!$T105*12-1))),'Aset Takberwujud'!$AQ105/'Aset Takberwujud'!$AG105,0)))</f>
        <v/>
      </c>
      <c r="G310" s="22" t="str">
        <f>IF($B310="","",IF(N('Aset Takberwujud'!$AG105)=0,0,IF(AND((YEAR(G$211)*12+MONTH(G$211))&gt;='Aset Takberwujud'!$Y105,(YEAR(G$211)*12+MONTH(G$211))&lt;=MIN('Aset Takberwujud'!$Z105,IF('Aset Takberwujud'!$S105="Unit Produksi",99999,'Aset Takberwujud'!$Y105+'Aset Takberwujud'!$T105*12-1))),'Aset Takberwujud'!$AQ105/'Aset Takberwujud'!$AG105,0)))</f>
        <v/>
      </c>
      <c r="H310" s="22" t="str">
        <f>IF($B310="","",IF(N('Aset Takberwujud'!$AG105)=0,0,IF(AND((YEAR(H$211)*12+MONTH(H$211))&gt;='Aset Takberwujud'!$Y105,(YEAR(H$211)*12+MONTH(H$211))&lt;=MIN('Aset Takberwujud'!$Z105,IF('Aset Takberwujud'!$S105="Unit Produksi",99999,'Aset Takberwujud'!$Y105+'Aset Takberwujud'!$T105*12-1))),'Aset Takberwujud'!$AQ105/'Aset Takberwujud'!$AG105,0)))</f>
        <v/>
      </c>
      <c r="I310" s="22" t="str">
        <f>IF($B310="","",IF(N('Aset Takberwujud'!$AG105)=0,0,IF(AND((YEAR(I$211)*12+MONTH(I$211))&gt;='Aset Takberwujud'!$Y105,(YEAR(I$211)*12+MONTH(I$211))&lt;=MIN('Aset Takberwujud'!$Z105,IF('Aset Takberwujud'!$S105="Unit Produksi",99999,'Aset Takberwujud'!$Y105+'Aset Takberwujud'!$T105*12-1))),'Aset Takberwujud'!$AQ105/'Aset Takberwujud'!$AG105,0)))</f>
        <v/>
      </c>
      <c r="J310" s="22" t="str">
        <f>IF($B310="","",IF(N('Aset Takberwujud'!$AG105)=0,0,IF(AND((YEAR(J$211)*12+MONTH(J$211))&gt;='Aset Takberwujud'!$Y105,(YEAR(J$211)*12+MONTH(J$211))&lt;=MIN('Aset Takberwujud'!$Z105,IF('Aset Takberwujud'!$S105="Unit Produksi",99999,'Aset Takberwujud'!$Y105+'Aset Takberwujud'!$T105*12-1))),'Aset Takberwujud'!$AQ105/'Aset Takberwujud'!$AG105,0)))</f>
        <v/>
      </c>
      <c r="K310" s="22" t="str">
        <f>IF($B310="","",IF(N('Aset Takberwujud'!$AG105)=0,0,IF(AND((YEAR(K$211)*12+MONTH(K$211))&gt;='Aset Takberwujud'!$Y105,(YEAR(K$211)*12+MONTH(K$211))&lt;=MIN('Aset Takberwujud'!$Z105,IF('Aset Takberwujud'!$S105="Unit Produksi",99999,'Aset Takberwujud'!$Y105+'Aset Takberwujud'!$T105*12-1))),'Aset Takberwujud'!$AQ105/'Aset Takberwujud'!$AG105,0)))</f>
        <v/>
      </c>
      <c r="L310" s="22" t="str">
        <f>IF($B310="","",IF(N('Aset Takberwujud'!$AG105)=0,0,IF(AND((YEAR(L$211)*12+MONTH(L$211))&gt;='Aset Takberwujud'!$Y105,(YEAR(L$211)*12+MONTH(L$211))&lt;=MIN('Aset Takberwujud'!$Z105,IF('Aset Takberwujud'!$S105="Unit Produksi",99999,'Aset Takberwujud'!$Y105+'Aset Takberwujud'!$T105*12-1))),'Aset Takberwujud'!$AQ105/'Aset Takberwujud'!$AG105,0)))</f>
        <v/>
      </c>
      <c r="M310" s="22" t="str">
        <f>IF($B310="","",IF(N('Aset Takberwujud'!$AG105)=0,0,IF(AND((YEAR(M$211)*12+MONTH(M$211))&gt;='Aset Takberwujud'!$Y105,(YEAR(M$211)*12+MONTH(M$211))&lt;=MIN('Aset Takberwujud'!$Z105,IF('Aset Takberwujud'!$S105="Unit Produksi",99999,'Aset Takberwujud'!$Y105+'Aset Takberwujud'!$T105*12-1))),'Aset Takberwujud'!$AQ105/'Aset Takberwujud'!$AG105,0)))</f>
        <v/>
      </c>
      <c r="N310" s="22" t="str">
        <f>IF($B310="","",IF(N('Aset Takberwujud'!$AG105)=0,0,IF(AND((YEAR(N$211)*12+MONTH(N$211))&gt;='Aset Takberwujud'!$Y105,(YEAR(N$211)*12+MONTH(N$211))&lt;=MIN('Aset Takberwujud'!$Z105,IF('Aset Takberwujud'!$S105="Unit Produksi",99999,'Aset Takberwujud'!$Y105+'Aset Takberwujud'!$T105*12-1))),'Aset Takberwujud'!$AQ105/'Aset Takberwujud'!$AG105,0)))</f>
        <v/>
      </c>
      <c r="O310" s="22" t="str">
        <f>IF($B310="","",IF(N('Aset Takberwujud'!$AG105)=0,0,IF(AND((YEAR(O$211)*12+MONTH(O$211))&gt;='Aset Takberwujud'!$Y105,(YEAR(O$211)*12+MONTH(O$211))&lt;=MIN('Aset Takberwujud'!$Z105,IF('Aset Takberwujud'!$S105="Unit Produksi",99999,'Aset Takberwujud'!$Y105+'Aset Takberwujud'!$T105*12-1))),'Aset Takberwujud'!$AQ105/'Aset Takberwujud'!$AG105,0)))</f>
        <v/>
      </c>
      <c r="P310" s="22" t="str">
        <f>IF($B310="","",IF(N('Aset Takberwujud'!$AG105)=0,0,IF(AND((YEAR(P$211)*12+MONTH(P$211))&gt;='Aset Takberwujud'!$Y105,(YEAR(P$211)*12+MONTH(P$211))&lt;=MIN('Aset Takberwujud'!$Z105,IF('Aset Takberwujud'!$S105="Unit Produksi",99999,'Aset Takberwujud'!$Y105+'Aset Takberwujud'!$T105*12-1))),'Aset Takberwujud'!$AQ105/'Aset Takberwujud'!$AG105,0)))</f>
        <v/>
      </c>
      <c r="Q310" s="22" t="str">
        <f>IF($B310="","",SUM(E310:P310))</f>
        <v/>
      </c>
      <c r="R310" s="22" t="str">
        <f>IF($B310="","",'Aset Takberwujud'!AQ105)</f>
        <v/>
      </c>
      <c r="S310" s="22" t="str">
        <f>IF($B310="","",ROUND(Q310-R310,0))</f>
        <v/>
      </c>
    </row>
    <row r="311" spans="1:19" x14ac:dyDescent="0.25">
      <c r="A311" t="str">
        <f>IF('Aset Takberwujud'!$B106="","",'Aset Takberwujud'!A106)</f>
        <v/>
      </c>
      <c r="B311" t="str">
        <f>IF('Aset Takberwujud'!$B106="","",'Aset Takberwujud'!B106)</f>
        <v/>
      </c>
      <c r="C311" t="str">
        <f>IF('Aset Takberwujud'!$B106="","",'Aset Takberwujud'!C106)</f>
        <v/>
      </c>
      <c r="D311" t="str">
        <f>IF('Aset Takberwujud'!$B106="","",'Aset Takberwujud'!D106)</f>
        <v/>
      </c>
      <c r="E311" s="22" t="str">
        <f>IF($B311="","",IF(N('Aset Takberwujud'!$AG106)=0,0,IF(AND((YEAR(E$211)*12+MONTH(E$211))&gt;='Aset Takberwujud'!$Y106,(YEAR(E$211)*12+MONTH(E$211))&lt;=MIN('Aset Takberwujud'!$Z106,IF('Aset Takberwujud'!$S106="Unit Produksi",99999,'Aset Takberwujud'!$Y106+'Aset Takberwujud'!$T106*12-1))),'Aset Takberwujud'!$AQ106/'Aset Takberwujud'!$AG106,0)))</f>
        <v/>
      </c>
      <c r="F311" s="22" t="str">
        <f>IF($B311="","",IF(N('Aset Takberwujud'!$AG106)=0,0,IF(AND((YEAR(F$211)*12+MONTH(F$211))&gt;='Aset Takberwujud'!$Y106,(YEAR(F$211)*12+MONTH(F$211))&lt;=MIN('Aset Takberwujud'!$Z106,IF('Aset Takberwujud'!$S106="Unit Produksi",99999,'Aset Takberwujud'!$Y106+'Aset Takberwujud'!$T106*12-1))),'Aset Takberwujud'!$AQ106/'Aset Takberwujud'!$AG106,0)))</f>
        <v/>
      </c>
      <c r="G311" s="22" t="str">
        <f>IF($B311="","",IF(N('Aset Takberwujud'!$AG106)=0,0,IF(AND((YEAR(G$211)*12+MONTH(G$211))&gt;='Aset Takberwujud'!$Y106,(YEAR(G$211)*12+MONTH(G$211))&lt;=MIN('Aset Takberwujud'!$Z106,IF('Aset Takberwujud'!$S106="Unit Produksi",99999,'Aset Takberwujud'!$Y106+'Aset Takberwujud'!$T106*12-1))),'Aset Takberwujud'!$AQ106/'Aset Takberwujud'!$AG106,0)))</f>
        <v/>
      </c>
      <c r="H311" s="22" t="str">
        <f>IF($B311="","",IF(N('Aset Takberwujud'!$AG106)=0,0,IF(AND((YEAR(H$211)*12+MONTH(H$211))&gt;='Aset Takberwujud'!$Y106,(YEAR(H$211)*12+MONTH(H$211))&lt;=MIN('Aset Takberwujud'!$Z106,IF('Aset Takberwujud'!$S106="Unit Produksi",99999,'Aset Takberwujud'!$Y106+'Aset Takberwujud'!$T106*12-1))),'Aset Takberwujud'!$AQ106/'Aset Takberwujud'!$AG106,0)))</f>
        <v/>
      </c>
      <c r="I311" s="22" t="str">
        <f>IF($B311="","",IF(N('Aset Takberwujud'!$AG106)=0,0,IF(AND((YEAR(I$211)*12+MONTH(I$211))&gt;='Aset Takberwujud'!$Y106,(YEAR(I$211)*12+MONTH(I$211))&lt;=MIN('Aset Takberwujud'!$Z106,IF('Aset Takberwujud'!$S106="Unit Produksi",99999,'Aset Takberwujud'!$Y106+'Aset Takberwujud'!$T106*12-1))),'Aset Takberwujud'!$AQ106/'Aset Takberwujud'!$AG106,0)))</f>
        <v/>
      </c>
      <c r="J311" s="22" t="str">
        <f>IF($B311="","",IF(N('Aset Takberwujud'!$AG106)=0,0,IF(AND((YEAR(J$211)*12+MONTH(J$211))&gt;='Aset Takberwujud'!$Y106,(YEAR(J$211)*12+MONTH(J$211))&lt;=MIN('Aset Takberwujud'!$Z106,IF('Aset Takberwujud'!$S106="Unit Produksi",99999,'Aset Takberwujud'!$Y106+'Aset Takberwujud'!$T106*12-1))),'Aset Takberwujud'!$AQ106/'Aset Takberwujud'!$AG106,0)))</f>
        <v/>
      </c>
      <c r="K311" s="22" t="str">
        <f>IF($B311="","",IF(N('Aset Takberwujud'!$AG106)=0,0,IF(AND((YEAR(K$211)*12+MONTH(K$211))&gt;='Aset Takberwujud'!$Y106,(YEAR(K$211)*12+MONTH(K$211))&lt;=MIN('Aset Takberwujud'!$Z106,IF('Aset Takberwujud'!$S106="Unit Produksi",99999,'Aset Takberwujud'!$Y106+'Aset Takberwujud'!$T106*12-1))),'Aset Takberwujud'!$AQ106/'Aset Takberwujud'!$AG106,0)))</f>
        <v/>
      </c>
      <c r="L311" s="22" t="str">
        <f>IF($B311="","",IF(N('Aset Takberwujud'!$AG106)=0,0,IF(AND((YEAR(L$211)*12+MONTH(L$211))&gt;='Aset Takberwujud'!$Y106,(YEAR(L$211)*12+MONTH(L$211))&lt;=MIN('Aset Takberwujud'!$Z106,IF('Aset Takberwujud'!$S106="Unit Produksi",99999,'Aset Takberwujud'!$Y106+'Aset Takberwujud'!$T106*12-1))),'Aset Takberwujud'!$AQ106/'Aset Takberwujud'!$AG106,0)))</f>
        <v/>
      </c>
      <c r="M311" s="22" t="str">
        <f>IF($B311="","",IF(N('Aset Takberwujud'!$AG106)=0,0,IF(AND((YEAR(M$211)*12+MONTH(M$211))&gt;='Aset Takberwujud'!$Y106,(YEAR(M$211)*12+MONTH(M$211))&lt;=MIN('Aset Takberwujud'!$Z106,IF('Aset Takberwujud'!$S106="Unit Produksi",99999,'Aset Takberwujud'!$Y106+'Aset Takberwujud'!$T106*12-1))),'Aset Takberwujud'!$AQ106/'Aset Takberwujud'!$AG106,0)))</f>
        <v/>
      </c>
      <c r="N311" s="22" t="str">
        <f>IF($B311="","",IF(N('Aset Takberwujud'!$AG106)=0,0,IF(AND((YEAR(N$211)*12+MONTH(N$211))&gt;='Aset Takberwujud'!$Y106,(YEAR(N$211)*12+MONTH(N$211))&lt;=MIN('Aset Takberwujud'!$Z106,IF('Aset Takberwujud'!$S106="Unit Produksi",99999,'Aset Takberwujud'!$Y106+'Aset Takberwujud'!$T106*12-1))),'Aset Takberwujud'!$AQ106/'Aset Takberwujud'!$AG106,0)))</f>
        <v/>
      </c>
      <c r="O311" s="22" t="str">
        <f>IF($B311="","",IF(N('Aset Takberwujud'!$AG106)=0,0,IF(AND((YEAR(O$211)*12+MONTH(O$211))&gt;='Aset Takberwujud'!$Y106,(YEAR(O$211)*12+MONTH(O$211))&lt;=MIN('Aset Takberwujud'!$Z106,IF('Aset Takberwujud'!$S106="Unit Produksi",99999,'Aset Takberwujud'!$Y106+'Aset Takberwujud'!$T106*12-1))),'Aset Takberwujud'!$AQ106/'Aset Takberwujud'!$AG106,0)))</f>
        <v/>
      </c>
      <c r="P311" s="22" t="str">
        <f>IF($B311="","",IF(N('Aset Takberwujud'!$AG106)=0,0,IF(AND((YEAR(P$211)*12+MONTH(P$211))&gt;='Aset Takberwujud'!$Y106,(YEAR(P$211)*12+MONTH(P$211))&lt;=MIN('Aset Takberwujud'!$Z106,IF('Aset Takberwujud'!$S106="Unit Produksi",99999,'Aset Takberwujud'!$Y106+'Aset Takberwujud'!$T106*12-1))),'Aset Takberwujud'!$AQ106/'Aset Takberwujud'!$AG106,0)))</f>
        <v/>
      </c>
      <c r="Q311" s="22" t="str">
        <f>IF($B311="","",SUM(E311:P311))</f>
        <v/>
      </c>
      <c r="R311" s="22" t="str">
        <f>IF($B311="","",'Aset Takberwujud'!AQ106)</f>
        <v/>
      </c>
      <c r="S311" s="22" t="str">
        <f>IF($B311="","",ROUND(Q311-R311,0))</f>
        <v/>
      </c>
    </row>
    <row r="312" spans="1:19" x14ac:dyDescent="0.25">
      <c r="A312" t="str">
        <f>IF('Aset Takberwujud'!$B107="","",'Aset Takberwujud'!A107)</f>
        <v/>
      </c>
      <c r="B312" t="str">
        <f>IF('Aset Takberwujud'!$B107="","",'Aset Takberwujud'!B107)</f>
        <v/>
      </c>
      <c r="C312" t="str">
        <f>IF('Aset Takberwujud'!$B107="","",'Aset Takberwujud'!C107)</f>
        <v/>
      </c>
      <c r="D312" t="str">
        <f>IF('Aset Takberwujud'!$B107="","",'Aset Takberwujud'!D107)</f>
        <v/>
      </c>
      <c r="E312" s="22" t="str">
        <f>IF($B312="","",IF(N('Aset Takberwujud'!$AG107)=0,0,IF(AND((YEAR(E$211)*12+MONTH(E$211))&gt;='Aset Takberwujud'!$Y107,(YEAR(E$211)*12+MONTH(E$211))&lt;=MIN('Aset Takberwujud'!$Z107,IF('Aset Takberwujud'!$S107="Unit Produksi",99999,'Aset Takberwujud'!$Y107+'Aset Takberwujud'!$T107*12-1))),'Aset Takberwujud'!$AQ107/'Aset Takberwujud'!$AG107,0)))</f>
        <v/>
      </c>
      <c r="F312" s="22" t="str">
        <f>IF($B312="","",IF(N('Aset Takberwujud'!$AG107)=0,0,IF(AND((YEAR(F$211)*12+MONTH(F$211))&gt;='Aset Takberwujud'!$Y107,(YEAR(F$211)*12+MONTH(F$211))&lt;=MIN('Aset Takberwujud'!$Z107,IF('Aset Takberwujud'!$S107="Unit Produksi",99999,'Aset Takberwujud'!$Y107+'Aset Takberwujud'!$T107*12-1))),'Aset Takberwujud'!$AQ107/'Aset Takberwujud'!$AG107,0)))</f>
        <v/>
      </c>
      <c r="G312" s="22" t="str">
        <f>IF($B312="","",IF(N('Aset Takberwujud'!$AG107)=0,0,IF(AND((YEAR(G$211)*12+MONTH(G$211))&gt;='Aset Takberwujud'!$Y107,(YEAR(G$211)*12+MONTH(G$211))&lt;=MIN('Aset Takberwujud'!$Z107,IF('Aset Takberwujud'!$S107="Unit Produksi",99999,'Aset Takberwujud'!$Y107+'Aset Takberwujud'!$T107*12-1))),'Aset Takberwujud'!$AQ107/'Aset Takberwujud'!$AG107,0)))</f>
        <v/>
      </c>
      <c r="H312" s="22" t="str">
        <f>IF($B312="","",IF(N('Aset Takberwujud'!$AG107)=0,0,IF(AND((YEAR(H$211)*12+MONTH(H$211))&gt;='Aset Takberwujud'!$Y107,(YEAR(H$211)*12+MONTH(H$211))&lt;=MIN('Aset Takberwujud'!$Z107,IF('Aset Takberwujud'!$S107="Unit Produksi",99999,'Aset Takberwujud'!$Y107+'Aset Takberwujud'!$T107*12-1))),'Aset Takberwujud'!$AQ107/'Aset Takberwujud'!$AG107,0)))</f>
        <v/>
      </c>
      <c r="I312" s="22" t="str">
        <f>IF($B312="","",IF(N('Aset Takberwujud'!$AG107)=0,0,IF(AND((YEAR(I$211)*12+MONTH(I$211))&gt;='Aset Takberwujud'!$Y107,(YEAR(I$211)*12+MONTH(I$211))&lt;=MIN('Aset Takberwujud'!$Z107,IF('Aset Takberwujud'!$S107="Unit Produksi",99999,'Aset Takberwujud'!$Y107+'Aset Takberwujud'!$T107*12-1))),'Aset Takberwujud'!$AQ107/'Aset Takberwujud'!$AG107,0)))</f>
        <v/>
      </c>
      <c r="J312" s="22" t="str">
        <f>IF($B312="","",IF(N('Aset Takberwujud'!$AG107)=0,0,IF(AND((YEAR(J$211)*12+MONTH(J$211))&gt;='Aset Takberwujud'!$Y107,(YEAR(J$211)*12+MONTH(J$211))&lt;=MIN('Aset Takberwujud'!$Z107,IF('Aset Takberwujud'!$S107="Unit Produksi",99999,'Aset Takberwujud'!$Y107+'Aset Takberwujud'!$T107*12-1))),'Aset Takberwujud'!$AQ107/'Aset Takberwujud'!$AG107,0)))</f>
        <v/>
      </c>
      <c r="K312" s="22" t="str">
        <f>IF($B312="","",IF(N('Aset Takberwujud'!$AG107)=0,0,IF(AND((YEAR(K$211)*12+MONTH(K$211))&gt;='Aset Takberwujud'!$Y107,(YEAR(K$211)*12+MONTH(K$211))&lt;=MIN('Aset Takberwujud'!$Z107,IF('Aset Takberwujud'!$S107="Unit Produksi",99999,'Aset Takberwujud'!$Y107+'Aset Takberwujud'!$T107*12-1))),'Aset Takberwujud'!$AQ107/'Aset Takberwujud'!$AG107,0)))</f>
        <v/>
      </c>
      <c r="L312" s="22" t="str">
        <f>IF($B312="","",IF(N('Aset Takberwujud'!$AG107)=0,0,IF(AND((YEAR(L$211)*12+MONTH(L$211))&gt;='Aset Takberwujud'!$Y107,(YEAR(L$211)*12+MONTH(L$211))&lt;=MIN('Aset Takberwujud'!$Z107,IF('Aset Takberwujud'!$S107="Unit Produksi",99999,'Aset Takberwujud'!$Y107+'Aset Takberwujud'!$T107*12-1))),'Aset Takberwujud'!$AQ107/'Aset Takberwujud'!$AG107,0)))</f>
        <v/>
      </c>
      <c r="M312" s="22" t="str">
        <f>IF($B312="","",IF(N('Aset Takberwujud'!$AG107)=0,0,IF(AND((YEAR(M$211)*12+MONTH(M$211))&gt;='Aset Takberwujud'!$Y107,(YEAR(M$211)*12+MONTH(M$211))&lt;=MIN('Aset Takberwujud'!$Z107,IF('Aset Takberwujud'!$S107="Unit Produksi",99999,'Aset Takberwujud'!$Y107+'Aset Takberwujud'!$T107*12-1))),'Aset Takberwujud'!$AQ107/'Aset Takberwujud'!$AG107,0)))</f>
        <v/>
      </c>
      <c r="N312" s="22" t="str">
        <f>IF($B312="","",IF(N('Aset Takberwujud'!$AG107)=0,0,IF(AND((YEAR(N$211)*12+MONTH(N$211))&gt;='Aset Takberwujud'!$Y107,(YEAR(N$211)*12+MONTH(N$211))&lt;=MIN('Aset Takberwujud'!$Z107,IF('Aset Takberwujud'!$S107="Unit Produksi",99999,'Aset Takberwujud'!$Y107+'Aset Takberwujud'!$T107*12-1))),'Aset Takberwujud'!$AQ107/'Aset Takberwujud'!$AG107,0)))</f>
        <v/>
      </c>
      <c r="O312" s="22" t="str">
        <f>IF($B312="","",IF(N('Aset Takberwujud'!$AG107)=0,0,IF(AND((YEAR(O$211)*12+MONTH(O$211))&gt;='Aset Takberwujud'!$Y107,(YEAR(O$211)*12+MONTH(O$211))&lt;=MIN('Aset Takberwujud'!$Z107,IF('Aset Takberwujud'!$S107="Unit Produksi",99999,'Aset Takberwujud'!$Y107+'Aset Takberwujud'!$T107*12-1))),'Aset Takberwujud'!$AQ107/'Aset Takberwujud'!$AG107,0)))</f>
        <v/>
      </c>
      <c r="P312" s="22" t="str">
        <f>IF($B312="","",IF(N('Aset Takberwujud'!$AG107)=0,0,IF(AND((YEAR(P$211)*12+MONTH(P$211))&gt;='Aset Takberwujud'!$Y107,(YEAR(P$211)*12+MONTH(P$211))&lt;=MIN('Aset Takberwujud'!$Z107,IF('Aset Takberwujud'!$S107="Unit Produksi",99999,'Aset Takberwujud'!$Y107+'Aset Takberwujud'!$T107*12-1))),'Aset Takberwujud'!$AQ107/'Aset Takberwujud'!$AG107,0)))</f>
        <v/>
      </c>
      <c r="Q312" s="22" t="str">
        <f>IF($B312="","",SUM(E312:P312))</f>
        <v/>
      </c>
      <c r="R312" s="22" t="str">
        <f>IF($B312="","",'Aset Takberwujud'!AQ107)</f>
        <v/>
      </c>
      <c r="S312" s="22" t="str">
        <f>IF($B312="","",ROUND(Q312-R312,0))</f>
        <v/>
      </c>
    </row>
    <row r="313" spans="1:19" x14ac:dyDescent="0.25">
      <c r="A313" t="str">
        <f>IF('Aset Takberwujud'!$B108="","",'Aset Takberwujud'!A108)</f>
        <v/>
      </c>
      <c r="B313" t="str">
        <f>IF('Aset Takberwujud'!$B108="","",'Aset Takberwujud'!B108)</f>
        <v/>
      </c>
      <c r="C313" t="str">
        <f>IF('Aset Takberwujud'!$B108="","",'Aset Takberwujud'!C108)</f>
        <v/>
      </c>
      <c r="D313" t="str">
        <f>IF('Aset Takberwujud'!$B108="","",'Aset Takberwujud'!D108)</f>
        <v/>
      </c>
      <c r="E313" s="22" t="str">
        <f>IF($B313="","",IF(N('Aset Takberwujud'!$AG108)=0,0,IF(AND((YEAR(E$211)*12+MONTH(E$211))&gt;='Aset Takberwujud'!$Y108,(YEAR(E$211)*12+MONTH(E$211))&lt;=MIN('Aset Takberwujud'!$Z108,IF('Aset Takberwujud'!$S108="Unit Produksi",99999,'Aset Takberwujud'!$Y108+'Aset Takberwujud'!$T108*12-1))),'Aset Takberwujud'!$AQ108/'Aset Takberwujud'!$AG108,0)))</f>
        <v/>
      </c>
      <c r="F313" s="22" t="str">
        <f>IF($B313="","",IF(N('Aset Takberwujud'!$AG108)=0,0,IF(AND((YEAR(F$211)*12+MONTH(F$211))&gt;='Aset Takberwujud'!$Y108,(YEAR(F$211)*12+MONTH(F$211))&lt;=MIN('Aset Takberwujud'!$Z108,IF('Aset Takberwujud'!$S108="Unit Produksi",99999,'Aset Takberwujud'!$Y108+'Aset Takberwujud'!$T108*12-1))),'Aset Takberwujud'!$AQ108/'Aset Takberwujud'!$AG108,0)))</f>
        <v/>
      </c>
      <c r="G313" s="22" t="str">
        <f>IF($B313="","",IF(N('Aset Takberwujud'!$AG108)=0,0,IF(AND((YEAR(G$211)*12+MONTH(G$211))&gt;='Aset Takberwujud'!$Y108,(YEAR(G$211)*12+MONTH(G$211))&lt;=MIN('Aset Takberwujud'!$Z108,IF('Aset Takberwujud'!$S108="Unit Produksi",99999,'Aset Takberwujud'!$Y108+'Aset Takberwujud'!$T108*12-1))),'Aset Takberwujud'!$AQ108/'Aset Takberwujud'!$AG108,0)))</f>
        <v/>
      </c>
      <c r="H313" s="22" t="str">
        <f>IF($B313="","",IF(N('Aset Takberwujud'!$AG108)=0,0,IF(AND((YEAR(H$211)*12+MONTH(H$211))&gt;='Aset Takberwujud'!$Y108,(YEAR(H$211)*12+MONTH(H$211))&lt;=MIN('Aset Takberwujud'!$Z108,IF('Aset Takberwujud'!$S108="Unit Produksi",99999,'Aset Takberwujud'!$Y108+'Aset Takberwujud'!$T108*12-1))),'Aset Takberwujud'!$AQ108/'Aset Takberwujud'!$AG108,0)))</f>
        <v/>
      </c>
      <c r="I313" s="22" t="str">
        <f>IF($B313="","",IF(N('Aset Takberwujud'!$AG108)=0,0,IF(AND((YEAR(I$211)*12+MONTH(I$211))&gt;='Aset Takberwujud'!$Y108,(YEAR(I$211)*12+MONTH(I$211))&lt;=MIN('Aset Takberwujud'!$Z108,IF('Aset Takberwujud'!$S108="Unit Produksi",99999,'Aset Takberwujud'!$Y108+'Aset Takberwujud'!$T108*12-1))),'Aset Takberwujud'!$AQ108/'Aset Takberwujud'!$AG108,0)))</f>
        <v/>
      </c>
      <c r="J313" s="22" t="str">
        <f>IF($B313="","",IF(N('Aset Takberwujud'!$AG108)=0,0,IF(AND((YEAR(J$211)*12+MONTH(J$211))&gt;='Aset Takberwujud'!$Y108,(YEAR(J$211)*12+MONTH(J$211))&lt;=MIN('Aset Takberwujud'!$Z108,IF('Aset Takberwujud'!$S108="Unit Produksi",99999,'Aset Takberwujud'!$Y108+'Aset Takberwujud'!$T108*12-1))),'Aset Takberwujud'!$AQ108/'Aset Takberwujud'!$AG108,0)))</f>
        <v/>
      </c>
      <c r="K313" s="22" t="str">
        <f>IF($B313="","",IF(N('Aset Takberwujud'!$AG108)=0,0,IF(AND((YEAR(K$211)*12+MONTH(K$211))&gt;='Aset Takberwujud'!$Y108,(YEAR(K$211)*12+MONTH(K$211))&lt;=MIN('Aset Takberwujud'!$Z108,IF('Aset Takberwujud'!$S108="Unit Produksi",99999,'Aset Takberwujud'!$Y108+'Aset Takberwujud'!$T108*12-1))),'Aset Takberwujud'!$AQ108/'Aset Takberwujud'!$AG108,0)))</f>
        <v/>
      </c>
      <c r="L313" s="22" t="str">
        <f>IF($B313="","",IF(N('Aset Takberwujud'!$AG108)=0,0,IF(AND((YEAR(L$211)*12+MONTH(L$211))&gt;='Aset Takberwujud'!$Y108,(YEAR(L$211)*12+MONTH(L$211))&lt;=MIN('Aset Takberwujud'!$Z108,IF('Aset Takberwujud'!$S108="Unit Produksi",99999,'Aset Takberwujud'!$Y108+'Aset Takberwujud'!$T108*12-1))),'Aset Takberwujud'!$AQ108/'Aset Takberwujud'!$AG108,0)))</f>
        <v/>
      </c>
      <c r="M313" s="22" t="str">
        <f>IF($B313="","",IF(N('Aset Takberwujud'!$AG108)=0,0,IF(AND((YEAR(M$211)*12+MONTH(M$211))&gt;='Aset Takberwujud'!$Y108,(YEAR(M$211)*12+MONTH(M$211))&lt;=MIN('Aset Takberwujud'!$Z108,IF('Aset Takberwujud'!$S108="Unit Produksi",99999,'Aset Takberwujud'!$Y108+'Aset Takberwujud'!$T108*12-1))),'Aset Takberwujud'!$AQ108/'Aset Takberwujud'!$AG108,0)))</f>
        <v/>
      </c>
      <c r="N313" s="22" t="str">
        <f>IF($B313="","",IF(N('Aset Takberwujud'!$AG108)=0,0,IF(AND((YEAR(N$211)*12+MONTH(N$211))&gt;='Aset Takberwujud'!$Y108,(YEAR(N$211)*12+MONTH(N$211))&lt;=MIN('Aset Takberwujud'!$Z108,IF('Aset Takberwujud'!$S108="Unit Produksi",99999,'Aset Takberwujud'!$Y108+'Aset Takberwujud'!$T108*12-1))),'Aset Takberwujud'!$AQ108/'Aset Takberwujud'!$AG108,0)))</f>
        <v/>
      </c>
      <c r="O313" s="22" t="str">
        <f>IF($B313="","",IF(N('Aset Takberwujud'!$AG108)=0,0,IF(AND((YEAR(O$211)*12+MONTH(O$211))&gt;='Aset Takberwujud'!$Y108,(YEAR(O$211)*12+MONTH(O$211))&lt;=MIN('Aset Takberwujud'!$Z108,IF('Aset Takberwujud'!$S108="Unit Produksi",99999,'Aset Takberwujud'!$Y108+'Aset Takberwujud'!$T108*12-1))),'Aset Takberwujud'!$AQ108/'Aset Takberwujud'!$AG108,0)))</f>
        <v/>
      </c>
      <c r="P313" s="22" t="str">
        <f>IF($B313="","",IF(N('Aset Takberwujud'!$AG108)=0,0,IF(AND((YEAR(P$211)*12+MONTH(P$211))&gt;='Aset Takberwujud'!$Y108,(YEAR(P$211)*12+MONTH(P$211))&lt;=MIN('Aset Takberwujud'!$Z108,IF('Aset Takberwujud'!$S108="Unit Produksi",99999,'Aset Takberwujud'!$Y108+'Aset Takberwujud'!$T108*12-1))),'Aset Takberwujud'!$AQ108/'Aset Takberwujud'!$AG108,0)))</f>
        <v/>
      </c>
      <c r="Q313" s="22" t="str">
        <f>IF($B313="","",SUM(E313:P313))</f>
        <v/>
      </c>
      <c r="R313" s="22" t="str">
        <f>IF($B313="","",'Aset Takberwujud'!AQ108)</f>
        <v/>
      </c>
      <c r="S313" s="22" t="str">
        <f>IF($B313="","",ROUND(Q313-R313,0))</f>
        <v/>
      </c>
    </row>
    <row r="314" spans="1:19" x14ac:dyDescent="0.25">
      <c r="A314" t="str">
        <f>IF('Aset Takberwujud'!$B109="","",'Aset Takberwujud'!A109)</f>
        <v/>
      </c>
      <c r="B314" t="str">
        <f>IF('Aset Takberwujud'!$B109="","",'Aset Takberwujud'!B109)</f>
        <v/>
      </c>
      <c r="C314" t="str">
        <f>IF('Aset Takberwujud'!$B109="","",'Aset Takberwujud'!C109)</f>
        <v/>
      </c>
      <c r="D314" t="str">
        <f>IF('Aset Takberwujud'!$B109="","",'Aset Takberwujud'!D109)</f>
        <v/>
      </c>
      <c r="E314" s="22" t="str">
        <f>IF($B314="","",IF(N('Aset Takberwujud'!$AG109)=0,0,IF(AND((YEAR(E$211)*12+MONTH(E$211))&gt;='Aset Takberwujud'!$Y109,(YEAR(E$211)*12+MONTH(E$211))&lt;=MIN('Aset Takberwujud'!$Z109,IF('Aset Takberwujud'!$S109="Unit Produksi",99999,'Aset Takberwujud'!$Y109+'Aset Takberwujud'!$T109*12-1))),'Aset Takberwujud'!$AQ109/'Aset Takberwujud'!$AG109,0)))</f>
        <v/>
      </c>
      <c r="F314" s="22" t="str">
        <f>IF($B314="","",IF(N('Aset Takberwujud'!$AG109)=0,0,IF(AND((YEAR(F$211)*12+MONTH(F$211))&gt;='Aset Takberwujud'!$Y109,(YEAR(F$211)*12+MONTH(F$211))&lt;=MIN('Aset Takberwujud'!$Z109,IF('Aset Takberwujud'!$S109="Unit Produksi",99999,'Aset Takberwujud'!$Y109+'Aset Takberwujud'!$T109*12-1))),'Aset Takberwujud'!$AQ109/'Aset Takberwujud'!$AG109,0)))</f>
        <v/>
      </c>
      <c r="G314" s="22" t="str">
        <f>IF($B314="","",IF(N('Aset Takberwujud'!$AG109)=0,0,IF(AND((YEAR(G$211)*12+MONTH(G$211))&gt;='Aset Takberwujud'!$Y109,(YEAR(G$211)*12+MONTH(G$211))&lt;=MIN('Aset Takberwujud'!$Z109,IF('Aset Takberwujud'!$S109="Unit Produksi",99999,'Aset Takberwujud'!$Y109+'Aset Takberwujud'!$T109*12-1))),'Aset Takberwujud'!$AQ109/'Aset Takberwujud'!$AG109,0)))</f>
        <v/>
      </c>
      <c r="H314" s="22" t="str">
        <f>IF($B314="","",IF(N('Aset Takberwujud'!$AG109)=0,0,IF(AND((YEAR(H$211)*12+MONTH(H$211))&gt;='Aset Takberwujud'!$Y109,(YEAR(H$211)*12+MONTH(H$211))&lt;=MIN('Aset Takberwujud'!$Z109,IF('Aset Takberwujud'!$S109="Unit Produksi",99999,'Aset Takberwujud'!$Y109+'Aset Takberwujud'!$T109*12-1))),'Aset Takberwujud'!$AQ109/'Aset Takberwujud'!$AG109,0)))</f>
        <v/>
      </c>
      <c r="I314" s="22" t="str">
        <f>IF($B314="","",IF(N('Aset Takberwujud'!$AG109)=0,0,IF(AND((YEAR(I$211)*12+MONTH(I$211))&gt;='Aset Takberwujud'!$Y109,(YEAR(I$211)*12+MONTH(I$211))&lt;=MIN('Aset Takberwujud'!$Z109,IF('Aset Takberwujud'!$S109="Unit Produksi",99999,'Aset Takberwujud'!$Y109+'Aset Takberwujud'!$T109*12-1))),'Aset Takberwujud'!$AQ109/'Aset Takberwujud'!$AG109,0)))</f>
        <v/>
      </c>
      <c r="J314" s="22" t="str">
        <f>IF($B314="","",IF(N('Aset Takberwujud'!$AG109)=0,0,IF(AND((YEAR(J$211)*12+MONTH(J$211))&gt;='Aset Takberwujud'!$Y109,(YEAR(J$211)*12+MONTH(J$211))&lt;=MIN('Aset Takberwujud'!$Z109,IF('Aset Takberwujud'!$S109="Unit Produksi",99999,'Aset Takberwujud'!$Y109+'Aset Takberwujud'!$T109*12-1))),'Aset Takberwujud'!$AQ109/'Aset Takberwujud'!$AG109,0)))</f>
        <v/>
      </c>
      <c r="K314" s="22" t="str">
        <f>IF($B314="","",IF(N('Aset Takberwujud'!$AG109)=0,0,IF(AND((YEAR(K$211)*12+MONTH(K$211))&gt;='Aset Takberwujud'!$Y109,(YEAR(K$211)*12+MONTH(K$211))&lt;=MIN('Aset Takberwujud'!$Z109,IF('Aset Takberwujud'!$S109="Unit Produksi",99999,'Aset Takberwujud'!$Y109+'Aset Takberwujud'!$T109*12-1))),'Aset Takberwujud'!$AQ109/'Aset Takberwujud'!$AG109,0)))</f>
        <v/>
      </c>
      <c r="L314" s="22" t="str">
        <f>IF($B314="","",IF(N('Aset Takberwujud'!$AG109)=0,0,IF(AND((YEAR(L$211)*12+MONTH(L$211))&gt;='Aset Takberwujud'!$Y109,(YEAR(L$211)*12+MONTH(L$211))&lt;=MIN('Aset Takberwujud'!$Z109,IF('Aset Takberwujud'!$S109="Unit Produksi",99999,'Aset Takberwujud'!$Y109+'Aset Takberwujud'!$T109*12-1))),'Aset Takberwujud'!$AQ109/'Aset Takberwujud'!$AG109,0)))</f>
        <v/>
      </c>
      <c r="M314" s="22" t="str">
        <f>IF($B314="","",IF(N('Aset Takberwujud'!$AG109)=0,0,IF(AND((YEAR(M$211)*12+MONTH(M$211))&gt;='Aset Takberwujud'!$Y109,(YEAR(M$211)*12+MONTH(M$211))&lt;=MIN('Aset Takberwujud'!$Z109,IF('Aset Takberwujud'!$S109="Unit Produksi",99999,'Aset Takberwujud'!$Y109+'Aset Takberwujud'!$T109*12-1))),'Aset Takberwujud'!$AQ109/'Aset Takberwujud'!$AG109,0)))</f>
        <v/>
      </c>
      <c r="N314" s="22" t="str">
        <f>IF($B314="","",IF(N('Aset Takberwujud'!$AG109)=0,0,IF(AND((YEAR(N$211)*12+MONTH(N$211))&gt;='Aset Takberwujud'!$Y109,(YEAR(N$211)*12+MONTH(N$211))&lt;=MIN('Aset Takberwujud'!$Z109,IF('Aset Takberwujud'!$S109="Unit Produksi",99999,'Aset Takberwujud'!$Y109+'Aset Takberwujud'!$T109*12-1))),'Aset Takberwujud'!$AQ109/'Aset Takberwujud'!$AG109,0)))</f>
        <v/>
      </c>
      <c r="O314" s="22" t="str">
        <f>IF($B314="","",IF(N('Aset Takberwujud'!$AG109)=0,0,IF(AND((YEAR(O$211)*12+MONTH(O$211))&gt;='Aset Takberwujud'!$Y109,(YEAR(O$211)*12+MONTH(O$211))&lt;=MIN('Aset Takberwujud'!$Z109,IF('Aset Takberwujud'!$S109="Unit Produksi",99999,'Aset Takberwujud'!$Y109+'Aset Takberwujud'!$T109*12-1))),'Aset Takberwujud'!$AQ109/'Aset Takberwujud'!$AG109,0)))</f>
        <v/>
      </c>
      <c r="P314" s="22" t="str">
        <f>IF($B314="","",IF(N('Aset Takberwujud'!$AG109)=0,0,IF(AND((YEAR(P$211)*12+MONTH(P$211))&gt;='Aset Takberwujud'!$Y109,(YEAR(P$211)*12+MONTH(P$211))&lt;=MIN('Aset Takberwujud'!$Z109,IF('Aset Takberwujud'!$S109="Unit Produksi",99999,'Aset Takberwujud'!$Y109+'Aset Takberwujud'!$T109*12-1))),'Aset Takberwujud'!$AQ109/'Aset Takberwujud'!$AG109,0)))</f>
        <v/>
      </c>
      <c r="Q314" s="22" t="str">
        <f>IF($B314="","",SUM(E314:P314))</f>
        <v/>
      </c>
      <c r="R314" s="22" t="str">
        <f>IF($B314="","",'Aset Takberwujud'!AQ109)</f>
        <v/>
      </c>
      <c r="S314" s="22" t="str">
        <f>IF($B314="","",ROUND(Q314-R314,0))</f>
        <v/>
      </c>
    </row>
    <row r="315" spans="1:19" x14ac:dyDescent="0.25">
      <c r="A315" t="str">
        <f>IF('Aset Takberwujud'!$B110="","",'Aset Takberwujud'!A110)</f>
        <v/>
      </c>
      <c r="B315" t="str">
        <f>IF('Aset Takberwujud'!$B110="","",'Aset Takberwujud'!B110)</f>
        <v/>
      </c>
      <c r="C315" t="str">
        <f>IF('Aset Takberwujud'!$B110="","",'Aset Takberwujud'!C110)</f>
        <v/>
      </c>
      <c r="D315" t="str">
        <f>IF('Aset Takberwujud'!$B110="","",'Aset Takberwujud'!D110)</f>
        <v/>
      </c>
      <c r="E315" s="22" t="str">
        <f>IF($B315="","",IF(N('Aset Takberwujud'!$AG110)=0,0,IF(AND((YEAR(E$211)*12+MONTH(E$211))&gt;='Aset Takberwujud'!$Y110,(YEAR(E$211)*12+MONTH(E$211))&lt;=MIN('Aset Takberwujud'!$Z110,IF('Aset Takberwujud'!$S110="Unit Produksi",99999,'Aset Takberwujud'!$Y110+'Aset Takberwujud'!$T110*12-1))),'Aset Takberwujud'!$AQ110/'Aset Takberwujud'!$AG110,0)))</f>
        <v/>
      </c>
      <c r="F315" s="22" t="str">
        <f>IF($B315="","",IF(N('Aset Takberwujud'!$AG110)=0,0,IF(AND((YEAR(F$211)*12+MONTH(F$211))&gt;='Aset Takberwujud'!$Y110,(YEAR(F$211)*12+MONTH(F$211))&lt;=MIN('Aset Takberwujud'!$Z110,IF('Aset Takberwujud'!$S110="Unit Produksi",99999,'Aset Takberwujud'!$Y110+'Aset Takberwujud'!$T110*12-1))),'Aset Takberwujud'!$AQ110/'Aset Takberwujud'!$AG110,0)))</f>
        <v/>
      </c>
      <c r="G315" s="22" t="str">
        <f>IF($B315="","",IF(N('Aset Takberwujud'!$AG110)=0,0,IF(AND((YEAR(G$211)*12+MONTH(G$211))&gt;='Aset Takberwujud'!$Y110,(YEAR(G$211)*12+MONTH(G$211))&lt;=MIN('Aset Takberwujud'!$Z110,IF('Aset Takberwujud'!$S110="Unit Produksi",99999,'Aset Takberwujud'!$Y110+'Aset Takberwujud'!$T110*12-1))),'Aset Takberwujud'!$AQ110/'Aset Takberwujud'!$AG110,0)))</f>
        <v/>
      </c>
      <c r="H315" s="22" t="str">
        <f>IF($B315="","",IF(N('Aset Takberwujud'!$AG110)=0,0,IF(AND((YEAR(H$211)*12+MONTH(H$211))&gt;='Aset Takberwujud'!$Y110,(YEAR(H$211)*12+MONTH(H$211))&lt;=MIN('Aset Takberwujud'!$Z110,IF('Aset Takberwujud'!$S110="Unit Produksi",99999,'Aset Takberwujud'!$Y110+'Aset Takberwujud'!$T110*12-1))),'Aset Takberwujud'!$AQ110/'Aset Takberwujud'!$AG110,0)))</f>
        <v/>
      </c>
      <c r="I315" s="22" t="str">
        <f>IF($B315="","",IF(N('Aset Takberwujud'!$AG110)=0,0,IF(AND((YEAR(I$211)*12+MONTH(I$211))&gt;='Aset Takberwujud'!$Y110,(YEAR(I$211)*12+MONTH(I$211))&lt;=MIN('Aset Takberwujud'!$Z110,IF('Aset Takberwujud'!$S110="Unit Produksi",99999,'Aset Takberwujud'!$Y110+'Aset Takberwujud'!$T110*12-1))),'Aset Takberwujud'!$AQ110/'Aset Takberwujud'!$AG110,0)))</f>
        <v/>
      </c>
      <c r="J315" s="22" t="str">
        <f>IF($B315="","",IF(N('Aset Takberwujud'!$AG110)=0,0,IF(AND((YEAR(J$211)*12+MONTH(J$211))&gt;='Aset Takberwujud'!$Y110,(YEAR(J$211)*12+MONTH(J$211))&lt;=MIN('Aset Takberwujud'!$Z110,IF('Aset Takberwujud'!$S110="Unit Produksi",99999,'Aset Takberwujud'!$Y110+'Aset Takberwujud'!$T110*12-1))),'Aset Takberwujud'!$AQ110/'Aset Takberwujud'!$AG110,0)))</f>
        <v/>
      </c>
      <c r="K315" s="22" t="str">
        <f>IF($B315="","",IF(N('Aset Takberwujud'!$AG110)=0,0,IF(AND((YEAR(K$211)*12+MONTH(K$211))&gt;='Aset Takberwujud'!$Y110,(YEAR(K$211)*12+MONTH(K$211))&lt;=MIN('Aset Takberwujud'!$Z110,IF('Aset Takberwujud'!$S110="Unit Produksi",99999,'Aset Takberwujud'!$Y110+'Aset Takberwujud'!$T110*12-1))),'Aset Takberwujud'!$AQ110/'Aset Takberwujud'!$AG110,0)))</f>
        <v/>
      </c>
      <c r="L315" s="22" t="str">
        <f>IF($B315="","",IF(N('Aset Takberwujud'!$AG110)=0,0,IF(AND((YEAR(L$211)*12+MONTH(L$211))&gt;='Aset Takberwujud'!$Y110,(YEAR(L$211)*12+MONTH(L$211))&lt;=MIN('Aset Takberwujud'!$Z110,IF('Aset Takberwujud'!$S110="Unit Produksi",99999,'Aset Takberwujud'!$Y110+'Aset Takberwujud'!$T110*12-1))),'Aset Takberwujud'!$AQ110/'Aset Takberwujud'!$AG110,0)))</f>
        <v/>
      </c>
      <c r="M315" s="22" t="str">
        <f>IF($B315="","",IF(N('Aset Takberwujud'!$AG110)=0,0,IF(AND((YEAR(M$211)*12+MONTH(M$211))&gt;='Aset Takberwujud'!$Y110,(YEAR(M$211)*12+MONTH(M$211))&lt;=MIN('Aset Takberwujud'!$Z110,IF('Aset Takberwujud'!$S110="Unit Produksi",99999,'Aset Takberwujud'!$Y110+'Aset Takberwujud'!$T110*12-1))),'Aset Takberwujud'!$AQ110/'Aset Takberwujud'!$AG110,0)))</f>
        <v/>
      </c>
      <c r="N315" s="22" t="str">
        <f>IF($B315="","",IF(N('Aset Takberwujud'!$AG110)=0,0,IF(AND((YEAR(N$211)*12+MONTH(N$211))&gt;='Aset Takberwujud'!$Y110,(YEAR(N$211)*12+MONTH(N$211))&lt;=MIN('Aset Takberwujud'!$Z110,IF('Aset Takberwujud'!$S110="Unit Produksi",99999,'Aset Takberwujud'!$Y110+'Aset Takberwujud'!$T110*12-1))),'Aset Takberwujud'!$AQ110/'Aset Takberwujud'!$AG110,0)))</f>
        <v/>
      </c>
      <c r="O315" s="22" t="str">
        <f>IF($B315="","",IF(N('Aset Takberwujud'!$AG110)=0,0,IF(AND((YEAR(O$211)*12+MONTH(O$211))&gt;='Aset Takberwujud'!$Y110,(YEAR(O$211)*12+MONTH(O$211))&lt;=MIN('Aset Takberwujud'!$Z110,IF('Aset Takberwujud'!$S110="Unit Produksi",99999,'Aset Takberwujud'!$Y110+'Aset Takberwujud'!$T110*12-1))),'Aset Takberwujud'!$AQ110/'Aset Takberwujud'!$AG110,0)))</f>
        <v/>
      </c>
      <c r="P315" s="22" t="str">
        <f>IF($B315="","",IF(N('Aset Takberwujud'!$AG110)=0,0,IF(AND((YEAR(P$211)*12+MONTH(P$211))&gt;='Aset Takberwujud'!$Y110,(YEAR(P$211)*12+MONTH(P$211))&lt;=MIN('Aset Takberwujud'!$Z110,IF('Aset Takberwujud'!$S110="Unit Produksi",99999,'Aset Takberwujud'!$Y110+'Aset Takberwujud'!$T110*12-1))),'Aset Takberwujud'!$AQ110/'Aset Takberwujud'!$AG110,0)))</f>
        <v/>
      </c>
      <c r="Q315" s="22" t="str">
        <f>IF($B315="","",SUM(E315:P315))</f>
        <v/>
      </c>
      <c r="R315" s="22" t="str">
        <f>IF($B315="","",'Aset Takberwujud'!AQ110)</f>
        <v/>
      </c>
      <c r="S315" s="22" t="str">
        <f>IF($B315="","",ROUND(Q315-R315,0))</f>
        <v/>
      </c>
    </row>
    <row r="316" spans="1:19" x14ac:dyDescent="0.25">
      <c r="A316" t="str">
        <f>IF('Aset Takberwujud'!$B111="","",'Aset Takberwujud'!A111)</f>
        <v/>
      </c>
      <c r="B316" t="str">
        <f>IF('Aset Takberwujud'!$B111="","",'Aset Takberwujud'!B111)</f>
        <v/>
      </c>
      <c r="C316" t="str">
        <f>IF('Aset Takberwujud'!$B111="","",'Aset Takberwujud'!C111)</f>
        <v/>
      </c>
      <c r="D316" t="str">
        <f>IF('Aset Takberwujud'!$B111="","",'Aset Takberwujud'!D111)</f>
        <v/>
      </c>
      <c r="E316" s="22" t="str">
        <f>IF($B316="","",IF(N('Aset Takberwujud'!$AG111)=0,0,IF(AND((YEAR(E$211)*12+MONTH(E$211))&gt;='Aset Takberwujud'!$Y111,(YEAR(E$211)*12+MONTH(E$211))&lt;=MIN('Aset Takberwujud'!$Z111,IF('Aset Takberwujud'!$S111="Unit Produksi",99999,'Aset Takberwujud'!$Y111+'Aset Takberwujud'!$T111*12-1))),'Aset Takberwujud'!$AQ111/'Aset Takberwujud'!$AG111,0)))</f>
        <v/>
      </c>
      <c r="F316" s="22" t="str">
        <f>IF($B316="","",IF(N('Aset Takberwujud'!$AG111)=0,0,IF(AND((YEAR(F$211)*12+MONTH(F$211))&gt;='Aset Takberwujud'!$Y111,(YEAR(F$211)*12+MONTH(F$211))&lt;=MIN('Aset Takberwujud'!$Z111,IF('Aset Takberwujud'!$S111="Unit Produksi",99999,'Aset Takberwujud'!$Y111+'Aset Takberwujud'!$T111*12-1))),'Aset Takberwujud'!$AQ111/'Aset Takberwujud'!$AG111,0)))</f>
        <v/>
      </c>
      <c r="G316" s="22" t="str">
        <f>IF($B316="","",IF(N('Aset Takberwujud'!$AG111)=0,0,IF(AND((YEAR(G$211)*12+MONTH(G$211))&gt;='Aset Takberwujud'!$Y111,(YEAR(G$211)*12+MONTH(G$211))&lt;=MIN('Aset Takberwujud'!$Z111,IF('Aset Takberwujud'!$S111="Unit Produksi",99999,'Aset Takberwujud'!$Y111+'Aset Takberwujud'!$T111*12-1))),'Aset Takberwujud'!$AQ111/'Aset Takberwujud'!$AG111,0)))</f>
        <v/>
      </c>
      <c r="H316" s="22" t="str">
        <f>IF($B316="","",IF(N('Aset Takberwujud'!$AG111)=0,0,IF(AND((YEAR(H$211)*12+MONTH(H$211))&gt;='Aset Takberwujud'!$Y111,(YEAR(H$211)*12+MONTH(H$211))&lt;=MIN('Aset Takberwujud'!$Z111,IF('Aset Takberwujud'!$S111="Unit Produksi",99999,'Aset Takberwujud'!$Y111+'Aset Takberwujud'!$T111*12-1))),'Aset Takberwujud'!$AQ111/'Aset Takberwujud'!$AG111,0)))</f>
        <v/>
      </c>
      <c r="I316" s="22" t="str">
        <f>IF($B316="","",IF(N('Aset Takberwujud'!$AG111)=0,0,IF(AND((YEAR(I$211)*12+MONTH(I$211))&gt;='Aset Takberwujud'!$Y111,(YEAR(I$211)*12+MONTH(I$211))&lt;=MIN('Aset Takberwujud'!$Z111,IF('Aset Takberwujud'!$S111="Unit Produksi",99999,'Aset Takberwujud'!$Y111+'Aset Takberwujud'!$T111*12-1))),'Aset Takberwujud'!$AQ111/'Aset Takberwujud'!$AG111,0)))</f>
        <v/>
      </c>
      <c r="J316" s="22" t="str">
        <f>IF($B316="","",IF(N('Aset Takberwujud'!$AG111)=0,0,IF(AND((YEAR(J$211)*12+MONTH(J$211))&gt;='Aset Takberwujud'!$Y111,(YEAR(J$211)*12+MONTH(J$211))&lt;=MIN('Aset Takberwujud'!$Z111,IF('Aset Takberwujud'!$S111="Unit Produksi",99999,'Aset Takberwujud'!$Y111+'Aset Takberwujud'!$T111*12-1))),'Aset Takberwujud'!$AQ111/'Aset Takberwujud'!$AG111,0)))</f>
        <v/>
      </c>
      <c r="K316" s="22" t="str">
        <f>IF($B316="","",IF(N('Aset Takberwujud'!$AG111)=0,0,IF(AND((YEAR(K$211)*12+MONTH(K$211))&gt;='Aset Takberwujud'!$Y111,(YEAR(K$211)*12+MONTH(K$211))&lt;=MIN('Aset Takberwujud'!$Z111,IF('Aset Takberwujud'!$S111="Unit Produksi",99999,'Aset Takberwujud'!$Y111+'Aset Takberwujud'!$T111*12-1))),'Aset Takberwujud'!$AQ111/'Aset Takberwujud'!$AG111,0)))</f>
        <v/>
      </c>
      <c r="L316" s="22" t="str">
        <f>IF($B316="","",IF(N('Aset Takberwujud'!$AG111)=0,0,IF(AND((YEAR(L$211)*12+MONTH(L$211))&gt;='Aset Takberwujud'!$Y111,(YEAR(L$211)*12+MONTH(L$211))&lt;=MIN('Aset Takberwujud'!$Z111,IF('Aset Takberwujud'!$S111="Unit Produksi",99999,'Aset Takberwujud'!$Y111+'Aset Takberwujud'!$T111*12-1))),'Aset Takberwujud'!$AQ111/'Aset Takberwujud'!$AG111,0)))</f>
        <v/>
      </c>
      <c r="M316" s="22" t="str">
        <f>IF($B316="","",IF(N('Aset Takberwujud'!$AG111)=0,0,IF(AND((YEAR(M$211)*12+MONTH(M$211))&gt;='Aset Takberwujud'!$Y111,(YEAR(M$211)*12+MONTH(M$211))&lt;=MIN('Aset Takberwujud'!$Z111,IF('Aset Takberwujud'!$S111="Unit Produksi",99999,'Aset Takberwujud'!$Y111+'Aset Takberwujud'!$T111*12-1))),'Aset Takberwujud'!$AQ111/'Aset Takberwujud'!$AG111,0)))</f>
        <v/>
      </c>
      <c r="N316" s="22" t="str">
        <f>IF($B316="","",IF(N('Aset Takberwujud'!$AG111)=0,0,IF(AND((YEAR(N$211)*12+MONTH(N$211))&gt;='Aset Takberwujud'!$Y111,(YEAR(N$211)*12+MONTH(N$211))&lt;=MIN('Aset Takberwujud'!$Z111,IF('Aset Takberwujud'!$S111="Unit Produksi",99999,'Aset Takberwujud'!$Y111+'Aset Takberwujud'!$T111*12-1))),'Aset Takberwujud'!$AQ111/'Aset Takberwujud'!$AG111,0)))</f>
        <v/>
      </c>
      <c r="O316" s="22" t="str">
        <f>IF($B316="","",IF(N('Aset Takberwujud'!$AG111)=0,0,IF(AND((YEAR(O$211)*12+MONTH(O$211))&gt;='Aset Takberwujud'!$Y111,(YEAR(O$211)*12+MONTH(O$211))&lt;=MIN('Aset Takberwujud'!$Z111,IF('Aset Takberwujud'!$S111="Unit Produksi",99999,'Aset Takberwujud'!$Y111+'Aset Takberwujud'!$T111*12-1))),'Aset Takberwujud'!$AQ111/'Aset Takberwujud'!$AG111,0)))</f>
        <v/>
      </c>
      <c r="P316" s="22" t="str">
        <f>IF($B316="","",IF(N('Aset Takberwujud'!$AG111)=0,0,IF(AND((YEAR(P$211)*12+MONTH(P$211))&gt;='Aset Takberwujud'!$Y111,(YEAR(P$211)*12+MONTH(P$211))&lt;=MIN('Aset Takberwujud'!$Z111,IF('Aset Takberwujud'!$S111="Unit Produksi",99999,'Aset Takberwujud'!$Y111+'Aset Takberwujud'!$T111*12-1))),'Aset Takberwujud'!$AQ111/'Aset Takberwujud'!$AG111,0)))</f>
        <v/>
      </c>
      <c r="Q316" s="22" t="str">
        <f>IF($B316="","",SUM(E316:P316))</f>
        <v/>
      </c>
      <c r="R316" s="22" t="str">
        <f>IF($B316="","",'Aset Takberwujud'!AQ111)</f>
        <v/>
      </c>
      <c r="S316" s="22" t="str">
        <f>IF($B316="","",ROUND(Q316-R316,0))</f>
        <v/>
      </c>
    </row>
    <row r="317" spans="1:19" x14ac:dyDescent="0.25">
      <c r="A317" t="str">
        <f>IF('Aset Takberwujud'!$B112="","",'Aset Takberwujud'!A112)</f>
        <v/>
      </c>
      <c r="B317" t="str">
        <f>IF('Aset Takberwujud'!$B112="","",'Aset Takberwujud'!B112)</f>
        <v/>
      </c>
      <c r="C317" t="str">
        <f>IF('Aset Takberwujud'!$B112="","",'Aset Takberwujud'!C112)</f>
        <v/>
      </c>
      <c r="D317" t="str">
        <f>IF('Aset Takberwujud'!$B112="","",'Aset Takberwujud'!D112)</f>
        <v/>
      </c>
      <c r="E317" s="22" t="str">
        <f>IF($B317="","",IF(N('Aset Takberwujud'!$AG112)=0,0,IF(AND((YEAR(E$211)*12+MONTH(E$211))&gt;='Aset Takberwujud'!$Y112,(YEAR(E$211)*12+MONTH(E$211))&lt;=MIN('Aset Takberwujud'!$Z112,IF('Aset Takberwujud'!$S112="Unit Produksi",99999,'Aset Takberwujud'!$Y112+'Aset Takberwujud'!$T112*12-1))),'Aset Takberwujud'!$AQ112/'Aset Takberwujud'!$AG112,0)))</f>
        <v/>
      </c>
      <c r="F317" s="22" t="str">
        <f>IF($B317="","",IF(N('Aset Takberwujud'!$AG112)=0,0,IF(AND((YEAR(F$211)*12+MONTH(F$211))&gt;='Aset Takberwujud'!$Y112,(YEAR(F$211)*12+MONTH(F$211))&lt;=MIN('Aset Takberwujud'!$Z112,IF('Aset Takberwujud'!$S112="Unit Produksi",99999,'Aset Takberwujud'!$Y112+'Aset Takberwujud'!$T112*12-1))),'Aset Takberwujud'!$AQ112/'Aset Takberwujud'!$AG112,0)))</f>
        <v/>
      </c>
      <c r="G317" s="22" t="str">
        <f>IF($B317="","",IF(N('Aset Takberwujud'!$AG112)=0,0,IF(AND((YEAR(G$211)*12+MONTH(G$211))&gt;='Aset Takberwujud'!$Y112,(YEAR(G$211)*12+MONTH(G$211))&lt;=MIN('Aset Takberwujud'!$Z112,IF('Aset Takberwujud'!$S112="Unit Produksi",99999,'Aset Takberwujud'!$Y112+'Aset Takberwujud'!$T112*12-1))),'Aset Takberwujud'!$AQ112/'Aset Takberwujud'!$AG112,0)))</f>
        <v/>
      </c>
      <c r="H317" s="22" t="str">
        <f>IF($B317="","",IF(N('Aset Takberwujud'!$AG112)=0,0,IF(AND((YEAR(H$211)*12+MONTH(H$211))&gt;='Aset Takberwujud'!$Y112,(YEAR(H$211)*12+MONTH(H$211))&lt;=MIN('Aset Takberwujud'!$Z112,IF('Aset Takberwujud'!$S112="Unit Produksi",99999,'Aset Takberwujud'!$Y112+'Aset Takberwujud'!$T112*12-1))),'Aset Takberwujud'!$AQ112/'Aset Takberwujud'!$AG112,0)))</f>
        <v/>
      </c>
      <c r="I317" s="22" t="str">
        <f>IF($B317="","",IF(N('Aset Takberwujud'!$AG112)=0,0,IF(AND((YEAR(I$211)*12+MONTH(I$211))&gt;='Aset Takberwujud'!$Y112,(YEAR(I$211)*12+MONTH(I$211))&lt;=MIN('Aset Takberwujud'!$Z112,IF('Aset Takberwujud'!$S112="Unit Produksi",99999,'Aset Takberwujud'!$Y112+'Aset Takberwujud'!$T112*12-1))),'Aset Takberwujud'!$AQ112/'Aset Takberwujud'!$AG112,0)))</f>
        <v/>
      </c>
      <c r="J317" s="22" t="str">
        <f>IF($B317="","",IF(N('Aset Takberwujud'!$AG112)=0,0,IF(AND((YEAR(J$211)*12+MONTH(J$211))&gt;='Aset Takberwujud'!$Y112,(YEAR(J$211)*12+MONTH(J$211))&lt;=MIN('Aset Takberwujud'!$Z112,IF('Aset Takberwujud'!$S112="Unit Produksi",99999,'Aset Takberwujud'!$Y112+'Aset Takberwujud'!$T112*12-1))),'Aset Takberwujud'!$AQ112/'Aset Takberwujud'!$AG112,0)))</f>
        <v/>
      </c>
      <c r="K317" s="22" t="str">
        <f>IF($B317="","",IF(N('Aset Takberwujud'!$AG112)=0,0,IF(AND((YEAR(K$211)*12+MONTH(K$211))&gt;='Aset Takberwujud'!$Y112,(YEAR(K$211)*12+MONTH(K$211))&lt;=MIN('Aset Takberwujud'!$Z112,IF('Aset Takberwujud'!$S112="Unit Produksi",99999,'Aset Takberwujud'!$Y112+'Aset Takberwujud'!$T112*12-1))),'Aset Takberwujud'!$AQ112/'Aset Takberwujud'!$AG112,0)))</f>
        <v/>
      </c>
      <c r="L317" s="22" t="str">
        <f>IF($B317="","",IF(N('Aset Takberwujud'!$AG112)=0,0,IF(AND((YEAR(L$211)*12+MONTH(L$211))&gt;='Aset Takberwujud'!$Y112,(YEAR(L$211)*12+MONTH(L$211))&lt;=MIN('Aset Takberwujud'!$Z112,IF('Aset Takberwujud'!$S112="Unit Produksi",99999,'Aset Takberwujud'!$Y112+'Aset Takberwujud'!$T112*12-1))),'Aset Takberwujud'!$AQ112/'Aset Takberwujud'!$AG112,0)))</f>
        <v/>
      </c>
      <c r="M317" s="22" t="str">
        <f>IF($B317="","",IF(N('Aset Takberwujud'!$AG112)=0,0,IF(AND((YEAR(M$211)*12+MONTH(M$211))&gt;='Aset Takberwujud'!$Y112,(YEAR(M$211)*12+MONTH(M$211))&lt;=MIN('Aset Takberwujud'!$Z112,IF('Aset Takberwujud'!$S112="Unit Produksi",99999,'Aset Takberwujud'!$Y112+'Aset Takberwujud'!$T112*12-1))),'Aset Takberwujud'!$AQ112/'Aset Takberwujud'!$AG112,0)))</f>
        <v/>
      </c>
      <c r="N317" s="22" t="str">
        <f>IF($B317="","",IF(N('Aset Takberwujud'!$AG112)=0,0,IF(AND((YEAR(N$211)*12+MONTH(N$211))&gt;='Aset Takberwujud'!$Y112,(YEAR(N$211)*12+MONTH(N$211))&lt;=MIN('Aset Takberwujud'!$Z112,IF('Aset Takberwujud'!$S112="Unit Produksi",99999,'Aset Takberwujud'!$Y112+'Aset Takberwujud'!$T112*12-1))),'Aset Takberwujud'!$AQ112/'Aset Takberwujud'!$AG112,0)))</f>
        <v/>
      </c>
      <c r="O317" s="22" t="str">
        <f>IF($B317="","",IF(N('Aset Takberwujud'!$AG112)=0,0,IF(AND((YEAR(O$211)*12+MONTH(O$211))&gt;='Aset Takberwujud'!$Y112,(YEAR(O$211)*12+MONTH(O$211))&lt;=MIN('Aset Takberwujud'!$Z112,IF('Aset Takberwujud'!$S112="Unit Produksi",99999,'Aset Takberwujud'!$Y112+'Aset Takberwujud'!$T112*12-1))),'Aset Takberwujud'!$AQ112/'Aset Takberwujud'!$AG112,0)))</f>
        <v/>
      </c>
      <c r="P317" s="22" t="str">
        <f>IF($B317="","",IF(N('Aset Takberwujud'!$AG112)=0,0,IF(AND((YEAR(P$211)*12+MONTH(P$211))&gt;='Aset Takberwujud'!$Y112,(YEAR(P$211)*12+MONTH(P$211))&lt;=MIN('Aset Takberwujud'!$Z112,IF('Aset Takberwujud'!$S112="Unit Produksi",99999,'Aset Takberwujud'!$Y112+'Aset Takberwujud'!$T112*12-1))),'Aset Takberwujud'!$AQ112/'Aset Takberwujud'!$AG112,0)))</f>
        <v/>
      </c>
      <c r="Q317" s="22" t="str">
        <f>IF($B317="","",SUM(E317:P317))</f>
        <v/>
      </c>
      <c r="R317" s="22" t="str">
        <f>IF($B317="","",'Aset Takberwujud'!AQ112)</f>
        <v/>
      </c>
      <c r="S317" s="22" t="str">
        <f>IF($B317="","",ROUND(Q317-R317,0))</f>
        <v/>
      </c>
    </row>
    <row r="318" spans="1:19" x14ac:dyDescent="0.25">
      <c r="A318" t="str">
        <f>IF('Aset Takberwujud'!$B113="","",'Aset Takberwujud'!A113)</f>
        <v/>
      </c>
      <c r="B318" t="str">
        <f>IF('Aset Takberwujud'!$B113="","",'Aset Takberwujud'!B113)</f>
        <v/>
      </c>
      <c r="C318" t="str">
        <f>IF('Aset Takberwujud'!$B113="","",'Aset Takberwujud'!C113)</f>
        <v/>
      </c>
      <c r="D318" t="str">
        <f>IF('Aset Takberwujud'!$B113="","",'Aset Takberwujud'!D113)</f>
        <v/>
      </c>
      <c r="E318" s="22" t="str">
        <f>IF($B318="","",IF(N('Aset Takberwujud'!$AG113)=0,0,IF(AND((YEAR(E$211)*12+MONTH(E$211))&gt;='Aset Takberwujud'!$Y113,(YEAR(E$211)*12+MONTH(E$211))&lt;=MIN('Aset Takberwujud'!$Z113,IF('Aset Takberwujud'!$S113="Unit Produksi",99999,'Aset Takberwujud'!$Y113+'Aset Takberwujud'!$T113*12-1))),'Aset Takberwujud'!$AQ113/'Aset Takberwujud'!$AG113,0)))</f>
        <v/>
      </c>
      <c r="F318" s="22" t="str">
        <f>IF($B318="","",IF(N('Aset Takberwujud'!$AG113)=0,0,IF(AND((YEAR(F$211)*12+MONTH(F$211))&gt;='Aset Takberwujud'!$Y113,(YEAR(F$211)*12+MONTH(F$211))&lt;=MIN('Aset Takberwujud'!$Z113,IF('Aset Takberwujud'!$S113="Unit Produksi",99999,'Aset Takberwujud'!$Y113+'Aset Takberwujud'!$T113*12-1))),'Aset Takberwujud'!$AQ113/'Aset Takberwujud'!$AG113,0)))</f>
        <v/>
      </c>
      <c r="G318" s="22" t="str">
        <f>IF($B318="","",IF(N('Aset Takberwujud'!$AG113)=0,0,IF(AND((YEAR(G$211)*12+MONTH(G$211))&gt;='Aset Takberwujud'!$Y113,(YEAR(G$211)*12+MONTH(G$211))&lt;=MIN('Aset Takberwujud'!$Z113,IF('Aset Takberwujud'!$S113="Unit Produksi",99999,'Aset Takberwujud'!$Y113+'Aset Takberwujud'!$T113*12-1))),'Aset Takberwujud'!$AQ113/'Aset Takberwujud'!$AG113,0)))</f>
        <v/>
      </c>
      <c r="H318" s="22" t="str">
        <f>IF($B318="","",IF(N('Aset Takberwujud'!$AG113)=0,0,IF(AND((YEAR(H$211)*12+MONTH(H$211))&gt;='Aset Takberwujud'!$Y113,(YEAR(H$211)*12+MONTH(H$211))&lt;=MIN('Aset Takberwujud'!$Z113,IF('Aset Takberwujud'!$S113="Unit Produksi",99999,'Aset Takberwujud'!$Y113+'Aset Takberwujud'!$T113*12-1))),'Aset Takberwujud'!$AQ113/'Aset Takberwujud'!$AG113,0)))</f>
        <v/>
      </c>
      <c r="I318" s="22" t="str">
        <f>IF($B318="","",IF(N('Aset Takberwujud'!$AG113)=0,0,IF(AND((YEAR(I$211)*12+MONTH(I$211))&gt;='Aset Takberwujud'!$Y113,(YEAR(I$211)*12+MONTH(I$211))&lt;=MIN('Aset Takberwujud'!$Z113,IF('Aset Takberwujud'!$S113="Unit Produksi",99999,'Aset Takberwujud'!$Y113+'Aset Takberwujud'!$T113*12-1))),'Aset Takberwujud'!$AQ113/'Aset Takberwujud'!$AG113,0)))</f>
        <v/>
      </c>
      <c r="J318" s="22" t="str">
        <f>IF($B318="","",IF(N('Aset Takberwujud'!$AG113)=0,0,IF(AND((YEAR(J$211)*12+MONTH(J$211))&gt;='Aset Takberwujud'!$Y113,(YEAR(J$211)*12+MONTH(J$211))&lt;=MIN('Aset Takberwujud'!$Z113,IF('Aset Takberwujud'!$S113="Unit Produksi",99999,'Aset Takberwujud'!$Y113+'Aset Takberwujud'!$T113*12-1))),'Aset Takberwujud'!$AQ113/'Aset Takberwujud'!$AG113,0)))</f>
        <v/>
      </c>
      <c r="K318" s="22" t="str">
        <f>IF($B318="","",IF(N('Aset Takberwujud'!$AG113)=0,0,IF(AND((YEAR(K$211)*12+MONTH(K$211))&gt;='Aset Takberwujud'!$Y113,(YEAR(K$211)*12+MONTH(K$211))&lt;=MIN('Aset Takberwujud'!$Z113,IF('Aset Takberwujud'!$S113="Unit Produksi",99999,'Aset Takberwujud'!$Y113+'Aset Takberwujud'!$T113*12-1))),'Aset Takberwujud'!$AQ113/'Aset Takberwujud'!$AG113,0)))</f>
        <v/>
      </c>
      <c r="L318" s="22" t="str">
        <f>IF($B318="","",IF(N('Aset Takberwujud'!$AG113)=0,0,IF(AND((YEAR(L$211)*12+MONTH(L$211))&gt;='Aset Takberwujud'!$Y113,(YEAR(L$211)*12+MONTH(L$211))&lt;=MIN('Aset Takberwujud'!$Z113,IF('Aset Takberwujud'!$S113="Unit Produksi",99999,'Aset Takberwujud'!$Y113+'Aset Takberwujud'!$T113*12-1))),'Aset Takberwujud'!$AQ113/'Aset Takberwujud'!$AG113,0)))</f>
        <v/>
      </c>
      <c r="M318" s="22" t="str">
        <f>IF($B318="","",IF(N('Aset Takberwujud'!$AG113)=0,0,IF(AND((YEAR(M$211)*12+MONTH(M$211))&gt;='Aset Takberwujud'!$Y113,(YEAR(M$211)*12+MONTH(M$211))&lt;=MIN('Aset Takberwujud'!$Z113,IF('Aset Takberwujud'!$S113="Unit Produksi",99999,'Aset Takberwujud'!$Y113+'Aset Takberwujud'!$T113*12-1))),'Aset Takberwujud'!$AQ113/'Aset Takberwujud'!$AG113,0)))</f>
        <v/>
      </c>
      <c r="N318" s="22" t="str">
        <f>IF($B318="","",IF(N('Aset Takberwujud'!$AG113)=0,0,IF(AND((YEAR(N$211)*12+MONTH(N$211))&gt;='Aset Takberwujud'!$Y113,(YEAR(N$211)*12+MONTH(N$211))&lt;=MIN('Aset Takberwujud'!$Z113,IF('Aset Takberwujud'!$S113="Unit Produksi",99999,'Aset Takberwujud'!$Y113+'Aset Takberwujud'!$T113*12-1))),'Aset Takberwujud'!$AQ113/'Aset Takberwujud'!$AG113,0)))</f>
        <v/>
      </c>
      <c r="O318" s="22" t="str">
        <f>IF($B318="","",IF(N('Aset Takberwujud'!$AG113)=0,0,IF(AND((YEAR(O$211)*12+MONTH(O$211))&gt;='Aset Takberwujud'!$Y113,(YEAR(O$211)*12+MONTH(O$211))&lt;=MIN('Aset Takberwujud'!$Z113,IF('Aset Takberwujud'!$S113="Unit Produksi",99999,'Aset Takberwujud'!$Y113+'Aset Takberwujud'!$T113*12-1))),'Aset Takberwujud'!$AQ113/'Aset Takberwujud'!$AG113,0)))</f>
        <v/>
      </c>
      <c r="P318" s="22" t="str">
        <f>IF($B318="","",IF(N('Aset Takberwujud'!$AG113)=0,0,IF(AND((YEAR(P$211)*12+MONTH(P$211))&gt;='Aset Takberwujud'!$Y113,(YEAR(P$211)*12+MONTH(P$211))&lt;=MIN('Aset Takberwujud'!$Z113,IF('Aset Takberwujud'!$S113="Unit Produksi",99999,'Aset Takberwujud'!$Y113+'Aset Takberwujud'!$T113*12-1))),'Aset Takberwujud'!$AQ113/'Aset Takberwujud'!$AG113,0)))</f>
        <v/>
      </c>
      <c r="Q318" s="22" t="str">
        <f>IF($B318="","",SUM(E318:P318))</f>
        <v/>
      </c>
      <c r="R318" s="22" t="str">
        <f>IF($B318="","",'Aset Takberwujud'!AQ113)</f>
        <v/>
      </c>
      <c r="S318" s="22" t="str">
        <f>IF($B318="","",ROUND(Q318-R318,0))</f>
        <v/>
      </c>
    </row>
    <row r="319" spans="1:19" x14ac:dyDescent="0.25">
      <c r="A319" t="str">
        <f>IF('Aset Takberwujud'!$B114="","",'Aset Takberwujud'!A114)</f>
        <v/>
      </c>
      <c r="B319" t="str">
        <f>IF('Aset Takberwujud'!$B114="","",'Aset Takberwujud'!B114)</f>
        <v/>
      </c>
      <c r="C319" t="str">
        <f>IF('Aset Takberwujud'!$B114="","",'Aset Takberwujud'!C114)</f>
        <v/>
      </c>
      <c r="D319" t="str">
        <f>IF('Aset Takberwujud'!$B114="","",'Aset Takberwujud'!D114)</f>
        <v/>
      </c>
      <c r="E319" s="22" t="str">
        <f>IF($B319="","",IF(N('Aset Takberwujud'!$AG114)=0,0,IF(AND((YEAR(E$211)*12+MONTH(E$211))&gt;='Aset Takberwujud'!$Y114,(YEAR(E$211)*12+MONTH(E$211))&lt;=MIN('Aset Takberwujud'!$Z114,IF('Aset Takberwujud'!$S114="Unit Produksi",99999,'Aset Takberwujud'!$Y114+'Aset Takberwujud'!$T114*12-1))),'Aset Takberwujud'!$AQ114/'Aset Takberwujud'!$AG114,0)))</f>
        <v/>
      </c>
      <c r="F319" s="22" t="str">
        <f>IF($B319="","",IF(N('Aset Takberwujud'!$AG114)=0,0,IF(AND((YEAR(F$211)*12+MONTH(F$211))&gt;='Aset Takberwujud'!$Y114,(YEAR(F$211)*12+MONTH(F$211))&lt;=MIN('Aset Takberwujud'!$Z114,IF('Aset Takberwujud'!$S114="Unit Produksi",99999,'Aset Takberwujud'!$Y114+'Aset Takberwujud'!$T114*12-1))),'Aset Takberwujud'!$AQ114/'Aset Takberwujud'!$AG114,0)))</f>
        <v/>
      </c>
      <c r="G319" s="22" t="str">
        <f>IF($B319="","",IF(N('Aset Takberwujud'!$AG114)=0,0,IF(AND((YEAR(G$211)*12+MONTH(G$211))&gt;='Aset Takberwujud'!$Y114,(YEAR(G$211)*12+MONTH(G$211))&lt;=MIN('Aset Takberwujud'!$Z114,IF('Aset Takberwujud'!$S114="Unit Produksi",99999,'Aset Takberwujud'!$Y114+'Aset Takberwujud'!$T114*12-1))),'Aset Takberwujud'!$AQ114/'Aset Takberwujud'!$AG114,0)))</f>
        <v/>
      </c>
      <c r="H319" s="22" t="str">
        <f>IF($B319="","",IF(N('Aset Takberwujud'!$AG114)=0,0,IF(AND((YEAR(H$211)*12+MONTH(H$211))&gt;='Aset Takberwujud'!$Y114,(YEAR(H$211)*12+MONTH(H$211))&lt;=MIN('Aset Takberwujud'!$Z114,IF('Aset Takberwujud'!$S114="Unit Produksi",99999,'Aset Takberwujud'!$Y114+'Aset Takberwujud'!$T114*12-1))),'Aset Takberwujud'!$AQ114/'Aset Takberwujud'!$AG114,0)))</f>
        <v/>
      </c>
      <c r="I319" s="22" t="str">
        <f>IF($B319="","",IF(N('Aset Takberwujud'!$AG114)=0,0,IF(AND((YEAR(I$211)*12+MONTH(I$211))&gt;='Aset Takberwujud'!$Y114,(YEAR(I$211)*12+MONTH(I$211))&lt;=MIN('Aset Takberwujud'!$Z114,IF('Aset Takberwujud'!$S114="Unit Produksi",99999,'Aset Takberwujud'!$Y114+'Aset Takberwujud'!$T114*12-1))),'Aset Takberwujud'!$AQ114/'Aset Takberwujud'!$AG114,0)))</f>
        <v/>
      </c>
      <c r="J319" s="22" t="str">
        <f>IF($B319="","",IF(N('Aset Takberwujud'!$AG114)=0,0,IF(AND((YEAR(J$211)*12+MONTH(J$211))&gt;='Aset Takberwujud'!$Y114,(YEAR(J$211)*12+MONTH(J$211))&lt;=MIN('Aset Takberwujud'!$Z114,IF('Aset Takberwujud'!$S114="Unit Produksi",99999,'Aset Takberwujud'!$Y114+'Aset Takberwujud'!$T114*12-1))),'Aset Takberwujud'!$AQ114/'Aset Takberwujud'!$AG114,0)))</f>
        <v/>
      </c>
      <c r="K319" s="22" t="str">
        <f>IF($B319="","",IF(N('Aset Takberwujud'!$AG114)=0,0,IF(AND((YEAR(K$211)*12+MONTH(K$211))&gt;='Aset Takberwujud'!$Y114,(YEAR(K$211)*12+MONTH(K$211))&lt;=MIN('Aset Takberwujud'!$Z114,IF('Aset Takberwujud'!$S114="Unit Produksi",99999,'Aset Takberwujud'!$Y114+'Aset Takberwujud'!$T114*12-1))),'Aset Takberwujud'!$AQ114/'Aset Takberwujud'!$AG114,0)))</f>
        <v/>
      </c>
      <c r="L319" s="22" t="str">
        <f>IF($B319="","",IF(N('Aset Takberwujud'!$AG114)=0,0,IF(AND((YEAR(L$211)*12+MONTH(L$211))&gt;='Aset Takberwujud'!$Y114,(YEAR(L$211)*12+MONTH(L$211))&lt;=MIN('Aset Takberwujud'!$Z114,IF('Aset Takberwujud'!$S114="Unit Produksi",99999,'Aset Takberwujud'!$Y114+'Aset Takberwujud'!$T114*12-1))),'Aset Takberwujud'!$AQ114/'Aset Takberwujud'!$AG114,0)))</f>
        <v/>
      </c>
      <c r="M319" s="22" t="str">
        <f>IF($B319="","",IF(N('Aset Takberwujud'!$AG114)=0,0,IF(AND((YEAR(M$211)*12+MONTH(M$211))&gt;='Aset Takberwujud'!$Y114,(YEAR(M$211)*12+MONTH(M$211))&lt;=MIN('Aset Takberwujud'!$Z114,IF('Aset Takberwujud'!$S114="Unit Produksi",99999,'Aset Takberwujud'!$Y114+'Aset Takberwujud'!$T114*12-1))),'Aset Takberwujud'!$AQ114/'Aset Takberwujud'!$AG114,0)))</f>
        <v/>
      </c>
      <c r="N319" s="22" t="str">
        <f>IF($B319="","",IF(N('Aset Takberwujud'!$AG114)=0,0,IF(AND((YEAR(N$211)*12+MONTH(N$211))&gt;='Aset Takberwujud'!$Y114,(YEAR(N$211)*12+MONTH(N$211))&lt;=MIN('Aset Takberwujud'!$Z114,IF('Aset Takberwujud'!$S114="Unit Produksi",99999,'Aset Takberwujud'!$Y114+'Aset Takberwujud'!$T114*12-1))),'Aset Takberwujud'!$AQ114/'Aset Takberwujud'!$AG114,0)))</f>
        <v/>
      </c>
      <c r="O319" s="22" t="str">
        <f>IF($B319="","",IF(N('Aset Takberwujud'!$AG114)=0,0,IF(AND((YEAR(O$211)*12+MONTH(O$211))&gt;='Aset Takberwujud'!$Y114,(YEAR(O$211)*12+MONTH(O$211))&lt;=MIN('Aset Takberwujud'!$Z114,IF('Aset Takberwujud'!$S114="Unit Produksi",99999,'Aset Takberwujud'!$Y114+'Aset Takberwujud'!$T114*12-1))),'Aset Takberwujud'!$AQ114/'Aset Takberwujud'!$AG114,0)))</f>
        <v/>
      </c>
      <c r="P319" s="22" t="str">
        <f>IF($B319="","",IF(N('Aset Takberwujud'!$AG114)=0,0,IF(AND((YEAR(P$211)*12+MONTH(P$211))&gt;='Aset Takberwujud'!$Y114,(YEAR(P$211)*12+MONTH(P$211))&lt;=MIN('Aset Takberwujud'!$Z114,IF('Aset Takberwujud'!$S114="Unit Produksi",99999,'Aset Takberwujud'!$Y114+'Aset Takberwujud'!$T114*12-1))),'Aset Takberwujud'!$AQ114/'Aset Takberwujud'!$AG114,0)))</f>
        <v/>
      </c>
      <c r="Q319" s="22" t="str">
        <f>IF($B319="","",SUM(E319:P319))</f>
        <v/>
      </c>
      <c r="R319" s="22" t="str">
        <f>IF($B319="","",'Aset Takberwujud'!AQ114)</f>
        <v/>
      </c>
      <c r="S319" s="22" t="str">
        <f>IF($B319="","",ROUND(Q319-R319,0))</f>
        <v/>
      </c>
    </row>
    <row r="320" spans="1:19" x14ac:dyDescent="0.25">
      <c r="A320" t="str">
        <f>IF('Aset Takberwujud'!$B115="","",'Aset Takberwujud'!A115)</f>
        <v/>
      </c>
      <c r="B320" t="str">
        <f>IF('Aset Takberwujud'!$B115="","",'Aset Takberwujud'!B115)</f>
        <v/>
      </c>
      <c r="C320" t="str">
        <f>IF('Aset Takberwujud'!$B115="","",'Aset Takberwujud'!C115)</f>
        <v/>
      </c>
      <c r="D320" t="str">
        <f>IF('Aset Takberwujud'!$B115="","",'Aset Takberwujud'!D115)</f>
        <v/>
      </c>
      <c r="E320" s="22" t="str">
        <f>IF($B320="","",IF(N('Aset Takberwujud'!$AG115)=0,0,IF(AND((YEAR(E$211)*12+MONTH(E$211))&gt;='Aset Takberwujud'!$Y115,(YEAR(E$211)*12+MONTH(E$211))&lt;=MIN('Aset Takberwujud'!$Z115,IF('Aset Takberwujud'!$S115="Unit Produksi",99999,'Aset Takberwujud'!$Y115+'Aset Takberwujud'!$T115*12-1))),'Aset Takberwujud'!$AQ115/'Aset Takberwujud'!$AG115,0)))</f>
        <v/>
      </c>
      <c r="F320" s="22" t="str">
        <f>IF($B320="","",IF(N('Aset Takberwujud'!$AG115)=0,0,IF(AND((YEAR(F$211)*12+MONTH(F$211))&gt;='Aset Takberwujud'!$Y115,(YEAR(F$211)*12+MONTH(F$211))&lt;=MIN('Aset Takberwujud'!$Z115,IF('Aset Takberwujud'!$S115="Unit Produksi",99999,'Aset Takberwujud'!$Y115+'Aset Takberwujud'!$T115*12-1))),'Aset Takberwujud'!$AQ115/'Aset Takberwujud'!$AG115,0)))</f>
        <v/>
      </c>
      <c r="G320" s="22" t="str">
        <f>IF($B320="","",IF(N('Aset Takberwujud'!$AG115)=0,0,IF(AND((YEAR(G$211)*12+MONTH(G$211))&gt;='Aset Takberwujud'!$Y115,(YEAR(G$211)*12+MONTH(G$211))&lt;=MIN('Aset Takberwujud'!$Z115,IF('Aset Takberwujud'!$S115="Unit Produksi",99999,'Aset Takberwujud'!$Y115+'Aset Takberwujud'!$T115*12-1))),'Aset Takberwujud'!$AQ115/'Aset Takberwujud'!$AG115,0)))</f>
        <v/>
      </c>
      <c r="H320" s="22" t="str">
        <f>IF($B320="","",IF(N('Aset Takberwujud'!$AG115)=0,0,IF(AND((YEAR(H$211)*12+MONTH(H$211))&gt;='Aset Takberwujud'!$Y115,(YEAR(H$211)*12+MONTH(H$211))&lt;=MIN('Aset Takberwujud'!$Z115,IF('Aset Takberwujud'!$S115="Unit Produksi",99999,'Aset Takberwujud'!$Y115+'Aset Takberwujud'!$T115*12-1))),'Aset Takberwujud'!$AQ115/'Aset Takberwujud'!$AG115,0)))</f>
        <v/>
      </c>
      <c r="I320" s="22" t="str">
        <f>IF($B320="","",IF(N('Aset Takberwujud'!$AG115)=0,0,IF(AND((YEAR(I$211)*12+MONTH(I$211))&gt;='Aset Takberwujud'!$Y115,(YEAR(I$211)*12+MONTH(I$211))&lt;=MIN('Aset Takberwujud'!$Z115,IF('Aset Takberwujud'!$S115="Unit Produksi",99999,'Aset Takberwujud'!$Y115+'Aset Takberwujud'!$T115*12-1))),'Aset Takberwujud'!$AQ115/'Aset Takberwujud'!$AG115,0)))</f>
        <v/>
      </c>
      <c r="J320" s="22" t="str">
        <f>IF($B320="","",IF(N('Aset Takberwujud'!$AG115)=0,0,IF(AND((YEAR(J$211)*12+MONTH(J$211))&gt;='Aset Takberwujud'!$Y115,(YEAR(J$211)*12+MONTH(J$211))&lt;=MIN('Aset Takberwujud'!$Z115,IF('Aset Takberwujud'!$S115="Unit Produksi",99999,'Aset Takberwujud'!$Y115+'Aset Takberwujud'!$T115*12-1))),'Aset Takberwujud'!$AQ115/'Aset Takberwujud'!$AG115,0)))</f>
        <v/>
      </c>
      <c r="K320" s="22" t="str">
        <f>IF($B320="","",IF(N('Aset Takberwujud'!$AG115)=0,0,IF(AND((YEAR(K$211)*12+MONTH(K$211))&gt;='Aset Takberwujud'!$Y115,(YEAR(K$211)*12+MONTH(K$211))&lt;=MIN('Aset Takberwujud'!$Z115,IF('Aset Takberwujud'!$S115="Unit Produksi",99999,'Aset Takberwujud'!$Y115+'Aset Takberwujud'!$T115*12-1))),'Aset Takberwujud'!$AQ115/'Aset Takberwujud'!$AG115,0)))</f>
        <v/>
      </c>
      <c r="L320" s="22" t="str">
        <f>IF($B320="","",IF(N('Aset Takberwujud'!$AG115)=0,0,IF(AND((YEAR(L$211)*12+MONTH(L$211))&gt;='Aset Takberwujud'!$Y115,(YEAR(L$211)*12+MONTH(L$211))&lt;=MIN('Aset Takberwujud'!$Z115,IF('Aset Takberwujud'!$S115="Unit Produksi",99999,'Aset Takberwujud'!$Y115+'Aset Takberwujud'!$T115*12-1))),'Aset Takberwujud'!$AQ115/'Aset Takberwujud'!$AG115,0)))</f>
        <v/>
      </c>
      <c r="M320" s="22" t="str">
        <f>IF($B320="","",IF(N('Aset Takberwujud'!$AG115)=0,0,IF(AND((YEAR(M$211)*12+MONTH(M$211))&gt;='Aset Takberwujud'!$Y115,(YEAR(M$211)*12+MONTH(M$211))&lt;=MIN('Aset Takberwujud'!$Z115,IF('Aset Takberwujud'!$S115="Unit Produksi",99999,'Aset Takberwujud'!$Y115+'Aset Takberwujud'!$T115*12-1))),'Aset Takberwujud'!$AQ115/'Aset Takberwujud'!$AG115,0)))</f>
        <v/>
      </c>
      <c r="N320" s="22" t="str">
        <f>IF($B320="","",IF(N('Aset Takberwujud'!$AG115)=0,0,IF(AND((YEAR(N$211)*12+MONTH(N$211))&gt;='Aset Takberwujud'!$Y115,(YEAR(N$211)*12+MONTH(N$211))&lt;=MIN('Aset Takberwujud'!$Z115,IF('Aset Takberwujud'!$S115="Unit Produksi",99999,'Aset Takberwujud'!$Y115+'Aset Takberwujud'!$T115*12-1))),'Aset Takberwujud'!$AQ115/'Aset Takberwujud'!$AG115,0)))</f>
        <v/>
      </c>
      <c r="O320" s="22" t="str">
        <f>IF($B320="","",IF(N('Aset Takberwujud'!$AG115)=0,0,IF(AND((YEAR(O$211)*12+MONTH(O$211))&gt;='Aset Takberwujud'!$Y115,(YEAR(O$211)*12+MONTH(O$211))&lt;=MIN('Aset Takberwujud'!$Z115,IF('Aset Takberwujud'!$S115="Unit Produksi",99999,'Aset Takberwujud'!$Y115+'Aset Takberwujud'!$T115*12-1))),'Aset Takberwujud'!$AQ115/'Aset Takberwujud'!$AG115,0)))</f>
        <v/>
      </c>
      <c r="P320" s="22" t="str">
        <f>IF($B320="","",IF(N('Aset Takberwujud'!$AG115)=0,0,IF(AND((YEAR(P$211)*12+MONTH(P$211))&gt;='Aset Takberwujud'!$Y115,(YEAR(P$211)*12+MONTH(P$211))&lt;=MIN('Aset Takberwujud'!$Z115,IF('Aset Takberwujud'!$S115="Unit Produksi",99999,'Aset Takberwujud'!$Y115+'Aset Takberwujud'!$T115*12-1))),'Aset Takberwujud'!$AQ115/'Aset Takberwujud'!$AG115,0)))</f>
        <v/>
      </c>
      <c r="Q320" s="22" t="str">
        <f>IF($B320="","",SUM(E320:P320))</f>
        <v/>
      </c>
      <c r="R320" s="22" t="str">
        <f>IF($B320="","",'Aset Takberwujud'!AQ115)</f>
        <v/>
      </c>
      <c r="S320" s="22" t="str">
        <f>IF($B320="","",ROUND(Q320-R320,0))</f>
        <v/>
      </c>
    </row>
    <row r="321" spans="1:19" x14ac:dyDescent="0.25">
      <c r="A321" t="str">
        <f>IF('Aset Takberwujud'!$B116="","",'Aset Takberwujud'!A116)</f>
        <v/>
      </c>
      <c r="B321" t="str">
        <f>IF('Aset Takberwujud'!$B116="","",'Aset Takberwujud'!B116)</f>
        <v/>
      </c>
      <c r="C321" t="str">
        <f>IF('Aset Takberwujud'!$B116="","",'Aset Takberwujud'!C116)</f>
        <v/>
      </c>
      <c r="D321" t="str">
        <f>IF('Aset Takberwujud'!$B116="","",'Aset Takberwujud'!D116)</f>
        <v/>
      </c>
      <c r="E321" s="22" t="str">
        <f>IF($B321="","",IF(N('Aset Takberwujud'!$AG116)=0,0,IF(AND((YEAR(E$211)*12+MONTH(E$211))&gt;='Aset Takberwujud'!$Y116,(YEAR(E$211)*12+MONTH(E$211))&lt;=MIN('Aset Takberwujud'!$Z116,IF('Aset Takberwujud'!$S116="Unit Produksi",99999,'Aset Takberwujud'!$Y116+'Aset Takberwujud'!$T116*12-1))),'Aset Takberwujud'!$AQ116/'Aset Takberwujud'!$AG116,0)))</f>
        <v/>
      </c>
      <c r="F321" s="22" t="str">
        <f>IF($B321="","",IF(N('Aset Takberwujud'!$AG116)=0,0,IF(AND((YEAR(F$211)*12+MONTH(F$211))&gt;='Aset Takberwujud'!$Y116,(YEAR(F$211)*12+MONTH(F$211))&lt;=MIN('Aset Takberwujud'!$Z116,IF('Aset Takberwujud'!$S116="Unit Produksi",99999,'Aset Takberwujud'!$Y116+'Aset Takberwujud'!$T116*12-1))),'Aset Takberwujud'!$AQ116/'Aset Takberwujud'!$AG116,0)))</f>
        <v/>
      </c>
      <c r="G321" s="22" t="str">
        <f>IF($B321="","",IF(N('Aset Takberwujud'!$AG116)=0,0,IF(AND((YEAR(G$211)*12+MONTH(G$211))&gt;='Aset Takberwujud'!$Y116,(YEAR(G$211)*12+MONTH(G$211))&lt;=MIN('Aset Takberwujud'!$Z116,IF('Aset Takberwujud'!$S116="Unit Produksi",99999,'Aset Takberwujud'!$Y116+'Aset Takberwujud'!$T116*12-1))),'Aset Takberwujud'!$AQ116/'Aset Takberwujud'!$AG116,0)))</f>
        <v/>
      </c>
      <c r="H321" s="22" t="str">
        <f>IF($B321="","",IF(N('Aset Takberwujud'!$AG116)=0,0,IF(AND((YEAR(H$211)*12+MONTH(H$211))&gt;='Aset Takberwujud'!$Y116,(YEAR(H$211)*12+MONTH(H$211))&lt;=MIN('Aset Takberwujud'!$Z116,IF('Aset Takberwujud'!$S116="Unit Produksi",99999,'Aset Takberwujud'!$Y116+'Aset Takberwujud'!$T116*12-1))),'Aset Takberwujud'!$AQ116/'Aset Takberwujud'!$AG116,0)))</f>
        <v/>
      </c>
      <c r="I321" s="22" t="str">
        <f>IF($B321="","",IF(N('Aset Takberwujud'!$AG116)=0,0,IF(AND((YEAR(I$211)*12+MONTH(I$211))&gt;='Aset Takberwujud'!$Y116,(YEAR(I$211)*12+MONTH(I$211))&lt;=MIN('Aset Takberwujud'!$Z116,IF('Aset Takberwujud'!$S116="Unit Produksi",99999,'Aset Takberwujud'!$Y116+'Aset Takberwujud'!$T116*12-1))),'Aset Takberwujud'!$AQ116/'Aset Takberwujud'!$AG116,0)))</f>
        <v/>
      </c>
      <c r="J321" s="22" t="str">
        <f>IF($B321="","",IF(N('Aset Takberwujud'!$AG116)=0,0,IF(AND((YEAR(J$211)*12+MONTH(J$211))&gt;='Aset Takberwujud'!$Y116,(YEAR(J$211)*12+MONTH(J$211))&lt;=MIN('Aset Takberwujud'!$Z116,IF('Aset Takberwujud'!$S116="Unit Produksi",99999,'Aset Takberwujud'!$Y116+'Aset Takberwujud'!$T116*12-1))),'Aset Takberwujud'!$AQ116/'Aset Takberwujud'!$AG116,0)))</f>
        <v/>
      </c>
      <c r="K321" s="22" t="str">
        <f>IF($B321="","",IF(N('Aset Takberwujud'!$AG116)=0,0,IF(AND((YEAR(K$211)*12+MONTH(K$211))&gt;='Aset Takberwujud'!$Y116,(YEAR(K$211)*12+MONTH(K$211))&lt;=MIN('Aset Takberwujud'!$Z116,IF('Aset Takberwujud'!$S116="Unit Produksi",99999,'Aset Takberwujud'!$Y116+'Aset Takberwujud'!$T116*12-1))),'Aset Takberwujud'!$AQ116/'Aset Takberwujud'!$AG116,0)))</f>
        <v/>
      </c>
      <c r="L321" s="22" t="str">
        <f>IF($B321="","",IF(N('Aset Takberwujud'!$AG116)=0,0,IF(AND((YEAR(L$211)*12+MONTH(L$211))&gt;='Aset Takberwujud'!$Y116,(YEAR(L$211)*12+MONTH(L$211))&lt;=MIN('Aset Takberwujud'!$Z116,IF('Aset Takberwujud'!$S116="Unit Produksi",99999,'Aset Takberwujud'!$Y116+'Aset Takberwujud'!$T116*12-1))),'Aset Takberwujud'!$AQ116/'Aset Takberwujud'!$AG116,0)))</f>
        <v/>
      </c>
      <c r="M321" s="22" t="str">
        <f>IF($B321="","",IF(N('Aset Takberwujud'!$AG116)=0,0,IF(AND((YEAR(M$211)*12+MONTH(M$211))&gt;='Aset Takberwujud'!$Y116,(YEAR(M$211)*12+MONTH(M$211))&lt;=MIN('Aset Takberwujud'!$Z116,IF('Aset Takberwujud'!$S116="Unit Produksi",99999,'Aset Takberwujud'!$Y116+'Aset Takberwujud'!$T116*12-1))),'Aset Takberwujud'!$AQ116/'Aset Takberwujud'!$AG116,0)))</f>
        <v/>
      </c>
      <c r="N321" s="22" t="str">
        <f>IF($B321="","",IF(N('Aset Takberwujud'!$AG116)=0,0,IF(AND((YEAR(N$211)*12+MONTH(N$211))&gt;='Aset Takberwujud'!$Y116,(YEAR(N$211)*12+MONTH(N$211))&lt;=MIN('Aset Takberwujud'!$Z116,IF('Aset Takberwujud'!$S116="Unit Produksi",99999,'Aset Takberwujud'!$Y116+'Aset Takberwujud'!$T116*12-1))),'Aset Takberwujud'!$AQ116/'Aset Takberwujud'!$AG116,0)))</f>
        <v/>
      </c>
      <c r="O321" s="22" t="str">
        <f>IF($B321="","",IF(N('Aset Takberwujud'!$AG116)=0,0,IF(AND((YEAR(O$211)*12+MONTH(O$211))&gt;='Aset Takberwujud'!$Y116,(YEAR(O$211)*12+MONTH(O$211))&lt;=MIN('Aset Takberwujud'!$Z116,IF('Aset Takberwujud'!$S116="Unit Produksi",99999,'Aset Takberwujud'!$Y116+'Aset Takberwujud'!$T116*12-1))),'Aset Takberwujud'!$AQ116/'Aset Takberwujud'!$AG116,0)))</f>
        <v/>
      </c>
      <c r="P321" s="22" t="str">
        <f>IF($B321="","",IF(N('Aset Takberwujud'!$AG116)=0,0,IF(AND((YEAR(P$211)*12+MONTH(P$211))&gt;='Aset Takberwujud'!$Y116,(YEAR(P$211)*12+MONTH(P$211))&lt;=MIN('Aset Takberwujud'!$Z116,IF('Aset Takberwujud'!$S116="Unit Produksi",99999,'Aset Takberwujud'!$Y116+'Aset Takberwujud'!$T116*12-1))),'Aset Takberwujud'!$AQ116/'Aset Takberwujud'!$AG116,0)))</f>
        <v/>
      </c>
      <c r="Q321" s="22" t="str">
        <f>IF($B321="","",SUM(E321:P321))</f>
        <v/>
      </c>
      <c r="R321" s="22" t="str">
        <f>IF($B321="","",'Aset Takberwujud'!AQ116)</f>
        <v/>
      </c>
      <c r="S321" s="22" t="str">
        <f>IF($B321="","",ROUND(Q321-R321,0))</f>
        <v/>
      </c>
    </row>
    <row r="322" spans="1:19" x14ac:dyDescent="0.25">
      <c r="A322" t="str">
        <f>IF('Aset Takberwujud'!$B117="","",'Aset Takberwujud'!A117)</f>
        <v/>
      </c>
      <c r="B322" t="str">
        <f>IF('Aset Takberwujud'!$B117="","",'Aset Takberwujud'!B117)</f>
        <v/>
      </c>
      <c r="C322" t="str">
        <f>IF('Aset Takberwujud'!$B117="","",'Aset Takberwujud'!C117)</f>
        <v/>
      </c>
      <c r="D322" t="str">
        <f>IF('Aset Takberwujud'!$B117="","",'Aset Takberwujud'!D117)</f>
        <v/>
      </c>
      <c r="E322" s="22" t="str">
        <f>IF($B322="","",IF(N('Aset Takberwujud'!$AG117)=0,0,IF(AND((YEAR(E$211)*12+MONTH(E$211))&gt;='Aset Takberwujud'!$Y117,(YEAR(E$211)*12+MONTH(E$211))&lt;=MIN('Aset Takberwujud'!$Z117,IF('Aset Takberwujud'!$S117="Unit Produksi",99999,'Aset Takberwujud'!$Y117+'Aset Takberwujud'!$T117*12-1))),'Aset Takberwujud'!$AQ117/'Aset Takberwujud'!$AG117,0)))</f>
        <v/>
      </c>
      <c r="F322" s="22" t="str">
        <f>IF($B322="","",IF(N('Aset Takberwujud'!$AG117)=0,0,IF(AND((YEAR(F$211)*12+MONTH(F$211))&gt;='Aset Takberwujud'!$Y117,(YEAR(F$211)*12+MONTH(F$211))&lt;=MIN('Aset Takberwujud'!$Z117,IF('Aset Takberwujud'!$S117="Unit Produksi",99999,'Aset Takberwujud'!$Y117+'Aset Takberwujud'!$T117*12-1))),'Aset Takberwujud'!$AQ117/'Aset Takberwujud'!$AG117,0)))</f>
        <v/>
      </c>
      <c r="G322" s="22" t="str">
        <f>IF($B322="","",IF(N('Aset Takberwujud'!$AG117)=0,0,IF(AND((YEAR(G$211)*12+MONTH(G$211))&gt;='Aset Takberwujud'!$Y117,(YEAR(G$211)*12+MONTH(G$211))&lt;=MIN('Aset Takberwujud'!$Z117,IF('Aset Takberwujud'!$S117="Unit Produksi",99999,'Aset Takberwujud'!$Y117+'Aset Takberwujud'!$T117*12-1))),'Aset Takberwujud'!$AQ117/'Aset Takberwujud'!$AG117,0)))</f>
        <v/>
      </c>
      <c r="H322" s="22" t="str">
        <f>IF($B322="","",IF(N('Aset Takberwujud'!$AG117)=0,0,IF(AND((YEAR(H$211)*12+MONTH(H$211))&gt;='Aset Takberwujud'!$Y117,(YEAR(H$211)*12+MONTH(H$211))&lt;=MIN('Aset Takberwujud'!$Z117,IF('Aset Takberwujud'!$S117="Unit Produksi",99999,'Aset Takberwujud'!$Y117+'Aset Takberwujud'!$T117*12-1))),'Aset Takberwujud'!$AQ117/'Aset Takberwujud'!$AG117,0)))</f>
        <v/>
      </c>
      <c r="I322" s="22" t="str">
        <f>IF($B322="","",IF(N('Aset Takberwujud'!$AG117)=0,0,IF(AND((YEAR(I$211)*12+MONTH(I$211))&gt;='Aset Takberwujud'!$Y117,(YEAR(I$211)*12+MONTH(I$211))&lt;=MIN('Aset Takberwujud'!$Z117,IF('Aset Takberwujud'!$S117="Unit Produksi",99999,'Aset Takberwujud'!$Y117+'Aset Takberwujud'!$T117*12-1))),'Aset Takberwujud'!$AQ117/'Aset Takberwujud'!$AG117,0)))</f>
        <v/>
      </c>
      <c r="J322" s="22" t="str">
        <f>IF($B322="","",IF(N('Aset Takberwujud'!$AG117)=0,0,IF(AND((YEAR(J$211)*12+MONTH(J$211))&gt;='Aset Takberwujud'!$Y117,(YEAR(J$211)*12+MONTH(J$211))&lt;=MIN('Aset Takberwujud'!$Z117,IF('Aset Takberwujud'!$S117="Unit Produksi",99999,'Aset Takberwujud'!$Y117+'Aset Takberwujud'!$T117*12-1))),'Aset Takberwujud'!$AQ117/'Aset Takberwujud'!$AG117,0)))</f>
        <v/>
      </c>
      <c r="K322" s="22" t="str">
        <f>IF($B322="","",IF(N('Aset Takberwujud'!$AG117)=0,0,IF(AND((YEAR(K$211)*12+MONTH(K$211))&gt;='Aset Takberwujud'!$Y117,(YEAR(K$211)*12+MONTH(K$211))&lt;=MIN('Aset Takberwujud'!$Z117,IF('Aset Takberwujud'!$S117="Unit Produksi",99999,'Aset Takberwujud'!$Y117+'Aset Takberwujud'!$T117*12-1))),'Aset Takberwujud'!$AQ117/'Aset Takberwujud'!$AG117,0)))</f>
        <v/>
      </c>
      <c r="L322" s="22" t="str">
        <f>IF($B322="","",IF(N('Aset Takberwujud'!$AG117)=0,0,IF(AND((YEAR(L$211)*12+MONTH(L$211))&gt;='Aset Takberwujud'!$Y117,(YEAR(L$211)*12+MONTH(L$211))&lt;=MIN('Aset Takberwujud'!$Z117,IF('Aset Takberwujud'!$S117="Unit Produksi",99999,'Aset Takberwujud'!$Y117+'Aset Takberwujud'!$T117*12-1))),'Aset Takberwujud'!$AQ117/'Aset Takberwujud'!$AG117,0)))</f>
        <v/>
      </c>
      <c r="M322" s="22" t="str">
        <f>IF($B322="","",IF(N('Aset Takberwujud'!$AG117)=0,0,IF(AND((YEAR(M$211)*12+MONTH(M$211))&gt;='Aset Takberwujud'!$Y117,(YEAR(M$211)*12+MONTH(M$211))&lt;=MIN('Aset Takberwujud'!$Z117,IF('Aset Takberwujud'!$S117="Unit Produksi",99999,'Aset Takberwujud'!$Y117+'Aset Takberwujud'!$T117*12-1))),'Aset Takberwujud'!$AQ117/'Aset Takberwujud'!$AG117,0)))</f>
        <v/>
      </c>
      <c r="N322" s="22" t="str">
        <f>IF($B322="","",IF(N('Aset Takberwujud'!$AG117)=0,0,IF(AND((YEAR(N$211)*12+MONTH(N$211))&gt;='Aset Takberwujud'!$Y117,(YEAR(N$211)*12+MONTH(N$211))&lt;=MIN('Aset Takberwujud'!$Z117,IF('Aset Takberwujud'!$S117="Unit Produksi",99999,'Aset Takberwujud'!$Y117+'Aset Takberwujud'!$T117*12-1))),'Aset Takberwujud'!$AQ117/'Aset Takberwujud'!$AG117,0)))</f>
        <v/>
      </c>
      <c r="O322" s="22" t="str">
        <f>IF($B322="","",IF(N('Aset Takberwujud'!$AG117)=0,0,IF(AND((YEAR(O$211)*12+MONTH(O$211))&gt;='Aset Takberwujud'!$Y117,(YEAR(O$211)*12+MONTH(O$211))&lt;=MIN('Aset Takberwujud'!$Z117,IF('Aset Takberwujud'!$S117="Unit Produksi",99999,'Aset Takberwujud'!$Y117+'Aset Takberwujud'!$T117*12-1))),'Aset Takberwujud'!$AQ117/'Aset Takberwujud'!$AG117,0)))</f>
        <v/>
      </c>
      <c r="P322" s="22" t="str">
        <f>IF($B322="","",IF(N('Aset Takberwujud'!$AG117)=0,0,IF(AND((YEAR(P$211)*12+MONTH(P$211))&gt;='Aset Takberwujud'!$Y117,(YEAR(P$211)*12+MONTH(P$211))&lt;=MIN('Aset Takberwujud'!$Z117,IF('Aset Takberwujud'!$S117="Unit Produksi",99999,'Aset Takberwujud'!$Y117+'Aset Takberwujud'!$T117*12-1))),'Aset Takberwujud'!$AQ117/'Aset Takberwujud'!$AG117,0)))</f>
        <v/>
      </c>
      <c r="Q322" s="22" t="str">
        <f>IF($B322="","",SUM(E322:P322))</f>
        <v/>
      </c>
      <c r="R322" s="22" t="str">
        <f>IF($B322="","",'Aset Takberwujud'!AQ117)</f>
        <v/>
      </c>
      <c r="S322" s="22" t="str">
        <f>IF($B322="","",ROUND(Q322-R322,0))</f>
        <v/>
      </c>
    </row>
    <row r="323" spans="1:19" x14ac:dyDescent="0.25">
      <c r="A323" t="str">
        <f>IF('Aset Takberwujud'!$B118="","",'Aset Takberwujud'!A118)</f>
        <v/>
      </c>
      <c r="B323" t="str">
        <f>IF('Aset Takberwujud'!$B118="","",'Aset Takberwujud'!B118)</f>
        <v/>
      </c>
      <c r="C323" t="str">
        <f>IF('Aset Takberwujud'!$B118="","",'Aset Takberwujud'!C118)</f>
        <v/>
      </c>
      <c r="D323" t="str">
        <f>IF('Aset Takberwujud'!$B118="","",'Aset Takberwujud'!D118)</f>
        <v/>
      </c>
      <c r="E323" s="22" t="str">
        <f>IF($B323="","",IF(N('Aset Takberwujud'!$AG118)=0,0,IF(AND((YEAR(E$211)*12+MONTH(E$211))&gt;='Aset Takberwujud'!$Y118,(YEAR(E$211)*12+MONTH(E$211))&lt;=MIN('Aset Takberwujud'!$Z118,IF('Aset Takberwujud'!$S118="Unit Produksi",99999,'Aset Takberwujud'!$Y118+'Aset Takberwujud'!$T118*12-1))),'Aset Takberwujud'!$AQ118/'Aset Takberwujud'!$AG118,0)))</f>
        <v/>
      </c>
      <c r="F323" s="22" t="str">
        <f>IF($B323="","",IF(N('Aset Takberwujud'!$AG118)=0,0,IF(AND((YEAR(F$211)*12+MONTH(F$211))&gt;='Aset Takberwujud'!$Y118,(YEAR(F$211)*12+MONTH(F$211))&lt;=MIN('Aset Takberwujud'!$Z118,IF('Aset Takberwujud'!$S118="Unit Produksi",99999,'Aset Takberwujud'!$Y118+'Aset Takberwujud'!$T118*12-1))),'Aset Takberwujud'!$AQ118/'Aset Takberwujud'!$AG118,0)))</f>
        <v/>
      </c>
      <c r="G323" s="22" t="str">
        <f>IF($B323="","",IF(N('Aset Takberwujud'!$AG118)=0,0,IF(AND((YEAR(G$211)*12+MONTH(G$211))&gt;='Aset Takberwujud'!$Y118,(YEAR(G$211)*12+MONTH(G$211))&lt;=MIN('Aset Takberwujud'!$Z118,IF('Aset Takberwujud'!$S118="Unit Produksi",99999,'Aset Takberwujud'!$Y118+'Aset Takberwujud'!$T118*12-1))),'Aset Takberwujud'!$AQ118/'Aset Takberwujud'!$AG118,0)))</f>
        <v/>
      </c>
      <c r="H323" s="22" t="str">
        <f>IF($B323="","",IF(N('Aset Takberwujud'!$AG118)=0,0,IF(AND((YEAR(H$211)*12+MONTH(H$211))&gt;='Aset Takberwujud'!$Y118,(YEAR(H$211)*12+MONTH(H$211))&lt;=MIN('Aset Takberwujud'!$Z118,IF('Aset Takberwujud'!$S118="Unit Produksi",99999,'Aset Takberwujud'!$Y118+'Aset Takberwujud'!$T118*12-1))),'Aset Takberwujud'!$AQ118/'Aset Takberwujud'!$AG118,0)))</f>
        <v/>
      </c>
      <c r="I323" s="22" t="str">
        <f>IF($B323="","",IF(N('Aset Takberwujud'!$AG118)=0,0,IF(AND((YEAR(I$211)*12+MONTH(I$211))&gt;='Aset Takberwujud'!$Y118,(YEAR(I$211)*12+MONTH(I$211))&lt;=MIN('Aset Takberwujud'!$Z118,IF('Aset Takberwujud'!$S118="Unit Produksi",99999,'Aset Takberwujud'!$Y118+'Aset Takberwujud'!$T118*12-1))),'Aset Takberwujud'!$AQ118/'Aset Takberwujud'!$AG118,0)))</f>
        <v/>
      </c>
      <c r="J323" s="22" t="str">
        <f>IF($B323="","",IF(N('Aset Takberwujud'!$AG118)=0,0,IF(AND((YEAR(J$211)*12+MONTH(J$211))&gt;='Aset Takberwujud'!$Y118,(YEAR(J$211)*12+MONTH(J$211))&lt;=MIN('Aset Takberwujud'!$Z118,IF('Aset Takberwujud'!$S118="Unit Produksi",99999,'Aset Takberwujud'!$Y118+'Aset Takberwujud'!$T118*12-1))),'Aset Takberwujud'!$AQ118/'Aset Takberwujud'!$AG118,0)))</f>
        <v/>
      </c>
      <c r="K323" s="22" t="str">
        <f>IF($B323="","",IF(N('Aset Takberwujud'!$AG118)=0,0,IF(AND((YEAR(K$211)*12+MONTH(K$211))&gt;='Aset Takberwujud'!$Y118,(YEAR(K$211)*12+MONTH(K$211))&lt;=MIN('Aset Takberwujud'!$Z118,IF('Aset Takberwujud'!$S118="Unit Produksi",99999,'Aset Takberwujud'!$Y118+'Aset Takberwujud'!$T118*12-1))),'Aset Takberwujud'!$AQ118/'Aset Takberwujud'!$AG118,0)))</f>
        <v/>
      </c>
      <c r="L323" s="22" t="str">
        <f>IF($B323="","",IF(N('Aset Takberwujud'!$AG118)=0,0,IF(AND((YEAR(L$211)*12+MONTH(L$211))&gt;='Aset Takberwujud'!$Y118,(YEAR(L$211)*12+MONTH(L$211))&lt;=MIN('Aset Takberwujud'!$Z118,IF('Aset Takberwujud'!$S118="Unit Produksi",99999,'Aset Takberwujud'!$Y118+'Aset Takberwujud'!$T118*12-1))),'Aset Takberwujud'!$AQ118/'Aset Takberwujud'!$AG118,0)))</f>
        <v/>
      </c>
      <c r="M323" s="22" t="str">
        <f>IF($B323="","",IF(N('Aset Takberwujud'!$AG118)=0,0,IF(AND((YEAR(M$211)*12+MONTH(M$211))&gt;='Aset Takberwujud'!$Y118,(YEAR(M$211)*12+MONTH(M$211))&lt;=MIN('Aset Takberwujud'!$Z118,IF('Aset Takberwujud'!$S118="Unit Produksi",99999,'Aset Takberwujud'!$Y118+'Aset Takberwujud'!$T118*12-1))),'Aset Takberwujud'!$AQ118/'Aset Takberwujud'!$AG118,0)))</f>
        <v/>
      </c>
      <c r="N323" s="22" t="str">
        <f>IF($B323="","",IF(N('Aset Takberwujud'!$AG118)=0,0,IF(AND((YEAR(N$211)*12+MONTH(N$211))&gt;='Aset Takberwujud'!$Y118,(YEAR(N$211)*12+MONTH(N$211))&lt;=MIN('Aset Takberwujud'!$Z118,IF('Aset Takberwujud'!$S118="Unit Produksi",99999,'Aset Takberwujud'!$Y118+'Aset Takberwujud'!$T118*12-1))),'Aset Takberwujud'!$AQ118/'Aset Takberwujud'!$AG118,0)))</f>
        <v/>
      </c>
      <c r="O323" s="22" t="str">
        <f>IF($B323="","",IF(N('Aset Takberwujud'!$AG118)=0,0,IF(AND((YEAR(O$211)*12+MONTH(O$211))&gt;='Aset Takberwujud'!$Y118,(YEAR(O$211)*12+MONTH(O$211))&lt;=MIN('Aset Takberwujud'!$Z118,IF('Aset Takberwujud'!$S118="Unit Produksi",99999,'Aset Takberwujud'!$Y118+'Aset Takberwujud'!$T118*12-1))),'Aset Takberwujud'!$AQ118/'Aset Takberwujud'!$AG118,0)))</f>
        <v/>
      </c>
      <c r="P323" s="22" t="str">
        <f>IF($B323="","",IF(N('Aset Takberwujud'!$AG118)=0,0,IF(AND((YEAR(P$211)*12+MONTH(P$211))&gt;='Aset Takberwujud'!$Y118,(YEAR(P$211)*12+MONTH(P$211))&lt;=MIN('Aset Takberwujud'!$Z118,IF('Aset Takberwujud'!$S118="Unit Produksi",99999,'Aset Takberwujud'!$Y118+'Aset Takberwujud'!$T118*12-1))),'Aset Takberwujud'!$AQ118/'Aset Takberwujud'!$AG118,0)))</f>
        <v/>
      </c>
      <c r="Q323" s="22" t="str">
        <f>IF($B323="","",SUM(E323:P323))</f>
        <v/>
      </c>
      <c r="R323" s="22" t="str">
        <f>IF($B323="","",'Aset Takberwujud'!AQ118)</f>
        <v/>
      </c>
      <c r="S323" s="22" t="str">
        <f>IF($B323="","",ROUND(Q323-R323,0))</f>
        <v/>
      </c>
    </row>
    <row r="324" spans="1:19" x14ac:dyDescent="0.25">
      <c r="A324" t="str">
        <f>IF('Aset Takberwujud'!$B119="","",'Aset Takberwujud'!A119)</f>
        <v/>
      </c>
      <c r="B324" t="str">
        <f>IF('Aset Takberwujud'!$B119="","",'Aset Takberwujud'!B119)</f>
        <v/>
      </c>
      <c r="C324" t="str">
        <f>IF('Aset Takberwujud'!$B119="","",'Aset Takberwujud'!C119)</f>
        <v/>
      </c>
      <c r="D324" t="str">
        <f>IF('Aset Takberwujud'!$B119="","",'Aset Takberwujud'!D119)</f>
        <v/>
      </c>
      <c r="E324" s="22" t="str">
        <f>IF($B324="","",IF(N('Aset Takberwujud'!$AG119)=0,0,IF(AND((YEAR(E$211)*12+MONTH(E$211))&gt;='Aset Takberwujud'!$Y119,(YEAR(E$211)*12+MONTH(E$211))&lt;=MIN('Aset Takberwujud'!$Z119,IF('Aset Takberwujud'!$S119="Unit Produksi",99999,'Aset Takberwujud'!$Y119+'Aset Takberwujud'!$T119*12-1))),'Aset Takberwujud'!$AQ119/'Aset Takberwujud'!$AG119,0)))</f>
        <v/>
      </c>
      <c r="F324" s="22" t="str">
        <f>IF($B324="","",IF(N('Aset Takberwujud'!$AG119)=0,0,IF(AND((YEAR(F$211)*12+MONTH(F$211))&gt;='Aset Takberwujud'!$Y119,(YEAR(F$211)*12+MONTH(F$211))&lt;=MIN('Aset Takberwujud'!$Z119,IF('Aset Takberwujud'!$S119="Unit Produksi",99999,'Aset Takberwujud'!$Y119+'Aset Takberwujud'!$T119*12-1))),'Aset Takberwujud'!$AQ119/'Aset Takberwujud'!$AG119,0)))</f>
        <v/>
      </c>
      <c r="G324" s="22" t="str">
        <f>IF($B324="","",IF(N('Aset Takberwujud'!$AG119)=0,0,IF(AND((YEAR(G$211)*12+MONTH(G$211))&gt;='Aset Takberwujud'!$Y119,(YEAR(G$211)*12+MONTH(G$211))&lt;=MIN('Aset Takberwujud'!$Z119,IF('Aset Takberwujud'!$S119="Unit Produksi",99999,'Aset Takberwujud'!$Y119+'Aset Takberwujud'!$T119*12-1))),'Aset Takberwujud'!$AQ119/'Aset Takberwujud'!$AG119,0)))</f>
        <v/>
      </c>
      <c r="H324" s="22" t="str">
        <f>IF($B324="","",IF(N('Aset Takberwujud'!$AG119)=0,0,IF(AND((YEAR(H$211)*12+MONTH(H$211))&gt;='Aset Takberwujud'!$Y119,(YEAR(H$211)*12+MONTH(H$211))&lt;=MIN('Aset Takberwujud'!$Z119,IF('Aset Takberwujud'!$S119="Unit Produksi",99999,'Aset Takberwujud'!$Y119+'Aset Takberwujud'!$T119*12-1))),'Aset Takberwujud'!$AQ119/'Aset Takberwujud'!$AG119,0)))</f>
        <v/>
      </c>
      <c r="I324" s="22" t="str">
        <f>IF($B324="","",IF(N('Aset Takberwujud'!$AG119)=0,0,IF(AND((YEAR(I$211)*12+MONTH(I$211))&gt;='Aset Takberwujud'!$Y119,(YEAR(I$211)*12+MONTH(I$211))&lt;=MIN('Aset Takberwujud'!$Z119,IF('Aset Takberwujud'!$S119="Unit Produksi",99999,'Aset Takberwujud'!$Y119+'Aset Takberwujud'!$T119*12-1))),'Aset Takberwujud'!$AQ119/'Aset Takberwujud'!$AG119,0)))</f>
        <v/>
      </c>
      <c r="J324" s="22" t="str">
        <f>IF($B324="","",IF(N('Aset Takberwujud'!$AG119)=0,0,IF(AND((YEAR(J$211)*12+MONTH(J$211))&gt;='Aset Takberwujud'!$Y119,(YEAR(J$211)*12+MONTH(J$211))&lt;=MIN('Aset Takberwujud'!$Z119,IF('Aset Takberwujud'!$S119="Unit Produksi",99999,'Aset Takberwujud'!$Y119+'Aset Takberwujud'!$T119*12-1))),'Aset Takberwujud'!$AQ119/'Aset Takberwujud'!$AG119,0)))</f>
        <v/>
      </c>
      <c r="K324" s="22" t="str">
        <f>IF($B324="","",IF(N('Aset Takberwujud'!$AG119)=0,0,IF(AND((YEAR(K$211)*12+MONTH(K$211))&gt;='Aset Takberwujud'!$Y119,(YEAR(K$211)*12+MONTH(K$211))&lt;=MIN('Aset Takberwujud'!$Z119,IF('Aset Takberwujud'!$S119="Unit Produksi",99999,'Aset Takberwujud'!$Y119+'Aset Takberwujud'!$T119*12-1))),'Aset Takberwujud'!$AQ119/'Aset Takberwujud'!$AG119,0)))</f>
        <v/>
      </c>
      <c r="L324" s="22" t="str">
        <f>IF($B324="","",IF(N('Aset Takberwujud'!$AG119)=0,0,IF(AND((YEAR(L$211)*12+MONTH(L$211))&gt;='Aset Takberwujud'!$Y119,(YEAR(L$211)*12+MONTH(L$211))&lt;=MIN('Aset Takberwujud'!$Z119,IF('Aset Takberwujud'!$S119="Unit Produksi",99999,'Aset Takberwujud'!$Y119+'Aset Takberwujud'!$T119*12-1))),'Aset Takberwujud'!$AQ119/'Aset Takberwujud'!$AG119,0)))</f>
        <v/>
      </c>
      <c r="M324" s="22" t="str">
        <f>IF($B324="","",IF(N('Aset Takberwujud'!$AG119)=0,0,IF(AND((YEAR(M$211)*12+MONTH(M$211))&gt;='Aset Takberwujud'!$Y119,(YEAR(M$211)*12+MONTH(M$211))&lt;=MIN('Aset Takberwujud'!$Z119,IF('Aset Takberwujud'!$S119="Unit Produksi",99999,'Aset Takberwujud'!$Y119+'Aset Takberwujud'!$T119*12-1))),'Aset Takberwujud'!$AQ119/'Aset Takberwujud'!$AG119,0)))</f>
        <v/>
      </c>
      <c r="N324" s="22" t="str">
        <f>IF($B324="","",IF(N('Aset Takberwujud'!$AG119)=0,0,IF(AND((YEAR(N$211)*12+MONTH(N$211))&gt;='Aset Takberwujud'!$Y119,(YEAR(N$211)*12+MONTH(N$211))&lt;=MIN('Aset Takberwujud'!$Z119,IF('Aset Takberwujud'!$S119="Unit Produksi",99999,'Aset Takberwujud'!$Y119+'Aset Takberwujud'!$T119*12-1))),'Aset Takberwujud'!$AQ119/'Aset Takberwujud'!$AG119,0)))</f>
        <v/>
      </c>
      <c r="O324" s="22" t="str">
        <f>IF($B324="","",IF(N('Aset Takberwujud'!$AG119)=0,0,IF(AND((YEAR(O$211)*12+MONTH(O$211))&gt;='Aset Takberwujud'!$Y119,(YEAR(O$211)*12+MONTH(O$211))&lt;=MIN('Aset Takberwujud'!$Z119,IF('Aset Takberwujud'!$S119="Unit Produksi",99999,'Aset Takberwujud'!$Y119+'Aset Takberwujud'!$T119*12-1))),'Aset Takberwujud'!$AQ119/'Aset Takberwujud'!$AG119,0)))</f>
        <v/>
      </c>
      <c r="P324" s="22" t="str">
        <f>IF($B324="","",IF(N('Aset Takberwujud'!$AG119)=0,0,IF(AND((YEAR(P$211)*12+MONTH(P$211))&gt;='Aset Takberwujud'!$Y119,(YEAR(P$211)*12+MONTH(P$211))&lt;=MIN('Aset Takberwujud'!$Z119,IF('Aset Takberwujud'!$S119="Unit Produksi",99999,'Aset Takberwujud'!$Y119+'Aset Takberwujud'!$T119*12-1))),'Aset Takberwujud'!$AQ119/'Aset Takberwujud'!$AG119,0)))</f>
        <v/>
      </c>
      <c r="Q324" s="22" t="str">
        <f>IF($B324="","",SUM(E324:P324))</f>
        <v/>
      </c>
      <c r="R324" s="22" t="str">
        <f>IF($B324="","",'Aset Takberwujud'!AQ119)</f>
        <v/>
      </c>
      <c r="S324" s="22" t="str">
        <f>IF($B324="","",ROUND(Q324-R324,0))</f>
        <v/>
      </c>
    </row>
    <row r="325" spans="1:19" x14ac:dyDescent="0.25">
      <c r="A325" t="str">
        <f>IF('Aset Takberwujud'!$B120="","",'Aset Takberwujud'!A120)</f>
        <v/>
      </c>
      <c r="B325" t="str">
        <f>IF('Aset Takberwujud'!$B120="","",'Aset Takberwujud'!B120)</f>
        <v/>
      </c>
      <c r="C325" t="str">
        <f>IF('Aset Takberwujud'!$B120="","",'Aset Takberwujud'!C120)</f>
        <v/>
      </c>
      <c r="D325" t="str">
        <f>IF('Aset Takberwujud'!$B120="","",'Aset Takberwujud'!D120)</f>
        <v/>
      </c>
      <c r="E325" s="22" t="str">
        <f>IF($B325="","",IF(N('Aset Takberwujud'!$AG120)=0,0,IF(AND((YEAR(E$211)*12+MONTH(E$211))&gt;='Aset Takberwujud'!$Y120,(YEAR(E$211)*12+MONTH(E$211))&lt;=MIN('Aset Takberwujud'!$Z120,IF('Aset Takberwujud'!$S120="Unit Produksi",99999,'Aset Takberwujud'!$Y120+'Aset Takberwujud'!$T120*12-1))),'Aset Takberwujud'!$AQ120/'Aset Takberwujud'!$AG120,0)))</f>
        <v/>
      </c>
      <c r="F325" s="22" t="str">
        <f>IF($B325="","",IF(N('Aset Takberwujud'!$AG120)=0,0,IF(AND((YEAR(F$211)*12+MONTH(F$211))&gt;='Aset Takberwujud'!$Y120,(YEAR(F$211)*12+MONTH(F$211))&lt;=MIN('Aset Takberwujud'!$Z120,IF('Aset Takberwujud'!$S120="Unit Produksi",99999,'Aset Takberwujud'!$Y120+'Aset Takberwujud'!$T120*12-1))),'Aset Takberwujud'!$AQ120/'Aset Takberwujud'!$AG120,0)))</f>
        <v/>
      </c>
      <c r="G325" s="22" t="str">
        <f>IF($B325="","",IF(N('Aset Takberwujud'!$AG120)=0,0,IF(AND((YEAR(G$211)*12+MONTH(G$211))&gt;='Aset Takberwujud'!$Y120,(YEAR(G$211)*12+MONTH(G$211))&lt;=MIN('Aset Takberwujud'!$Z120,IF('Aset Takberwujud'!$S120="Unit Produksi",99999,'Aset Takberwujud'!$Y120+'Aset Takberwujud'!$T120*12-1))),'Aset Takberwujud'!$AQ120/'Aset Takberwujud'!$AG120,0)))</f>
        <v/>
      </c>
      <c r="H325" s="22" t="str">
        <f>IF($B325="","",IF(N('Aset Takberwujud'!$AG120)=0,0,IF(AND((YEAR(H$211)*12+MONTH(H$211))&gt;='Aset Takberwujud'!$Y120,(YEAR(H$211)*12+MONTH(H$211))&lt;=MIN('Aset Takberwujud'!$Z120,IF('Aset Takberwujud'!$S120="Unit Produksi",99999,'Aset Takberwujud'!$Y120+'Aset Takberwujud'!$T120*12-1))),'Aset Takberwujud'!$AQ120/'Aset Takberwujud'!$AG120,0)))</f>
        <v/>
      </c>
      <c r="I325" s="22" t="str">
        <f>IF($B325="","",IF(N('Aset Takberwujud'!$AG120)=0,0,IF(AND((YEAR(I$211)*12+MONTH(I$211))&gt;='Aset Takberwujud'!$Y120,(YEAR(I$211)*12+MONTH(I$211))&lt;=MIN('Aset Takberwujud'!$Z120,IF('Aset Takberwujud'!$S120="Unit Produksi",99999,'Aset Takberwujud'!$Y120+'Aset Takberwujud'!$T120*12-1))),'Aset Takberwujud'!$AQ120/'Aset Takberwujud'!$AG120,0)))</f>
        <v/>
      </c>
      <c r="J325" s="22" t="str">
        <f>IF($B325="","",IF(N('Aset Takberwujud'!$AG120)=0,0,IF(AND((YEAR(J$211)*12+MONTH(J$211))&gt;='Aset Takberwujud'!$Y120,(YEAR(J$211)*12+MONTH(J$211))&lt;=MIN('Aset Takberwujud'!$Z120,IF('Aset Takberwujud'!$S120="Unit Produksi",99999,'Aset Takberwujud'!$Y120+'Aset Takberwujud'!$T120*12-1))),'Aset Takberwujud'!$AQ120/'Aset Takberwujud'!$AG120,0)))</f>
        <v/>
      </c>
      <c r="K325" s="22" t="str">
        <f>IF($B325="","",IF(N('Aset Takberwujud'!$AG120)=0,0,IF(AND((YEAR(K$211)*12+MONTH(K$211))&gt;='Aset Takberwujud'!$Y120,(YEAR(K$211)*12+MONTH(K$211))&lt;=MIN('Aset Takberwujud'!$Z120,IF('Aset Takberwujud'!$S120="Unit Produksi",99999,'Aset Takberwujud'!$Y120+'Aset Takberwujud'!$T120*12-1))),'Aset Takberwujud'!$AQ120/'Aset Takberwujud'!$AG120,0)))</f>
        <v/>
      </c>
      <c r="L325" s="22" t="str">
        <f>IF($B325="","",IF(N('Aset Takberwujud'!$AG120)=0,0,IF(AND((YEAR(L$211)*12+MONTH(L$211))&gt;='Aset Takberwujud'!$Y120,(YEAR(L$211)*12+MONTH(L$211))&lt;=MIN('Aset Takberwujud'!$Z120,IF('Aset Takberwujud'!$S120="Unit Produksi",99999,'Aset Takberwujud'!$Y120+'Aset Takberwujud'!$T120*12-1))),'Aset Takberwujud'!$AQ120/'Aset Takberwujud'!$AG120,0)))</f>
        <v/>
      </c>
      <c r="M325" s="22" t="str">
        <f>IF($B325="","",IF(N('Aset Takberwujud'!$AG120)=0,0,IF(AND((YEAR(M$211)*12+MONTH(M$211))&gt;='Aset Takberwujud'!$Y120,(YEAR(M$211)*12+MONTH(M$211))&lt;=MIN('Aset Takberwujud'!$Z120,IF('Aset Takberwujud'!$S120="Unit Produksi",99999,'Aset Takberwujud'!$Y120+'Aset Takberwujud'!$T120*12-1))),'Aset Takberwujud'!$AQ120/'Aset Takberwujud'!$AG120,0)))</f>
        <v/>
      </c>
      <c r="N325" s="22" t="str">
        <f>IF($B325="","",IF(N('Aset Takberwujud'!$AG120)=0,0,IF(AND((YEAR(N$211)*12+MONTH(N$211))&gt;='Aset Takberwujud'!$Y120,(YEAR(N$211)*12+MONTH(N$211))&lt;=MIN('Aset Takberwujud'!$Z120,IF('Aset Takberwujud'!$S120="Unit Produksi",99999,'Aset Takberwujud'!$Y120+'Aset Takberwujud'!$T120*12-1))),'Aset Takberwujud'!$AQ120/'Aset Takberwujud'!$AG120,0)))</f>
        <v/>
      </c>
      <c r="O325" s="22" t="str">
        <f>IF($B325="","",IF(N('Aset Takberwujud'!$AG120)=0,0,IF(AND((YEAR(O$211)*12+MONTH(O$211))&gt;='Aset Takberwujud'!$Y120,(YEAR(O$211)*12+MONTH(O$211))&lt;=MIN('Aset Takberwujud'!$Z120,IF('Aset Takberwujud'!$S120="Unit Produksi",99999,'Aset Takberwujud'!$Y120+'Aset Takberwujud'!$T120*12-1))),'Aset Takberwujud'!$AQ120/'Aset Takberwujud'!$AG120,0)))</f>
        <v/>
      </c>
      <c r="P325" s="22" t="str">
        <f>IF($B325="","",IF(N('Aset Takberwujud'!$AG120)=0,0,IF(AND((YEAR(P$211)*12+MONTH(P$211))&gt;='Aset Takberwujud'!$Y120,(YEAR(P$211)*12+MONTH(P$211))&lt;=MIN('Aset Takberwujud'!$Z120,IF('Aset Takberwujud'!$S120="Unit Produksi",99999,'Aset Takberwujud'!$Y120+'Aset Takberwujud'!$T120*12-1))),'Aset Takberwujud'!$AQ120/'Aset Takberwujud'!$AG120,0)))</f>
        <v/>
      </c>
      <c r="Q325" s="22" t="str">
        <f>IF($B325="","",SUM(E325:P325))</f>
        <v/>
      </c>
      <c r="R325" s="22" t="str">
        <f>IF($B325="","",'Aset Takberwujud'!AQ120)</f>
        <v/>
      </c>
      <c r="S325" s="22" t="str">
        <f>IF($B325="","",ROUND(Q325-R325,0))</f>
        <v/>
      </c>
    </row>
    <row r="326" spans="1:19" x14ac:dyDescent="0.25">
      <c r="A326" t="str">
        <f>IF('Aset Takberwujud'!$B121="","",'Aset Takberwujud'!A121)</f>
        <v/>
      </c>
      <c r="B326" t="str">
        <f>IF('Aset Takberwujud'!$B121="","",'Aset Takberwujud'!B121)</f>
        <v/>
      </c>
      <c r="C326" t="str">
        <f>IF('Aset Takberwujud'!$B121="","",'Aset Takberwujud'!C121)</f>
        <v/>
      </c>
      <c r="D326" t="str">
        <f>IF('Aset Takberwujud'!$B121="","",'Aset Takberwujud'!D121)</f>
        <v/>
      </c>
      <c r="E326" s="22" t="str">
        <f>IF($B326="","",IF(N('Aset Takberwujud'!$AG121)=0,0,IF(AND((YEAR(E$211)*12+MONTH(E$211))&gt;='Aset Takberwujud'!$Y121,(YEAR(E$211)*12+MONTH(E$211))&lt;=MIN('Aset Takberwujud'!$Z121,IF('Aset Takberwujud'!$S121="Unit Produksi",99999,'Aset Takberwujud'!$Y121+'Aset Takberwujud'!$T121*12-1))),'Aset Takberwujud'!$AQ121/'Aset Takberwujud'!$AG121,0)))</f>
        <v/>
      </c>
      <c r="F326" s="22" t="str">
        <f>IF($B326="","",IF(N('Aset Takberwujud'!$AG121)=0,0,IF(AND((YEAR(F$211)*12+MONTH(F$211))&gt;='Aset Takberwujud'!$Y121,(YEAR(F$211)*12+MONTH(F$211))&lt;=MIN('Aset Takberwujud'!$Z121,IF('Aset Takberwujud'!$S121="Unit Produksi",99999,'Aset Takberwujud'!$Y121+'Aset Takberwujud'!$T121*12-1))),'Aset Takberwujud'!$AQ121/'Aset Takberwujud'!$AG121,0)))</f>
        <v/>
      </c>
      <c r="G326" s="22" t="str">
        <f>IF($B326="","",IF(N('Aset Takberwujud'!$AG121)=0,0,IF(AND((YEAR(G$211)*12+MONTH(G$211))&gt;='Aset Takberwujud'!$Y121,(YEAR(G$211)*12+MONTH(G$211))&lt;=MIN('Aset Takberwujud'!$Z121,IF('Aset Takberwujud'!$S121="Unit Produksi",99999,'Aset Takberwujud'!$Y121+'Aset Takberwujud'!$T121*12-1))),'Aset Takberwujud'!$AQ121/'Aset Takberwujud'!$AG121,0)))</f>
        <v/>
      </c>
      <c r="H326" s="22" t="str">
        <f>IF($B326="","",IF(N('Aset Takberwujud'!$AG121)=0,0,IF(AND((YEAR(H$211)*12+MONTH(H$211))&gt;='Aset Takberwujud'!$Y121,(YEAR(H$211)*12+MONTH(H$211))&lt;=MIN('Aset Takberwujud'!$Z121,IF('Aset Takberwujud'!$S121="Unit Produksi",99999,'Aset Takberwujud'!$Y121+'Aset Takberwujud'!$T121*12-1))),'Aset Takberwujud'!$AQ121/'Aset Takberwujud'!$AG121,0)))</f>
        <v/>
      </c>
      <c r="I326" s="22" t="str">
        <f>IF($B326="","",IF(N('Aset Takberwujud'!$AG121)=0,0,IF(AND((YEAR(I$211)*12+MONTH(I$211))&gt;='Aset Takberwujud'!$Y121,(YEAR(I$211)*12+MONTH(I$211))&lt;=MIN('Aset Takberwujud'!$Z121,IF('Aset Takberwujud'!$S121="Unit Produksi",99999,'Aset Takberwujud'!$Y121+'Aset Takberwujud'!$T121*12-1))),'Aset Takberwujud'!$AQ121/'Aset Takberwujud'!$AG121,0)))</f>
        <v/>
      </c>
      <c r="J326" s="22" t="str">
        <f>IF($B326="","",IF(N('Aset Takberwujud'!$AG121)=0,0,IF(AND((YEAR(J$211)*12+MONTH(J$211))&gt;='Aset Takberwujud'!$Y121,(YEAR(J$211)*12+MONTH(J$211))&lt;=MIN('Aset Takberwujud'!$Z121,IF('Aset Takberwujud'!$S121="Unit Produksi",99999,'Aset Takberwujud'!$Y121+'Aset Takberwujud'!$T121*12-1))),'Aset Takberwujud'!$AQ121/'Aset Takberwujud'!$AG121,0)))</f>
        <v/>
      </c>
      <c r="K326" s="22" t="str">
        <f>IF($B326="","",IF(N('Aset Takberwujud'!$AG121)=0,0,IF(AND((YEAR(K$211)*12+MONTH(K$211))&gt;='Aset Takberwujud'!$Y121,(YEAR(K$211)*12+MONTH(K$211))&lt;=MIN('Aset Takberwujud'!$Z121,IF('Aset Takberwujud'!$S121="Unit Produksi",99999,'Aset Takberwujud'!$Y121+'Aset Takberwujud'!$T121*12-1))),'Aset Takberwujud'!$AQ121/'Aset Takberwujud'!$AG121,0)))</f>
        <v/>
      </c>
      <c r="L326" s="22" t="str">
        <f>IF($B326="","",IF(N('Aset Takberwujud'!$AG121)=0,0,IF(AND((YEAR(L$211)*12+MONTH(L$211))&gt;='Aset Takberwujud'!$Y121,(YEAR(L$211)*12+MONTH(L$211))&lt;=MIN('Aset Takberwujud'!$Z121,IF('Aset Takberwujud'!$S121="Unit Produksi",99999,'Aset Takberwujud'!$Y121+'Aset Takberwujud'!$T121*12-1))),'Aset Takberwujud'!$AQ121/'Aset Takberwujud'!$AG121,0)))</f>
        <v/>
      </c>
      <c r="M326" s="22" t="str">
        <f>IF($B326="","",IF(N('Aset Takberwujud'!$AG121)=0,0,IF(AND((YEAR(M$211)*12+MONTH(M$211))&gt;='Aset Takberwujud'!$Y121,(YEAR(M$211)*12+MONTH(M$211))&lt;=MIN('Aset Takberwujud'!$Z121,IF('Aset Takberwujud'!$S121="Unit Produksi",99999,'Aset Takberwujud'!$Y121+'Aset Takberwujud'!$T121*12-1))),'Aset Takberwujud'!$AQ121/'Aset Takberwujud'!$AG121,0)))</f>
        <v/>
      </c>
      <c r="N326" s="22" t="str">
        <f>IF($B326="","",IF(N('Aset Takberwujud'!$AG121)=0,0,IF(AND((YEAR(N$211)*12+MONTH(N$211))&gt;='Aset Takberwujud'!$Y121,(YEAR(N$211)*12+MONTH(N$211))&lt;=MIN('Aset Takberwujud'!$Z121,IF('Aset Takberwujud'!$S121="Unit Produksi",99999,'Aset Takberwujud'!$Y121+'Aset Takberwujud'!$T121*12-1))),'Aset Takberwujud'!$AQ121/'Aset Takberwujud'!$AG121,0)))</f>
        <v/>
      </c>
      <c r="O326" s="22" t="str">
        <f>IF($B326="","",IF(N('Aset Takberwujud'!$AG121)=0,0,IF(AND((YEAR(O$211)*12+MONTH(O$211))&gt;='Aset Takberwujud'!$Y121,(YEAR(O$211)*12+MONTH(O$211))&lt;=MIN('Aset Takberwujud'!$Z121,IF('Aset Takberwujud'!$S121="Unit Produksi",99999,'Aset Takberwujud'!$Y121+'Aset Takberwujud'!$T121*12-1))),'Aset Takberwujud'!$AQ121/'Aset Takberwujud'!$AG121,0)))</f>
        <v/>
      </c>
      <c r="P326" s="22" t="str">
        <f>IF($B326="","",IF(N('Aset Takberwujud'!$AG121)=0,0,IF(AND((YEAR(P$211)*12+MONTH(P$211))&gt;='Aset Takberwujud'!$Y121,(YEAR(P$211)*12+MONTH(P$211))&lt;=MIN('Aset Takberwujud'!$Z121,IF('Aset Takberwujud'!$S121="Unit Produksi",99999,'Aset Takberwujud'!$Y121+'Aset Takberwujud'!$T121*12-1))),'Aset Takberwujud'!$AQ121/'Aset Takberwujud'!$AG121,0)))</f>
        <v/>
      </c>
      <c r="Q326" s="22" t="str">
        <f>IF($B326="","",SUM(E326:P326))</f>
        <v/>
      </c>
      <c r="R326" s="22" t="str">
        <f>IF($B326="","",'Aset Takberwujud'!AQ121)</f>
        <v/>
      </c>
      <c r="S326" s="22" t="str">
        <f>IF($B326="","",ROUND(Q326-R326,0))</f>
        <v/>
      </c>
    </row>
    <row r="327" spans="1:19" x14ac:dyDescent="0.25">
      <c r="A327" t="str">
        <f>IF('Aset Takberwujud'!$B122="","",'Aset Takberwujud'!A122)</f>
        <v/>
      </c>
      <c r="B327" t="str">
        <f>IF('Aset Takberwujud'!$B122="","",'Aset Takberwujud'!B122)</f>
        <v/>
      </c>
      <c r="C327" t="str">
        <f>IF('Aset Takberwujud'!$B122="","",'Aset Takberwujud'!C122)</f>
        <v/>
      </c>
      <c r="D327" t="str">
        <f>IF('Aset Takberwujud'!$B122="","",'Aset Takberwujud'!D122)</f>
        <v/>
      </c>
      <c r="E327" s="22" t="str">
        <f>IF($B327="","",IF(N('Aset Takberwujud'!$AG122)=0,0,IF(AND((YEAR(E$211)*12+MONTH(E$211))&gt;='Aset Takberwujud'!$Y122,(YEAR(E$211)*12+MONTH(E$211))&lt;=MIN('Aset Takberwujud'!$Z122,IF('Aset Takberwujud'!$S122="Unit Produksi",99999,'Aset Takberwujud'!$Y122+'Aset Takberwujud'!$T122*12-1))),'Aset Takberwujud'!$AQ122/'Aset Takberwujud'!$AG122,0)))</f>
        <v/>
      </c>
      <c r="F327" s="22" t="str">
        <f>IF($B327="","",IF(N('Aset Takberwujud'!$AG122)=0,0,IF(AND((YEAR(F$211)*12+MONTH(F$211))&gt;='Aset Takberwujud'!$Y122,(YEAR(F$211)*12+MONTH(F$211))&lt;=MIN('Aset Takberwujud'!$Z122,IF('Aset Takberwujud'!$S122="Unit Produksi",99999,'Aset Takberwujud'!$Y122+'Aset Takberwujud'!$T122*12-1))),'Aset Takberwujud'!$AQ122/'Aset Takberwujud'!$AG122,0)))</f>
        <v/>
      </c>
      <c r="G327" s="22" t="str">
        <f>IF($B327="","",IF(N('Aset Takberwujud'!$AG122)=0,0,IF(AND((YEAR(G$211)*12+MONTH(G$211))&gt;='Aset Takberwujud'!$Y122,(YEAR(G$211)*12+MONTH(G$211))&lt;=MIN('Aset Takberwujud'!$Z122,IF('Aset Takberwujud'!$S122="Unit Produksi",99999,'Aset Takberwujud'!$Y122+'Aset Takberwujud'!$T122*12-1))),'Aset Takberwujud'!$AQ122/'Aset Takberwujud'!$AG122,0)))</f>
        <v/>
      </c>
      <c r="H327" s="22" t="str">
        <f>IF($B327="","",IF(N('Aset Takberwujud'!$AG122)=0,0,IF(AND((YEAR(H$211)*12+MONTH(H$211))&gt;='Aset Takberwujud'!$Y122,(YEAR(H$211)*12+MONTH(H$211))&lt;=MIN('Aset Takberwujud'!$Z122,IF('Aset Takberwujud'!$S122="Unit Produksi",99999,'Aset Takberwujud'!$Y122+'Aset Takberwujud'!$T122*12-1))),'Aset Takberwujud'!$AQ122/'Aset Takberwujud'!$AG122,0)))</f>
        <v/>
      </c>
      <c r="I327" s="22" t="str">
        <f>IF($B327="","",IF(N('Aset Takberwujud'!$AG122)=0,0,IF(AND((YEAR(I$211)*12+MONTH(I$211))&gt;='Aset Takberwujud'!$Y122,(YEAR(I$211)*12+MONTH(I$211))&lt;=MIN('Aset Takberwujud'!$Z122,IF('Aset Takberwujud'!$S122="Unit Produksi",99999,'Aset Takberwujud'!$Y122+'Aset Takberwujud'!$T122*12-1))),'Aset Takberwujud'!$AQ122/'Aset Takberwujud'!$AG122,0)))</f>
        <v/>
      </c>
      <c r="J327" s="22" t="str">
        <f>IF($B327="","",IF(N('Aset Takberwujud'!$AG122)=0,0,IF(AND((YEAR(J$211)*12+MONTH(J$211))&gt;='Aset Takberwujud'!$Y122,(YEAR(J$211)*12+MONTH(J$211))&lt;=MIN('Aset Takberwujud'!$Z122,IF('Aset Takberwujud'!$S122="Unit Produksi",99999,'Aset Takberwujud'!$Y122+'Aset Takberwujud'!$T122*12-1))),'Aset Takberwujud'!$AQ122/'Aset Takberwujud'!$AG122,0)))</f>
        <v/>
      </c>
      <c r="K327" s="22" t="str">
        <f>IF($B327="","",IF(N('Aset Takberwujud'!$AG122)=0,0,IF(AND((YEAR(K$211)*12+MONTH(K$211))&gt;='Aset Takberwujud'!$Y122,(YEAR(K$211)*12+MONTH(K$211))&lt;=MIN('Aset Takberwujud'!$Z122,IF('Aset Takberwujud'!$S122="Unit Produksi",99999,'Aset Takberwujud'!$Y122+'Aset Takberwujud'!$T122*12-1))),'Aset Takberwujud'!$AQ122/'Aset Takberwujud'!$AG122,0)))</f>
        <v/>
      </c>
      <c r="L327" s="22" t="str">
        <f>IF($B327="","",IF(N('Aset Takberwujud'!$AG122)=0,0,IF(AND((YEAR(L$211)*12+MONTH(L$211))&gt;='Aset Takberwujud'!$Y122,(YEAR(L$211)*12+MONTH(L$211))&lt;=MIN('Aset Takberwujud'!$Z122,IF('Aset Takberwujud'!$S122="Unit Produksi",99999,'Aset Takberwujud'!$Y122+'Aset Takberwujud'!$T122*12-1))),'Aset Takberwujud'!$AQ122/'Aset Takberwujud'!$AG122,0)))</f>
        <v/>
      </c>
      <c r="M327" s="22" t="str">
        <f>IF($B327="","",IF(N('Aset Takberwujud'!$AG122)=0,0,IF(AND((YEAR(M$211)*12+MONTH(M$211))&gt;='Aset Takberwujud'!$Y122,(YEAR(M$211)*12+MONTH(M$211))&lt;=MIN('Aset Takberwujud'!$Z122,IF('Aset Takberwujud'!$S122="Unit Produksi",99999,'Aset Takberwujud'!$Y122+'Aset Takberwujud'!$T122*12-1))),'Aset Takberwujud'!$AQ122/'Aset Takberwujud'!$AG122,0)))</f>
        <v/>
      </c>
      <c r="N327" s="22" t="str">
        <f>IF($B327="","",IF(N('Aset Takberwujud'!$AG122)=0,0,IF(AND((YEAR(N$211)*12+MONTH(N$211))&gt;='Aset Takberwujud'!$Y122,(YEAR(N$211)*12+MONTH(N$211))&lt;=MIN('Aset Takberwujud'!$Z122,IF('Aset Takberwujud'!$S122="Unit Produksi",99999,'Aset Takberwujud'!$Y122+'Aset Takberwujud'!$T122*12-1))),'Aset Takberwujud'!$AQ122/'Aset Takberwujud'!$AG122,0)))</f>
        <v/>
      </c>
      <c r="O327" s="22" t="str">
        <f>IF($B327="","",IF(N('Aset Takberwujud'!$AG122)=0,0,IF(AND((YEAR(O$211)*12+MONTH(O$211))&gt;='Aset Takberwujud'!$Y122,(YEAR(O$211)*12+MONTH(O$211))&lt;=MIN('Aset Takberwujud'!$Z122,IF('Aset Takberwujud'!$S122="Unit Produksi",99999,'Aset Takberwujud'!$Y122+'Aset Takberwujud'!$T122*12-1))),'Aset Takberwujud'!$AQ122/'Aset Takberwujud'!$AG122,0)))</f>
        <v/>
      </c>
      <c r="P327" s="22" t="str">
        <f>IF($B327="","",IF(N('Aset Takberwujud'!$AG122)=0,0,IF(AND((YEAR(P$211)*12+MONTH(P$211))&gt;='Aset Takberwujud'!$Y122,(YEAR(P$211)*12+MONTH(P$211))&lt;=MIN('Aset Takberwujud'!$Z122,IF('Aset Takberwujud'!$S122="Unit Produksi",99999,'Aset Takberwujud'!$Y122+'Aset Takberwujud'!$T122*12-1))),'Aset Takberwujud'!$AQ122/'Aset Takberwujud'!$AG122,0)))</f>
        <v/>
      </c>
      <c r="Q327" s="22" t="str">
        <f>IF($B327="","",SUM(E327:P327))</f>
        <v/>
      </c>
      <c r="R327" s="22" t="str">
        <f>IF($B327="","",'Aset Takberwujud'!AQ122)</f>
        <v/>
      </c>
      <c r="S327" s="22" t="str">
        <f>IF($B327="","",ROUND(Q327-R327,0))</f>
        <v/>
      </c>
    </row>
    <row r="328" spans="1:19" x14ac:dyDescent="0.25">
      <c r="A328" t="str">
        <f>IF('Aset Takberwujud'!$B123="","",'Aset Takberwujud'!A123)</f>
        <v/>
      </c>
      <c r="B328" t="str">
        <f>IF('Aset Takberwujud'!$B123="","",'Aset Takberwujud'!B123)</f>
        <v/>
      </c>
      <c r="C328" t="str">
        <f>IF('Aset Takberwujud'!$B123="","",'Aset Takberwujud'!C123)</f>
        <v/>
      </c>
      <c r="D328" t="str">
        <f>IF('Aset Takberwujud'!$B123="","",'Aset Takberwujud'!D123)</f>
        <v/>
      </c>
      <c r="E328" s="22" t="str">
        <f>IF($B328="","",IF(N('Aset Takberwujud'!$AG123)=0,0,IF(AND((YEAR(E$211)*12+MONTH(E$211))&gt;='Aset Takberwujud'!$Y123,(YEAR(E$211)*12+MONTH(E$211))&lt;=MIN('Aset Takberwujud'!$Z123,IF('Aset Takberwujud'!$S123="Unit Produksi",99999,'Aset Takberwujud'!$Y123+'Aset Takberwujud'!$T123*12-1))),'Aset Takberwujud'!$AQ123/'Aset Takberwujud'!$AG123,0)))</f>
        <v/>
      </c>
      <c r="F328" s="22" t="str">
        <f>IF($B328="","",IF(N('Aset Takberwujud'!$AG123)=0,0,IF(AND((YEAR(F$211)*12+MONTH(F$211))&gt;='Aset Takberwujud'!$Y123,(YEAR(F$211)*12+MONTH(F$211))&lt;=MIN('Aset Takberwujud'!$Z123,IF('Aset Takberwujud'!$S123="Unit Produksi",99999,'Aset Takberwujud'!$Y123+'Aset Takberwujud'!$T123*12-1))),'Aset Takberwujud'!$AQ123/'Aset Takberwujud'!$AG123,0)))</f>
        <v/>
      </c>
      <c r="G328" s="22" t="str">
        <f>IF($B328="","",IF(N('Aset Takberwujud'!$AG123)=0,0,IF(AND((YEAR(G$211)*12+MONTH(G$211))&gt;='Aset Takberwujud'!$Y123,(YEAR(G$211)*12+MONTH(G$211))&lt;=MIN('Aset Takberwujud'!$Z123,IF('Aset Takberwujud'!$S123="Unit Produksi",99999,'Aset Takberwujud'!$Y123+'Aset Takberwujud'!$T123*12-1))),'Aset Takberwujud'!$AQ123/'Aset Takberwujud'!$AG123,0)))</f>
        <v/>
      </c>
      <c r="H328" s="22" t="str">
        <f>IF($B328="","",IF(N('Aset Takberwujud'!$AG123)=0,0,IF(AND((YEAR(H$211)*12+MONTH(H$211))&gt;='Aset Takberwujud'!$Y123,(YEAR(H$211)*12+MONTH(H$211))&lt;=MIN('Aset Takberwujud'!$Z123,IF('Aset Takberwujud'!$S123="Unit Produksi",99999,'Aset Takberwujud'!$Y123+'Aset Takberwujud'!$T123*12-1))),'Aset Takberwujud'!$AQ123/'Aset Takberwujud'!$AG123,0)))</f>
        <v/>
      </c>
      <c r="I328" s="22" t="str">
        <f>IF($B328="","",IF(N('Aset Takberwujud'!$AG123)=0,0,IF(AND((YEAR(I$211)*12+MONTH(I$211))&gt;='Aset Takberwujud'!$Y123,(YEAR(I$211)*12+MONTH(I$211))&lt;=MIN('Aset Takberwujud'!$Z123,IF('Aset Takberwujud'!$S123="Unit Produksi",99999,'Aset Takberwujud'!$Y123+'Aset Takberwujud'!$T123*12-1))),'Aset Takberwujud'!$AQ123/'Aset Takberwujud'!$AG123,0)))</f>
        <v/>
      </c>
      <c r="J328" s="22" t="str">
        <f>IF($B328="","",IF(N('Aset Takberwujud'!$AG123)=0,0,IF(AND((YEAR(J$211)*12+MONTH(J$211))&gt;='Aset Takberwujud'!$Y123,(YEAR(J$211)*12+MONTH(J$211))&lt;=MIN('Aset Takberwujud'!$Z123,IF('Aset Takberwujud'!$S123="Unit Produksi",99999,'Aset Takberwujud'!$Y123+'Aset Takberwujud'!$T123*12-1))),'Aset Takberwujud'!$AQ123/'Aset Takberwujud'!$AG123,0)))</f>
        <v/>
      </c>
      <c r="K328" s="22" t="str">
        <f>IF($B328="","",IF(N('Aset Takberwujud'!$AG123)=0,0,IF(AND((YEAR(K$211)*12+MONTH(K$211))&gt;='Aset Takberwujud'!$Y123,(YEAR(K$211)*12+MONTH(K$211))&lt;=MIN('Aset Takberwujud'!$Z123,IF('Aset Takberwujud'!$S123="Unit Produksi",99999,'Aset Takberwujud'!$Y123+'Aset Takberwujud'!$T123*12-1))),'Aset Takberwujud'!$AQ123/'Aset Takberwujud'!$AG123,0)))</f>
        <v/>
      </c>
      <c r="L328" s="22" t="str">
        <f>IF($B328="","",IF(N('Aset Takberwujud'!$AG123)=0,0,IF(AND((YEAR(L$211)*12+MONTH(L$211))&gt;='Aset Takberwujud'!$Y123,(YEAR(L$211)*12+MONTH(L$211))&lt;=MIN('Aset Takberwujud'!$Z123,IF('Aset Takberwujud'!$S123="Unit Produksi",99999,'Aset Takberwujud'!$Y123+'Aset Takberwujud'!$T123*12-1))),'Aset Takberwujud'!$AQ123/'Aset Takberwujud'!$AG123,0)))</f>
        <v/>
      </c>
      <c r="M328" s="22" t="str">
        <f>IF($B328="","",IF(N('Aset Takberwujud'!$AG123)=0,0,IF(AND((YEAR(M$211)*12+MONTH(M$211))&gt;='Aset Takberwujud'!$Y123,(YEAR(M$211)*12+MONTH(M$211))&lt;=MIN('Aset Takberwujud'!$Z123,IF('Aset Takberwujud'!$S123="Unit Produksi",99999,'Aset Takberwujud'!$Y123+'Aset Takberwujud'!$T123*12-1))),'Aset Takberwujud'!$AQ123/'Aset Takberwujud'!$AG123,0)))</f>
        <v/>
      </c>
      <c r="N328" s="22" t="str">
        <f>IF($B328="","",IF(N('Aset Takberwujud'!$AG123)=0,0,IF(AND((YEAR(N$211)*12+MONTH(N$211))&gt;='Aset Takberwujud'!$Y123,(YEAR(N$211)*12+MONTH(N$211))&lt;=MIN('Aset Takberwujud'!$Z123,IF('Aset Takberwujud'!$S123="Unit Produksi",99999,'Aset Takberwujud'!$Y123+'Aset Takberwujud'!$T123*12-1))),'Aset Takberwujud'!$AQ123/'Aset Takberwujud'!$AG123,0)))</f>
        <v/>
      </c>
      <c r="O328" s="22" t="str">
        <f>IF($B328="","",IF(N('Aset Takberwujud'!$AG123)=0,0,IF(AND((YEAR(O$211)*12+MONTH(O$211))&gt;='Aset Takberwujud'!$Y123,(YEAR(O$211)*12+MONTH(O$211))&lt;=MIN('Aset Takberwujud'!$Z123,IF('Aset Takberwujud'!$S123="Unit Produksi",99999,'Aset Takberwujud'!$Y123+'Aset Takberwujud'!$T123*12-1))),'Aset Takberwujud'!$AQ123/'Aset Takberwujud'!$AG123,0)))</f>
        <v/>
      </c>
      <c r="P328" s="22" t="str">
        <f>IF($B328="","",IF(N('Aset Takberwujud'!$AG123)=0,0,IF(AND((YEAR(P$211)*12+MONTH(P$211))&gt;='Aset Takberwujud'!$Y123,(YEAR(P$211)*12+MONTH(P$211))&lt;=MIN('Aset Takberwujud'!$Z123,IF('Aset Takberwujud'!$S123="Unit Produksi",99999,'Aset Takberwujud'!$Y123+'Aset Takberwujud'!$T123*12-1))),'Aset Takberwujud'!$AQ123/'Aset Takberwujud'!$AG123,0)))</f>
        <v/>
      </c>
      <c r="Q328" s="22" t="str">
        <f>IF($B328="","",SUM(E328:P328))</f>
        <v/>
      </c>
      <c r="R328" s="22" t="str">
        <f>IF($B328="","",'Aset Takberwujud'!AQ123)</f>
        <v/>
      </c>
      <c r="S328" s="22" t="str">
        <f>IF($B328="","",ROUND(Q328-R328,0))</f>
        <v/>
      </c>
    </row>
    <row r="329" spans="1:19" x14ac:dyDescent="0.25">
      <c r="A329" t="str">
        <f>IF('Aset Takberwujud'!$B124="","",'Aset Takberwujud'!A124)</f>
        <v/>
      </c>
      <c r="B329" t="str">
        <f>IF('Aset Takberwujud'!$B124="","",'Aset Takberwujud'!B124)</f>
        <v/>
      </c>
      <c r="C329" t="str">
        <f>IF('Aset Takberwujud'!$B124="","",'Aset Takberwujud'!C124)</f>
        <v/>
      </c>
      <c r="D329" t="str">
        <f>IF('Aset Takberwujud'!$B124="","",'Aset Takberwujud'!D124)</f>
        <v/>
      </c>
      <c r="E329" s="22" t="str">
        <f>IF($B329="","",IF(N('Aset Takberwujud'!$AG124)=0,0,IF(AND((YEAR(E$211)*12+MONTH(E$211))&gt;='Aset Takberwujud'!$Y124,(YEAR(E$211)*12+MONTH(E$211))&lt;=MIN('Aset Takberwujud'!$Z124,IF('Aset Takberwujud'!$S124="Unit Produksi",99999,'Aset Takberwujud'!$Y124+'Aset Takberwujud'!$T124*12-1))),'Aset Takberwujud'!$AQ124/'Aset Takberwujud'!$AG124,0)))</f>
        <v/>
      </c>
      <c r="F329" s="22" t="str">
        <f>IF($B329="","",IF(N('Aset Takberwujud'!$AG124)=0,0,IF(AND((YEAR(F$211)*12+MONTH(F$211))&gt;='Aset Takberwujud'!$Y124,(YEAR(F$211)*12+MONTH(F$211))&lt;=MIN('Aset Takberwujud'!$Z124,IF('Aset Takberwujud'!$S124="Unit Produksi",99999,'Aset Takberwujud'!$Y124+'Aset Takberwujud'!$T124*12-1))),'Aset Takberwujud'!$AQ124/'Aset Takberwujud'!$AG124,0)))</f>
        <v/>
      </c>
      <c r="G329" s="22" t="str">
        <f>IF($B329="","",IF(N('Aset Takberwujud'!$AG124)=0,0,IF(AND((YEAR(G$211)*12+MONTH(G$211))&gt;='Aset Takberwujud'!$Y124,(YEAR(G$211)*12+MONTH(G$211))&lt;=MIN('Aset Takberwujud'!$Z124,IF('Aset Takberwujud'!$S124="Unit Produksi",99999,'Aset Takberwujud'!$Y124+'Aset Takberwujud'!$T124*12-1))),'Aset Takberwujud'!$AQ124/'Aset Takberwujud'!$AG124,0)))</f>
        <v/>
      </c>
      <c r="H329" s="22" t="str">
        <f>IF($B329="","",IF(N('Aset Takberwujud'!$AG124)=0,0,IF(AND((YEAR(H$211)*12+MONTH(H$211))&gt;='Aset Takberwujud'!$Y124,(YEAR(H$211)*12+MONTH(H$211))&lt;=MIN('Aset Takberwujud'!$Z124,IF('Aset Takberwujud'!$S124="Unit Produksi",99999,'Aset Takberwujud'!$Y124+'Aset Takberwujud'!$T124*12-1))),'Aset Takberwujud'!$AQ124/'Aset Takberwujud'!$AG124,0)))</f>
        <v/>
      </c>
      <c r="I329" s="22" t="str">
        <f>IF($B329="","",IF(N('Aset Takberwujud'!$AG124)=0,0,IF(AND((YEAR(I$211)*12+MONTH(I$211))&gt;='Aset Takberwujud'!$Y124,(YEAR(I$211)*12+MONTH(I$211))&lt;=MIN('Aset Takberwujud'!$Z124,IF('Aset Takberwujud'!$S124="Unit Produksi",99999,'Aset Takberwujud'!$Y124+'Aset Takberwujud'!$T124*12-1))),'Aset Takberwujud'!$AQ124/'Aset Takberwujud'!$AG124,0)))</f>
        <v/>
      </c>
      <c r="J329" s="22" t="str">
        <f>IF($B329="","",IF(N('Aset Takberwujud'!$AG124)=0,0,IF(AND((YEAR(J$211)*12+MONTH(J$211))&gt;='Aset Takberwujud'!$Y124,(YEAR(J$211)*12+MONTH(J$211))&lt;=MIN('Aset Takberwujud'!$Z124,IF('Aset Takberwujud'!$S124="Unit Produksi",99999,'Aset Takberwujud'!$Y124+'Aset Takberwujud'!$T124*12-1))),'Aset Takberwujud'!$AQ124/'Aset Takberwujud'!$AG124,0)))</f>
        <v/>
      </c>
      <c r="K329" s="22" t="str">
        <f>IF($B329="","",IF(N('Aset Takberwujud'!$AG124)=0,0,IF(AND((YEAR(K$211)*12+MONTH(K$211))&gt;='Aset Takberwujud'!$Y124,(YEAR(K$211)*12+MONTH(K$211))&lt;=MIN('Aset Takberwujud'!$Z124,IF('Aset Takberwujud'!$S124="Unit Produksi",99999,'Aset Takberwujud'!$Y124+'Aset Takberwujud'!$T124*12-1))),'Aset Takberwujud'!$AQ124/'Aset Takberwujud'!$AG124,0)))</f>
        <v/>
      </c>
      <c r="L329" s="22" t="str">
        <f>IF($B329="","",IF(N('Aset Takberwujud'!$AG124)=0,0,IF(AND((YEAR(L$211)*12+MONTH(L$211))&gt;='Aset Takberwujud'!$Y124,(YEAR(L$211)*12+MONTH(L$211))&lt;=MIN('Aset Takberwujud'!$Z124,IF('Aset Takberwujud'!$S124="Unit Produksi",99999,'Aset Takberwujud'!$Y124+'Aset Takberwujud'!$T124*12-1))),'Aset Takberwujud'!$AQ124/'Aset Takberwujud'!$AG124,0)))</f>
        <v/>
      </c>
      <c r="M329" s="22" t="str">
        <f>IF($B329="","",IF(N('Aset Takberwujud'!$AG124)=0,0,IF(AND((YEAR(M$211)*12+MONTH(M$211))&gt;='Aset Takberwujud'!$Y124,(YEAR(M$211)*12+MONTH(M$211))&lt;=MIN('Aset Takberwujud'!$Z124,IF('Aset Takberwujud'!$S124="Unit Produksi",99999,'Aset Takberwujud'!$Y124+'Aset Takberwujud'!$T124*12-1))),'Aset Takberwujud'!$AQ124/'Aset Takberwujud'!$AG124,0)))</f>
        <v/>
      </c>
      <c r="N329" s="22" t="str">
        <f>IF($B329="","",IF(N('Aset Takberwujud'!$AG124)=0,0,IF(AND((YEAR(N$211)*12+MONTH(N$211))&gt;='Aset Takberwujud'!$Y124,(YEAR(N$211)*12+MONTH(N$211))&lt;=MIN('Aset Takberwujud'!$Z124,IF('Aset Takberwujud'!$S124="Unit Produksi",99999,'Aset Takberwujud'!$Y124+'Aset Takberwujud'!$T124*12-1))),'Aset Takberwujud'!$AQ124/'Aset Takberwujud'!$AG124,0)))</f>
        <v/>
      </c>
      <c r="O329" s="22" t="str">
        <f>IF($B329="","",IF(N('Aset Takberwujud'!$AG124)=0,0,IF(AND((YEAR(O$211)*12+MONTH(O$211))&gt;='Aset Takberwujud'!$Y124,(YEAR(O$211)*12+MONTH(O$211))&lt;=MIN('Aset Takberwujud'!$Z124,IF('Aset Takberwujud'!$S124="Unit Produksi",99999,'Aset Takberwujud'!$Y124+'Aset Takberwujud'!$T124*12-1))),'Aset Takberwujud'!$AQ124/'Aset Takberwujud'!$AG124,0)))</f>
        <v/>
      </c>
      <c r="P329" s="22" t="str">
        <f>IF($B329="","",IF(N('Aset Takberwujud'!$AG124)=0,0,IF(AND((YEAR(P$211)*12+MONTH(P$211))&gt;='Aset Takberwujud'!$Y124,(YEAR(P$211)*12+MONTH(P$211))&lt;=MIN('Aset Takberwujud'!$Z124,IF('Aset Takberwujud'!$S124="Unit Produksi",99999,'Aset Takberwujud'!$Y124+'Aset Takberwujud'!$T124*12-1))),'Aset Takberwujud'!$AQ124/'Aset Takberwujud'!$AG124,0)))</f>
        <v/>
      </c>
      <c r="Q329" s="22" t="str">
        <f>IF($B329="","",SUM(E329:P329))</f>
        <v/>
      </c>
      <c r="R329" s="22" t="str">
        <f>IF($B329="","",'Aset Takberwujud'!AQ124)</f>
        <v/>
      </c>
      <c r="S329" s="22" t="str">
        <f>IF($B329="","",ROUND(Q329-R329,0))</f>
        <v/>
      </c>
    </row>
    <row r="330" spans="1:19" x14ac:dyDescent="0.25">
      <c r="A330" t="str">
        <f>IF('Aset Takberwujud'!$B125="","",'Aset Takberwujud'!A125)</f>
        <v/>
      </c>
      <c r="B330" t="str">
        <f>IF('Aset Takberwujud'!$B125="","",'Aset Takberwujud'!B125)</f>
        <v/>
      </c>
      <c r="C330" t="str">
        <f>IF('Aset Takberwujud'!$B125="","",'Aset Takberwujud'!C125)</f>
        <v/>
      </c>
      <c r="D330" t="str">
        <f>IF('Aset Takberwujud'!$B125="","",'Aset Takberwujud'!D125)</f>
        <v/>
      </c>
      <c r="E330" s="22" t="str">
        <f>IF($B330="","",IF(N('Aset Takberwujud'!$AG125)=0,0,IF(AND((YEAR(E$211)*12+MONTH(E$211))&gt;='Aset Takberwujud'!$Y125,(YEAR(E$211)*12+MONTH(E$211))&lt;=MIN('Aset Takberwujud'!$Z125,IF('Aset Takberwujud'!$S125="Unit Produksi",99999,'Aset Takberwujud'!$Y125+'Aset Takberwujud'!$T125*12-1))),'Aset Takberwujud'!$AQ125/'Aset Takberwujud'!$AG125,0)))</f>
        <v/>
      </c>
      <c r="F330" s="22" t="str">
        <f>IF($B330="","",IF(N('Aset Takberwujud'!$AG125)=0,0,IF(AND((YEAR(F$211)*12+MONTH(F$211))&gt;='Aset Takberwujud'!$Y125,(YEAR(F$211)*12+MONTH(F$211))&lt;=MIN('Aset Takberwujud'!$Z125,IF('Aset Takberwujud'!$S125="Unit Produksi",99999,'Aset Takberwujud'!$Y125+'Aset Takberwujud'!$T125*12-1))),'Aset Takberwujud'!$AQ125/'Aset Takberwujud'!$AG125,0)))</f>
        <v/>
      </c>
      <c r="G330" s="22" t="str">
        <f>IF($B330="","",IF(N('Aset Takberwujud'!$AG125)=0,0,IF(AND((YEAR(G$211)*12+MONTH(G$211))&gt;='Aset Takberwujud'!$Y125,(YEAR(G$211)*12+MONTH(G$211))&lt;=MIN('Aset Takberwujud'!$Z125,IF('Aset Takberwujud'!$S125="Unit Produksi",99999,'Aset Takberwujud'!$Y125+'Aset Takberwujud'!$T125*12-1))),'Aset Takberwujud'!$AQ125/'Aset Takberwujud'!$AG125,0)))</f>
        <v/>
      </c>
      <c r="H330" s="22" t="str">
        <f>IF($B330="","",IF(N('Aset Takberwujud'!$AG125)=0,0,IF(AND((YEAR(H$211)*12+MONTH(H$211))&gt;='Aset Takberwujud'!$Y125,(YEAR(H$211)*12+MONTH(H$211))&lt;=MIN('Aset Takberwujud'!$Z125,IF('Aset Takberwujud'!$S125="Unit Produksi",99999,'Aset Takberwujud'!$Y125+'Aset Takberwujud'!$T125*12-1))),'Aset Takberwujud'!$AQ125/'Aset Takberwujud'!$AG125,0)))</f>
        <v/>
      </c>
      <c r="I330" s="22" t="str">
        <f>IF($B330="","",IF(N('Aset Takberwujud'!$AG125)=0,0,IF(AND((YEAR(I$211)*12+MONTH(I$211))&gt;='Aset Takberwujud'!$Y125,(YEAR(I$211)*12+MONTH(I$211))&lt;=MIN('Aset Takberwujud'!$Z125,IF('Aset Takberwujud'!$S125="Unit Produksi",99999,'Aset Takberwujud'!$Y125+'Aset Takberwujud'!$T125*12-1))),'Aset Takberwujud'!$AQ125/'Aset Takberwujud'!$AG125,0)))</f>
        <v/>
      </c>
      <c r="J330" s="22" t="str">
        <f>IF($B330="","",IF(N('Aset Takberwujud'!$AG125)=0,0,IF(AND((YEAR(J$211)*12+MONTH(J$211))&gt;='Aset Takberwujud'!$Y125,(YEAR(J$211)*12+MONTH(J$211))&lt;=MIN('Aset Takberwujud'!$Z125,IF('Aset Takberwujud'!$S125="Unit Produksi",99999,'Aset Takberwujud'!$Y125+'Aset Takberwujud'!$T125*12-1))),'Aset Takberwujud'!$AQ125/'Aset Takberwujud'!$AG125,0)))</f>
        <v/>
      </c>
      <c r="K330" s="22" t="str">
        <f>IF($B330="","",IF(N('Aset Takberwujud'!$AG125)=0,0,IF(AND((YEAR(K$211)*12+MONTH(K$211))&gt;='Aset Takberwujud'!$Y125,(YEAR(K$211)*12+MONTH(K$211))&lt;=MIN('Aset Takberwujud'!$Z125,IF('Aset Takberwujud'!$S125="Unit Produksi",99999,'Aset Takberwujud'!$Y125+'Aset Takberwujud'!$T125*12-1))),'Aset Takberwujud'!$AQ125/'Aset Takberwujud'!$AG125,0)))</f>
        <v/>
      </c>
      <c r="L330" s="22" t="str">
        <f>IF($B330="","",IF(N('Aset Takberwujud'!$AG125)=0,0,IF(AND((YEAR(L$211)*12+MONTH(L$211))&gt;='Aset Takberwujud'!$Y125,(YEAR(L$211)*12+MONTH(L$211))&lt;=MIN('Aset Takberwujud'!$Z125,IF('Aset Takberwujud'!$S125="Unit Produksi",99999,'Aset Takberwujud'!$Y125+'Aset Takberwujud'!$T125*12-1))),'Aset Takberwujud'!$AQ125/'Aset Takberwujud'!$AG125,0)))</f>
        <v/>
      </c>
      <c r="M330" s="22" t="str">
        <f>IF($B330="","",IF(N('Aset Takberwujud'!$AG125)=0,0,IF(AND((YEAR(M$211)*12+MONTH(M$211))&gt;='Aset Takberwujud'!$Y125,(YEAR(M$211)*12+MONTH(M$211))&lt;=MIN('Aset Takberwujud'!$Z125,IF('Aset Takberwujud'!$S125="Unit Produksi",99999,'Aset Takberwujud'!$Y125+'Aset Takberwujud'!$T125*12-1))),'Aset Takberwujud'!$AQ125/'Aset Takberwujud'!$AG125,0)))</f>
        <v/>
      </c>
      <c r="N330" s="22" t="str">
        <f>IF($B330="","",IF(N('Aset Takberwujud'!$AG125)=0,0,IF(AND((YEAR(N$211)*12+MONTH(N$211))&gt;='Aset Takberwujud'!$Y125,(YEAR(N$211)*12+MONTH(N$211))&lt;=MIN('Aset Takberwujud'!$Z125,IF('Aset Takberwujud'!$S125="Unit Produksi",99999,'Aset Takberwujud'!$Y125+'Aset Takberwujud'!$T125*12-1))),'Aset Takberwujud'!$AQ125/'Aset Takberwujud'!$AG125,0)))</f>
        <v/>
      </c>
      <c r="O330" s="22" t="str">
        <f>IF($B330="","",IF(N('Aset Takberwujud'!$AG125)=0,0,IF(AND((YEAR(O$211)*12+MONTH(O$211))&gt;='Aset Takberwujud'!$Y125,(YEAR(O$211)*12+MONTH(O$211))&lt;=MIN('Aset Takberwujud'!$Z125,IF('Aset Takberwujud'!$S125="Unit Produksi",99999,'Aset Takberwujud'!$Y125+'Aset Takberwujud'!$T125*12-1))),'Aset Takberwujud'!$AQ125/'Aset Takberwujud'!$AG125,0)))</f>
        <v/>
      </c>
      <c r="P330" s="22" t="str">
        <f>IF($B330="","",IF(N('Aset Takberwujud'!$AG125)=0,0,IF(AND((YEAR(P$211)*12+MONTH(P$211))&gt;='Aset Takberwujud'!$Y125,(YEAR(P$211)*12+MONTH(P$211))&lt;=MIN('Aset Takberwujud'!$Z125,IF('Aset Takberwujud'!$S125="Unit Produksi",99999,'Aset Takberwujud'!$Y125+'Aset Takberwujud'!$T125*12-1))),'Aset Takberwujud'!$AQ125/'Aset Takberwujud'!$AG125,0)))</f>
        <v/>
      </c>
      <c r="Q330" s="22" t="str">
        <f>IF($B330="","",SUM(E330:P330))</f>
        <v/>
      </c>
      <c r="R330" s="22" t="str">
        <f>IF($B330="","",'Aset Takberwujud'!AQ125)</f>
        <v/>
      </c>
      <c r="S330" s="22" t="str">
        <f>IF($B330="","",ROUND(Q330-R330,0))</f>
        <v/>
      </c>
    </row>
    <row r="331" spans="1:19" x14ac:dyDescent="0.25">
      <c r="A331" t="str">
        <f>IF('Aset Takberwujud'!$B126="","",'Aset Takberwujud'!A126)</f>
        <v/>
      </c>
      <c r="B331" t="str">
        <f>IF('Aset Takberwujud'!$B126="","",'Aset Takberwujud'!B126)</f>
        <v/>
      </c>
      <c r="C331" t="str">
        <f>IF('Aset Takberwujud'!$B126="","",'Aset Takberwujud'!C126)</f>
        <v/>
      </c>
      <c r="D331" t="str">
        <f>IF('Aset Takberwujud'!$B126="","",'Aset Takberwujud'!D126)</f>
        <v/>
      </c>
      <c r="E331" s="22" t="str">
        <f>IF($B331="","",IF(N('Aset Takberwujud'!$AG126)=0,0,IF(AND((YEAR(E$211)*12+MONTH(E$211))&gt;='Aset Takberwujud'!$Y126,(YEAR(E$211)*12+MONTH(E$211))&lt;=MIN('Aset Takberwujud'!$Z126,IF('Aset Takberwujud'!$S126="Unit Produksi",99999,'Aset Takberwujud'!$Y126+'Aset Takberwujud'!$T126*12-1))),'Aset Takberwujud'!$AQ126/'Aset Takberwujud'!$AG126,0)))</f>
        <v/>
      </c>
      <c r="F331" s="22" t="str">
        <f>IF($B331="","",IF(N('Aset Takberwujud'!$AG126)=0,0,IF(AND((YEAR(F$211)*12+MONTH(F$211))&gt;='Aset Takberwujud'!$Y126,(YEAR(F$211)*12+MONTH(F$211))&lt;=MIN('Aset Takberwujud'!$Z126,IF('Aset Takberwujud'!$S126="Unit Produksi",99999,'Aset Takberwujud'!$Y126+'Aset Takberwujud'!$T126*12-1))),'Aset Takberwujud'!$AQ126/'Aset Takberwujud'!$AG126,0)))</f>
        <v/>
      </c>
      <c r="G331" s="22" t="str">
        <f>IF($B331="","",IF(N('Aset Takberwujud'!$AG126)=0,0,IF(AND((YEAR(G$211)*12+MONTH(G$211))&gt;='Aset Takberwujud'!$Y126,(YEAR(G$211)*12+MONTH(G$211))&lt;=MIN('Aset Takberwujud'!$Z126,IF('Aset Takberwujud'!$S126="Unit Produksi",99999,'Aset Takberwujud'!$Y126+'Aset Takberwujud'!$T126*12-1))),'Aset Takberwujud'!$AQ126/'Aset Takberwujud'!$AG126,0)))</f>
        <v/>
      </c>
      <c r="H331" s="22" t="str">
        <f>IF($B331="","",IF(N('Aset Takberwujud'!$AG126)=0,0,IF(AND((YEAR(H$211)*12+MONTH(H$211))&gt;='Aset Takberwujud'!$Y126,(YEAR(H$211)*12+MONTH(H$211))&lt;=MIN('Aset Takberwujud'!$Z126,IF('Aset Takberwujud'!$S126="Unit Produksi",99999,'Aset Takberwujud'!$Y126+'Aset Takberwujud'!$T126*12-1))),'Aset Takberwujud'!$AQ126/'Aset Takberwujud'!$AG126,0)))</f>
        <v/>
      </c>
      <c r="I331" s="22" t="str">
        <f>IF($B331="","",IF(N('Aset Takberwujud'!$AG126)=0,0,IF(AND((YEAR(I$211)*12+MONTH(I$211))&gt;='Aset Takberwujud'!$Y126,(YEAR(I$211)*12+MONTH(I$211))&lt;=MIN('Aset Takberwujud'!$Z126,IF('Aset Takberwujud'!$S126="Unit Produksi",99999,'Aset Takberwujud'!$Y126+'Aset Takberwujud'!$T126*12-1))),'Aset Takberwujud'!$AQ126/'Aset Takberwujud'!$AG126,0)))</f>
        <v/>
      </c>
      <c r="J331" s="22" t="str">
        <f>IF($B331="","",IF(N('Aset Takberwujud'!$AG126)=0,0,IF(AND((YEAR(J$211)*12+MONTH(J$211))&gt;='Aset Takberwujud'!$Y126,(YEAR(J$211)*12+MONTH(J$211))&lt;=MIN('Aset Takberwujud'!$Z126,IF('Aset Takberwujud'!$S126="Unit Produksi",99999,'Aset Takberwujud'!$Y126+'Aset Takberwujud'!$T126*12-1))),'Aset Takberwujud'!$AQ126/'Aset Takberwujud'!$AG126,0)))</f>
        <v/>
      </c>
      <c r="K331" s="22" t="str">
        <f>IF($B331="","",IF(N('Aset Takberwujud'!$AG126)=0,0,IF(AND((YEAR(K$211)*12+MONTH(K$211))&gt;='Aset Takberwujud'!$Y126,(YEAR(K$211)*12+MONTH(K$211))&lt;=MIN('Aset Takberwujud'!$Z126,IF('Aset Takberwujud'!$S126="Unit Produksi",99999,'Aset Takberwujud'!$Y126+'Aset Takberwujud'!$T126*12-1))),'Aset Takberwujud'!$AQ126/'Aset Takberwujud'!$AG126,0)))</f>
        <v/>
      </c>
      <c r="L331" s="22" t="str">
        <f>IF($B331="","",IF(N('Aset Takberwujud'!$AG126)=0,0,IF(AND((YEAR(L$211)*12+MONTH(L$211))&gt;='Aset Takberwujud'!$Y126,(YEAR(L$211)*12+MONTH(L$211))&lt;=MIN('Aset Takberwujud'!$Z126,IF('Aset Takberwujud'!$S126="Unit Produksi",99999,'Aset Takberwujud'!$Y126+'Aset Takberwujud'!$T126*12-1))),'Aset Takberwujud'!$AQ126/'Aset Takberwujud'!$AG126,0)))</f>
        <v/>
      </c>
      <c r="M331" s="22" t="str">
        <f>IF($B331="","",IF(N('Aset Takberwujud'!$AG126)=0,0,IF(AND((YEAR(M$211)*12+MONTH(M$211))&gt;='Aset Takberwujud'!$Y126,(YEAR(M$211)*12+MONTH(M$211))&lt;=MIN('Aset Takberwujud'!$Z126,IF('Aset Takberwujud'!$S126="Unit Produksi",99999,'Aset Takberwujud'!$Y126+'Aset Takberwujud'!$T126*12-1))),'Aset Takberwujud'!$AQ126/'Aset Takberwujud'!$AG126,0)))</f>
        <v/>
      </c>
      <c r="N331" s="22" t="str">
        <f>IF($B331="","",IF(N('Aset Takberwujud'!$AG126)=0,0,IF(AND((YEAR(N$211)*12+MONTH(N$211))&gt;='Aset Takberwujud'!$Y126,(YEAR(N$211)*12+MONTH(N$211))&lt;=MIN('Aset Takberwujud'!$Z126,IF('Aset Takberwujud'!$S126="Unit Produksi",99999,'Aset Takberwujud'!$Y126+'Aset Takberwujud'!$T126*12-1))),'Aset Takberwujud'!$AQ126/'Aset Takberwujud'!$AG126,0)))</f>
        <v/>
      </c>
      <c r="O331" s="22" t="str">
        <f>IF($B331="","",IF(N('Aset Takberwujud'!$AG126)=0,0,IF(AND((YEAR(O$211)*12+MONTH(O$211))&gt;='Aset Takberwujud'!$Y126,(YEAR(O$211)*12+MONTH(O$211))&lt;=MIN('Aset Takberwujud'!$Z126,IF('Aset Takberwujud'!$S126="Unit Produksi",99999,'Aset Takberwujud'!$Y126+'Aset Takberwujud'!$T126*12-1))),'Aset Takberwujud'!$AQ126/'Aset Takberwujud'!$AG126,0)))</f>
        <v/>
      </c>
      <c r="P331" s="22" t="str">
        <f>IF($B331="","",IF(N('Aset Takberwujud'!$AG126)=0,0,IF(AND((YEAR(P$211)*12+MONTH(P$211))&gt;='Aset Takberwujud'!$Y126,(YEAR(P$211)*12+MONTH(P$211))&lt;=MIN('Aset Takberwujud'!$Z126,IF('Aset Takberwujud'!$S126="Unit Produksi",99999,'Aset Takberwujud'!$Y126+'Aset Takberwujud'!$T126*12-1))),'Aset Takberwujud'!$AQ126/'Aset Takberwujud'!$AG126,0)))</f>
        <v/>
      </c>
      <c r="Q331" s="22" t="str">
        <f>IF($B331="","",SUM(E331:P331))</f>
        <v/>
      </c>
      <c r="R331" s="22" t="str">
        <f>IF($B331="","",'Aset Takberwujud'!AQ126)</f>
        <v/>
      </c>
      <c r="S331" s="22" t="str">
        <f>IF($B331="","",ROUND(Q331-R331,0))</f>
        <v/>
      </c>
    </row>
    <row r="332" spans="1:19" x14ac:dyDescent="0.25">
      <c r="A332" t="str">
        <f>IF('Aset Takberwujud'!$B127="","",'Aset Takberwujud'!A127)</f>
        <v/>
      </c>
      <c r="B332" t="str">
        <f>IF('Aset Takberwujud'!$B127="","",'Aset Takberwujud'!B127)</f>
        <v/>
      </c>
      <c r="C332" t="str">
        <f>IF('Aset Takberwujud'!$B127="","",'Aset Takberwujud'!C127)</f>
        <v/>
      </c>
      <c r="D332" t="str">
        <f>IF('Aset Takberwujud'!$B127="","",'Aset Takberwujud'!D127)</f>
        <v/>
      </c>
      <c r="E332" s="22" t="str">
        <f>IF($B332="","",IF(N('Aset Takberwujud'!$AG127)=0,0,IF(AND((YEAR(E$211)*12+MONTH(E$211))&gt;='Aset Takberwujud'!$Y127,(YEAR(E$211)*12+MONTH(E$211))&lt;=MIN('Aset Takberwujud'!$Z127,IF('Aset Takberwujud'!$S127="Unit Produksi",99999,'Aset Takberwujud'!$Y127+'Aset Takberwujud'!$T127*12-1))),'Aset Takberwujud'!$AQ127/'Aset Takberwujud'!$AG127,0)))</f>
        <v/>
      </c>
      <c r="F332" s="22" t="str">
        <f>IF($B332="","",IF(N('Aset Takberwujud'!$AG127)=0,0,IF(AND((YEAR(F$211)*12+MONTH(F$211))&gt;='Aset Takberwujud'!$Y127,(YEAR(F$211)*12+MONTH(F$211))&lt;=MIN('Aset Takberwujud'!$Z127,IF('Aset Takberwujud'!$S127="Unit Produksi",99999,'Aset Takberwujud'!$Y127+'Aset Takberwujud'!$T127*12-1))),'Aset Takberwujud'!$AQ127/'Aset Takberwujud'!$AG127,0)))</f>
        <v/>
      </c>
      <c r="G332" s="22" t="str">
        <f>IF($B332="","",IF(N('Aset Takberwujud'!$AG127)=0,0,IF(AND((YEAR(G$211)*12+MONTH(G$211))&gt;='Aset Takberwujud'!$Y127,(YEAR(G$211)*12+MONTH(G$211))&lt;=MIN('Aset Takberwujud'!$Z127,IF('Aset Takberwujud'!$S127="Unit Produksi",99999,'Aset Takberwujud'!$Y127+'Aset Takberwujud'!$T127*12-1))),'Aset Takberwujud'!$AQ127/'Aset Takberwujud'!$AG127,0)))</f>
        <v/>
      </c>
      <c r="H332" s="22" t="str">
        <f>IF($B332="","",IF(N('Aset Takberwujud'!$AG127)=0,0,IF(AND((YEAR(H$211)*12+MONTH(H$211))&gt;='Aset Takberwujud'!$Y127,(YEAR(H$211)*12+MONTH(H$211))&lt;=MIN('Aset Takberwujud'!$Z127,IF('Aset Takberwujud'!$S127="Unit Produksi",99999,'Aset Takberwujud'!$Y127+'Aset Takberwujud'!$T127*12-1))),'Aset Takberwujud'!$AQ127/'Aset Takberwujud'!$AG127,0)))</f>
        <v/>
      </c>
      <c r="I332" s="22" t="str">
        <f>IF($B332="","",IF(N('Aset Takberwujud'!$AG127)=0,0,IF(AND((YEAR(I$211)*12+MONTH(I$211))&gt;='Aset Takberwujud'!$Y127,(YEAR(I$211)*12+MONTH(I$211))&lt;=MIN('Aset Takberwujud'!$Z127,IF('Aset Takberwujud'!$S127="Unit Produksi",99999,'Aset Takberwujud'!$Y127+'Aset Takberwujud'!$T127*12-1))),'Aset Takberwujud'!$AQ127/'Aset Takberwujud'!$AG127,0)))</f>
        <v/>
      </c>
      <c r="J332" s="22" t="str">
        <f>IF($B332="","",IF(N('Aset Takberwujud'!$AG127)=0,0,IF(AND((YEAR(J$211)*12+MONTH(J$211))&gt;='Aset Takberwujud'!$Y127,(YEAR(J$211)*12+MONTH(J$211))&lt;=MIN('Aset Takberwujud'!$Z127,IF('Aset Takberwujud'!$S127="Unit Produksi",99999,'Aset Takberwujud'!$Y127+'Aset Takberwujud'!$T127*12-1))),'Aset Takberwujud'!$AQ127/'Aset Takberwujud'!$AG127,0)))</f>
        <v/>
      </c>
      <c r="K332" s="22" t="str">
        <f>IF($B332="","",IF(N('Aset Takberwujud'!$AG127)=0,0,IF(AND((YEAR(K$211)*12+MONTH(K$211))&gt;='Aset Takberwujud'!$Y127,(YEAR(K$211)*12+MONTH(K$211))&lt;=MIN('Aset Takberwujud'!$Z127,IF('Aset Takberwujud'!$S127="Unit Produksi",99999,'Aset Takberwujud'!$Y127+'Aset Takberwujud'!$T127*12-1))),'Aset Takberwujud'!$AQ127/'Aset Takberwujud'!$AG127,0)))</f>
        <v/>
      </c>
      <c r="L332" s="22" t="str">
        <f>IF($B332="","",IF(N('Aset Takberwujud'!$AG127)=0,0,IF(AND((YEAR(L$211)*12+MONTH(L$211))&gt;='Aset Takberwujud'!$Y127,(YEAR(L$211)*12+MONTH(L$211))&lt;=MIN('Aset Takberwujud'!$Z127,IF('Aset Takberwujud'!$S127="Unit Produksi",99999,'Aset Takberwujud'!$Y127+'Aset Takberwujud'!$T127*12-1))),'Aset Takberwujud'!$AQ127/'Aset Takberwujud'!$AG127,0)))</f>
        <v/>
      </c>
      <c r="M332" s="22" t="str">
        <f>IF($B332="","",IF(N('Aset Takberwujud'!$AG127)=0,0,IF(AND((YEAR(M$211)*12+MONTH(M$211))&gt;='Aset Takberwujud'!$Y127,(YEAR(M$211)*12+MONTH(M$211))&lt;=MIN('Aset Takberwujud'!$Z127,IF('Aset Takberwujud'!$S127="Unit Produksi",99999,'Aset Takberwujud'!$Y127+'Aset Takberwujud'!$T127*12-1))),'Aset Takberwujud'!$AQ127/'Aset Takberwujud'!$AG127,0)))</f>
        <v/>
      </c>
      <c r="N332" s="22" t="str">
        <f>IF($B332="","",IF(N('Aset Takberwujud'!$AG127)=0,0,IF(AND((YEAR(N$211)*12+MONTH(N$211))&gt;='Aset Takberwujud'!$Y127,(YEAR(N$211)*12+MONTH(N$211))&lt;=MIN('Aset Takberwujud'!$Z127,IF('Aset Takberwujud'!$S127="Unit Produksi",99999,'Aset Takberwujud'!$Y127+'Aset Takberwujud'!$T127*12-1))),'Aset Takberwujud'!$AQ127/'Aset Takberwujud'!$AG127,0)))</f>
        <v/>
      </c>
      <c r="O332" s="22" t="str">
        <f>IF($B332="","",IF(N('Aset Takberwujud'!$AG127)=0,0,IF(AND((YEAR(O$211)*12+MONTH(O$211))&gt;='Aset Takberwujud'!$Y127,(YEAR(O$211)*12+MONTH(O$211))&lt;=MIN('Aset Takberwujud'!$Z127,IF('Aset Takberwujud'!$S127="Unit Produksi",99999,'Aset Takberwujud'!$Y127+'Aset Takberwujud'!$T127*12-1))),'Aset Takberwujud'!$AQ127/'Aset Takberwujud'!$AG127,0)))</f>
        <v/>
      </c>
      <c r="P332" s="22" t="str">
        <f>IF($B332="","",IF(N('Aset Takberwujud'!$AG127)=0,0,IF(AND((YEAR(P$211)*12+MONTH(P$211))&gt;='Aset Takberwujud'!$Y127,(YEAR(P$211)*12+MONTH(P$211))&lt;=MIN('Aset Takberwujud'!$Z127,IF('Aset Takberwujud'!$S127="Unit Produksi",99999,'Aset Takberwujud'!$Y127+'Aset Takberwujud'!$T127*12-1))),'Aset Takberwujud'!$AQ127/'Aset Takberwujud'!$AG127,0)))</f>
        <v/>
      </c>
      <c r="Q332" s="22" t="str">
        <f>IF($B332="","",SUM(E332:P332))</f>
        <v/>
      </c>
      <c r="R332" s="22" t="str">
        <f>IF($B332="","",'Aset Takberwujud'!AQ127)</f>
        <v/>
      </c>
      <c r="S332" s="22" t="str">
        <f>IF($B332="","",ROUND(Q332-R332,0))</f>
        <v/>
      </c>
    </row>
    <row r="333" spans="1:19" x14ac:dyDescent="0.25">
      <c r="A333" t="str">
        <f>IF('Aset Takberwujud'!$B128="","",'Aset Takberwujud'!A128)</f>
        <v/>
      </c>
      <c r="B333" t="str">
        <f>IF('Aset Takberwujud'!$B128="","",'Aset Takberwujud'!B128)</f>
        <v/>
      </c>
      <c r="C333" t="str">
        <f>IF('Aset Takberwujud'!$B128="","",'Aset Takberwujud'!C128)</f>
        <v/>
      </c>
      <c r="D333" t="str">
        <f>IF('Aset Takberwujud'!$B128="","",'Aset Takberwujud'!D128)</f>
        <v/>
      </c>
      <c r="E333" s="22" t="str">
        <f>IF($B333="","",IF(N('Aset Takberwujud'!$AG128)=0,0,IF(AND((YEAR(E$211)*12+MONTH(E$211))&gt;='Aset Takberwujud'!$Y128,(YEAR(E$211)*12+MONTH(E$211))&lt;=MIN('Aset Takberwujud'!$Z128,IF('Aset Takberwujud'!$S128="Unit Produksi",99999,'Aset Takberwujud'!$Y128+'Aset Takberwujud'!$T128*12-1))),'Aset Takberwujud'!$AQ128/'Aset Takberwujud'!$AG128,0)))</f>
        <v/>
      </c>
      <c r="F333" s="22" t="str">
        <f>IF($B333="","",IF(N('Aset Takberwujud'!$AG128)=0,0,IF(AND((YEAR(F$211)*12+MONTH(F$211))&gt;='Aset Takberwujud'!$Y128,(YEAR(F$211)*12+MONTH(F$211))&lt;=MIN('Aset Takberwujud'!$Z128,IF('Aset Takberwujud'!$S128="Unit Produksi",99999,'Aset Takberwujud'!$Y128+'Aset Takberwujud'!$T128*12-1))),'Aset Takberwujud'!$AQ128/'Aset Takberwujud'!$AG128,0)))</f>
        <v/>
      </c>
      <c r="G333" s="22" t="str">
        <f>IF($B333="","",IF(N('Aset Takberwujud'!$AG128)=0,0,IF(AND((YEAR(G$211)*12+MONTH(G$211))&gt;='Aset Takberwujud'!$Y128,(YEAR(G$211)*12+MONTH(G$211))&lt;=MIN('Aset Takberwujud'!$Z128,IF('Aset Takberwujud'!$S128="Unit Produksi",99999,'Aset Takberwujud'!$Y128+'Aset Takberwujud'!$T128*12-1))),'Aset Takberwujud'!$AQ128/'Aset Takberwujud'!$AG128,0)))</f>
        <v/>
      </c>
      <c r="H333" s="22" t="str">
        <f>IF($B333="","",IF(N('Aset Takberwujud'!$AG128)=0,0,IF(AND((YEAR(H$211)*12+MONTH(H$211))&gt;='Aset Takberwujud'!$Y128,(YEAR(H$211)*12+MONTH(H$211))&lt;=MIN('Aset Takberwujud'!$Z128,IF('Aset Takberwujud'!$S128="Unit Produksi",99999,'Aset Takberwujud'!$Y128+'Aset Takberwujud'!$T128*12-1))),'Aset Takberwujud'!$AQ128/'Aset Takberwujud'!$AG128,0)))</f>
        <v/>
      </c>
      <c r="I333" s="22" t="str">
        <f>IF($B333="","",IF(N('Aset Takberwujud'!$AG128)=0,0,IF(AND((YEAR(I$211)*12+MONTH(I$211))&gt;='Aset Takberwujud'!$Y128,(YEAR(I$211)*12+MONTH(I$211))&lt;=MIN('Aset Takberwujud'!$Z128,IF('Aset Takberwujud'!$S128="Unit Produksi",99999,'Aset Takberwujud'!$Y128+'Aset Takberwujud'!$T128*12-1))),'Aset Takberwujud'!$AQ128/'Aset Takberwujud'!$AG128,0)))</f>
        <v/>
      </c>
      <c r="J333" s="22" t="str">
        <f>IF($B333="","",IF(N('Aset Takberwujud'!$AG128)=0,0,IF(AND((YEAR(J$211)*12+MONTH(J$211))&gt;='Aset Takberwujud'!$Y128,(YEAR(J$211)*12+MONTH(J$211))&lt;=MIN('Aset Takberwujud'!$Z128,IF('Aset Takberwujud'!$S128="Unit Produksi",99999,'Aset Takberwujud'!$Y128+'Aset Takberwujud'!$T128*12-1))),'Aset Takberwujud'!$AQ128/'Aset Takberwujud'!$AG128,0)))</f>
        <v/>
      </c>
      <c r="K333" s="22" t="str">
        <f>IF($B333="","",IF(N('Aset Takberwujud'!$AG128)=0,0,IF(AND((YEAR(K$211)*12+MONTH(K$211))&gt;='Aset Takberwujud'!$Y128,(YEAR(K$211)*12+MONTH(K$211))&lt;=MIN('Aset Takberwujud'!$Z128,IF('Aset Takberwujud'!$S128="Unit Produksi",99999,'Aset Takberwujud'!$Y128+'Aset Takberwujud'!$T128*12-1))),'Aset Takberwujud'!$AQ128/'Aset Takberwujud'!$AG128,0)))</f>
        <v/>
      </c>
      <c r="L333" s="22" t="str">
        <f>IF($B333="","",IF(N('Aset Takberwujud'!$AG128)=0,0,IF(AND((YEAR(L$211)*12+MONTH(L$211))&gt;='Aset Takberwujud'!$Y128,(YEAR(L$211)*12+MONTH(L$211))&lt;=MIN('Aset Takberwujud'!$Z128,IF('Aset Takberwujud'!$S128="Unit Produksi",99999,'Aset Takberwujud'!$Y128+'Aset Takberwujud'!$T128*12-1))),'Aset Takberwujud'!$AQ128/'Aset Takberwujud'!$AG128,0)))</f>
        <v/>
      </c>
      <c r="M333" s="22" t="str">
        <f>IF($B333="","",IF(N('Aset Takberwujud'!$AG128)=0,0,IF(AND((YEAR(M$211)*12+MONTH(M$211))&gt;='Aset Takberwujud'!$Y128,(YEAR(M$211)*12+MONTH(M$211))&lt;=MIN('Aset Takberwujud'!$Z128,IF('Aset Takberwujud'!$S128="Unit Produksi",99999,'Aset Takberwujud'!$Y128+'Aset Takberwujud'!$T128*12-1))),'Aset Takberwujud'!$AQ128/'Aset Takberwujud'!$AG128,0)))</f>
        <v/>
      </c>
      <c r="N333" s="22" t="str">
        <f>IF($B333="","",IF(N('Aset Takberwujud'!$AG128)=0,0,IF(AND((YEAR(N$211)*12+MONTH(N$211))&gt;='Aset Takberwujud'!$Y128,(YEAR(N$211)*12+MONTH(N$211))&lt;=MIN('Aset Takberwujud'!$Z128,IF('Aset Takberwujud'!$S128="Unit Produksi",99999,'Aset Takberwujud'!$Y128+'Aset Takberwujud'!$T128*12-1))),'Aset Takberwujud'!$AQ128/'Aset Takberwujud'!$AG128,0)))</f>
        <v/>
      </c>
      <c r="O333" s="22" t="str">
        <f>IF($B333="","",IF(N('Aset Takberwujud'!$AG128)=0,0,IF(AND((YEAR(O$211)*12+MONTH(O$211))&gt;='Aset Takberwujud'!$Y128,(YEAR(O$211)*12+MONTH(O$211))&lt;=MIN('Aset Takberwujud'!$Z128,IF('Aset Takberwujud'!$S128="Unit Produksi",99999,'Aset Takberwujud'!$Y128+'Aset Takberwujud'!$T128*12-1))),'Aset Takberwujud'!$AQ128/'Aset Takberwujud'!$AG128,0)))</f>
        <v/>
      </c>
      <c r="P333" s="22" t="str">
        <f>IF($B333="","",IF(N('Aset Takberwujud'!$AG128)=0,0,IF(AND((YEAR(P$211)*12+MONTH(P$211))&gt;='Aset Takberwujud'!$Y128,(YEAR(P$211)*12+MONTH(P$211))&lt;=MIN('Aset Takberwujud'!$Z128,IF('Aset Takberwujud'!$S128="Unit Produksi",99999,'Aset Takberwujud'!$Y128+'Aset Takberwujud'!$T128*12-1))),'Aset Takberwujud'!$AQ128/'Aset Takberwujud'!$AG128,0)))</f>
        <v/>
      </c>
      <c r="Q333" s="22" t="str">
        <f>IF($B333="","",SUM(E333:P333))</f>
        <v/>
      </c>
      <c r="R333" s="22" t="str">
        <f>IF($B333="","",'Aset Takberwujud'!AQ128)</f>
        <v/>
      </c>
      <c r="S333" s="22" t="str">
        <f>IF($B333="","",ROUND(Q333-R333,0))</f>
        <v/>
      </c>
    </row>
    <row r="334" spans="1:19" x14ac:dyDescent="0.25">
      <c r="A334" t="str">
        <f>IF('Aset Takberwujud'!$B129="","",'Aset Takberwujud'!A129)</f>
        <v/>
      </c>
      <c r="B334" t="str">
        <f>IF('Aset Takberwujud'!$B129="","",'Aset Takberwujud'!B129)</f>
        <v/>
      </c>
      <c r="C334" t="str">
        <f>IF('Aset Takberwujud'!$B129="","",'Aset Takberwujud'!C129)</f>
        <v/>
      </c>
      <c r="D334" t="str">
        <f>IF('Aset Takberwujud'!$B129="","",'Aset Takberwujud'!D129)</f>
        <v/>
      </c>
      <c r="E334" s="22" t="str">
        <f>IF($B334="","",IF(N('Aset Takberwujud'!$AG129)=0,0,IF(AND((YEAR(E$211)*12+MONTH(E$211))&gt;='Aset Takberwujud'!$Y129,(YEAR(E$211)*12+MONTH(E$211))&lt;=MIN('Aset Takberwujud'!$Z129,IF('Aset Takberwujud'!$S129="Unit Produksi",99999,'Aset Takberwujud'!$Y129+'Aset Takberwujud'!$T129*12-1))),'Aset Takberwujud'!$AQ129/'Aset Takberwujud'!$AG129,0)))</f>
        <v/>
      </c>
      <c r="F334" s="22" t="str">
        <f>IF($B334="","",IF(N('Aset Takberwujud'!$AG129)=0,0,IF(AND((YEAR(F$211)*12+MONTH(F$211))&gt;='Aset Takberwujud'!$Y129,(YEAR(F$211)*12+MONTH(F$211))&lt;=MIN('Aset Takberwujud'!$Z129,IF('Aset Takberwujud'!$S129="Unit Produksi",99999,'Aset Takberwujud'!$Y129+'Aset Takberwujud'!$T129*12-1))),'Aset Takberwujud'!$AQ129/'Aset Takberwujud'!$AG129,0)))</f>
        <v/>
      </c>
      <c r="G334" s="22" t="str">
        <f>IF($B334="","",IF(N('Aset Takberwujud'!$AG129)=0,0,IF(AND((YEAR(G$211)*12+MONTH(G$211))&gt;='Aset Takberwujud'!$Y129,(YEAR(G$211)*12+MONTH(G$211))&lt;=MIN('Aset Takberwujud'!$Z129,IF('Aset Takberwujud'!$S129="Unit Produksi",99999,'Aset Takberwujud'!$Y129+'Aset Takberwujud'!$T129*12-1))),'Aset Takberwujud'!$AQ129/'Aset Takberwujud'!$AG129,0)))</f>
        <v/>
      </c>
      <c r="H334" s="22" t="str">
        <f>IF($B334="","",IF(N('Aset Takberwujud'!$AG129)=0,0,IF(AND((YEAR(H$211)*12+MONTH(H$211))&gt;='Aset Takberwujud'!$Y129,(YEAR(H$211)*12+MONTH(H$211))&lt;=MIN('Aset Takberwujud'!$Z129,IF('Aset Takberwujud'!$S129="Unit Produksi",99999,'Aset Takberwujud'!$Y129+'Aset Takberwujud'!$T129*12-1))),'Aset Takberwujud'!$AQ129/'Aset Takberwujud'!$AG129,0)))</f>
        <v/>
      </c>
      <c r="I334" s="22" t="str">
        <f>IF($B334="","",IF(N('Aset Takberwujud'!$AG129)=0,0,IF(AND((YEAR(I$211)*12+MONTH(I$211))&gt;='Aset Takberwujud'!$Y129,(YEAR(I$211)*12+MONTH(I$211))&lt;=MIN('Aset Takberwujud'!$Z129,IF('Aset Takberwujud'!$S129="Unit Produksi",99999,'Aset Takberwujud'!$Y129+'Aset Takberwujud'!$T129*12-1))),'Aset Takberwujud'!$AQ129/'Aset Takberwujud'!$AG129,0)))</f>
        <v/>
      </c>
      <c r="J334" s="22" t="str">
        <f>IF($B334="","",IF(N('Aset Takberwujud'!$AG129)=0,0,IF(AND((YEAR(J$211)*12+MONTH(J$211))&gt;='Aset Takberwujud'!$Y129,(YEAR(J$211)*12+MONTH(J$211))&lt;=MIN('Aset Takberwujud'!$Z129,IF('Aset Takberwujud'!$S129="Unit Produksi",99999,'Aset Takberwujud'!$Y129+'Aset Takberwujud'!$T129*12-1))),'Aset Takberwujud'!$AQ129/'Aset Takberwujud'!$AG129,0)))</f>
        <v/>
      </c>
      <c r="K334" s="22" t="str">
        <f>IF($B334="","",IF(N('Aset Takberwujud'!$AG129)=0,0,IF(AND((YEAR(K$211)*12+MONTH(K$211))&gt;='Aset Takberwujud'!$Y129,(YEAR(K$211)*12+MONTH(K$211))&lt;=MIN('Aset Takberwujud'!$Z129,IF('Aset Takberwujud'!$S129="Unit Produksi",99999,'Aset Takberwujud'!$Y129+'Aset Takberwujud'!$T129*12-1))),'Aset Takberwujud'!$AQ129/'Aset Takberwujud'!$AG129,0)))</f>
        <v/>
      </c>
      <c r="L334" s="22" t="str">
        <f>IF($B334="","",IF(N('Aset Takberwujud'!$AG129)=0,0,IF(AND((YEAR(L$211)*12+MONTH(L$211))&gt;='Aset Takberwujud'!$Y129,(YEAR(L$211)*12+MONTH(L$211))&lt;=MIN('Aset Takberwujud'!$Z129,IF('Aset Takberwujud'!$S129="Unit Produksi",99999,'Aset Takberwujud'!$Y129+'Aset Takberwujud'!$T129*12-1))),'Aset Takberwujud'!$AQ129/'Aset Takberwujud'!$AG129,0)))</f>
        <v/>
      </c>
      <c r="M334" s="22" t="str">
        <f>IF($B334="","",IF(N('Aset Takberwujud'!$AG129)=0,0,IF(AND((YEAR(M$211)*12+MONTH(M$211))&gt;='Aset Takberwujud'!$Y129,(YEAR(M$211)*12+MONTH(M$211))&lt;=MIN('Aset Takberwujud'!$Z129,IF('Aset Takberwujud'!$S129="Unit Produksi",99999,'Aset Takberwujud'!$Y129+'Aset Takberwujud'!$T129*12-1))),'Aset Takberwujud'!$AQ129/'Aset Takberwujud'!$AG129,0)))</f>
        <v/>
      </c>
      <c r="N334" s="22" t="str">
        <f>IF($B334="","",IF(N('Aset Takberwujud'!$AG129)=0,0,IF(AND((YEAR(N$211)*12+MONTH(N$211))&gt;='Aset Takberwujud'!$Y129,(YEAR(N$211)*12+MONTH(N$211))&lt;=MIN('Aset Takberwujud'!$Z129,IF('Aset Takberwujud'!$S129="Unit Produksi",99999,'Aset Takberwujud'!$Y129+'Aset Takberwujud'!$T129*12-1))),'Aset Takberwujud'!$AQ129/'Aset Takberwujud'!$AG129,0)))</f>
        <v/>
      </c>
      <c r="O334" s="22" t="str">
        <f>IF($B334="","",IF(N('Aset Takberwujud'!$AG129)=0,0,IF(AND((YEAR(O$211)*12+MONTH(O$211))&gt;='Aset Takberwujud'!$Y129,(YEAR(O$211)*12+MONTH(O$211))&lt;=MIN('Aset Takberwujud'!$Z129,IF('Aset Takberwujud'!$S129="Unit Produksi",99999,'Aset Takberwujud'!$Y129+'Aset Takberwujud'!$T129*12-1))),'Aset Takberwujud'!$AQ129/'Aset Takberwujud'!$AG129,0)))</f>
        <v/>
      </c>
      <c r="P334" s="22" t="str">
        <f>IF($B334="","",IF(N('Aset Takberwujud'!$AG129)=0,0,IF(AND((YEAR(P$211)*12+MONTH(P$211))&gt;='Aset Takberwujud'!$Y129,(YEAR(P$211)*12+MONTH(P$211))&lt;=MIN('Aset Takberwujud'!$Z129,IF('Aset Takberwujud'!$S129="Unit Produksi",99999,'Aset Takberwujud'!$Y129+'Aset Takberwujud'!$T129*12-1))),'Aset Takberwujud'!$AQ129/'Aset Takberwujud'!$AG129,0)))</f>
        <v/>
      </c>
      <c r="Q334" s="22" t="str">
        <f>IF($B334="","",SUM(E334:P334))</f>
        <v/>
      </c>
      <c r="R334" s="22" t="str">
        <f>IF($B334="","",'Aset Takberwujud'!AQ129)</f>
        <v/>
      </c>
      <c r="S334" s="22" t="str">
        <f>IF($B334="","",ROUND(Q334-R334,0))</f>
        <v/>
      </c>
    </row>
    <row r="335" spans="1:19" x14ac:dyDescent="0.25">
      <c r="A335" t="str">
        <f>IF('Aset Takberwujud'!$B130="","",'Aset Takberwujud'!A130)</f>
        <v/>
      </c>
      <c r="B335" t="str">
        <f>IF('Aset Takberwujud'!$B130="","",'Aset Takberwujud'!B130)</f>
        <v/>
      </c>
      <c r="C335" t="str">
        <f>IF('Aset Takberwujud'!$B130="","",'Aset Takberwujud'!C130)</f>
        <v/>
      </c>
      <c r="D335" t="str">
        <f>IF('Aset Takberwujud'!$B130="","",'Aset Takberwujud'!D130)</f>
        <v/>
      </c>
      <c r="E335" s="22" t="str">
        <f>IF($B335="","",IF(N('Aset Takberwujud'!$AG130)=0,0,IF(AND((YEAR(E$211)*12+MONTH(E$211))&gt;='Aset Takberwujud'!$Y130,(YEAR(E$211)*12+MONTH(E$211))&lt;=MIN('Aset Takberwujud'!$Z130,IF('Aset Takberwujud'!$S130="Unit Produksi",99999,'Aset Takberwujud'!$Y130+'Aset Takberwujud'!$T130*12-1))),'Aset Takberwujud'!$AQ130/'Aset Takberwujud'!$AG130,0)))</f>
        <v/>
      </c>
      <c r="F335" s="22" t="str">
        <f>IF($B335="","",IF(N('Aset Takberwujud'!$AG130)=0,0,IF(AND((YEAR(F$211)*12+MONTH(F$211))&gt;='Aset Takberwujud'!$Y130,(YEAR(F$211)*12+MONTH(F$211))&lt;=MIN('Aset Takberwujud'!$Z130,IF('Aset Takberwujud'!$S130="Unit Produksi",99999,'Aset Takberwujud'!$Y130+'Aset Takberwujud'!$T130*12-1))),'Aset Takberwujud'!$AQ130/'Aset Takberwujud'!$AG130,0)))</f>
        <v/>
      </c>
      <c r="G335" s="22" t="str">
        <f>IF($B335="","",IF(N('Aset Takberwujud'!$AG130)=0,0,IF(AND((YEAR(G$211)*12+MONTH(G$211))&gt;='Aset Takberwujud'!$Y130,(YEAR(G$211)*12+MONTH(G$211))&lt;=MIN('Aset Takberwujud'!$Z130,IF('Aset Takberwujud'!$S130="Unit Produksi",99999,'Aset Takberwujud'!$Y130+'Aset Takberwujud'!$T130*12-1))),'Aset Takberwujud'!$AQ130/'Aset Takberwujud'!$AG130,0)))</f>
        <v/>
      </c>
      <c r="H335" s="22" t="str">
        <f>IF($B335="","",IF(N('Aset Takberwujud'!$AG130)=0,0,IF(AND((YEAR(H$211)*12+MONTH(H$211))&gt;='Aset Takberwujud'!$Y130,(YEAR(H$211)*12+MONTH(H$211))&lt;=MIN('Aset Takberwujud'!$Z130,IF('Aset Takberwujud'!$S130="Unit Produksi",99999,'Aset Takberwujud'!$Y130+'Aset Takberwujud'!$T130*12-1))),'Aset Takberwujud'!$AQ130/'Aset Takberwujud'!$AG130,0)))</f>
        <v/>
      </c>
      <c r="I335" s="22" t="str">
        <f>IF($B335="","",IF(N('Aset Takberwujud'!$AG130)=0,0,IF(AND((YEAR(I$211)*12+MONTH(I$211))&gt;='Aset Takberwujud'!$Y130,(YEAR(I$211)*12+MONTH(I$211))&lt;=MIN('Aset Takberwujud'!$Z130,IF('Aset Takberwujud'!$S130="Unit Produksi",99999,'Aset Takberwujud'!$Y130+'Aset Takberwujud'!$T130*12-1))),'Aset Takberwujud'!$AQ130/'Aset Takberwujud'!$AG130,0)))</f>
        <v/>
      </c>
      <c r="J335" s="22" t="str">
        <f>IF($B335="","",IF(N('Aset Takberwujud'!$AG130)=0,0,IF(AND((YEAR(J$211)*12+MONTH(J$211))&gt;='Aset Takberwujud'!$Y130,(YEAR(J$211)*12+MONTH(J$211))&lt;=MIN('Aset Takberwujud'!$Z130,IF('Aset Takberwujud'!$S130="Unit Produksi",99999,'Aset Takberwujud'!$Y130+'Aset Takberwujud'!$T130*12-1))),'Aset Takberwujud'!$AQ130/'Aset Takberwujud'!$AG130,0)))</f>
        <v/>
      </c>
      <c r="K335" s="22" t="str">
        <f>IF($B335="","",IF(N('Aset Takberwujud'!$AG130)=0,0,IF(AND((YEAR(K$211)*12+MONTH(K$211))&gt;='Aset Takberwujud'!$Y130,(YEAR(K$211)*12+MONTH(K$211))&lt;=MIN('Aset Takberwujud'!$Z130,IF('Aset Takberwujud'!$S130="Unit Produksi",99999,'Aset Takberwujud'!$Y130+'Aset Takberwujud'!$T130*12-1))),'Aset Takberwujud'!$AQ130/'Aset Takberwujud'!$AG130,0)))</f>
        <v/>
      </c>
      <c r="L335" s="22" t="str">
        <f>IF($B335="","",IF(N('Aset Takberwujud'!$AG130)=0,0,IF(AND((YEAR(L$211)*12+MONTH(L$211))&gt;='Aset Takberwujud'!$Y130,(YEAR(L$211)*12+MONTH(L$211))&lt;=MIN('Aset Takberwujud'!$Z130,IF('Aset Takberwujud'!$S130="Unit Produksi",99999,'Aset Takberwujud'!$Y130+'Aset Takberwujud'!$T130*12-1))),'Aset Takberwujud'!$AQ130/'Aset Takberwujud'!$AG130,0)))</f>
        <v/>
      </c>
      <c r="M335" s="22" t="str">
        <f>IF($B335="","",IF(N('Aset Takberwujud'!$AG130)=0,0,IF(AND((YEAR(M$211)*12+MONTH(M$211))&gt;='Aset Takberwujud'!$Y130,(YEAR(M$211)*12+MONTH(M$211))&lt;=MIN('Aset Takberwujud'!$Z130,IF('Aset Takberwujud'!$S130="Unit Produksi",99999,'Aset Takberwujud'!$Y130+'Aset Takberwujud'!$T130*12-1))),'Aset Takberwujud'!$AQ130/'Aset Takberwujud'!$AG130,0)))</f>
        <v/>
      </c>
      <c r="N335" s="22" t="str">
        <f>IF($B335="","",IF(N('Aset Takberwujud'!$AG130)=0,0,IF(AND((YEAR(N$211)*12+MONTH(N$211))&gt;='Aset Takberwujud'!$Y130,(YEAR(N$211)*12+MONTH(N$211))&lt;=MIN('Aset Takberwujud'!$Z130,IF('Aset Takberwujud'!$S130="Unit Produksi",99999,'Aset Takberwujud'!$Y130+'Aset Takberwujud'!$T130*12-1))),'Aset Takberwujud'!$AQ130/'Aset Takberwujud'!$AG130,0)))</f>
        <v/>
      </c>
      <c r="O335" s="22" t="str">
        <f>IF($B335="","",IF(N('Aset Takberwujud'!$AG130)=0,0,IF(AND((YEAR(O$211)*12+MONTH(O$211))&gt;='Aset Takberwujud'!$Y130,(YEAR(O$211)*12+MONTH(O$211))&lt;=MIN('Aset Takberwujud'!$Z130,IF('Aset Takberwujud'!$S130="Unit Produksi",99999,'Aset Takberwujud'!$Y130+'Aset Takberwujud'!$T130*12-1))),'Aset Takberwujud'!$AQ130/'Aset Takberwujud'!$AG130,0)))</f>
        <v/>
      </c>
      <c r="P335" s="22" t="str">
        <f>IF($B335="","",IF(N('Aset Takberwujud'!$AG130)=0,0,IF(AND((YEAR(P$211)*12+MONTH(P$211))&gt;='Aset Takberwujud'!$Y130,(YEAR(P$211)*12+MONTH(P$211))&lt;=MIN('Aset Takberwujud'!$Z130,IF('Aset Takberwujud'!$S130="Unit Produksi",99999,'Aset Takberwujud'!$Y130+'Aset Takberwujud'!$T130*12-1))),'Aset Takberwujud'!$AQ130/'Aset Takberwujud'!$AG130,0)))</f>
        <v/>
      </c>
      <c r="Q335" s="22" t="str">
        <f>IF($B335="","",SUM(E335:P335))</f>
        <v/>
      </c>
      <c r="R335" s="22" t="str">
        <f>IF($B335="","",'Aset Takberwujud'!AQ130)</f>
        <v/>
      </c>
      <c r="S335" s="22" t="str">
        <f>IF($B335="","",ROUND(Q335-R335,0))</f>
        <v/>
      </c>
    </row>
    <row r="336" spans="1:19" x14ac:dyDescent="0.25">
      <c r="A336" t="str">
        <f>IF('Aset Takberwujud'!$B131="","",'Aset Takberwujud'!A131)</f>
        <v/>
      </c>
      <c r="B336" t="str">
        <f>IF('Aset Takberwujud'!$B131="","",'Aset Takberwujud'!B131)</f>
        <v/>
      </c>
      <c r="C336" t="str">
        <f>IF('Aset Takberwujud'!$B131="","",'Aset Takberwujud'!C131)</f>
        <v/>
      </c>
      <c r="D336" t="str">
        <f>IF('Aset Takberwujud'!$B131="","",'Aset Takberwujud'!D131)</f>
        <v/>
      </c>
      <c r="E336" s="22" t="str">
        <f>IF($B336="","",IF(N('Aset Takberwujud'!$AG131)=0,0,IF(AND((YEAR(E$211)*12+MONTH(E$211))&gt;='Aset Takberwujud'!$Y131,(YEAR(E$211)*12+MONTH(E$211))&lt;=MIN('Aset Takberwujud'!$Z131,IF('Aset Takberwujud'!$S131="Unit Produksi",99999,'Aset Takberwujud'!$Y131+'Aset Takberwujud'!$T131*12-1))),'Aset Takberwujud'!$AQ131/'Aset Takberwujud'!$AG131,0)))</f>
        <v/>
      </c>
      <c r="F336" s="22" t="str">
        <f>IF($B336="","",IF(N('Aset Takberwujud'!$AG131)=0,0,IF(AND((YEAR(F$211)*12+MONTH(F$211))&gt;='Aset Takberwujud'!$Y131,(YEAR(F$211)*12+MONTH(F$211))&lt;=MIN('Aset Takberwujud'!$Z131,IF('Aset Takberwujud'!$S131="Unit Produksi",99999,'Aset Takberwujud'!$Y131+'Aset Takberwujud'!$T131*12-1))),'Aset Takberwujud'!$AQ131/'Aset Takberwujud'!$AG131,0)))</f>
        <v/>
      </c>
      <c r="G336" s="22" t="str">
        <f>IF($B336="","",IF(N('Aset Takberwujud'!$AG131)=0,0,IF(AND((YEAR(G$211)*12+MONTH(G$211))&gt;='Aset Takberwujud'!$Y131,(YEAR(G$211)*12+MONTH(G$211))&lt;=MIN('Aset Takberwujud'!$Z131,IF('Aset Takberwujud'!$S131="Unit Produksi",99999,'Aset Takberwujud'!$Y131+'Aset Takberwujud'!$T131*12-1))),'Aset Takberwujud'!$AQ131/'Aset Takberwujud'!$AG131,0)))</f>
        <v/>
      </c>
      <c r="H336" s="22" t="str">
        <f>IF($B336="","",IF(N('Aset Takberwujud'!$AG131)=0,0,IF(AND((YEAR(H$211)*12+MONTH(H$211))&gt;='Aset Takberwujud'!$Y131,(YEAR(H$211)*12+MONTH(H$211))&lt;=MIN('Aset Takberwujud'!$Z131,IF('Aset Takberwujud'!$S131="Unit Produksi",99999,'Aset Takberwujud'!$Y131+'Aset Takberwujud'!$T131*12-1))),'Aset Takberwujud'!$AQ131/'Aset Takberwujud'!$AG131,0)))</f>
        <v/>
      </c>
      <c r="I336" s="22" t="str">
        <f>IF($B336="","",IF(N('Aset Takberwujud'!$AG131)=0,0,IF(AND((YEAR(I$211)*12+MONTH(I$211))&gt;='Aset Takberwujud'!$Y131,(YEAR(I$211)*12+MONTH(I$211))&lt;=MIN('Aset Takberwujud'!$Z131,IF('Aset Takberwujud'!$S131="Unit Produksi",99999,'Aset Takberwujud'!$Y131+'Aset Takberwujud'!$T131*12-1))),'Aset Takberwujud'!$AQ131/'Aset Takberwujud'!$AG131,0)))</f>
        <v/>
      </c>
      <c r="J336" s="22" t="str">
        <f>IF($B336="","",IF(N('Aset Takberwujud'!$AG131)=0,0,IF(AND((YEAR(J$211)*12+MONTH(J$211))&gt;='Aset Takberwujud'!$Y131,(YEAR(J$211)*12+MONTH(J$211))&lt;=MIN('Aset Takberwujud'!$Z131,IF('Aset Takberwujud'!$S131="Unit Produksi",99999,'Aset Takberwujud'!$Y131+'Aset Takberwujud'!$T131*12-1))),'Aset Takberwujud'!$AQ131/'Aset Takberwujud'!$AG131,0)))</f>
        <v/>
      </c>
      <c r="K336" s="22" t="str">
        <f>IF($B336="","",IF(N('Aset Takberwujud'!$AG131)=0,0,IF(AND((YEAR(K$211)*12+MONTH(K$211))&gt;='Aset Takberwujud'!$Y131,(YEAR(K$211)*12+MONTH(K$211))&lt;=MIN('Aset Takberwujud'!$Z131,IF('Aset Takberwujud'!$S131="Unit Produksi",99999,'Aset Takberwujud'!$Y131+'Aset Takberwujud'!$T131*12-1))),'Aset Takberwujud'!$AQ131/'Aset Takberwujud'!$AG131,0)))</f>
        <v/>
      </c>
      <c r="L336" s="22" t="str">
        <f>IF($B336="","",IF(N('Aset Takberwujud'!$AG131)=0,0,IF(AND((YEAR(L$211)*12+MONTH(L$211))&gt;='Aset Takberwujud'!$Y131,(YEAR(L$211)*12+MONTH(L$211))&lt;=MIN('Aset Takberwujud'!$Z131,IF('Aset Takberwujud'!$S131="Unit Produksi",99999,'Aset Takberwujud'!$Y131+'Aset Takberwujud'!$T131*12-1))),'Aset Takberwujud'!$AQ131/'Aset Takberwujud'!$AG131,0)))</f>
        <v/>
      </c>
      <c r="M336" s="22" t="str">
        <f>IF($B336="","",IF(N('Aset Takberwujud'!$AG131)=0,0,IF(AND((YEAR(M$211)*12+MONTH(M$211))&gt;='Aset Takberwujud'!$Y131,(YEAR(M$211)*12+MONTH(M$211))&lt;=MIN('Aset Takberwujud'!$Z131,IF('Aset Takberwujud'!$S131="Unit Produksi",99999,'Aset Takberwujud'!$Y131+'Aset Takberwujud'!$T131*12-1))),'Aset Takberwujud'!$AQ131/'Aset Takberwujud'!$AG131,0)))</f>
        <v/>
      </c>
      <c r="N336" s="22" t="str">
        <f>IF($B336="","",IF(N('Aset Takberwujud'!$AG131)=0,0,IF(AND((YEAR(N$211)*12+MONTH(N$211))&gt;='Aset Takberwujud'!$Y131,(YEAR(N$211)*12+MONTH(N$211))&lt;=MIN('Aset Takberwujud'!$Z131,IF('Aset Takberwujud'!$S131="Unit Produksi",99999,'Aset Takberwujud'!$Y131+'Aset Takberwujud'!$T131*12-1))),'Aset Takberwujud'!$AQ131/'Aset Takberwujud'!$AG131,0)))</f>
        <v/>
      </c>
      <c r="O336" s="22" t="str">
        <f>IF($B336="","",IF(N('Aset Takberwujud'!$AG131)=0,0,IF(AND((YEAR(O$211)*12+MONTH(O$211))&gt;='Aset Takberwujud'!$Y131,(YEAR(O$211)*12+MONTH(O$211))&lt;=MIN('Aset Takberwujud'!$Z131,IF('Aset Takberwujud'!$S131="Unit Produksi",99999,'Aset Takberwujud'!$Y131+'Aset Takberwujud'!$T131*12-1))),'Aset Takberwujud'!$AQ131/'Aset Takberwujud'!$AG131,0)))</f>
        <v/>
      </c>
      <c r="P336" s="22" t="str">
        <f>IF($B336="","",IF(N('Aset Takberwujud'!$AG131)=0,0,IF(AND((YEAR(P$211)*12+MONTH(P$211))&gt;='Aset Takberwujud'!$Y131,(YEAR(P$211)*12+MONTH(P$211))&lt;=MIN('Aset Takberwujud'!$Z131,IF('Aset Takberwujud'!$S131="Unit Produksi",99999,'Aset Takberwujud'!$Y131+'Aset Takberwujud'!$T131*12-1))),'Aset Takberwujud'!$AQ131/'Aset Takberwujud'!$AG131,0)))</f>
        <v/>
      </c>
      <c r="Q336" s="22" t="str">
        <f>IF($B336="","",SUM(E336:P336))</f>
        <v/>
      </c>
      <c r="R336" s="22" t="str">
        <f>IF($B336="","",'Aset Takberwujud'!AQ131)</f>
        <v/>
      </c>
      <c r="S336" s="22" t="str">
        <f>IF($B336="","",ROUND(Q336-R336,0))</f>
        <v/>
      </c>
    </row>
    <row r="337" spans="1:19" x14ac:dyDescent="0.25">
      <c r="A337" t="str">
        <f>IF('Aset Takberwujud'!$B132="","",'Aset Takberwujud'!A132)</f>
        <v/>
      </c>
      <c r="B337" t="str">
        <f>IF('Aset Takberwujud'!$B132="","",'Aset Takberwujud'!B132)</f>
        <v/>
      </c>
      <c r="C337" t="str">
        <f>IF('Aset Takberwujud'!$B132="","",'Aset Takberwujud'!C132)</f>
        <v/>
      </c>
      <c r="D337" t="str">
        <f>IF('Aset Takberwujud'!$B132="","",'Aset Takberwujud'!D132)</f>
        <v/>
      </c>
      <c r="E337" s="22" t="str">
        <f>IF($B337="","",IF(N('Aset Takberwujud'!$AG132)=0,0,IF(AND((YEAR(E$211)*12+MONTH(E$211))&gt;='Aset Takberwujud'!$Y132,(YEAR(E$211)*12+MONTH(E$211))&lt;=MIN('Aset Takberwujud'!$Z132,IF('Aset Takberwujud'!$S132="Unit Produksi",99999,'Aset Takberwujud'!$Y132+'Aset Takberwujud'!$T132*12-1))),'Aset Takberwujud'!$AQ132/'Aset Takberwujud'!$AG132,0)))</f>
        <v/>
      </c>
      <c r="F337" s="22" t="str">
        <f>IF($B337="","",IF(N('Aset Takberwujud'!$AG132)=0,0,IF(AND((YEAR(F$211)*12+MONTH(F$211))&gt;='Aset Takberwujud'!$Y132,(YEAR(F$211)*12+MONTH(F$211))&lt;=MIN('Aset Takberwujud'!$Z132,IF('Aset Takberwujud'!$S132="Unit Produksi",99999,'Aset Takberwujud'!$Y132+'Aset Takberwujud'!$T132*12-1))),'Aset Takberwujud'!$AQ132/'Aset Takberwujud'!$AG132,0)))</f>
        <v/>
      </c>
      <c r="G337" s="22" t="str">
        <f>IF($B337="","",IF(N('Aset Takberwujud'!$AG132)=0,0,IF(AND((YEAR(G$211)*12+MONTH(G$211))&gt;='Aset Takberwujud'!$Y132,(YEAR(G$211)*12+MONTH(G$211))&lt;=MIN('Aset Takberwujud'!$Z132,IF('Aset Takberwujud'!$S132="Unit Produksi",99999,'Aset Takberwujud'!$Y132+'Aset Takberwujud'!$T132*12-1))),'Aset Takberwujud'!$AQ132/'Aset Takberwujud'!$AG132,0)))</f>
        <v/>
      </c>
      <c r="H337" s="22" t="str">
        <f>IF($B337="","",IF(N('Aset Takberwujud'!$AG132)=0,0,IF(AND((YEAR(H$211)*12+MONTH(H$211))&gt;='Aset Takberwujud'!$Y132,(YEAR(H$211)*12+MONTH(H$211))&lt;=MIN('Aset Takberwujud'!$Z132,IF('Aset Takberwujud'!$S132="Unit Produksi",99999,'Aset Takberwujud'!$Y132+'Aset Takberwujud'!$T132*12-1))),'Aset Takberwujud'!$AQ132/'Aset Takberwujud'!$AG132,0)))</f>
        <v/>
      </c>
      <c r="I337" s="22" t="str">
        <f>IF($B337="","",IF(N('Aset Takberwujud'!$AG132)=0,0,IF(AND((YEAR(I$211)*12+MONTH(I$211))&gt;='Aset Takberwujud'!$Y132,(YEAR(I$211)*12+MONTH(I$211))&lt;=MIN('Aset Takberwujud'!$Z132,IF('Aset Takberwujud'!$S132="Unit Produksi",99999,'Aset Takberwujud'!$Y132+'Aset Takberwujud'!$T132*12-1))),'Aset Takberwujud'!$AQ132/'Aset Takberwujud'!$AG132,0)))</f>
        <v/>
      </c>
      <c r="J337" s="22" t="str">
        <f>IF($B337="","",IF(N('Aset Takberwujud'!$AG132)=0,0,IF(AND((YEAR(J$211)*12+MONTH(J$211))&gt;='Aset Takberwujud'!$Y132,(YEAR(J$211)*12+MONTH(J$211))&lt;=MIN('Aset Takberwujud'!$Z132,IF('Aset Takberwujud'!$S132="Unit Produksi",99999,'Aset Takberwujud'!$Y132+'Aset Takberwujud'!$T132*12-1))),'Aset Takberwujud'!$AQ132/'Aset Takberwujud'!$AG132,0)))</f>
        <v/>
      </c>
      <c r="K337" s="22" t="str">
        <f>IF($B337="","",IF(N('Aset Takberwujud'!$AG132)=0,0,IF(AND((YEAR(K$211)*12+MONTH(K$211))&gt;='Aset Takberwujud'!$Y132,(YEAR(K$211)*12+MONTH(K$211))&lt;=MIN('Aset Takberwujud'!$Z132,IF('Aset Takberwujud'!$S132="Unit Produksi",99999,'Aset Takberwujud'!$Y132+'Aset Takberwujud'!$T132*12-1))),'Aset Takberwujud'!$AQ132/'Aset Takberwujud'!$AG132,0)))</f>
        <v/>
      </c>
      <c r="L337" s="22" t="str">
        <f>IF($B337="","",IF(N('Aset Takberwujud'!$AG132)=0,0,IF(AND((YEAR(L$211)*12+MONTH(L$211))&gt;='Aset Takberwujud'!$Y132,(YEAR(L$211)*12+MONTH(L$211))&lt;=MIN('Aset Takberwujud'!$Z132,IF('Aset Takberwujud'!$S132="Unit Produksi",99999,'Aset Takberwujud'!$Y132+'Aset Takberwujud'!$T132*12-1))),'Aset Takberwujud'!$AQ132/'Aset Takberwujud'!$AG132,0)))</f>
        <v/>
      </c>
      <c r="M337" s="22" t="str">
        <f>IF($B337="","",IF(N('Aset Takberwujud'!$AG132)=0,0,IF(AND((YEAR(M$211)*12+MONTH(M$211))&gt;='Aset Takberwujud'!$Y132,(YEAR(M$211)*12+MONTH(M$211))&lt;=MIN('Aset Takberwujud'!$Z132,IF('Aset Takberwujud'!$S132="Unit Produksi",99999,'Aset Takberwujud'!$Y132+'Aset Takberwujud'!$T132*12-1))),'Aset Takberwujud'!$AQ132/'Aset Takberwujud'!$AG132,0)))</f>
        <v/>
      </c>
      <c r="N337" s="22" t="str">
        <f>IF($B337="","",IF(N('Aset Takberwujud'!$AG132)=0,0,IF(AND((YEAR(N$211)*12+MONTH(N$211))&gt;='Aset Takberwujud'!$Y132,(YEAR(N$211)*12+MONTH(N$211))&lt;=MIN('Aset Takberwujud'!$Z132,IF('Aset Takberwujud'!$S132="Unit Produksi",99999,'Aset Takberwujud'!$Y132+'Aset Takberwujud'!$T132*12-1))),'Aset Takberwujud'!$AQ132/'Aset Takberwujud'!$AG132,0)))</f>
        <v/>
      </c>
      <c r="O337" s="22" t="str">
        <f>IF($B337="","",IF(N('Aset Takberwujud'!$AG132)=0,0,IF(AND((YEAR(O$211)*12+MONTH(O$211))&gt;='Aset Takberwujud'!$Y132,(YEAR(O$211)*12+MONTH(O$211))&lt;=MIN('Aset Takberwujud'!$Z132,IF('Aset Takberwujud'!$S132="Unit Produksi",99999,'Aset Takberwujud'!$Y132+'Aset Takberwujud'!$T132*12-1))),'Aset Takberwujud'!$AQ132/'Aset Takberwujud'!$AG132,0)))</f>
        <v/>
      </c>
      <c r="P337" s="22" t="str">
        <f>IF($B337="","",IF(N('Aset Takberwujud'!$AG132)=0,0,IF(AND((YEAR(P$211)*12+MONTH(P$211))&gt;='Aset Takberwujud'!$Y132,(YEAR(P$211)*12+MONTH(P$211))&lt;=MIN('Aset Takberwujud'!$Z132,IF('Aset Takberwujud'!$S132="Unit Produksi",99999,'Aset Takberwujud'!$Y132+'Aset Takberwujud'!$T132*12-1))),'Aset Takberwujud'!$AQ132/'Aset Takberwujud'!$AG132,0)))</f>
        <v/>
      </c>
      <c r="Q337" s="22" t="str">
        <f>IF($B337="","",SUM(E337:P337))</f>
        <v/>
      </c>
      <c r="R337" s="22" t="str">
        <f>IF($B337="","",'Aset Takberwujud'!AQ132)</f>
        <v/>
      </c>
      <c r="S337" s="22" t="str">
        <f>IF($B337="","",ROUND(Q337-R337,0))</f>
        <v/>
      </c>
    </row>
    <row r="338" spans="1:19" x14ac:dyDescent="0.25">
      <c r="A338" t="str">
        <f>IF('Aset Takberwujud'!$B133="","",'Aset Takberwujud'!A133)</f>
        <v/>
      </c>
      <c r="B338" t="str">
        <f>IF('Aset Takberwujud'!$B133="","",'Aset Takberwujud'!B133)</f>
        <v/>
      </c>
      <c r="C338" t="str">
        <f>IF('Aset Takberwujud'!$B133="","",'Aset Takberwujud'!C133)</f>
        <v/>
      </c>
      <c r="D338" t="str">
        <f>IF('Aset Takberwujud'!$B133="","",'Aset Takberwujud'!D133)</f>
        <v/>
      </c>
      <c r="E338" s="22" t="str">
        <f>IF($B338="","",IF(N('Aset Takberwujud'!$AG133)=0,0,IF(AND((YEAR(E$211)*12+MONTH(E$211))&gt;='Aset Takberwujud'!$Y133,(YEAR(E$211)*12+MONTH(E$211))&lt;=MIN('Aset Takberwujud'!$Z133,IF('Aset Takberwujud'!$S133="Unit Produksi",99999,'Aset Takberwujud'!$Y133+'Aset Takberwujud'!$T133*12-1))),'Aset Takberwujud'!$AQ133/'Aset Takberwujud'!$AG133,0)))</f>
        <v/>
      </c>
      <c r="F338" s="22" t="str">
        <f>IF($B338="","",IF(N('Aset Takberwujud'!$AG133)=0,0,IF(AND((YEAR(F$211)*12+MONTH(F$211))&gt;='Aset Takberwujud'!$Y133,(YEAR(F$211)*12+MONTH(F$211))&lt;=MIN('Aset Takberwujud'!$Z133,IF('Aset Takberwujud'!$S133="Unit Produksi",99999,'Aset Takberwujud'!$Y133+'Aset Takberwujud'!$T133*12-1))),'Aset Takberwujud'!$AQ133/'Aset Takberwujud'!$AG133,0)))</f>
        <v/>
      </c>
      <c r="G338" s="22" t="str">
        <f>IF($B338="","",IF(N('Aset Takberwujud'!$AG133)=0,0,IF(AND((YEAR(G$211)*12+MONTH(G$211))&gt;='Aset Takberwujud'!$Y133,(YEAR(G$211)*12+MONTH(G$211))&lt;=MIN('Aset Takberwujud'!$Z133,IF('Aset Takberwujud'!$S133="Unit Produksi",99999,'Aset Takberwujud'!$Y133+'Aset Takberwujud'!$T133*12-1))),'Aset Takberwujud'!$AQ133/'Aset Takberwujud'!$AG133,0)))</f>
        <v/>
      </c>
      <c r="H338" s="22" t="str">
        <f>IF($B338="","",IF(N('Aset Takberwujud'!$AG133)=0,0,IF(AND((YEAR(H$211)*12+MONTH(H$211))&gt;='Aset Takberwujud'!$Y133,(YEAR(H$211)*12+MONTH(H$211))&lt;=MIN('Aset Takberwujud'!$Z133,IF('Aset Takberwujud'!$S133="Unit Produksi",99999,'Aset Takberwujud'!$Y133+'Aset Takberwujud'!$T133*12-1))),'Aset Takberwujud'!$AQ133/'Aset Takberwujud'!$AG133,0)))</f>
        <v/>
      </c>
      <c r="I338" s="22" t="str">
        <f>IF($B338="","",IF(N('Aset Takberwujud'!$AG133)=0,0,IF(AND((YEAR(I$211)*12+MONTH(I$211))&gt;='Aset Takberwujud'!$Y133,(YEAR(I$211)*12+MONTH(I$211))&lt;=MIN('Aset Takberwujud'!$Z133,IF('Aset Takberwujud'!$S133="Unit Produksi",99999,'Aset Takberwujud'!$Y133+'Aset Takberwujud'!$T133*12-1))),'Aset Takberwujud'!$AQ133/'Aset Takberwujud'!$AG133,0)))</f>
        <v/>
      </c>
      <c r="J338" s="22" t="str">
        <f>IF($B338="","",IF(N('Aset Takberwujud'!$AG133)=0,0,IF(AND((YEAR(J$211)*12+MONTH(J$211))&gt;='Aset Takberwujud'!$Y133,(YEAR(J$211)*12+MONTH(J$211))&lt;=MIN('Aset Takberwujud'!$Z133,IF('Aset Takberwujud'!$S133="Unit Produksi",99999,'Aset Takberwujud'!$Y133+'Aset Takberwujud'!$T133*12-1))),'Aset Takberwujud'!$AQ133/'Aset Takberwujud'!$AG133,0)))</f>
        <v/>
      </c>
      <c r="K338" s="22" t="str">
        <f>IF($B338="","",IF(N('Aset Takberwujud'!$AG133)=0,0,IF(AND((YEAR(K$211)*12+MONTH(K$211))&gt;='Aset Takberwujud'!$Y133,(YEAR(K$211)*12+MONTH(K$211))&lt;=MIN('Aset Takberwujud'!$Z133,IF('Aset Takberwujud'!$S133="Unit Produksi",99999,'Aset Takberwujud'!$Y133+'Aset Takberwujud'!$T133*12-1))),'Aset Takberwujud'!$AQ133/'Aset Takberwujud'!$AG133,0)))</f>
        <v/>
      </c>
      <c r="L338" s="22" t="str">
        <f>IF($B338="","",IF(N('Aset Takberwujud'!$AG133)=0,0,IF(AND((YEAR(L$211)*12+MONTH(L$211))&gt;='Aset Takberwujud'!$Y133,(YEAR(L$211)*12+MONTH(L$211))&lt;=MIN('Aset Takberwujud'!$Z133,IF('Aset Takberwujud'!$S133="Unit Produksi",99999,'Aset Takberwujud'!$Y133+'Aset Takberwujud'!$T133*12-1))),'Aset Takberwujud'!$AQ133/'Aset Takberwujud'!$AG133,0)))</f>
        <v/>
      </c>
      <c r="M338" s="22" t="str">
        <f>IF($B338="","",IF(N('Aset Takberwujud'!$AG133)=0,0,IF(AND((YEAR(M$211)*12+MONTH(M$211))&gt;='Aset Takberwujud'!$Y133,(YEAR(M$211)*12+MONTH(M$211))&lt;=MIN('Aset Takberwujud'!$Z133,IF('Aset Takberwujud'!$S133="Unit Produksi",99999,'Aset Takberwujud'!$Y133+'Aset Takberwujud'!$T133*12-1))),'Aset Takberwujud'!$AQ133/'Aset Takberwujud'!$AG133,0)))</f>
        <v/>
      </c>
      <c r="N338" s="22" t="str">
        <f>IF($B338="","",IF(N('Aset Takberwujud'!$AG133)=0,0,IF(AND((YEAR(N$211)*12+MONTH(N$211))&gt;='Aset Takberwujud'!$Y133,(YEAR(N$211)*12+MONTH(N$211))&lt;=MIN('Aset Takberwujud'!$Z133,IF('Aset Takberwujud'!$S133="Unit Produksi",99999,'Aset Takberwujud'!$Y133+'Aset Takberwujud'!$T133*12-1))),'Aset Takberwujud'!$AQ133/'Aset Takberwujud'!$AG133,0)))</f>
        <v/>
      </c>
      <c r="O338" s="22" t="str">
        <f>IF($B338="","",IF(N('Aset Takberwujud'!$AG133)=0,0,IF(AND((YEAR(O$211)*12+MONTH(O$211))&gt;='Aset Takberwujud'!$Y133,(YEAR(O$211)*12+MONTH(O$211))&lt;=MIN('Aset Takberwujud'!$Z133,IF('Aset Takberwujud'!$S133="Unit Produksi",99999,'Aset Takberwujud'!$Y133+'Aset Takberwujud'!$T133*12-1))),'Aset Takberwujud'!$AQ133/'Aset Takberwujud'!$AG133,0)))</f>
        <v/>
      </c>
      <c r="P338" s="22" t="str">
        <f>IF($B338="","",IF(N('Aset Takberwujud'!$AG133)=0,0,IF(AND((YEAR(P$211)*12+MONTH(P$211))&gt;='Aset Takberwujud'!$Y133,(YEAR(P$211)*12+MONTH(P$211))&lt;=MIN('Aset Takberwujud'!$Z133,IF('Aset Takberwujud'!$S133="Unit Produksi",99999,'Aset Takberwujud'!$Y133+'Aset Takberwujud'!$T133*12-1))),'Aset Takberwujud'!$AQ133/'Aset Takberwujud'!$AG133,0)))</f>
        <v/>
      </c>
      <c r="Q338" s="22" t="str">
        <f>IF($B338="","",SUM(E338:P338))</f>
        <v/>
      </c>
      <c r="R338" s="22" t="str">
        <f>IF($B338="","",'Aset Takberwujud'!AQ133)</f>
        <v/>
      </c>
      <c r="S338" s="22" t="str">
        <f>IF($B338="","",ROUND(Q338-R338,0))</f>
        <v/>
      </c>
    </row>
    <row r="339" spans="1:19" x14ac:dyDescent="0.25">
      <c r="A339" t="str">
        <f>IF('Aset Takberwujud'!$B134="","",'Aset Takberwujud'!A134)</f>
        <v/>
      </c>
      <c r="B339" t="str">
        <f>IF('Aset Takberwujud'!$B134="","",'Aset Takberwujud'!B134)</f>
        <v/>
      </c>
      <c r="C339" t="str">
        <f>IF('Aset Takberwujud'!$B134="","",'Aset Takberwujud'!C134)</f>
        <v/>
      </c>
      <c r="D339" t="str">
        <f>IF('Aset Takberwujud'!$B134="","",'Aset Takberwujud'!D134)</f>
        <v/>
      </c>
      <c r="E339" s="22" t="str">
        <f>IF($B339="","",IF(N('Aset Takberwujud'!$AG134)=0,0,IF(AND((YEAR(E$211)*12+MONTH(E$211))&gt;='Aset Takberwujud'!$Y134,(YEAR(E$211)*12+MONTH(E$211))&lt;=MIN('Aset Takberwujud'!$Z134,IF('Aset Takberwujud'!$S134="Unit Produksi",99999,'Aset Takberwujud'!$Y134+'Aset Takberwujud'!$T134*12-1))),'Aset Takberwujud'!$AQ134/'Aset Takberwujud'!$AG134,0)))</f>
        <v/>
      </c>
      <c r="F339" s="22" t="str">
        <f>IF($B339="","",IF(N('Aset Takberwujud'!$AG134)=0,0,IF(AND((YEAR(F$211)*12+MONTH(F$211))&gt;='Aset Takberwujud'!$Y134,(YEAR(F$211)*12+MONTH(F$211))&lt;=MIN('Aset Takberwujud'!$Z134,IF('Aset Takberwujud'!$S134="Unit Produksi",99999,'Aset Takberwujud'!$Y134+'Aset Takberwujud'!$T134*12-1))),'Aset Takberwujud'!$AQ134/'Aset Takberwujud'!$AG134,0)))</f>
        <v/>
      </c>
      <c r="G339" s="22" t="str">
        <f>IF($B339="","",IF(N('Aset Takberwujud'!$AG134)=0,0,IF(AND((YEAR(G$211)*12+MONTH(G$211))&gt;='Aset Takberwujud'!$Y134,(YEAR(G$211)*12+MONTH(G$211))&lt;=MIN('Aset Takberwujud'!$Z134,IF('Aset Takberwujud'!$S134="Unit Produksi",99999,'Aset Takberwujud'!$Y134+'Aset Takberwujud'!$T134*12-1))),'Aset Takberwujud'!$AQ134/'Aset Takberwujud'!$AG134,0)))</f>
        <v/>
      </c>
      <c r="H339" s="22" t="str">
        <f>IF($B339="","",IF(N('Aset Takberwujud'!$AG134)=0,0,IF(AND((YEAR(H$211)*12+MONTH(H$211))&gt;='Aset Takberwujud'!$Y134,(YEAR(H$211)*12+MONTH(H$211))&lt;=MIN('Aset Takberwujud'!$Z134,IF('Aset Takberwujud'!$S134="Unit Produksi",99999,'Aset Takberwujud'!$Y134+'Aset Takberwujud'!$T134*12-1))),'Aset Takberwujud'!$AQ134/'Aset Takberwujud'!$AG134,0)))</f>
        <v/>
      </c>
      <c r="I339" s="22" t="str">
        <f>IF($B339="","",IF(N('Aset Takberwujud'!$AG134)=0,0,IF(AND((YEAR(I$211)*12+MONTH(I$211))&gt;='Aset Takberwujud'!$Y134,(YEAR(I$211)*12+MONTH(I$211))&lt;=MIN('Aset Takberwujud'!$Z134,IF('Aset Takberwujud'!$S134="Unit Produksi",99999,'Aset Takberwujud'!$Y134+'Aset Takberwujud'!$T134*12-1))),'Aset Takberwujud'!$AQ134/'Aset Takberwujud'!$AG134,0)))</f>
        <v/>
      </c>
      <c r="J339" s="22" t="str">
        <f>IF($B339="","",IF(N('Aset Takberwujud'!$AG134)=0,0,IF(AND((YEAR(J$211)*12+MONTH(J$211))&gt;='Aset Takberwujud'!$Y134,(YEAR(J$211)*12+MONTH(J$211))&lt;=MIN('Aset Takberwujud'!$Z134,IF('Aset Takberwujud'!$S134="Unit Produksi",99999,'Aset Takberwujud'!$Y134+'Aset Takberwujud'!$T134*12-1))),'Aset Takberwujud'!$AQ134/'Aset Takberwujud'!$AG134,0)))</f>
        <v/>
      </c>
      <c r="K339" s="22" t="str">
        <f>IF($B339="","",IF(N('Aset Takberwujud'!$AG134)=0,0,IF(AND((YEAR(K$211)*12+MONTH(K$211))&gt;='Aset Takberwujud'!$Y134,(YEAR(K$211)*12+MONTH(K$211))&lt;=MIN('Aset Takberwujud'!$Z134,IF('Aset Takberwujud'!$S134="Unit Produksi",99999,'Aset Takberwujud'!$Y134+'Aset Takberwujud'!$T134*12-1))),'Aset Takberwujud'!$AQ134/'Aset Takberwujud'!$AG134,0)))</f>
        <v/>
      </c>
      <c r="L339" s="22" t="str">
        <f>IF($B339="","",IF(N('Aset Takberwujud'!$AG134)=0,0,IF(AND((YEAR(L$211)*12+MONTH(L$211))&gt;='Aset Takberwujud'!$Y134,(YEAR(L$211)*12+MONTH(L$211))&lt;=MIN('Aset Takberwujud'!$Z134,IF('Aset Takberwujud'!$S134="Unit Produksi",99999,'Aset Takberwujud'!$Y134+'Aset Takberwujud'!$T134*12-1))),'Aset Takberwujud'!$AQ134/'Aset Takberwujud'!$AG134,0)))</f>
        <v/>
      </c>
      <c r="M339" s="22" t="str">
        <f>IF($B339="","",IF(N('Aset Takberwujud'!$AG134)=0,0,IF(AND((YEAR(M$211)*12+MONTH(M$211))&gt;='Aset Takberwujud'!$Y134,(YEAR(M$211)*12+MONTH(M$211))&lt;=MIN('Aset Takberwujud'!$Z134,IF('Aset Takberwujud'!$S134="Unit Produksi",99999,'Aset Takberwujud'!$Y134+'Aset Takberwujud'!$T134*12-1))),'Aset Takberwujud'!$AQ134/'Aset Takberwujud'!$AG134,0)))</f>
        <v/>
      </c>
      <c r="N339" s="22" t="str">
        <f>IF($B339="","",IF(N('Aset Takberwujud'!$AG134)=0,0,IF(AND((YEAR(N$211)*12+MONTH(N$211))&gt;='Aset Takberwujud'!$Y134,(YEAR(N$211)*12+MONTH(N$211))&lt;=MIN('Aset Takberwujud'!$Z134,IF('Aset Takberwujud'!$S134="Unit Produksi",99999,'Aset Takberwujud'!$Y134+'Aset Takberwujud'!$T134*12-1))),'Aset Takberwujud'!$AQ134/'Aset Takberwujud'!$AG134,0)))</f>
        <v/>
      </c>
      <c r="O339" s="22" t="str">
        <f>IF($B339="","",IF(N('Aset Takberwujud'!$AG134)=0,0,IF(AND((YEAR(O$211)*12+MONTH(O$211))&gt;='Aset Takberwujud'!$Y134,(YEAR(O$211)*12+MONTH(O$211))&lt;=MIN('Aset Takberwujud'!$Z134,IF('Aset Takberwujud'!$S134="Unit Produksi",99999,'Aset Takberwujud'!$Y134+'Aset Takberwujud'!$T134*12-1))),'Aset Takberwujud'!$AQ134/'Aset Takberwujud'!$AG134,0)))</f>
        <v/>
      </c>
      <c r="P339" s="22" t="str">
        <f>IF($B339="","",IF(N('Aset Takberwujud'!$AG134)=0,0,IF(AND((YEAR(P$211)*12+MONTH(P$211))&gt;='Aset Takberwujud'!$Y134,(YEAR(P$211)*12+MONTH(P$211))&lt;=MIN('Aset Takberwujud'!$Z134,IF('Aset Takberwujud'!$S134="Unit Produksi",99999,'Aset Takberwujud'!$Y134+'Aset Takberwujud'!$T134*12-1))),'Aset Takberwujud'!$AQ134/'Aset Takberwujud'!$AG134,0)))</f>
        <v/>
      </c>
      <c r="Q339" s="22" t="str">
        <f>IF($B339="","",SUM(E339:P339))</f>
        <v/>
      </c>
      <c r="R339" s="22" t="str">
        <f>IF($B339="","",'Aset Takberwujud'!AQ134)</f>
        <v/>
      </c>
      <c r="S339" s="22" t="str">
        <f>IF($B339="","",ROUND(Q339-R339,0))</f>
        <v/>
      </c>
    </row>
    <row r="340" spans="1:19" x14ac:dyDescent="0.25">
      <c r="A340" t="str">
        <f>IF('Aset Takberwujud'!$B135="","",'Aset Takberwujud'!A135)</f>
        <v/>
      </c>
      <c r="B340" t="str">
        <f>IF('Aset Takberwujud'!$B135="","",'Aset Takberwujud'!B135)</f>
        <v/>
      </c>
      <c r="C340" t="str">
        <f>IF('Aset Takberwujud'!$B135="","",'Aset Takberwujud'!C135)</f>
        <v/>
      </c>
      <c r="D340" t="str">
        <f>IF('Aset Takberwujud'!$B135="","",'Aset Takberwujud'!D135)</f>
        <v/>
      </c>
      <c r="E340" s="22" t="str">
        <f>IF($B340="","",IF(N('Aset Takberwujud'!$AG135)=0,0,IF(AND((YEAR(E$211)*12+MONTH(E$211))&gt;='Aset Takberwujud'!$Y135,(YEAR(E$211)*12+MONTH(E$211))&lt;=MIN('Aset Takberwujud'!$Z135,IF('Aset Takberwujud'!$S135="Unit Produksi",99999,'Aset Takberwujud'!$Y135+'Aset Takberwujud'!$T135*12-1))),'Aset Takberwujud'!$AQ135/'Aset Takberwujud'!$AG135,0)))</f>
        <v/>
      </c>
      <c r="F340" s="22" t="str">
        <f>IF($B340="","",IF(N('Aset Takberwujud'!$AG135)=0,0,IF(AND((YEAR(F$211)*12+MONTH(F$211))&gt;='Aset Takberwujud'!$Y135,(YEAR(F$211)*12+MONTH(F$211))&lt;=MIN('Aset Takberwujud'!$Z135,IF('Aset Takberwujud'!$S135="Unit Produksi",99999,'Aset Takberwujud'!$Y135+'Aset Takberwujud'!$T135*12-1))),'Aset Takberwujud'!$AQ135/'Aset Takberwujud'!$AG135,0)))</f>
        <v/>
      </c>
      <c r="G340" s="22" t="str">
        <f>IF($B340="","",IF(N('Aset Takberwujud'!$AG135)=0,0,IF(AND((YEAR(G$211)*12+MONTH(G$211))&gt;='Aset Takberwujud'!$Y135,(YEAR(G$211)*12+MONTH(G$211))&lt;=MIN('Aset Takberwujud'!$Z135,IF('Aset Takberwujud'!$S135="Unit Produksi",99999,'Aset Takberwujud'!$Y135+'Aset Takberwujud'!$T135*12-1))),'Aset Takberwujud'!$AQ135/'Aset Takberwujud'!$AG135,0)))</f>
        <v/>
      </c>
      <c r="H340" s="22" t="str">
        <f>IF($B340="","",IF(N('Aset Takberwujud'!$AG135)=0,0,IF(AND((YEAR(H$211)*12+MONTH(H$211))&gt;='Aset Takberwujud'!$Y135,(YEAR(H$211)*12+MONTH(H$211))&lt;=MIN('Aset Takberwujud'!$Z135,IF('Aset Takberwujud'!$S135="Unit Produksi",99999,'Aset Takberwujud'!$Y135+'Aset Takberwujud'!$T135*12-1))),'Aset Takberwujud'!$AQ135/'Aset Takberwujud'!$AG135,0)))</f>
        <v/>
      </c>
      <c r="I340" s="22" t="str">
        <f>IF($B340="","",IF(N('Aset Takberwujud'!$AG135)=0,0,IF(AND((YEAR(I$211)*12+MONTH(I$211))&gt;='Aset Takberwujud'!$Y135,(YEAR(I$211)*12+MONTH(I$211))&lt;=MIN('Aset Takberwujud'!$Z135,IF('Aset Takberwujud'!$S135="Unit Produksi",99999,'Aset Takberwujud'!$Y135+'Aset Takberwujud'!$T135*12-1))),'Aset Takberwujud'!$AQ135/'Aset Takberwujud'!$AG135,0)))</f>
        <v/>
      </c>
      <c r="J340" s="22" t="str">
        <f>IF($B340="","",IF(N('Aset Takberwujud'!$AG135)=0,0,IF(AND((YEAR(J$211)*12+MONTH(J$211))&gt;='Aset Takberwujud'!$Y135,(YEAR(J$211)*12+MONTH(J$211))&lt;=MIN('Aset Takberwujud'!$Z135,IF('Aset Takberwujud'!$S135="Unit Produksi",99999,'Aset Takberwujud'!$Y135+'Aset Takberwujud'!$T135*12-1))),'Aset Takberwujud'!$AQ135/'Aset Takberwujud'!$AG135,0)))</f>
        <v/>
      </c>
      <c r="K340" s="22" t="str">
        <f>IF($B340="","",IF(N('Aset Takberwujud'!$AG135)=0,0,IF(AND((YEAR(K$211)*12+MONTH(K$211))&gt;='Aset Takberwujud'!$Y135,(YEAR(K$211)*12+MONTH(K$211))&lt;=MIN('Aset Takberwujud'!$Z135,IF('Aset Takberwujud'!$S135="Unit Produksi",99999,'Aset Takberwujud'!$Y135+'Aset Takberwujud'!$T135*12-1))),'Aset Takberwujud'!$AQ135/'Aset Takberwujud'!$AG135,0)))</f>
        <v/>
      </c>
      <c r="L340" s="22" t="str">
        <f>IF($B340="","",IF(N('Aset Takberwujud'!$AG135)=0,0,IF(AND((YEAR(L$211)*12+MONTH(L$211))&gt;='Aset Takberwujud'!$Y135,(YEAR(L$211)*12+MONTH(L$211))&lt;=MIN('Aset Takberwujud'!$Z135,IF('Aset Takberwujud'!$S135="Unit Produksi",99999,'Aset Takberwujud'!$Y135+'Aset Takberwujud'!$T135*12-1))),'Aset Takberwujud'!$AQ135/'Aset Takberwujud'!$AG135,0)))</f>
        <v/>
      </c>
      <c r="M340" s="22" t="str">
        <f>IF($B340="","",IF(N('Aset Takberwujud'!$AG135)=0,0,IF(AND((YEAR(M$211)*12+MONTH(M$211))&gt;='Aset Takberwujud'!$Y135,(YEAR(M$211)*12+MONTH(M$211))&lt;=MIN('Aset Takberwujud'!$Z135,IF('Aset Takberwujud'!$S135="Unit Produksi",99999,'Aset Takberwujud'!$Y135+'Aset Takberwujud'!$T135*12-1))),'Aset Takberwujud'!$AQ135/'Aset Takberwujud'!$AG135,0)))</f>
        <v/>
      </c>
      <c r="N340" s="22" t="str">
        <f>IF($B340="","",IF(N('Aset Takberwujud'!$AG135)=0,0,IF(AND((YEAR(N$211)*12+MONTH(N$211))&gt;='Aset Takberwujud'!$Y135,(YEAR(N$211)*12+MONTH(N$211))&lt;=MIN('Aset Takberwujud'!$Z135,IF('Aset Takberwujud'!$S135="Unit Produksi",99999,'Aset Takberwujud'!$Y135+'Aset Takberwujud'!$T135*12-1))),'Aset Takberwujud'!$AQ135/'Aset Takberwujud'!$AG135,0)))</f>
        <v/>
      </c>
      <c r="O340" s="22" t="str">
        <f>IF($B340="","",IF(N('Aset Takberwujud'!$AG135)=0,0,IF(AND((YEAR(O$211)*12+MONTH(O$211))&gt;='Aset Takberwujud'!$Y135,(YEAR(O$211)*12+MONTH(O$211))&lt;=MIN('Aset Takberwujud'!$Z135,IF('Aset Takberwujud'!$S135="Unit Produksi",99999,'Aset Takberwujud'!$Y135+'Aset Takberwujud'!$T135*12-1))),'Aset Takberwujud'!$AQ135/'Aset Takberwujud'!$AG135,0)))</f>
        <v/>
      </c>
      <c r="P340" s="22" t="str">
        <f>IF($B340="","",IF(N('Aset Takberwujud'!$AG135)=0,0,IF(AND((YEAR(P$211)*12+MONTH(P$211))&gt;='Aset Takberwujud'!$Y135,(YEAR(P$211)*12+MONTH(P$211))&lt;=MIN('Aset Takberwujud'!$Z135,IF('Aset Takberwujud'!$S135="Unit Produksi",99999,'Aset Takberwujud'!$Y135+'Aset Takberwujud'!$T135*12-1))),'Aset Takberwujud'!$AQ135/'Aset Takberwujud'!$AG135,0)))</f>
        <v/>
      </c>
      <c r="Q340" s="22" t="str">
        <f>IF($B340="","",SUM(E340:P340))</f>
        <v/>
      </c>
      <c r="R340" s="22" t="str">
        <f>IF($B340="","",'Aset Takberwujud'!AQ135)</f>
        <v/>
      </c>
      <c r="S340" s="22" t="str">
        <f>IF($B340="","",ROUND(Q340-R340,0))</f>
        <v/>
      </c>
    </row>
    <row r="341" spans="1:19" x14ac:dyDescent="0.25">
      <c r="A341" t="str">
        <f>IF('Aset Takberwujud'!$B136="","",'Aset Takberwujud'!A136)</f>
        <v/>
      </c>
      <c r="B341" t="str">
        <f>IF('Aset Takberwujud'!$B136="","",'Aset Takberwujud'!B136)</f>
        <v/>
      </c>
      <c r="C341" t="str">
        <f>IF('Aset Takberwujud'!$B136="","",'Aset Takberwujud'!C136)</f>
        <v/>
      </c>
      <c r="D341" t="str">
        <f>IF('Aset Takberwujud'!$B136="","",'Aset Takberwujud'!D136)</f>
        <v/>
      </c>
      <c r="E341" s="22" t="str">
        <f>IF($B341="","",IF(N('Aset Takberwujud'!$AG136)=0,0,IF(AND((YEAR(E$211)*12+MONTH(E$211))&gt;='Aset Takberwujud'!$Y136,(YEAR(E$211)*12+MONTH(E$211))&lt;=MIN('Aset Takberwujud'!$Z136,IF('Aset Takberwujud'!$S136="Unit Produksi",99999,'Aset Takberwujud'!$Y136+'Aset Takberwujud'!$T136*12-1))),'Aset Takberwujud'!$AQ136/'Aset Takberwujud'!$AG136,0)))</f>
        <v/>
      </c>
      <c r="F341" s="22" t="str">
        <f>IF($B341="","",IF(N('Aset Takberwujud'!$AG136)=0,0,IF(AND((YEAR(F$211)*12+MONTH(F$211))&gt;='Aset Takberwujud'!$Y136,(YEAR(F$211)*12+MONTH(F$211))&lt;=MIN('Aset Takberwujud'!$Z136,IF('Aset Takberwujud'!$S136="Unit Produksi",99999,'Aset Takberwujud'!$Y136+'Aset Takberwujud'!$T136*12-1))),'Aset Takberwujud'!$AQ136/'Aset Takberwujud'!$AG136,0)))</f>
        <v/>
      </c>
      <c r="G341" s="22" t="str">
        <f>IF($B341="","",IF(N('Aset Takberwujud'!$AG136)=0,0,IF(AND((YEAR(G$211)*12+MONTH(G$211))&gt;='Aset Takberwujud'!$Y136,(YEAR(G$211)*12+MONTH(G$211))&lt;=MIN('Aset Takberwujud'!$Z136,IF('Aset Takberwujud'!$S136="Unit Produksi",99999,'Aset Takberwujud'!$Y136+'Aset Takberwujud'!$T136*12-1))),'Aset Takberwujud'!$AQ136/'Aset Takberwujud'!$AG136,0)))</f>
        <v/>
      </c>
      <c r="H341" s="22" t="str">
        <f>IF($B341="","",IF(N('Aset Takberwujud'!$AG136)=0,0,IF(AND((YEAR(H$211)*12+MONTH(H$211))&gt;='Aset Takberwujud'!$Y136,(YEAR(H$211)*12+MONTH(H$211))&lt;=MIN('Aset Takberwujud'!$Z136,IF('Aset Takberwujud'!$S136="Unit Produksi",99999,'Aset Takberwujud'!$Y136+'Aset Takberwujud'!$T136*12-1))),'Aset Takberwujud'!$AQ136/'Aset Takberwujud'!$AG136,0)))</f>
        <v/>
      </c>
      <c r="I341" s="22" t="str">
        <f>IF($B341="","",IF(N('Aset Takberwujud'!$AG136)=0,0,IF(AND((YEAR(I$211)*12+MONTH(I$211))&gt;='Aset Takberwujud'!$Y136,(YEAR(I$211)*12+MONTH(I$211))&lt;=MIN('Aset Takberwujud'!$Z136,IF('Aset Takberwujud'!$S136="Unit Produksi",99999,'Aset Takberwujud'!$Y136+'Aset Takberwujud'!$T136*12-1))),'Aset Takberwujud'!$AQ136/'Aset Takberwujud'!$AG136,0)))</f>
        <v/>
      </c>
      <c r="J341" s="22" t="str">
        <f>IF($B341="","",IF(N('Aset Takberwujud'!$AG136)=0,0,IF(AND((YEAR(J$211)*12+MONTH(J$211))&gt;='Aset Takberwujud'!$Y136,(YEAR(J$211)*12+MONTH(J$211))&lt;=MIN('Aset Takberwujud'!$Z136,IF('Aset Takberwujud'!$S136="Unit Produksi",99999,'Aset Takberwujud'!$Y136+'Aset Takberwujud'!$T136*12-1))),'Aset Takberwujud'!$AQ136/'Aset Takberwujud'!$AG136,0)))</f>
        <v/>
      </c>
      <c r="K341" s="22" t="str">
        <f>IF($B341="","",IF(N('Aset Takberwujud'!$AG136)=0,0,IF(AND((YEAR(K$211)*12+MONTH(K$211))&gt;='Aset Takberwujud'!$Y136,(YEAR(K$211)*12+MONTH(K$211))&lt;=MIN('Aset Takberwujud'!$Z136,IF('Aset Takberwujud'!$S136="Unit Produksi",99999,'Aset Takberwujud'!$Y136+'Aset Takberwujud'!$T136*12-1))),'Aset Takberwujud'!$AQ136/'Aset Takberwujud'!$AG136,0)))</f>
        <v/>
      </c>
      <c r="L341" s="22" t="str">
        <f>IF($B341="","",IF(N('Aset Takberwujud'!$AG136)=0,0,IF(AND((YEAR(L$211)*12+MONTH(L$211))&gt;='Aset Takberwujud'!$Y136,(YEAR(L$211)*12+MONTH(L$211))&lt;=MIN('Aset Takberwujud'!$Z136,IF('Aset Takberwujud'!$S136="Unit Produksi",99999,'Aset Takberwujud'!$Y136+'Aset Takberwujud'!$T136*12-1))),'Aset Takberwujud'!$AQ136/'Aset Takberwujud'!$AG136,0)))</f>
        <v/>
      </c>
      <c r="M341" s="22" t="str">
        <f>IF($B341="","",IF(N('Aset Takberwujud'!$AG136)=0,0,IF(AND((YEAR(M$211)*12+MONTH(M$211))&gt;='Aset Takberwujud'!$Y136,(YEAR(M$211)*12+MONTH(M$211))&lt;=MIN('Aset Takberwujud'!$Z136,IF('Aset Takberwujud'!$S136="Unit Produksi",99999,'Aset Takberwujud'!$Y136+'Aset Takberwujud'!$T136*12-1))),'Aset Takberwujud'!$AQ136/'Aset Takberwujud'!$AG136,0)))</f>
        <v/>
      </c>
      <c r="N341" s="22" t="str">
        <f>IF($B341="","",IF(N('Aset Takberwujud'!$AG136)=0,0,IF(AND((YEAR(N$211)*12+MONTH(N$211))&gt;='Aset Takberwujud'!$Y136,(YEAR(N$211)*12+MONTH(N$211))&lt;=MIN('Aset Takberwujud'!$Z136,IF('Aset Takberwujud'!$S136="Unit Produksi",99999,'Aset Takberwujud'!$Y136+'Aset Takberwujud'!$T136*12-1))),'Aset Takberwujud'!$AQ136/'Aset Takberwujud'!$AG136,0)))</f>
        <v/>
      </c>
      <c r="O341" s="22" t="str">
        <f>IF($B341="","",IF(N('Aset Takberwujud'!$AG136)=0,0,IF(AND((YEAR(O$211)*12+MONTH(O$211))&gt;='Aset Takberwujud'!$Y136,(YEAR(O$211)*12+MONTH(O$211))&lt;=MIN('Aset Takberwujud'!$Z136,IF('Aset Takberwujud'!$S136="Unit Produksi",99999,'Aset Takberwujud'!$Y136+'Aset Takberwujud'!$T136*12-1))),'Aset Takberwujud'!$AQ136/'Aset Takberwujud'!$AG136,0)))</f>
        <v/>
      </c>
      <c r="P341" s="22" t="str">
        <f>IF($B341="","",IF(N('Aset Takberwujud'!$AG136)=0,0,IF(AND((YEAR(P$211)*12+MONTH(P$211))&gt;='Aset Takberwujud'!$Y136,(YEAR(P$211)*12+MONTH(P$211))&lt;=MIN('Aset Takberwujud'!$Z136,IF('Aset Takberwujud'!$S136="Unit Produksi",99999,'Aset Takberwujud'!$Y136+'Aset Takberwujud'!$T136*12-1))),'Aset Takberwujud'!$AQ136/'Aset Takberwujud'!$AG136,0)))</f>
        <v/>
      </c>
      <c r="Q341" s="22" t="str">
        <f>IF($B341="","",SUM(E341:P341))</f>
        <v/>
      </c>
      <c r="R341" s="22" t="str">
        <f>IF($B341="","",'Aset Takberwujud'!AQ136)</f>
        <v/>
      </c>
      <c r="S341" s="22" t="str">
        <f>IF($B341="","",ROUND(Q341-R341,0))</f>
        <v/>
      </c>
    </row>
    <row r="342" spans="1:19" x14ac:dyDescent="0.25">
      <c r="A342" t="str">
        <f>IF('Aset Takberwujud'!$B137="","",'Aset Takberwujud'!A137)</f>
        <v/>
      </c>
      <c r="B342" t="str">
        <f>IF('Aset Takberwujud'!$B137="","",'Aset Takberwujud'!B137)</f>
        <v/>
      </c>
      <c r="C342" t="str">
        <f>IF('Aset Takberwujud'!$B137="","",'Aset Takberwujud'!C137)</f>
        <v/>
      </c>
      <c r="D342" t="str">
        <f>IF('Aset Takberwujud'!$B137="","",'Aset Takberwujud'!D137)</f>
        <v/>
      </c>
      <c r="E342" s="22" t="str">
        <f>IF($B342="","",IF(N('Aset Takberwujud'!$AG137)=0,0,IF(AND((YEAR(E$211)*12+MONTH(E$211))&gt;='Aset Takberwujud'!$Y137,(YEAR(E$211)*12+MONTH(E$211))&lt;=MIN('Aset Takberwujud'!$Z137,IF('Aset Takberwujud'!$S137="Unit Produksi",99999,'Aset Takberwujud'!$Y137+'Aset Takberwujud'!$T137*12-1))),'Aset Takberwujud'!$AQ137/'Aset Takberwujud'!$AG137,0)))</f>
        <v/>
      </c>
      <c r="F342" s="22" t="str">
        <f>IF($B342="","",IF(N('Aset Takberwujud'!$AG137)=0,0,IF(AND((YEAR(F$211)*12+MONTH(F$211))&gt;='Aset Takberwujud'!$Y137,(YEAR(F$211)*12+MONTH(F$211))&lt;=MIN('Aset Takberwujud'!$Z137,IF('Aset Takberwujud'!$S137="Unit Produksi",99999,'Aset Takberwujud'!$Y137+'Aset Takberwujud'!$T137*12-1))),'Aset Takberwujud'!$AQ137/'Aset Takberwujud'!$AG137,0)))</f>
        <v/>
      </c>
      <c r="G342" s="22" t="str">
        <f>IF($B342="","",IF(N('Aset Takberwujud'!$AG137)=0,0,IF(AND((YEAR(G$211)*12+MONTH(G$211))&gt;='Aset Takberwujud'!$Y137,(YEAR(G$211)*12+MONTH(G$211))&lt;=MIN('Aset Takberwujud'!$Z137,IF('Aset Takberwujud'!$S137="Unit Produksi",99999,'Aset Takberwujud'!$Y137+'Aset Takberwujud'!$T137*12-1))),'Aset Takberwujud'!$AQ137/'Aset Takberwujud'!$AG137,0)))</f>
        <v/>
      </c>
      <c r="H342" s="22" t="str">
        <f>IF($B342="","",IF(N('Aset Takberwujud'!$AG137)=0,0,IF(AND((YEAR(H$211)*12+MONTH(H$211))&gt;='Aset Takberwujud'!$Y137,(YEAR(H$211)*12+MONTH(H$211))&lt;=MIN('Aset Takberwujud'!$Z137,IF('Aset Takberwujud'!$S137="Unit Produksi",99999,'Aset Takberwujud'!$Y137+'Aset Takberwujud'!$T137*12-1))),'Aset Takberwujud'!$AQ137/'Aset Takberwujud'!$AG137,0)))</f>
        <v/>
      </c>
      <c r="I342" s="22" t="str">
        <f>IF($B342="","",IF(N('Aset Takberwujud'!$AG137)=0,0,IF(AND((YEAR(I$211)*12+MONTH(I$211))&gt;='Aset Takberwujud'!$Y137,(YEAR(I$211)*12+MONTH(I$211))&lt;=MIN('Aset Takberwujud'!$Z137,IF('Aset Takberwujud'!$S137="Unit Produksi",99999,'Aset Takberwujud'!$Y137+'Aset Takberwujud'!$T137*12-1))),'Aset Takberwujud'!$AQ137/'Aset Takberwujud'!$AG137,0)))</f>
        <v/>
      </c>
      <c r="J342" s="22" t="str">
        <f>IF($B342="","",IF(N('Aset Takberwujud'!$AG137)=0,0,IF(AND((YEAR(J$211)*12+MONTH(J$211))&gt;='Aset Takberwujud'!$Y137,(YEAR(J$211)*12+MONTH(J$211))&lt;=MIN('Aset Takberwujud'!$Z137,IF('Aset Takberwujud'!$S137="Unit Produksi",99999,'Aset Takberwujud'!$Y137+'Aset Takberwujud'!$T137*12-1))),'Aset Takberwujud'!$AQ137/'Aset Takberwujud'!$AG137,0)))</f>
        <v/>
      </c>
      <c r="K342" s="22" t="str">
        <f>IF($B342="","",IF(N('Aset Takberwujud'!$AG137)=0,0,IF(AND((YEAR(K$211)*12+MONTH(K$211))&gt;='Aset Takberwujud'!$Y137,(YEAR(K$211)*12+MONTH(K$211))&lt;=MIN('Aset Takberwujud'!$Z137,IF('Aset Takberwujud'!$S137="Unit Produksi",99999,'Aset Takberwujud'!$Y137+'Aset Takberwujud'!$T137*12-1))),'Aset Takberwujud'!$AQ137/'Aset Takberwujud'!$AG137,0)))</f>
        <v/>
      </c>
      <c r="L342" s="22" t="str">
        <f>IF($B342="","",IF(N('Aset Takberwujud'!$AG137)=0,0,IF(AND((YEAR(L$211)*12+MONTH(L$211))&gt;='Aset Takberwujud'!$Y137,(YEAR(L$211)*12+MONTH(L$211))&lt;=MIN('Aset Takberwujud'!$Z137,IF('Aset Takberwujud'!$S137="Unit Produksi",99999,'Aset Takberwujud'!$Y137+'Aset Takberwujud'!$T137*12-1))),'Aset Takberwujud'!$AQ137/'Aset Takberwujud'!$AG137,0)))</f>
        <v/>
      </c>
      <c r="M342" s="22" t="str">
        <f>IF($B342="","",IF(N('Aset Takberwujud'!$AG137)=0,0,IF(AND((YEAR(M$211)*12+MONTH(M$211))&gt;='Aset Takberwujud'!$Y137,(YEAR(M$211)*12+MONTH(M$211))&lt;=MIN('Aset Takberwujud'!$Z137,IF('Aset Takberwujud'!$S137="Unit Produksi",99999,'Aset Takberwujud'!$Y137+'Aset Takberwujud'!$T137*12-1))),'Aset Takberwujud'!$AQ137/'Aset Takberwujud'!$AG137,0)))</f>
        <v/>
      </c>
      <c r="N342" s="22" t="str">
        <f>IF($B342="","",IF(N('Aset Takberwujud'!$AG137)=0,0,IF(AND((YEAR(N$211)*12+MONTH(N$211))&gt;='Aset Takberwujud'!$Y137,(YEAR(N$211)*12+MONTH(N$211))&lt;=MIN('Aset Takberwujud'!$Z137,IF('Aset Takberwujud'!$S137="Unit Produksi",99999,'Aset Takberwujud'!$Y137+'Aset Takberwujud'!$T137*12-1))),'Aset Takberwujud'!$AQ137/'Aset Takberwujud'!$AG137,0)))</f>
        <v/>
      </c>
      <c r="O342" s="22" t="str">
        <f>IF($B342="","",IF(N('Aset Takberwujud'!$AG137)=0,0,IF(AND((YEAR(O$211)*12+MONTH(O$211))&gt;='Aset Takberwujud'!$Y137,(YEAR(O$211)*12+MONTH(O$211))&lt;=MIN('Aset Takberwujud'!$Z137,IF('Aset Takberwujud'!$S137="Unit Produksi",99999,'Aset Takberwujud'!$Y137+'Aset Takberwujud'!$T137*12-1))),'Aset Takberwujud'!$AQ137/'Aset Takberwujud'!$AG137,0)))</f>
        <v/>
      </c>
      <c r="P342" s="22" t="str">
        <f>IF($B342="","",IF(N('Aset Takberwujud'!$AG137)=0,0,IF(AND((YEAR(P$211)*12+MONTH(P$211))&gt;='Aset Takberwujud'!$Y137,(YEAR(P$211)*12+MONTH(P$211))&lt;=MIN('Aset Takberwujud'!$Z137,IF('Aset Takberwujud'!$S137="Unit Produksi",99999,'Aset Takberwujud'!$Y137+'Aset Takberwujud'!$T137*12-1))),'Aset Takberwujud'!$AQ137/'Aset Takberwujud'!$AG137,0)))</f>
        <v/>
      </c>
      <c r="Q342" s="22" t="str">
        <f>IF($B342="","",SUM(E342:P342))</f>
        <v/>
      </c>
      <c r="R342" s="22" t="str">
        <f>IF($B342="","",'Aset Takberwujud'!AQ137)</f>
        <v/>
      </c>
      <c r="S342" s="22" t="str">
        <f>IF($B342="","",ROUND(Q342-R342,0))</f>
        <v/>
      </c>
    </row>
    <row r="343" spans="1:19" x14ac:dyDescent="0.25">
      <c r="A343" t="str">
        <f>IF('Aset Takberwujud'!$B138="","",'Aset Takberwujud'!A138)</f>
        <v/>
      </c>
      <c r="B343" t="str">
        <f>IF('Aset Takberwujud'!$B138="","",'Aset Takberwujud'!B138)</f>
        <v/>
      </c>
      <c r="C343" t="str">
        <f>IF('Aset Takberwujud'!$B138="","",'Aset Takberwujud'!C138)</f>
        <v/>
      </c>
      <c r="D343" t="str">
        <f>IF('Aset Takberwujud'!$B138="","",'Aset Takberwujud'!D138)</f>
        <v/>
      </c>
      <c r="E343" s="22" t="str">
        <f>IF($B343="","",IF(N('Aset Takberwujud'!$AG138)=0,0,IF(AND((YEAR(E$211)*12+MONTH(E$211))&gt;='Aset Takberwujud'!$Y138,(YEAR(E$211)*12+MONTH(E$211))&lt;=MIN('Aset Takberwujud'!$Z138,IF('Aset Takberwujud'!$S138="Unit Produksi",99999,'Aset Takberwujud'!$Y138+'Aset Takberwujud'!$T138*12-1))),'Aset Takberwujud'!$AQ138/'Aset Takberwujud'!$AG138,0)))</f>
        <v/>
      </c>
      <c r="F343" s="22" t="str">
        <f>IF($B343="","",IF(N('Aset Takberwujud'!$AG138)=0,0,IF(AND((YEAR(F$211)*12+MONTH(F$211))&gt;='Aset Takberwujud'!$Y138,(YEAR(F$211)*12+MONTH(F$211))&lt;=MIN('Aset Takberwujud'!$Z138,IF('Aset Takberwujud'!$S138="Unit Produksi",99999,'Aset Takberwujud'!$Y138+'Aset Takberwujud'!$T138*12-1))),'Aset Takberwujud'!$AQ138/'Aset Takberwujud'!$AG138,0)))</f>
        <v/>
      </c>
      <c r="G343" s="22" t="str">
        <f>IF($B343="","",IF(N('Aset Takberwujud'!$AG138)=0,0,IF(AND((YEAR(G$211)*12+MONTH(G$211))&gt;='Aset Takberwujud'!$Y138,(YEAR(G$211)*12+MONTH(G$211))&lt;=MIN('Aset Takberwujud'!$Z138,IF('Aset Takberwujud'!$S138="Unit Produksi",99999,'Aset Takberwujud'!$Y138+'Aset Takberwujud'!$T138*12-1))),'Aset Takberwujud'!$AQ138/'Aset Takberwujud'!$AG138,0)))</f>
        <v/>
      </c>
      <c r="H343" s="22" t="str">
        <f>IF($B343="","",IF(N('Aset Takberwujud'!$AG138)=0,0,IF(AND((YEAR(H$211)*12+MONTH(H$211))&gt;='Aset Takberwujud'!$Y138,(YEAR(H$211)*12+MONTH(H$211))&lt;=MIN('Aset Takberwujud'!$Z138,IF('Aset Takberwujud'!$S138="Unit Produksi",99999,'Aset Takberwujud'!$Y138+'Aset Takberwujud'!$T138*12-1))),'Aset Takberwujud'!$AQ138/'Aset Takberwujud'!$AG138,0)))</f>
        <v/>
      </c>
      <c r="I343" s="22" t="str">
        <f>IF($B343="","",IF(N('Aset Takberwujud'!$AG138)=0,0,IF(AND((YEAR(I$211)*12+MONTH(I$211))&gt;='Aset Takberwujud'!$Y138,(YEAR(I$211)*12+MONTH(I$211))&lt;=MIN('Aset Takberwujud'!$Z138,IF('Aset Takberwujud'!$S138="Unit Produksi",99999,'Aset Takberwujud'!$Y138+'Aset Takberwujud'!$T138*12-1))),'Aset Takberwujud'!$AQ138/'Aset Takberwujud'!$AG138,0)))</f>
        <v/>
      </c>
      <c r="J343" s="22" t="str">
        <f>IF($B343="","",IF(N('Aset Takberwujud'!$AG138)=0,0,IF(AND((YEAR(J$211)*12+MONTH(J$211))&gt;='Aset Takberwujud'!$Y138,(YEAR(J$211)*12+MONTH(J$211))&lt;=MIN('Aset Takberwujud'!$Z138,IF('Aset Takberwujud'!$S138="Unit Produksi",99999,'Aset Takberwujud'!$Y138+'Aset Takberwujud'!$T138*12-1))),'Aset Takberwujud'!$AQ138/'Aset Takberwujud'!$AG138,0)))</f>
        <v/>
      </c>
      <c r="K343" s="22" t="str">
        <f>IF($B343="","",IF(N('Aset Takberwujud'!$AG138)=0,0,IF(AND((YEAR(K$211)*12+MONTH(K$211))&gt;='Aset Takberwujud'!$Y138,(YEAR(K$211)*12+MONTH(K$211))&lt;=MIN('Aset Takberwujud'!$Z138,IF('Aset Takberwujud'!$S138="Unit Produksi",99999,'Aset Takberwujud'!$Y138+'Aset Takberwujud'!$T138*12-1))),'Aset Takberwujud'!$AQ138/'Aset Takberwujud'!$AG138,0)))</f>
        <v/>
      </c>
      <c r="L343" s="22" t="str">
        <f>IF($B343="","",IF(N('Aset Takberwujud'!$AG138)=0,0,IF(AND((YEAR(L$211)*12+MONTH(L$211))&gt;='Aset Takberwujud'!$Y138,(YEAR(L$211)*12+MONTH(L$211))&lt;=MIN('Aset Takberwujud'!$Z138,IF('Aset Takberwujud'!$S138="Unit Produksi",99999,'Aset Takberwujud'!$Y138+'Aset Takberwujud'!$T138*12-1))),'Aset Takberwujud'!$AQ138/'Aset Takberwujud'!$AG138,0)))</f>
        <v/>
      </c>
      <c r="M343" s="22" t="str">
        <f>IF($B343="","",IF(N('Aset Takberwujud'!$AG138)=0,0,IF(AND((YEAR(M$211)*12+MONTH(M$211))&gt;='Aset Takberwujud'!$Y138,(YEAR(M$211)*12+MONTH(M$211))&lt;=MIN('Aset Takberwujud'!$Z138,IF('Aset Takberwujud'!$S138="Unit Produksi",99999,'Aset Takberwujud'!$Y138+'Aset Takberwujud'!$T138*12-1))),'Aset Takberwujud'!$AQ138/'Aset Takberwujud'!$AG138,0)))</f>
        <v/>
      </c>
      <c r="N343" s="22" t="str">
        <f>IF($B343="","",IF(N('Aset Takberwujud'!$AG138)=0,0,IF(AND((YEAR(N$211)*12+MONTH(N$211))&gt;='Aset Takberwujud'!$Y138,(YEAR(N$211)*12+MONTH(N$211))&lt;=MIN('Aset Takberwujud'!$Z138,IF('Aset Takberwujud'!$S138="Unit Produksi",99999,'Aset Takberwujud'!$Y138+'Aset Takberwujud'!$T138*12-1))),'Aset Takberwujud'!$AQ138/'Aset Takberwujud'!$AG138,0)))</f>
        <v/>
      </c>
      <c r="O343" s="22" t="str">
        <f>IF($B343="","",IF(N('Aset Takberwujud'!$AG138)=0,0,IF(AND((YEAR(O$211)*12+MONTH(O$211))&gt;='Aset Takberwujud'!$Y138,(YEAR(O$211)*12+MONTH(O$211))&lt;=MIN('Aset Takberwujud'!$Z138,IF('Aset Takberwujud'!$S138="Unit Produksi",99999,'Aset Takberwujud'!$Y138+'Aset Takberwujud'!$T138*12-1))),'Aset Takberwujud'!$AQ138/'Aset Takberwujud'!$AG138,0)))</f>
        <v/>
      </c>
      <c r="P343" s="22" t="str">
        <f>IF($B343="","",IF(N('Aset Takberwujud'!$AG138)=0,0,IF(AND((YEAR(P$211)*12+MONTH(P$211))&gt;='Aset Takberwujud'!$Y138,(YEAR(P$211)*12+MONTH(P$211))&lt;=MIN('Aset Takberwujud'!$Z138,IF('Aset Takberwujud'!$S138="Unit Produksi",99999,'Aset Takberwujud'!$Y138+'Aset Takberwujud'!$T138*12-1))),'Aset Takberwujud'!$AQ138/'Aset Takberwujud'!$AG138,0)))</f>
        <v/>
      </c>
      <c r="Q343" s="22" t="str">
        <f>IF($B343="","",SUM(E343:P343))</f>
        <v/>
      </c>
      <c r="R343" s="22" t="str">
        <f>IF($B343="","",'Aset Takberwujud'!AQ138)</f>
        <v/>
      </c>
      <c r="S343" s="22" t="str">
        <f>IF($B343="","",ROUND(Q343-R343,0))</f>
        <v/>
      </c>
    </row>
    <row r="344" spans="1:19" x14ac:dyDescent="0.25">
      <c r="A344" t="str">
        <f>IF('Aset Takberwujud'!$B139="","",'Aset Takberwujud'!A139)</f>
        <v/>
      </c>
      <c r="B344" t="str">
        <f>IF('Aset Takberwujud'!$B139="","",'Aset Takberwujud'!B139)</f>
        <v/>
      </c>
      <c r="C344" t="str">
        <f>IF('Aset Takberwujud'!$B139="","",'Aset Takberwujud'!C139)</f>
        <v/>
      </c>
      <c r="D344" t="str">
        <f>IF('Aset Takberwujud'!$B139="","",'Aset Takberwujud'!D139)</f>
        <v/>
      </c>
      <c r="E344" s="22" t="str">
        <f>IF($B344="","",IF(N('Aset Takberwujud'!$AG139)=0,0,IF(AND((YEAR(E$211)*12+MONTH(E$211))&gt;='Aset Takberwujud'!$Y139,(YEAR(E$211)*12+MONTH(E$211))&lt;=MIN('Aset Takberwujud'!$Z139,IF('Aset Takberwujud'!$S139="Unit Produksi",99999,'Aset Takberwujud'!$Y139+'Aset Takberwujud'!$T139*12-1))),'Aset Takberwujud'!$AQ139/'Aset Takberwujud'!$AG139,0)))</f>
        <v/>
      </c>
      <c r="F344" s="22" t="str">
        <f>IF($B344="","",IF(N('Aset Takberwujud'!$AG139)=0,0,IF(AND((YEAR(F$211)*12+MONTH(F$211))&gt;='Aset Takberwujud'!$Y139,(YEAR(F$211)*12+MONTH(F$211))&lt;=MIN('Aset Takberwujud'!$Z139,IF('Aset Takberwujud'!$S139="Unit Produksi",99999,'Aset Takberwujud'!$Y139+'Aset Takberwujud'!$T139*12-1))),'Aset Takberwujud'!$AQ139/'Aset Takberwujud'!$AG139,0)))</f>
        <v/>
      </c>
      <c r="G344" s="22" t="str">
        <f>IF($B344="","",IF(N('Aset Takberwujud'!$AG139)=0,0,IF(AND((YEAR(G$211)*12+MONTH(G$211))&gt;='Aset Takberwujud'!$Y139,(YEAR(G$211)*12+MONTH(G$211))&lt;=MIN('Aset Takberwujud'!$Z139,IF('Aset Takberwujud'!$S139="Unit Produksi",99999,'Aset Takberwujud'!$Y139+'Aset Takberwujud'!$T139*12-1))),'Aset Takberwujud'!$AQ139/'Aset Takberwujud'!$AG139,0)))</f>
        <v/>
      </c>
      <c r="H344" s="22" t="str">
        <f>IF($B344="","",IF(N('Aset Takberwujud'!$AG139)=0,0,IF(AND((YEAR(H$211)*12+MONTH(H$211))&gt;='Aset Takberwujud'!$Y139,(YEAR(H$211)*12+MONTH(H$211))&lt;=MIN('Aset Takberwujud'!$Z139,IF('Aset Takberwujud'!$S139="Unit Produksi",99999,'Aset Takberwujud'!$Y139+'Aset Takberwujud'!$T139*12-1))),'Aset Takberwujud'!$AQ139/'Aset Takberwujud'!$AG139,0)))</f>
        <v/>
      </c>
      <c r="I344" s="22" t="str">
        <f>IF($B344="","",IF(N('Aset Takberwujud'!$AG139)=0,0,IF(AND((YEAR(I$211)*12+MONTH(I$211))&gt;='Aset Takberwujud'!$Y139,(YEAR(I$211)*12+MONTH(I$211))&lt;=MIN('Aset Takberwujud'!$Z139,IF('Aset Takberwujud'!$S139="Unit Produksi",99999,'Aset Takberwujud'!$Y139+'Aset Takberwujud'!$T139*12-1))),'Aset Takberwujud'!$AQ139/'Aset Takberwujud'!$AG139,0)))</f>
        <v/>
      </c>
      <c r="J344" s="22" t="str">
        <f>IF($B344="","",IF(N('Aset Takberwujud'!$AG139)=0,0,IF(AND((YEAR(J$211)*12+MONTH(J$211))&gt;='Aset Takberwujud'!$Y139,(YEAR(J$211)*12+MONTH(J$211))&lt;=MIN('Aset Takberwujud'!$Z139,IF('Aset Takberwujud'!$S139="Unit Produksi",99999,'Aset Takberwujud'!$Y139+'Aset Takberwujud'!$T139*12-1))),'Aset Takberwujud'!$AQ139/'Aset Takberwujud'!$AG139,0)))</f>
        <v/>
      </c>
      <c r="K344" s="22" t="str">
        <f>IF($B344="","",IF(N('Aset Takberwujud'!$AG139)=0,0,IF(AND((YEAR(K$211)*12+MONTH(K$211))&gt;='Aset Takberwujud'!$Y139,(YEAR(K$211)*12+MONTH(K$211))&lt;=MIN('Aset Takberwujud'!$Z139,IF('Aset Takberwujud'!$S139="Unit Produksi",99999,'Aset Takberwujud'!$Y139+'Aset Takberwujud'!$T139*12-1))),'Aset Takberwujud'!$AQ139/'Aset Takberwujud'!$AG139,0)))</f>
        <v/>
      </c>
      <c r="L344" s="22" t="str">
        <f>IF($B344="","",IF(N('Aset Takberwujud'!$AG139)=0,0,IF(AND((YEAR(L$211)*12+MONTH(L$211))&gt;='Aset Takberwujud'!$Y139,(YEAR(L$211)*12+MONTH(L$211))&lt;=MIN('Aset Takberwujud'!$Z139,IF('Aset Takberwujud'!$S139="Unit Produksi",99999,'Aset Takberwujud'!$Y139+'Aset Takberwujud'!$T139*12-1))),'Aset Takberwujud'!$AQ139/'Aset Takberwujud'!$AG139,0)))</f>
        <v/>
      </c>
      <c r="M344" s="22" t="str">
        <f>IF($B344="","",IF(N('Aset Takberwujud'!$AG139)=0,0,IF(AND((YEAR(M$211)*12+MONTH(M$211))&gt;='Aset Takberwujud'!$Y139,(YEAR(M$211)*12+MONTH(M$211))&lt;=MIN('Aset Takberwujud'!$Z139,IF('Aset Takberwujud'!$S139="Unit Produksi",99999,'Aset Takberwujud'!$Y139+'Aset Takberwujud'!$T139*12-1))),'Aset Takberwujud'!$AQ139/'Aset Takberwujud'!$AG139,0)))</f>
        <v/>
      </c>
      <c r="N344" s="22" t="str">
        <f>IF($B344="","",IF(N('Aset Takberwujud'!$AG139)=0,0,IF(AND((YEAR(N$211)*12+MONTH(N$211))&gt;='Aset Takberwujud'!$Y139,(YEAR(N$211)*12+MONTH(N$211))&lt;=MIN('Aset Takberwujud'!$Z139,IF('Aset Takberwujud'!$S139="Unit Produksi",99999,'Aset Takberwujud'!$Y139+'Aset Takberwujud'!$T139*12-1))),'Aset Takberwujud'!$AQ139/'Aset Takberwujud'!$AG139,0)))</f>
        <v/>
      </c>
      <c r="O344" s="22" t="str">
        <f>IF($B344="","",IF(N('Aset Takberwujud'!$AG139)=0,0,IF(AND((YEAR(O$211)*12+MONTH(O$211))&gt;='Aset Takberwujud'!$Y139,(YEAR(O$211)*12+MONTH(O$211))&lt;=MIN('Aset Takberwujud'!$Z139,IF('Aset Takberwujud'!$S139="Unit Produksi",99999,'Aset Takberwujud'!$Y139+'Aset Takberwujud'!$T139*12-1))),'Aset Takberwujud'!$AQ139/'Aset Takberwujud'!$AG139,0)))</f>
        <v/>
      </c>
      <c r="P344" s="22" t="str">
        <f>IF($B344="","",IF(N('Aset Takberwujud'!$AG139)=0,0,IF(AND((YEAR(P$211)*12+MONTH(P$211))&gt;='Aset Takberwujud'!$Y139,(YEAR(P$211)*12+MONTH(P$211))&lt;=MIN('Aset Takberwujud'!$Z139,IF('Aset Takberwujud'!$S139="Unit Produksi",99999,'Aset Takberwujud'!$Y139+'Aset Takberwujud'!$T139*12-1))),'Aset Takberwujud'!$AQ139/'Aset Takberwujud'!$AG139,0)))</f>
        <v/>
      </c>
      <c r="Q344" s="22" t="str">
        <f>IF($B344="","",SUM(E344:P344))</f>
        <v/>
      </c>
      <c r="R344" s="22" t="str">
        <f>IF($B344="","",'Aset Takberwujud'!AQ139)</f>
        <v/>
      </c>
      <c r="S344" s="22" t="str">
        <f>IF($B344="","",ROUND(Q344-R344,0))</f>
        <v/>
      </c>
    </row>
    <row r="345" spans="1:19" x14ac:dyDescent="0.25">
      <c r="A345" t="str">
        <f>IF('Aset Takberwujud'!$B140="","",'Aset Takberwujud'!A140)</f>
        <v/>
      </c>
      <c r="B345" t="str">
        <f>IF('Aset Takberwujud'!$B140="","",'Aset Takberwujud'!B140)</f>
        <v/>
      </c>
      <c r="C345" t="str">
        <f>IF('Aset Takberwujud'!$B140="","",'Aset Takberwujud'!C140)</f>
        <v/>
      </c>
      <c r="D345" t="str">
        <f>IF('Aset Takberwujud'!$B140="","",'Aset Takberwujud'!D140)</f>
        <v/>
      </c>
      <c r="E345" s="22" t="str">
        <f>IF($B345="","",IF(N('Aset Takberwujud'!$AG140)=0,0,IF(AND((YEAR(E$211)*12+MONTH(E$211))&gt;='Aset Takberwujud'!$Y140,(YEAR(E$211)*12+MONTH(E$211))&lt;=MIN('Aset Takberwujud'!$Z140,IF('Aset Takberwujud'!$S140="Unit Produksi",99999,'Aset Takberwujud'!$Y140+'Aset Takberwujud'!$T140*12-1))),'Aset Takberwujud'!$AQ140/'Aset Takberwujud'!$AG140,0)))</f>
        <v/>
      </c>
      <c r="F345" s="22" t="str">
        <f>IF($B345="","",IF(N('Aset Takberwujud'!$AG140)=0,0,IF(AND((YEAR(F$211)*12+MONTH(F$211))&gt;='Aset Takberwujud'!$Y140,(YEAR(F$211)*12+MONTH(F$211))&lt;=MIN('Aset Takberwujud'!$Z140,IF('Aset Takberwujud'!$S140="Unit Produksi",99999,'Aset Takberwujud'!$Y140+'Aset Takberwujud'!$T140*12-1))),'Aset Takberwujud'!$AQ140/'Aset Takberwujud'!$AG140,0)))</f>
        <v/>
      </c>
      <c r="G345" s="22" t="str">
        <f>IF($B345="","",IF(N('Aset Takberwujud'!$AG140)=0,0,IF(AND((YEAR(G$211)*12+MONTH(G$211))&gt;='Aset Takberwujud'!$Y140,(YEAR(G$211)*12+MONTH(G$211))&lt;=MIN('Aset Takberwujud'!$Z140,IF('Aset Takberwujud'!$S140="Unit Produksi",99999,'Aset Takberwujud'!$Y140+'Aset Takberwujud'!$T140*12-1))),'Aset Takberwujud'!$AQ140/'Aset Takberwujud'!$AG140,0)))</f>
        <v/>
      </c>
      <c r="H345" s="22" t="str">
        <f>IF($B345="","",IF(N('Aset Takberwujud'!$AG140)=0,0,IF(AND((YEAR(H$211)*12+MONTH(H$211))&gt;='Aset Takberwujud'!$Y140,(YEAR(H$211)*12+MONTH(H$211))&lt;=MIN('Aset Takberwujud'!$Z140,IF('Aset Takberwujud'!$S140="Unit Produksi",99999,'Aset Takberwujud'!$Y140+'Aset Takberwujud'!$T140*12-1))),'Aset Takberwujud'!$AQ140/'Aset Takberwujud'!$AG140,0)))</f>
        <v/>
      </c>
      <c r="I345" s="22" t="str">
        <f>IF($B345="","",IF(N('Aset Takberwujud'!$AG140)=0,0,IF(AND((YEAR(I$211)*12+MONTH(I$211))&gt;='Aset Takberwujud'!$Y140,(YEAR(I$211)*12+MONTH(I$211))&lt;=MIN('Aset Takberwujud'!$Z140,IF('Aset Takberwujud'!$S140="Unit Produksi",99999,'Aset Takberwujud'!$Y140+'Aset Takberwujud'!$T140*12-1))),'Aset Takberwujud'!$AQ140/'Aset Takberwujud'!$AG140,0)))</f>
        <v/>
      </c>
      <c r="J345" s="22" t="str">
        <f>IF($B345="","",IF(N('Aset Takberwujud'!$AG140)=0,0,IF(AND((YEAR(J$211)*12+MONTH(J$211))&gt;='Aset Takberwujud'!$Y140,(YEAR(J$211)*12+MONTH(J$211))&lt;=MIN('Aset Takberwujud'!$Z140,IF('Aset Takberwujud'!$S140="Unit Produksi",99999,'Aset Takberwujud'!$Y140+'Aset Takberwujud'!$T140*12-1))),'Aset Takberwujud'!$AQ140/'Aset Takberwujud'!$AG140,0)))</f>
        <v/>
      </c>
      <c r="K345" s="22" t="str">
        <f>IF($B345="","",IF(N('Aset Takberwujud'!$AG140)=0,0,IF(AND((YEAR(K$211)*12+MONTH(K$211))&gt;='Aset Takberwujud'!$Y140,(YEAR(K$211)*12+MONTH(K$211))&lt;=MIN('Aset Takberwujud'!$Z140,IF('Aset Takberwujud'!$S140="Unit Produksi",99999,'Aset Takberwujud'!$Y140+'Aset Takberwujud'!$T140*12-1))),'Aset Takberwujud'!$AQ140/'Aset Takberwujud'!$AG140,0)))</f>
        <v/>
      </c>
      <c r="L345" s="22" t="str">
        <f>IF($B345="","",IF(N('Aset Takberwujud'!$AG140)=0,0,IF(AND((YEAR(L$211)*12+MONTH(L$211))&gt;='Aset Takberwujud'!$Y140,(YEAR(L$211)*12+MONTH(L$211))&lt;=MIN('Aset Takberwujud'!$Z140,IF('Aset Takberwujud'!$S140="Unit Produksi",99999,'Aset Takberwujud'!$Y140+'Aset Takberwujud'!$T140*12-1))),'Aset Takberwujud'!$AQ140/'Aset Takberwujud'!$AG140,0)))</f>
        <v/>
      </c>
      <c r="M345" s="22" t="str">
        <f>IF($B345="","",IF(N('Aset Takberwujud'!$AG140)=0,0,IF(AND((YEAR(M$211)*12+MONTH(M$211))&gt;='Aset Takberwujud'!$Y140,(YEAR(M$211)*12+MONTH(M$211))&lt;=MIN('Aset Takberwujud'!$Z140,IF('Aset Takberwujud'!$S140="Unit Produksi",99999,'Aset Takberwujud'!$Y140+'Aset Takberwujud'!$T140*12-1))),'Aset Takberwujud'!$AQ140/'Aset Takberwujud'!$AG140,0)))</f>
        <v/>
      </c>
      <c r="N345" s="22" t="str">
        <f>IF($B345="","",IF(N('Aset Takberwujud'!$AG140)=0,0,IF(AND((YEAR(N$211)*12+MONTH(N$211))&gt;='Aset Takberwujud'!$Y140,(YEAR(N$211)*12+MONTH(N$211))&lt;=MIN('Aset Takberwujud'!$Z140,IF('Aset Takberwujud'!$S140="Unit Produksi",99999,'Aset Takberwujud'!$Y140+'Aset Takberwujud'!$T140*12-1))),'Aset Takberwujud'!$AQ140/'Aset Takberwujud'!$AG140,0)))</f>
        <v/>
      </c>
      <c r="O345" s="22" t="str">
        <f>IF($B345="","",IF(N('Aset Takberwujud'!$AG140)=0,0,IF(AND((YEAR(O$211)*12+MONTH(O$211))&gt;='Aset Takberwujud'!$Y140,(YEAR(O$211)*12+MONTH(O$211))&lt;=MIN('Aset Takberwujud'!$Z140,IF('Aset Takberwujud'!$S140="Unit Produksi",99999,'Aset Takberwujud'!$Y140+'Aset Takberwujud'!$T140*12-1))),'Aset Takberwujud'!$AQ140/'Aset Takberwujud'!$AG140,0)))</f>
        <v/>
      </c>
      <c r="P345" s="22" t="str">
        <f>IF($B345="","",IF(N('Aset Takberwujud'!$AG140)=0,0,IF(AND((YEAR(P$211)*12+MONTH(P$211))&gt;='Aset Takberwujud'!$Y140,(YEAR(P$211)*12+MONTH(P$211))&lt;=MIN('Aset Takberwujud'!$Z140,IF('Aset Takberwujud'!$S140="Unit Produksi",99999,'Aset Takberwujud'!$Y140+'Aset Takberwujud'!$T140*12-1))),'Aset Takberwujud'!$AQ140/'Aset Takberwujud'!$AG140,0)))</f>
        <v/>
      </c>
      <c r="Q345" s="22" t="str">
        <f>IF($B345="","",SUM(E345:P345))</f>
        <v/>
      </c>
      <c r="R345" s="22" t="str">
        <f>IF($B345="","",'Aset Takberwujud'!AQ140)</f>
        <v/>
      </c>
      <c r="S345" s="22" t="str">
        <f>IF($B345="","",ROUND(Q345-R345,0))</f>
        <v/>
      </c>
    </row>
    <row r="346" spans="1:19" x14ac:dyDescent="0.25">
      <c r="A346" t="str">
        <f>IF('Aset Takberwujud'!$B141="","",'Aset Takberwujud'!A141)</f>
        <v/>
      </c>
      <c r="B346" t="str">
        <f>IF('Aset Takberwujud'!$B141="","",'Aset Takberwujud'!B141)</f>
        <v/>
      </c>
      <c r="C346" t="str">
        <f>IF('Aset Takberwujud'!$B141="","",'Aset Takberwujud'!C141)</f>
        <v/>
      </c>
      <c r="D346" t="str">
        <f>IF('Aset Takberwujud'!$B141="","",'Aset Takberwujud'!D141)</f>
        <v/>
      </c>
      <c r="E346" s="22" t="str">
        <f>IF($B346="","",IF(N('Aset Takberwujud'!$AG141)=0,0,IF(AND((YEAR(E$211)*12+MONTH(E$211))&gt;='Aset Takberwujud'!$Y141,(YEAR(E$211)*12+MONTH(E$211))&lt;=MIN('Aset Takberwujud'!$Z141,IF('Aset Takberwujud'!$S141="Unit Produksi",99999,'Aset Takberwujud'!$Y141+'Aset Takberwujud'!$T141*12-1))),'Aset Takberwujud'!$AQ141/'Aset Takberwujud'!$AG141,0)))</f>
        <v/>
      </c>
      <c r="F346" s="22" t="str">
        <f>IF($B346="","",IF(N('Aset Takberwujud'!$AG141)=0,0,IF(AND((YEAR(F$211)*12+MONTH(F$211))&gt;='Aset Takberwujud'!$Y141,(YEAR(F$211)*12+MONTH(F$211))&lt;=MIN('Aset Takberwujud'!$Z141,IF('Aset Takberwujud'!$S141="Unit Produksi",99999,'Aset Takberwujud'!$Y141+'Aset Takberwujud'!$T141*12-1))),'Aset Takberwujud'!$AQ141/'Aset Takberwujud'!$AG141,0)))</f>
        <v/>
      </c>
      <c r="G346" s="22" t="str">
        <f>IF($B346="","",IF(N('Aset Takberwujud'!$AG141)=0,0,IF(AND((YEAR(G$211)*12+MONTH(G$211))&gt;='Aset Takberwujud'!$Y141,(YEAR(G$211)*12+MONTH(G$211))&lt;=MIN('Aset Takberwujud'!$Z141,IF('Aset Takberwujud'!$S141="Unit Produksi",99999,'Aset Takberwujud'!$Y141+'Aset Takberwujud'!$T141*12-1))),'Aset Takberwujud'!$AQ141/'Aset Takberwujud'!$AG141,0)))</f>
        <v/>
      </c>
      <c r="H346" s="22" t="str">
        <f>IF($B346="","",IF(N('Aset Takberwujud'!$AG141)=0,0,IF(AND((YEAR(H$211)*12+MONTH(H$211))&gt;='Aset Takberwujud'!$Y141,(YEAR(H$211)*12+MONTH(H$211))&lt;=MIN('Aset Takberwujud'!$Z141,IF('Aset Takberwujud'!$S141="Unit Produksi",99999,'Aset Takberwujud'!$Y141+'Aset Takberwujud'!$T141*12-1))),'Aset Takberwujud'!$AQ141/'Aset Takberwujud'!$AG141,0)))</f>
        <v/>
      </c>
      <c r="I346" s="22" t="str">
        <f>IF($B346="","",IF(N('Aset Takberwujud'!$AG141)=0,0,IF(AND((YEAR(I$211)*12+MONTH(I$211))&gt;='Aset Takberwujud'!$Y141,(YEAR(I$211)*12+MONTH(I$211))&lt;=MIN('Aset Takberwujud'!$Z141,IF('Aset Takberwujud'!$S141="Unit Produksi",99999,'Aset Takberwujud'!$Y141+'Aset Takberwujud'!$T141*12-1))),'Aset Takberwujud'!$AQ141/'Aset Takberwujud'!$AG141,0)))</f>
        <v/>
      </c>
      <c r="J346" s="22" t="str">
        <f>IF($B346="","",IF(N('Aset Takberwujud'!$AG141)=0,0,IF(AND((YEAR(J$211)*12+MONTH(J$211))&gt;='Aset Takberwujud'!$Y141,(YEAR(J$211)*12+MONTH(J$211))&lt;=MIN('Aset Takberwujud'!$Z141,IF('Aset Takberwujud'!$S141="Unit Produksi",99999,'Aset Takberwujud'!$Y141+'Aset Takberwujud'!$T141*12-1))),'Aset Takberwujud'!$AQ141/'Aset Takberwujud'!$AG141,0)))</f>
        <v/>
      </c>
      <c r="K346" s="22" t="str">
        <f>IF($B346="","",IF(N('Aset Takberwujud'!$AG141)=0,0,IF(AND((YEAR(K$211)*12+MONTH(K$211))&gt;='Aset Takberwujud'!$Y141,(YEAR(K$211)*12+MONTH(K$211))&lt;=MIN('Aset Takberwujud'!$Z141,IF('Aset Takberwujud'!$S141="Unit Produksi",99999,'Aset Takberwujud'!$Y141+'Aset Takberwujud'!$T141*12-1))),'Aset Takberwujud'!$AQ141/'Aset Takberwujud'!$AG141,0)))</f>
        <v/>
      </c>
      <c r="L346" s="22" t="str">
        <f>IF($B346="","",IF(N('Aset Takberwujud'!$AG141)=0,0,IF(AND((YEAR(L$211)*12+MONTH(L$211))&gt;='Aset Takberwujud'!$Y141,(YEAR(L$211)*12+MONTH(L$211))&lt;=MIN('Aset Takberwujud'!$Z141,IF('Aset Takberwujud'!$S141="Unit Produksi",99999,'Aset Takberwujud'!$Y141+'Aset Takberwujud'!$T141*12-1))),'Aset Takberwujud'!$AQ141/'Aset Takberwujud'!$AG141,0)))</f>
        <v/>
      </c>
      <c r="M346" s="22" t="str">
        <f>IF($B346="","",IF(N('Aset Takberwujud'!$AG141)=0,0,IF(AND((YEAR(M$211)*12+MONTH(M$211))&gt;='Aset Takberwujud'!$Y141,(YEAR(M$211)*12+MONTH(M$211))&lt;=MIN('Aset Takberwujud'!$Z141,IF('Aset Takberwujud'!$S141="Unit Produksi",99999,'Aset Takberwujud'!$Y141+'Aset Takberwujud'!$T141*12-1))),'Aset Takberwujud'!$AQ141/'Aset Takberwujud'!$AG141,0)))</f>
        <v/>
      </c>
      <c r="N346" s="22" t="str">
        <f>IF($B346="","",IF(N('Aset Takberwujud'!$AG141)=0,0,IF(AND((YEAR(N$211)*12+MONTH(N$211))&gt;='Aset Takberwujud'!$Y141,(YEAR(N$211)*12+MONTH(N$211))&lt;=MIN('Aset Takberwujud'!$Z141,IF('Aset Takberwujud'!$S141="Unit Produksi",99999,'Aset Takberwujud'!$Y141+'Aset Takberwujud'!$T141*12-1))),'Aset Takberwujud'!$AQ141/'Aset Takberwujud'!$AG141,0)))</f>
        <v/>
      </c>
      <c r="O346" s="22" t="str">
        <f>IF($B346="","",IF(N('Aset Takberwujud'!$AG141)=0,0,IF(AND((YEAR(O$211)*12+MONTH(O$211))&gt;='Aset Takberwujud'!$Y141,(YEAR(O$211)*12+MONTH(O$211))&lt;=MIN('Aset Takberwujud'!$Z141,IF('Aset Takberwujud'!$S141="Unit Produksi",99999,'Aset Takberwujud'!$Y141+'Aset Takberwujud'!$T141*12-1))),'Aset Takberwujud'!$AQ141/'Aset Takberwujud'!$AG141,0)))</f>
        <v/>
      </c>
      <c r="P346" s="22" t="str">
        <f>IF($B346="","",IF(N('Aset Takberwujud'!$AG141)=0,0,IF(AND((YEAR(P$211)*12+MONTH(P$211))&gt;='Aset Takberwujud'!$Y141,(YEAR(P$211)*12+MONTH(P$211))&lt;=MIN('Aset Takberwujud'!$Z141,IF('Aset Takberwujud'!$S141="Unit Produksi",99999,'Aset Takberwujud'!$Y141+'Aset Takberwujud'!$T141*12-1))),'Aset Takberwujud'!$AQ141/'Aset Takberwujud'!$AG141,0)))</f>
        <v/>
      </c>
      <c r="Q346" s="22" t="str">
        <f>IF($B346="","",SUM(E346:P346))</f>
        <v/>
      </c>
      <c r="R346" s="22" t="str">
        <f>IF($B346="","",'Aset Takberwujud'!AQ141)</f>
        <v/>
      </c>
      <c r="S346" s="22" t="str">
        <f>IF($B346="","",ROUND(Q346-R346,0))</f>
        <v/>
      </c>
    </row>
    <row r="347" spans="1:19" x14ac:dyDescent="0.25">
      <c r="A347" t="str">
        <f>IF('Aset Takberwujud'!$B142="","",'Aset Takberwujud'!A142)</f>
        <v/>
      </c>
      <c r="B347" t="str">
        <f>IF('Aset Takberwujud'!$B142="","",'Aset Takberwujud'!B142)</f>
        <v/>
      </c>
      <c r="C347" t="str">
        <f>IF('Aset Takberwujud'!$B142="","",'Aset Takberwujud'!C142)</f>
        <v/>
      </c>
      <c r="D347" t="str">
        <f>IF('Aset Takberwujud'!$B142="","",'Aset Takberwujud'!D142)</f>
        <v/>
      </c>
      <c r="E347" s="22" t="str">
        <f>IF($B347="","",IF(N('Aset Takberwujud'!$AG142)=0,0,IF(AND((YEAR(E$211)*12+MONTH(E$211))&gt;='Aset Takberwujud'!$Y142,(YEAR(E$211)*12+MONTH(E$211))&lt;=MIN('Aset Takberwujud'!$Z142,IF('Aset Takberwujud'!$S142="Unit Produksi",99999,'Aset Takberwujud'!$Y142+'Aset Takberwujud'!$T142*12-1))),'Aset Takberwujud'!$AQ142/'Aset Takberwujud'!$AG142,0)))</f>
        <v/>
      </c>
      <c r="F347" s="22" t="str">
        <f>IF($B347="","",IF(N('Aset Takberwujud'!$AG142)=0,0,IF(AND((YEAR(F$211)*12+MONTH(F$211))&gt;='Aset Takberwujud'!$Y142,(YEAR(F$211)*12+MONTH(F$211))&lt;=MIN('Aset Takberwujud'!$Z142,IF('Aset Takberwujud'!$S142="Unit Produksi",99999,'Aset Takberwujud'!$Y142+'Aset Takberwujud'!$T142*12-1))),'Aset Takberwujud'!$AQ142/'Aset Takberwujud'!$AG142,0)))</f>
        <v/>
      </c>
      <c r="G347" s="22" t="str">
        <f>IF($B347="","",IF(N('Aset Takberwujud'!$AG142)=0,0,IF(AND((YEAR(G$211)*12+MONTH(G$211))&gt;='Aset Takberwujud'!$Y142,(YEAR(G$211)*12+MONTH(G$211))&lt;=MIN('Aset Takberwujud'!$Z142,IF('Aset Takberwujud'!$S142="Unit Produksi",99999,'Aset Takberwujud'!$Y142+'Aset Takberwujud'!$T142*12-1))),'Aset Takberwujud'!$AQ142/'Aset Takberwujud'!$AG142,0)))</f>
        <v/>
      </c>
      <c r="H347" s="22" t="str">
        <f>IF($B347="","",IF(N('Aset Takberwujud'!$AG142)=0,0,IF(AND((YEAR(H$211)*12+MONTH(H$211))&gt;='Aset Takberwujud'!$Y142,(YEAR(H$211)*12+MONTH(H$211))&lt;=MIN('Aset Takberwujud'!$Z142,IF('Aset Takberwujud'!$S142="Unit Produksi",99999,'Aset Takberwujud'!$Y142+'Aset Takberwujud'!$T142*12-1))),'Aset Takberwujud'!$AQ142/'Aset Takberwujud'!$AG142,0)))</f>
        <v/>
      </c>
      <c r="I347" s="22" t="str">
        <f>IF($B347="","",IF(N('Aset Takberwujud'!$AG142)=0,0,IF(AND((YEAR(I$211)*12+MONTH(I$211))&gt;='Aset Takberwujud'!$Y142,(YEAR(I$211)*12+MONTH(I$211))&lt;=MIN('Aset Takberwujud'!$Z142,IF('Aset Takberwujud'!$S142="Unit Produksi",99999,'Aset Takberwujud'!$Y142+'Aset Takberwujud'!$T142*12-1))),'Aset Takberwujud'!$AQ142/'Aset Takberwujud'!$AG142,0)))</f>
        <v/>
      </c>
      <c r="J347" s="22" t="str">
        <f>IF($B347="","",IF(N('Aset Takberwujud'!$AG142)=0,0,IF(AND((YEAR(J$211)*12+MONTH(J$211))&gt;='Aset Takberwujud'!$Y142,(YEAR(J$211)*12+MONTH(J$211))&lt;=MIN('Aset Takberwujud'!$Z142,IF('Aset Takberwujud'!$S142="Unit Produksi",99999,'Aset Takberwujud'!$Y142+'Aset Takberwujud'!$T142*12-1))),'Aset Takberwujud'!$AQ142/'Aset Takberwujud'!$AG142,0)))</f>
        <v/>
      </c>
      <c r="K347" s="22" t="str">
        <f>IF($B347="","",IF(N('Aset Takberwujud'!$AG142)=0,0,IF(AND((YEAR(K$211)*12+MONTH(K$211))&gt;='Aset Takberwujud'!$Y142,(YEAR(K$211)*12+MONTH(K$211))&lt;=MIN('Aset Takberwujud'!$Z142,IF('Aset Takberwujud'!$S142="Unit Produksi",99999,'Aset Takberwujud'!$Y142+'Aset Takberwujud'!$T142*12-1))),'Aset Takberwujud'!$AQ142/'Aset Takberwujud'!$AG142,0)))</f>
        <v/>
      </c>
      <c r="L347" s="22" t="str">
        <f>IF($B347="","",IF(N('Aset Takberwujud'!$AG142)=0,0,IF(AND((YEAR(L$211)*12+MONTH(L$211))&gt;='Aset Takberwujud'!$Y142,(YEAR(L$211)*12+MONTH(L$211))&lt;=MIN('Aset Takberwujud'!$Z142,IF('Aset Takberwujud'!$S142="Unit Produksi",99999,'Aset Takberwujud'!$Y142+'Aset Takberwujud'!$T142*12-1))),'Aset Takberwujud'!$AQ142/'Aset Takberwujud'!$AG142,0)))</f>
        <v/>
      </c>
      <c r="M347" s="22" t="str">
        <f>IF($B347="","",IF(N('Aset Takberwujud'!$AG142)=0,0,IF(AND((YEAR(M$211)*12+MONTH(M$211))&gt;='Aset Takberwujud'!$Y142,(YEAR(M$211)*12+MONTH(M$211))&lt;=MIN('Aset Takberwujud'!$Z142,IF('Aset Takberwujud'!$S142="Unit Produksi",99999,'Aset Takberwujud'!$Y142+'Aset Takberwujud'!$T142*12-1))),'Aset Takberwujud'!$AQ142/'Aset Takberwujud'!$AG142,0)))</f>
        <v/>
      </c>
      <c r="N347" s="22" t="str">
        <f>IF($B347="","",IF(N('Aset Takberwujud'!$AG142)=0,0,IF(AND((YEAR(N$211)*12+MONTH(N$211))&gt;='Aset Takberwujud'!$Y142,(YEAR(N$211)*12+MONTH(N$211))&lt;=MIN('Aset Takberwujud'!$Z142,IF('Aset Takberwujud'!$S142="Unit Produksi",99999,'Aset Takberwujud'!$Y142+'Aset Takberwujud'!$T142*12-1))),'Aset Takberwujud'!$AQ142/'Aset Takberwujud'!$AG142,0)))</f>
        <v/>
      </c>
      <c r="O347" s="22" t="str">
        <f>IF($B347="","",IF(N('Aset Takberwujud'!$AG142)=0,0,IF(AND((YEAR(O$211)*12+MONTH(O$211))&gt;='Aset Takberwujud'!$Y142,(YEAR(O$211)*12+MONTH(O$211))&lt;=MIN('Aset Takberwujud'!$Z142,IF('Aset Takberwujud'!$S142="Unit Produksi",99999,'Aset Takberwujud'!$Y142+'Aset Takberwujud'!$T142*12-1))),'Aset Takberwujud'!$AQ142/'Aset Takberwujud'!$AG142,0)))</f>
        <v/>
      </c>
      <c r="P347" s="22" t="str">
        <f>IF($B347="","",IF(N('Aset Takberwujud'!$AG142)=0,0,IF(AND((YEAR(P$211)*12+MONTH(P$211))&gt;='Aset Takberwujud'!$Y142,(YEAR(P$211)*12+MONTH(P$211))&lt;=MIN('Aset Takberwujud'!$Z142,IF('Aset Takberwujud'!$S142="Unit Produksi",99999,'Aset Takberwujud'!$Y142+'Aset Takberwujud'!$T142*12-1))),'Aset Takberwujud'!$AQ142/'Aset Takberwujud'!$AG142,0)))</f>
        <v/>
      </c>
      <c r="Q347" s="22" t="str">
        <f>IF($B347="","",SUM(E347:P347))</f>
        <v/>
      </c>
      <c r="R347" s="22" t="str">
        <f>IF($B347="","",'Aset Takberwujud'!AQ142)</f>
        <v/>
      </c>
      <c r="S347" s="22" t="str">
        <f>IF($B347="","",ROUND(Q347-R347,0))</f>
        <v/>
      </c>
    </row>
    <row r="348" spans="1:19" x14ac:dyDescent="0.25">
      <c r="A348" t="str">
        <f>IF('Aset Takberwujud'!$B143="","",'Aset Takberwujud'!A143)</f>
        <v/>
      </c>
      <c r="B348" t="str">
        <f>IF('Aset Takberwujud'!$B143="","",'Aset Takberwujud'!B143)</f>
        <v/>
      </c>
      <c r="C348" t="str">
        <f>IF('Aset Takberwujud'!$B143="","",'Aset Takberwujud'!C143)</f>
        <v/>
      </c>
      <c r="D348" t="str">
        <f>IF('Aset Takberwujud'!$B143="","",'Aset Takberwujud'!D143)</f>
        <v/>
      </c>
      <c r="E348" s="22" t="str">
        <f>IF($B348="","",IF(N('Aset Takberwujud'!$AG143)=0,0,IF(AND((YEAR(E$211)*12+MONTH(E$211))&gt;='Aset Takberwujud'!$Y143,(YEAR(E$211)*12+MONTH(E$211))&lt;=MIN('Aset Takberwujud'!$Z143,IF('Aset Takberwujud'!$S143="Unit Produksi",99999,'Aset Takberwujud'!$Y143+'Aset Takberwujud'!$T143*12-1))),'Aset Takberwujud'!$AQ143/'Aset Takberwujud'!$AG143,0)))</f>
        <v/>
      </c>
      <c r="F348" s="22" t="str">
        <f>IF($B348="","",IF(N('Aset Takberwujud'!$AG143)=0,0,IF(AND((YEAR(F$211)*12+MONTH(F$211))&gt;='Aset Takberwujud'!$Y143,(YEAR(F$211)*12+MONTH(F$211))&lt;=MIN('Aset Takberwujud'!$Z143,IF('Aset Takberwujud'!$S143="Unit Produksi",99999,'Aset Takberwujud'!$Y143+'Aset Takberwujud'!$T143*12-1))),'Aset Takberwujud'!$AQ143/'Aset Takberwujud'!$AG143,0)))</f>
        <v/>
      </c>
      <c r="G348" s="22" t="str">
        <f>IF($B348="","",IF(N('Aset Takberwujud'!$AG143)=0,0,IF(AND((YEAR(G$211)*12+MONTH(G$211))&gt;='Aset Takberwujud'!$Y143,(YEAR(G$211)*12+MONTH(G$211))&lt;=MIN('Aset Takberwujud'!$Z143,IF('Aset Takberwujud'!$S143="Unit Produksi",99999,'Aset Takberwujud'!$Y143+'Aset Takberwujud'!$T143*12-1))),'Aset Takberwujud'!$AQ143/'Aset Takberwujud'!$AG143,0)))</f>
        <v/>
      </c>
      <c r="H348" s="22" t="str">
        <f>IF($B348="","",IF(N('Aset Takberwujud'!$AG143)=0,0,IF(AND((YEAR(H$211)*12+MONTH(H$211))&gt;='Aset Takberwujud'!$Y143,(YEAR(H$211)*12+MONTH(H$211))&lt;=MIN('Aset Takberwujud'!$Z143,IF('Aset Takberwujud'!$S143="Unit Produksi",99999,'Aset Takberwujud'!$Y143+'Aset Takberwujud'!$T143*12-1))),'Aset Takberwujud'!$AQ143/'Aset Takberwujud'!$AG143,0)))</f>
        <v/>
      </c>
      <c r="I348" s="22" t="str">
        <f>IF($B348="","",IF(N('Aset Takberwujud'!$AG143)=0,0,IF(AND((YEAR(I$211)*12+MONTH(I$211))&gt;='Aset Takberwujud'!$Y143,(YEAR(I$211)*12+MONTH(I$211))&lt;=MIN('Aset Takberwujud'!$Z143,IF('Aset Takberwujud'!$S143="Unit Produksi",99999,'Aset Takberwujud'!$Y143+'Aset Takberwujud'!$T143*12-1))),'Aset Takberwujud'!$AQ143/'Aset Takberwujud'!$AG143,0)))</f>
        <v/>
      </c>
      <c r="J348" s="22" t="str">
        <f>IF($B348="","",IF(N('Aset Takberwujud'!$AG143)=0,0,IF(AND((YEAR(J$211)*12+MONTH(J$211))&gt;='Aset Takberwujud'!$Y143,(YEAR(J$211)*12+MONTH(J$211))&lt;=MIN('Aset Takberwujud'!$Z143,IF('Aset Takberwujud'!$S143="Unit Produksi",99999,'Aset Takberwujud'!$Y143+'Aset Takberwujud'!$T143*12-1))),'Aset Takberwujud'!$AQ143/'Aset Takberwujud'!$AG143,0)))</f>
        <v/>
      </c>
      <c r="K348" s="22" t="str">
        <f>IF($B348="","",IF(N('Aset Takberwujud'!$AG143)=0,0,IF(AND((YEAR(K$211)*12+MONTH(K$211))&gt;='Aset Takberwujud'!$Y143,(YEAR(K$211)*12+MONTH(K$211))&lt;=MIN('Aset Takberwujud'!$Z143,IF('Aset Takberwujud'!$S143="Unit Produksi",99999,'Aset Takberwujud'!$Y143+'Aset Takberwujud'!$T143*12-1))),'Aset Takberwujud'!$AQ143/'Aset Takberwujud'!$AG143,0)))</f>
        <v/>
      </c>
      <c r="L348" s="22" t="str">
        <f>IF($B348="","",IF(N('Aset Takberwujud'!$AG143)=0,0,IF(AND((YEAR(L$211)*12+MONTH(L$211))&gt;='Aset Takberwujud'!$Y143,(YEAR(L$211)*12+MONTH(L$211))&lt;=MIN('Aset Takberwujud'!$Z143,IF('Aset Takberwujud'!$S143="Unit Produksi",99999,'Aset Takberwujud'!$Y143+'Aset Takberwujud'!$T143*12-1))),'Aset Takberwujud'!$AQ143/'Aset Takberwujud'!$AG143,0)))</f>
        <v/>
      </c>
      <c r="M348" s="22" t="str">
        <f>IF($B348="","",IF(N('Aset Takberwujud'!$AG143)=0,0,IF(AND((YEAR(M$211)*12+MONTH(M$211))&gt;='Aset Takberwujud'!$Y143,(YEAR(M$211)*12+MONTH(M$211))&lt;=MIN('Aset Takberwujud'!$Z143,IF('Aset Takberwujud'!$S143="Unit Produksi",99999,'Aset Takberwujud'!$Y143+'Aset Takberwujud'!$T143*12-1))),'Aset Takberwujud'!$AQ143/'Aset Takberwujud'!$AG143,0)))</f>
        <v/>
      </c>
      <c r="N348" s="22" t="str">
        <f>IF($B348="","",IF(N('Aset Takberwujud'!$AG143)=0,0,IF(AND((YEAR(N$211)*12+MONTH(N$211))&gt;='Aset Takberwujud'!$Y143,(YEAR(N$211)*12+MONTH(N$211))&lt;=MIN('Aset Takberwujud'!$Z143,IF('Aset Takberwujud'!$S143="Unit Produksi",99999,'Aset Takberwujud'!$Y143+'Aset Takberwujud'!$T143*12-1))),'Aset Takberwujud'!$AQ143/'Aset Takberwujud'!$AG143,0)))</f>
        <v/>
      </c>
      <c r="O348" s="22" t="str">
        <f>IF($B348="","",IF(N('Aset Takberwujud'!$AG143)=0,0,IF(AND((YEAR(O$211)*12+MONTH(O$211))&gt;='Aset Takberwujud'!$Y143,(YEAR(O$211)*12+MONTH(O$211))&lt;=MIN('Aset Takberwujud'!$Z143,IF('Aset Takberwujud'!$S143="Unit Produksi",99999,'Aset Takberwujud'!$Y143+'Aset Takberwujud'!$T143*12-1))),'Aset Takberwujud'!$AQ143/'Aset Takberwujud'!$AG143,0)))</f>
        <v/>
      </c>
      <c r="P348" s="22" t="str">
        <f>IF($B348="","",IF(N('Aset Takberwujud'!$AG143)=0,0,IF(AND((YEAR(P$211)*12+MONTH(P$211))&gt;='Aset Takberwujud'!$Y143,(YEAR(P$211)*12+MONTH(P$211))&lt;=MIN('Aset Takberwujud'!$Z143,IF('Aset Takberwujud'!$S143="Unit Produksi",99999,'Aset Takberwujud'!$Y143+'Aset Takberwujud'!$T143*12-1))),'Aset Takberwujud'!$AQ143/'Aset Takberwujud'!$AG143,0)))</f>
        <v/>
      </c>
      <c r="Q348" s="22" t="str">
        <f>IF($B348="","",SUM(E348:P348))</f>
        <v/>
      </c>
      <c r="R348" s="22" t="str">
        <f>IF($B348="","",'Aset Takberwujud'!AQ143)</f>
        <v/>
      </c>
      <c r="S348" s="22" t="str">
        <f>IF($B348="","",ROUND(Q348-R348,0))</f>
        <v/>
      </c>
    </row>
    <row r="349" spans="1:19" x14ac:dyDescent="0.25">
      <c r="A349" t="str">
        <f>IF('Aset Takberwujud'!$B144="","",'Aset Takberwujud'!A144)</f>
        <v/>
      </c>
      <c r="B349" t="str">
        <f>IF('Aset Takberwujud'!$B144="","",'Aset Takberwujud'!B144)</f>
        <v/>
      </c>
      <c r="C349" t="str">
        <f>IF('Aset Takberwujud'!$B144="","",'Aset Takberwujud'!C144)</f>
        <v/>
      </c>
      <c r="D349" t="str">
        <f>IF('Aset Takberwujud'!$B144="","",'Aset Takberwujud'!D144)</f>
        <v/>
      </c>
      <c r="E349" s="22" t="str">
        <f>IF($B349="","",IF(N('Aset Takberwujud'!$AG144)=0,0,IF(AND((YEAR(E$211)*12+MONTH(E$211))&gt;='Aset Takberwujud'!$Y144,(YEAR(E$211)*12+MONTH(E$211))&lt;=MIN('Aset Takberwujud'!$Z144,IF('Aset Takberwujud'!$S144="Unit Produksi",99999,'Aset Takberwujud'!$Y144+'Aset Takberwujud'!$T144*12-1))),'Aset Takberwujud'!$AQ144/'Aset Takberwujud'!$AG144,0)))</f>
        <v/>
      </c>
      <c r="F349" s="22" t="str">
        <f>IF($B349="","",IF(N('Aset Takberwujud'!$AG144)=0,0,IF(AND((YEAR(F$211)*12+MONTH(F$211))&gt;='Aset Takberwujud'!$Y144,(YEAR(F$211)*12+MONTH(F$211))&lt;=MIN('Aset Takberwujud'!$Z144,IF('Aset Takberwujud'!$S144="Unit Produksi",99999,'Aset Takberwujud'!$Y144+'Aset Takberwujud'!$T144*12-1))),'Aset Takberwujud'!$AQ144/'Aset Takberwujud'!$AG144,0)))</f>
        <v/>
      </c>
      <c r="G349" s="22" t="str">
        <f>IF($B349="","",IF(N('Aset Takberwujud'!$AG144)=0,0,IF(AND((YEAR(G$211)*12+MONTH(G$211))&gt;='Aset Takberwujud'!$Y144,(YEAR(G$211)*12+MONTH(G$211))&lt;=MIN('Aset Takberwujud'!$Z144,IF('Aset Takberwujud'!$S144="Unit Produksi",99999,'Aset Takberwujud'!$Y144+'Aset Takberwujud'!$T144*12-1))),'Aset Takberwujud'!$AQ144/'Aset Takberwujud'!$AG144,0)))</f>
        <v/>
      </c>
      <c r="H349" s="22" t="str">
        <f>IF($B349="","",IF(N('Aset Takberwujud'!$AG144)=0,0,IF(AND((YEAR(H$211)*12+MONTH(H$211))&gt;='Aset Takberwujud'!$Y144,(YEAR(H$211)*12+MONTH(H$211))&lt;=MIN('Aset Takberwujud'!$Z144,IF('Aset Takberwujud'!$S144="Unit Produksi",99999,'Aset Takberwujud'!$Y144+'Aset Takberwujud'!$T144*12-1))),'Aset Takberwujud'!$AQ144/'Aset Takberwujud'!$AG144,0)))</f>
        <v/>
      </c>
      <c r="I349" s="22" t="str">
        <f>IF($B349="","",IF(N('Aset Takberwujud'!$AG144)=0,0,IF(AND((YEAR(I$211)*12+MONTH(I$211))&gt;='Aset Takberwujud'!$Y144,(YEAR(I$211)*12+MONTH(I$211))&lt;=MIN('Aset Takberwujud'!$Z144,IF('Aset Takberwujud'!$S144="Unit Produksi",99999,'Aset Takberwujud'!$Y144+'Aset Takberwujud'!$T144*12-1))),'Aset Takberwujud'!$AQ144/'Aset Takberwujud'!$AG144,0)))</f>
        <v/>
      </c>
      <c r="J349" s="22" t="str">
        <f>IF($B349="","",IF(N('Aset Takberwujud'!$AG144)=0,0,IF(AND((YEAR(J$211)*12+MONTH(J$211))&gt;='Aset Takberwujud'!$Y144,(YEAR(J$211)*12+MONTH(J$211))&lt;=MIN('Aset Takberwujud'!$Z144,IF('Aset Takberwujud'!$S144="Unit Produksi",99999,'Aset Takberwujud'!$Y144+'Aset Takberwujud'!$T144*12-1))),'Aset Takberwujud'!$AQ144/'Aset Takberwujud'!$AG144,0)))</f>
        <v/>
      </c>
      <c r="K349" s="22" t="str">
        <f>IF($B349="","",IF(N('Aset Takberwujud'!$AG144)=0,0,IF(AND((YEAR(K$211)*12+MONTH(K$211))&gt;='Aset Takberwujud'!$Y144,(YEAR(K$211)*12+MONTH(K$211))&lt;=MIN('Aset Takberwujud'!$Z144,IF('Aset Takberwujud'!$S144="Unit Produksi",99999,'Aset Takberwujud'!$Y144+'Aset Takberwujud'!$T144*12-1))),'Aset Takberwujud'!$AQ144/'Aset Takberwujud'!$AG144,0)))</f>
        <v/>
      </c>
      <c r="L349" s="22" t="str">
        <f>IF($B349="","",IF(N('Aset Takberwujud'!$AG144)=0,0,IF(AND((YEAR(L$211)*12+MONTH(L$211))&gt;='Aset Takberwujud'!$Y144,(YEAR(L$211)*12+MONTH(L$211))&lt;=MIN('Aset Takberwujud'!$Z144,IF('Aset Takberwujud'!$S144="Unit Produksi",99999,'Aset Takberwujud'!$Y144+'Aset Takberwujud'!$T144*12-1))),'Aset Takberwujud'!$AQ144/'Aset Takberwujud'!$AG144,0)))</f>
        <v/>
      </c>
      <c r="M349" s="22" t="str">
        <f>IF($B349="","",IF(N('Aset Takberwujud'!$AG144)=0,0,IF(AND((YEAR(M$211)*12+MONTH(M$211))&gt;='Aset Takberwujud'!$Y144,(YEAR(M$211)*12+MONTH(M$211))&lt;=MIN('Aset Takberwujud'!$Z144,IF('Aset Takberwujud'!$S144="Unit Produksi",99999,'Aset Takberwujud'!$Y144+'Aset Takberwujud'!$T144*12-1))),'Aset Takberwujud'!$AQ144/'Aset Takberwujud'!$AG144,0)))</f>
        <v/>
      </c>
      <c r="N349" s="22" t="str">
        <f>IF($B349="","",IF(N('Aset Takberwujud'!$AG144)=0,0,IF(AND((YEAR(N$211)*12+MONTH(N$211))&gt;='Aset Takberwujud'!$Y144,(YEAR(N$211)*12+MONTH(N$211))&lt;=MIN('Aset Takberwujud'!$Z144,IF('Aset Takberwujud'!$S144="Unit Produksi",99999,'Aset Takberwujud'!$Y144+'Aset Takberwujud'!$T144*12-1))),'Aset Takberwujud'!$AQ144/'Aset Takberwujud'!$AG144,0)))</f>
        <v/>
      </c>
      <c r="O349" s="22" t="str">
        <f>IF($B349="","",IF(N('Aset Takberwujud'!$AG144)=0,0,IF(AND((YEAR(O$211)*12+MONTH(O$211))&gt;='Aset Takberwujud'!$Y144,(YEAR(O$211)*12+MONTH(O$211))&lt;=MIN('Aset Takberwujud'!$Z144,IF('Aset Takberwujud'!$S144="Unit Produksi",99999,'Aset Takberwujud'!$Y144+'Aset Takberwujud'!$T144*12-1))),'Aset Takberwujud'!$AQ144/'Aset Takberwujud'!$AG144,0)))</f>
        <v/>
      </c>
      <c r="P349" s="22" t="str">
        <f>IF($B349="","",IF(N('Aset Takberwujud'!$AG144)=0,0,IF(AND((YEAR(P$211)*12+MONTH(P$211))&gt;='Aset Takberwujud'!$Y144,(YEAR(P$211)*12+MONTH(P$211))&lt;=MIN('Aset Takberwujud'!$Z144,IF('Aset Takberwujud'!$S144="Unit Produksi",99999,'Aset Takberwujud'!$Y144+'Aset Takberwujud'!$T144*12-1))),'Aset Takberwujud'!$AQ144/'Aset Takberwujud'!$AG144,0)))</f>
        <v/>
      </c>
      <c r="Q349" s="22" t="str">
        <f>IF($B349="","",SUM(E349:P349))</f>
        <v/>
      </c>
      <c r="R349" s="22" t="str">
        <f>IF($B349="","",'Aset Takberwujud'!AQ144)</f>
        <v/>
      </c>
      <c r="S349" s="22" t="str">
        <f>IF($B349="","",ROUND(Q349-R349,0))</f>
        <v/>
      </c>
    </row>
    <row r="350" spans="1:19" x14ac:dyDescent="0.25">
      <c r="A350" t="str">
        <f>IF('Aset Takberwujud'!$B145="","",'Aset Takberwujud'!A145)</f>
        <v/>
      </c>
      <c r="B350" t="str">
        <f>IF('Aset Takberwujud'!$B145="","",'Aset Takberwujud'!B145)</f>
        <v/>
      </c>
      <c r="C350" t="str">
        <f>IF('Aset Takberwujud'!$B145="","",'Aset Takberwujud'!C145)</f>
        <v/>
      </c>
      <c r="D350" t="str">
        <f>IF('Aset Takberwujud'!$B145="","",'Aset Takberwujud'!D145)</f>
        <v/>
      </c>
      <c r="E350" s="22" t="str">
        <f>IF($B350="","",IF(N('Aset Takberwujud'!$AG145)=0,0,IF(AND((YEAR(E$211)*12+MONTH(E$211))&gt;='Aset Takberwujud'!$Y145,(YEAR(E$211)*12+MONTH(E$211))&lt;=MIN('Aset Takberwujud'!$Z145,IF('Aset Takberwujud'!$S145="Unit Produksi",99999,'Aset Takberwujud'!$Y145+'Aset Takberwujud'!$T145*12-1))),'Aset Takberwujud'!$AQ145/'Aset Takberwujud'!$AG145,0)))</f>
        <v/>
      </c>
      <c r="F350" s="22" t="str">
        <f>IF($B350="","",IF(N('Aset Takberwujud'!$AG145)=0,0,IF(AND((YEAR(F$211)*12+MONTH(F$211))&gt;='Aset Takberwujud'!$Y145,(YEAR(F$211)*12+MONTH(F$211))&lt;=MIN('Aset Takberwujud'!$Z145,IF('Aset Takberwujud'!$S145="Unit Produksi",99999,'Aset Takberwujud'!$Y145+'Aset Takberwujud'!$T145*12-1))),'Aset Takberwujud'!$AQ145/'Aset Takberwujud'!$AG145,0)))</f>
        <v/>
      </c>
      <c r="G350" s="22" t="str">
        <f>IF($B350="","",IF(N('Aset Takberwujud'!$AG145)=0,0,IF(AND((YEAR(G$211)*12+MONTH(G$211))&gt;='Aset Takberwujud'!$Y145,(YEAR(G$211)*12+MONTH(G$211))&lt;=MIN('Aset Takberwujud'!$Z145,IF('Aset Takberwujud'!$S145="Unit Produksi",99999,'Aset Takberwujud'!$Y145+'Aset Takberwujud'!$T145*12-1))),'Aset Takberwujud'!$AQ145/'Aset Takberwujud'!$AG145,0)))</f>
        <v/>
      </c>
      <c r="H350" s="22" t="str">
        <f>IF($B350="","",IF(N('Aset Takberwujud'!$AG145)=0,0,IF(AND((YEAR(H$211)*12+MONTH(H$211))&gt;='Aset Takberwujud'!$Y145,(YEAR(H$211)*12+MONTH(H$211))&lt;=MIN('Aset Takberwujud'!$Z145,IF('Aset Takberwujud'!$S145="Unit Produksi",99999,'Aset Takberwujud'!$Y145+'Aset Takberwujud'!$T145*12-1))),'Aset Takberwujud'!$AQ145/'Aset Takberwujud'!$AG145,0)))</f>
        <v/>
      </c>
      <c r="I350" s="22" t="str">
        <f>IF($B350="","",IF(N('Aset Takberwujud'!$AG145)=0,0,IF(AND((YEAR(I$211)*12+MONTH(I$211))&gt;='Aset Takberwujud'!$Y145,(YEAR(I$211)*12+MONTH(I$211))&lt;=MIN('Aset Takberwujud'!$Z145,IF('Aset Takberwujud'!$S145="Unit Produksi",99999,'Aset Takberwujud'!$Y145+'Aset Takberwujud'!$T145*12-1))),'Aset Takberwujud'!$AQ145/'Aset Takberwujud'!$AG145,0)))</f>
        <v/>
      </c>
      <c r="J350" s="22" t="str">
        <f>IF($B350="","",IF(N('Aset Takberwujud'!$AG145)=0,0,IF(AND((YEAR(J$211)*12+MONTH(J$211))&gt;='Aset Takberwujud'!$Y145,(YEAR(J$211)*12+MONTH(J$211))&lt;=MIN('Aset Takberwujud'!$Z145,IF('Aset Takberwujud'!$S145="Unit Produksi",99999,'Aset Takberwujud'!$Y145+'Aset Takberwujud'!$T145*12-1))),'Aset Takberwujud'!$AQ145/'Aset Takberwujud'!$AG145,0)))</f>
        <v/>
      </c>
      <c r="K350" s="22" t="str">
        <f>IF($B350="","",IF(N('Aset Takberwujud'!$AG145)=0,0,IF(AND((YEAR(K$211)*12+MONTH(K$211))&gt;='Aset Takberwujud'!$Y145,(YEAR(K$211)*12+MONTH(K$211))&lt;=MIN('Aset Takberwujud'!$Z145,IF('Aset Takberwujud'!$S145="Unit Produksi",99999,'Aset Takberwujud'!$Y145+'Aset Takberwujud'!$T145*12-1))),'Aset Takberwujud'!$AQ145/'Aset Takberwujud'!$AG145,0)))</f>
        <v/>
      </c>
      <c r="L350" s="22" t="str">
        <f>IF($B350="","",IF(N('Aset Takberwujud'!$AG145)=0,0,IF(AND((YEAR(L$211)*12+MONTH(L$211))&gt;='Aset Takberwujud'!$Y145,(YEAR(L$211)*12+MONTH(L$211))&lt;=MIN('Aset Takberwujud'!$Z145,IF('Aset Takberwujud'!$S145="Unit Produksi",99999,'Aset Takberwujud'!$Y145+'Aset Takberwujud'!$T145*12-1))),'Aset Takberwujud'!$AQ145/'Aset Takberwujud'!$AG145,0)))</f>
        <v/>
      </c>
      <c r="M350" s="22" t="str">
        <f>IF($B350="","",IF(N('Aset Takberwujud'!$AG145)=0,0,IF(AND((YEAR(M$211)*12+MONTH(M$211))&gt;='Aset Takberwujud'!$Y145,(YEAR(M$211)*12+MONTH(M$211))&lt;=MIN('Aset Takberwujud'!$Z145,IF('Aset Takberwujud'!$S145="Unit Produksi",99999,'Aset Takberwujud'!$Y145+'Aset Takberwujud'!$T145*12-1))),'Aset Takberwujud'!$AQ145/'Aset Takberwujud'!$AG145,0)))</f>
        <v/>
      </c>
      <c r="N350" s="22" t="str">
        <f>IF($B350="","",IF(N('Aset Takberwujud'!$AG145)=0,0,IF(AND((YEAR(N$211)*12+MONTH(N$211))&gt;='Aset Takberwujud'!$Y145,(YEAR(N$211)*12+MONTH(N$211))&lt;=MIN('Aset Takberwujud'!$Z145,IF('Aset Takberwujud'!$S145="Unit Produksi",99999,'Aset Takberwujud'!$Y145+'Aset Takberwujud'!$T145*12-1))),'Aset Takberwujud'!$AQ145/'Aset Takberwujud'!$AG145,0)))</f>
        <v/>
      </c>
      <c r="O350" s="22" t="str">
        <f>IF($B350="","",IF(N('Aset Takberwujud'!$AG145)=0,0,IF(AND((YEAR(O$211)*12+MONTH(O$211))&gt;='Aset Takberwujud'!$Y145,(YEAR(O$211)*12+MONTH(O$211))&lt;=MIN('Aset Takberwujud'!$Z145,IF('Aset Takberwujud'!$S145="Unit Produksi",99999,'Aset Takberwujud'!$Y145+'Aset Takberwujud'!$T145*12-1))),'Aset Takberwujud'!$AQ145/'Aset Takberwujud'!$AG145,0)))</f>
        <v/>
      </c>
      <c r="P350" s="22" t="str">
        <f>IF($B350="","",IF(N('Aset Takberwujud'!$AG145)=0,0,IF(AND((YEAR(P$211)*12+MONTH(P$211))&gt;='Aset Takberwujud'!$Y145,(YEAR(P$211)*12+MONTH(P$211))&lt;=MIN('Aset Takberwujud'!$Z145,IF('Aset Takberwujud'!$S145="Unit Produksi",99999,'Aset Takberwujud'!$Y145+'Aset Takberwujud'!$T145*12-1))),'Aset Takberwujud'!$AQ145/'Aset Takberwujud'!$AG145,0)))</f>
        <v/>
      </c>
      <c r="Q350" s="22" t="str">
        <f>IF($B350="","",SUM(E350:P350))</f>
        <v/>
      </c>
      <c r="R350" s="22" t="str">
        <f>IF($B350="","",'Aset Takberwujud'!AQ145)</f>
        <v/>
      </c>
      <c r="S350" s="22" t="str">
        <f>IF($B350="","",ROUND(Q350-R350,0))</f>
        <v/>
      </c>
    </row>
    <row r="351" spans="1:19" x14ac:dyDescent="0.25">
      <c r="A351" t="str">
        <f>IF('Aset Takberwujud'!$B146="","",'Aset Takberwujud'!A146)</f>
        <v/>
      </c>
      <c r="B351" t="str">
        <f>IF('Aset Takberwujud'!$B146="","",'Aset Takberwujud'!B146)</f>
        <v/>
      </c>
      <c r="C351" t="str">
        <f>IF('Aset Takberwujud'!$B146="","",'Aset Takberwujud'!C146)</f>
        <v/>
      </c>
      <c r="D351" t="str">
        <f>IF('Aset Takberwujud'!$B146="","",'Aset Takberwujud'!D146)</f>
        <v/>
      </c>
      <c r="E351" s="22" t="str">
        <f>IF($B351="","",IF(N('Aset Takberwujud'!$AG146)=0,0,IF(AND((YEAR(E$211)*12+MONTH(E$211))&gt;='Aset Takberwujud'!$Y146,(YEAR(E$211)*12+MONTH(E$211))&lt;=MIN('Aset Takberwujud'!$Z146,IF('Aset Takberwujud'!$S146="Unit Produksi",99999,'Aset Takberwujud'!$Y146+'Aset Takberwujud'!$T146*12-1))),'Aset Takberwujud'!$AQ146/'Aset Takberwujud'!$AG146,0)))</f>
        <v/>
      </c>
      <c r="F351" s="22" t="str">
        <f>IF($B351="","",IF(N('Aset Takberwujud'!$AG146)=0,0,IF(AND((YEAR(F$211)*12+MONTH(F$211))&gt;='Aset Takberwujud'!$Y146,(YEAR(F$211)*12+MONTH(F$211))&lt;=MIN('Aset Takberwujud'!$Z146,IF('Aset Takberwujud'!$S146="Unit Produksi",99999,'Aset Takberwujud'!$Y146+'Aset Takberwujud'!$T146*12-1))),'Aset Takberwujud'!$AQ146/'Aset Takberwujud'!$AG146,0)))</f>
        <v/>
      </c>
      <c r="G351" s="22" t="str">
        <f>IF($B351="","",IF(N('Aset Takberwujud'!$AG146)=0,0,IF(AND((YEAR(G$211)*12+MONTH(G$211))&gt;='Aset Takberwujud'!$Y146,(YEAR(G$211)*12+MONTH(G$211))&lt;=MIN('Aset Takberwujud'!$Z146,IF('Aset Takberwujud'!$S146="Unit Produksi",99999,'Aset Takberwujud'!$Y146+'Aset Takberwujud'!$T146*12-1))),'Aset Takberwujud'!$AQ146/'Aset Takberwujud'!$AG146,0)))</f>
        <v/>
      </c>
      <c r="H351" s="22" t="str">
        <f>IF($B351="","",IF(N('Aset Takberwujud'!$AG146)=0,0,IF(AND((YEAR(H$211)*12+MONTH(H$211))&gt;='Aset Takberwujud'!$Y146,(YEAR(H$211)*12+MONTH(H$211))&lt;=MIN('Aset Takberwujud'!$Z146,IF('Aset Takberwujud'!$S146="Unit Produksi",99999,'Aset Takberwujud'!$Y146+'Aset Takberwujud'!$T146*12-1))),'Aset Takberwujud'!$AQ146/'Aset Takberwujud'!$AG146,0)))</f>
        <v/>
      </c>
      <c r="I351" s="22" t="str">
        <f>IF($B351="","",IF(N('Aset Takberwujud'!$AG146)=0,0,IF(AND((YEAR(I$211)*12+MONTH(I$211))&gt;='Aset Takberwujud'!$Y146,(YEAR(I$211)*12+MONTH(I$211))&lt;=MIN('Aset Takberwujud'!$Z146,IF('Aset Takberwujud'!$S146="Unit Produksi",99999,'Aset Takberwujud'!$Y146+'Aset Takberwujud'!$T146*12-1))),'Aset Takberwujud'!$AQ146/'Aset Takberwujud'!$AG146,0)))</f>
        <v/>
      </c>
      <c r="J351" s="22" t="str">
        <f>IF($B351="","",IF(N('Aset Takberwujud'!$AG146)=0,0,IF(AND((YEAR(J$211)*12+MONTH(J$211))&gt;='Aset Takberwujud'!$Y146,(YEAR(J$211)*12+MONTH(J$211))&lt;=MIN('Aset Takberwujud'!$Z146,IF('Aset Takberwujud'!$S146="Unit Produksi",99999,'Aset Takberwujud'!$Y146+'Aset Takberwujud'!$T146*12-1))),'Aset Takberwujud'!$AQ146/'Aset Takberwujud'!$AG146,0)))</f>
        <v/>
      </c>
      <c r="K351" s="22" t="str">
        <f>IF($B351="","",IF(N('Aset Takberwujud'!$AG146)=0,0,IF(AND((YEAR(K$211)*12+MONTH(K$211))&gt;='Aset Takberwujud'!$Y146,(YEAR(K$211)*12+MONTH(K$211))&lt;=MIN('Aset Takberwujud'!$Z146,IF('Aset Takberwujud'!$S146="Unit Produksi",99999,'Aset Takberwujud'!$Y146+'Aset Takberwujud'!$T146*12-1))),'Aset Takberwujud'!$AQ146/'Aset Takberwujud'!$AG146,0)))</f>
        <v/>
      </c>
      <c r="L351" s="22" t="str">
        <f>IF($B351="","",IF(N('Aset Takberwujud'!$AG146)=0,0,IF(AND((YEAR(L$211)*12+MONTH(L$211))&gt;='Aset Takberwujud'!$Y146,(YEAR(L$211)*12+MONTH(L$211))&lt;=MIN('Aset Takberwujud'!$Z146,IF('Aset Takberwujud'!$S146="Unit Produksi",99999,'Aset Takberwujud'!$Y146+'Aset Takberwujud'!$T146*12-1))),'Aset Takberwujud'!$AQ146/'Aset Takberwujud'!$AG146,0)))</f>
        <v/>
      </c>
      <c r="M351" s="22" t="str">
        <f>IF($B351="","",IF(N('Aset Takberwujud'!$AG146)=0,0,IF(AND((YEAR(M$211)*12+MONTH(M$211))&gt;='Aset Takberwujud'!$Y146,(YEAR(M$211)*12+MONTH(M$211))&lt;=MIN('Aset Takberwujud'!$Z146,IF('Aset Takberwujud'!$S146="Unit Produksi",99999,'Aset Takberwujud'!$Y146+'Aset Takberwujud'!$T146*12-1))),'Aset Takberwujud'!$AQ146/'Aset Takberwujud'!$AG146,0)))</f>
        <v/>
      </c>
      <c r="N351" s="22" t="str">
        <f>IF($B351="","",IF(N('Aset Takberwujud'!$AG146)=0,0,IF(AND((YEAR(N$211)*12+MONTH(N$211))&gt;='Aset Takberwujud'!$Y146,(YEAR(N$211)*12+MONTH(N$211))&lt;=MIN('Aset Takberwujud'!$Z146,IF('Aset Takberwujud'!$S146="Unit Produksi",99999,'Aset Takberwujud'!$Y146+'Aset Takberwujud'!$T146*12-1))),'Aset Takberwujud'!$AQ146/'Aset Takberwujud'!$AG146,0)))</f>
        <v/>
      </c>
      <c r="O351" s="22" t="str">
        <f>IF($B351="","",IF(N('Aset Takberwujud'!$AG146)=0,0,IF(AND((YEAR(O$211)*12+MONTH(O$211))&gt;='Aset Takberwujud'!$Y146,(YEAR(O$211)*12+MONTH(O$211))&lt;=MIN('Aset Takberwujud'!$Z146,IF('Aset Takberwujud'!$S146="Unit Produksi",99999,'Aset Takberwujud'!$Y146+'Aset Takberwujud'!$T146*12-1))),'Aset Takberwujud'!$AQ146/'Aset Takberwujud'!$AG146,0)))</f>
        <v/>
      </c>
      <c r="P351" s="22" t="str">
        <f>IF($B351="","",IF(N('Aset Takberwujud'!$AG146)=0,0,IF(AND((YEAR(P$211)*12+MONTH(P$211))&gt;='Aset Takberwujud'!$Y146,(YEAR(P$211)*12+MONTH(P$211))&lt;=MIN('Aset Takberwujud'!$Z146,IF('Aset Takberwujud'!$S146="Unit Produksi",99999,'Aset Takberwujud'!$Y146+'Aset Takberwujud'!$T146*12-1))),'Aset Takberwujud'!$AQ146/'Aset Takberwujud'!$AG146,0)))</f>
        <v/>
      </c>
      <c r="Q351" s="22" t="str">
        <f>IF($B351="","",SUM(E351:P351))</f>
        <v/>
      </c>
      <c r="R351" s="22" t="str">
        <f>IF($B351="","",'Aset Takberwujud'!AQ146)</f>
        <v/>
      </c>
      <c r="S351" s="22" t="str">
        <f>IF($B351="","",ROUND(Q351-R351,0))</f>
        <v/>
      </c>
    </row>
    <row r="352" spans="1:19" x14ac:dyDescent="0.25">
      <c r="A352" t="str">
        <f>IF('Aset Takberwujud'!$B147="","",'Aset Takberwujud'!A147)</f>
        <v/>
      </c>
      <c r="B352" t="str">
        <f>IF('Aset Takberwujud'!$B147="","",'Aset Takberwujud'!B147)</f>
        <v/>
      </c>
      <c r="C352" t="str">
        <f>IF('Aset Takberwujud'!$B147="","",'Aset Takberwujud'!C147)</f>
        <v/>
      </c>
      <c r="D352" t="str">
        <f>IF('Aset Takberwujud'!$B147="","",'Aset Takberwujud'!D147)</f>
        <v/>
      </c>
      <c r="E352" s="22" t="str">
        <f>IF($B352="","",IF(N('Aset Takberwujud'!$AG147)=0,0,IF(AND((YEAR(E$211)*12+MONTH(E$211))&gt;='Aset Takberwujud'!$Y147,(YEAR(E$211)*12+MONTH(E$211))&lt;=MIN('Aset Takberwujud'!$Z147,IF('Aset Takberwujud'!$S147="Unit Produksi",99999,'Aset Takberwujud'!$Y147+'Aset Takberwujud'!$T147*12-1))),'Aset Takberwujud'!$AQ147/'Aset Takberwujud'!$AG147,0)))</f>
        <v/>
      </c>
      <c r="F352" s="22" t="str">
        <f>IF($B352="","",IF(N('Aset Takberwujud'!$AG147)=0,0,IF(AND((YEAR(F$211)*12+MONTH(F$211))&gt;='Aset Takberwujud'!$Y147,(YEAR(F$211)*12+MONTH(F$211))&lt;=MIN('Aset Takberwujud'!$Z147,IF('Aset Takberwujud'!$S147="Unit Produksi",99999,'Aset Takberwujud'!$Y147+'Aset Takberwujud'!$T147*12-1))),'Aset Takberwujud'!$AQ147/'Aset Takberwujud'!$AG147,0)))</f>
        <v/>
      </c>
      <c r="G352" s="22" t="str">
        <f>IF($B352="","",IF(N('Aset Takberwujud'!$AG147)=0,0,IF(AND((YEAR(G$211)*12+MONTH(G$211))&gt;='Aset Takberwujud'!$Y147,(YEAR(G$211)*12+MONTH(G$211))&lt;=MIN('Aset Takberwujud'!$Z147,IF('Aset Takberwujud'!$S147="Unit Produksi",99999,'Aset Takberwujud'!$Y147+'Aset Takberwujud'!$T147*12-1))),'Aset Takberwujud'!$AQ147/'Aset Takberwujud'!$AG147,0)))</f>
        <v/>
      </c>
      <c r="H352" s="22" t="str">
        <f>IF($B352="","",IF(N('Aset Takberwujud'!$AG147)=0,0,IF(AND((YEAR(H$211)*12+MONTH(H$211))&gt;='Aset Takberwujud'!$Y147,(YEAR(H$211)*12+MONTH(H$211))&lt;=MIN('Aset Takberwujud'!$Z147,IF('Aset Takberwujud'!$S147="Unit Produksi",99999,'Aset Takberwujud'!$Y147+'Aset Takberwujud'!$T147*12-1))),'Aset Takberwujud'!$AQ147/'Aset Takberwujud'!$AG147,0)))</f>
        <v/>
      </c>
      <c r="I352" s="22" t="str">
        <f>IF($B352="","",IF(N('Aset Takberwujud'!$AG147)=0,0,IF(AND((YEAR(I$211)*12+MONTH(I$211))&gt;='Aset Takberwujud'!$Y147,(YEAR(I$211)*12+MONTH(I$211))&lt;=MIN('Aset Takberwujud'!$Z147,IF('Aset Takberwujud'!$S147="Unit Produksi",99999,'Aset Takberwujud'!$Y147+'Aset Takberwujud'!$T147*12-1))),'Aset Takberwujud'!$AQ147/'Aset Takberwujud'!$AG147,0)))</f>
        <v/>
      </c>
      <c r="J352" s="22" t="str">
        <f>IF($B352="","",IF(N('Aset Takberwujud'!$AG147)=0,0,IF(AND((YEAR(J$211)*12+MONTH(J$211))&gt;='Aset Takberwujud'!$Y147,(YEAR(J$211)*12+MONTH(J$211))&lt;=MIN('Aset Takberwujud'!$Z147,IF('Aset Takberwujud'!$S147="Unit Produksi",99999,'Aset Takberwujud'!$Y147+'Aset Takberwujud'!$T147*12-1))),'Aset Takberwujud'!$AQ147/'Aset Takberwujud'!$AG147,0)))</f>
        <v/>
      </c>
      <c r="K352" s="22" t="str">
        <f>IF($B352="","",IF(N('Aset Takberwujud'!$AG147)=0,0,IF(AND((YEAR(K$211)*12+MONTH(K$211))&gt;='Aset Takberwujud'!$Y147,(YEAR(K$211)*12+MONTH(K$211))&lt;=MIN('Aset Takberwujud'!$Z147,IF('Aset Takberwujud'!$S147="Unit Produksi",99999,'Aset Takberwujud'!$Y147+'Aset Takberwujud'!$T147*12-1))),'Aset Takberwujud'!$AQ147/'Aset Takberwujud'!$AG147,0)))</f>
        <v/>
      </c>
      <c r="L352" s="22" t="str">
        <f>IF($B352="","",IF(N('Aset Takberwujud'!$AG147)=0,0,IF(AND((YEAR(L$211)*12+MONTH(L$211))&gt;='Aset Takberwujud'!$Y147,(YEAR(L$211)*12+MONTH(L$211))&lt;=MIN('Aset Takberwujud'!$Z147,IF('Aset Takberwujud'!$S147="Unit Produksi",99999,'Aset Takberwujud'!$Y147+'Aset Takberwujud'!$T147*12-1))),'Aset Takberwujud'!$AQ147/'Aset Takberwujud'!$AG147,0)))</f>
        <v/>
      </c>
      <c r="M352" s="22" t="str">
        <f>IF($B352="","",IF(N('Aset Takberwujud'!$AG147)=0,0,IF(AND((YEAR(M$211)*12+MONTH(M$211))&gt;='Aset Takberwujud'!$Y147,(YEAR(M$211)*12+MONTH(M$211))&lt;=MIN('Aset Takberwujud'!$Z147,IF('Aset Takberwujud'!$S147="Unit Produksi",99999,'Aset Takberwujud'!$Y147+'Aset Takberwujud'!$T147*12-1))),'Aset Takberwujud'!$AQ147/'Aset Takberwujud'!$AG147,0)))</f>
        <v/>
      </c>
      <c r="N352" s="22" t="str">
        <f>IF($B352="","",IF(N('Aset Takberwujud'!$AG147)=0,0,IF(AND((YEAR(N$211)*12+MONTH(N$211))&gt;='Aset Takberwujud'!$Y147,(YEAR(N$211)*12+MONTH(N$211))&lt;=MIN('Aset Takberwujud'!$Z147,IF('Aset Takberwujud'!$S147="Unit Produksi",99999,'Aset Takberwujud'!$Y147+'Aset Takberwujud'!$T147*12-1))),'Aset Takberwujud'!$AQ147/'Aset Takberwujud'!$AG147,0)))</f>
        <v/>
      </c>
      <c r="O352" s="22" t="str">
        <f>IF($B352="","",IF(N('Aset Takberwujud'!$AG147)=0,0,IF(AND((YEAR(O$211)*12+MONTH(O$211))&gt;='Aset Takberwujud'!$Y147,(YEAR(O$211)*12+MONTH(O$211))&lt;=MIN('Aset Takberwujud'!$Z147,IF('Aset Takberwujud'!$S147="Unit Produksi",99999,'Aset Takberwujud'!$Y147+'Aset Takberwujud'!$T147*12-1))),'Aset Takberwujud'!$AQ147/'Aset Takberwujud'!$AG147,0)))</f>
        <v/>
      </c>
      <c r="P352" s="22" t="str">
        <f>IF($B352="","",IF(N('Aset Takberwujud'!$AG147)=0,0,IF(AND((YEAR(P$211)*12+MONTH(P$211))&gt;='Aset Takberwujud'!$Y147,(YEAR(P$211)*12+MONTH(P$211))&lt;=MIN('Aset Takberwujud'!$Z147,IF('Aset Takberwujud'!$S147="Unit Produksi",99999,'Aset Takberwujud'!$Y147+'Aset Takberwujud'!$T147*12-1))),'Aset Takberwujud'!$AQ147/'Aset Takberwujud'!$AG147,0)))</f>
        <v/>
      </c>
      <c r="Q352" s="22" t="str">
        <f>IF($B352="","",SUM(E352:P352))</f>
        <v/>
      </c>
      <c r="R352" s="22" t="str">
        <f>IF($B352="","",'Aset Takberwujud'!AQ147)</f>
        <v/>
      </c>
      <c r="S352" s="22" t="str">
        <f>IF($B352="","",ROUND(Q352-R352,0))</f>
        <v/>
      </c>
    </row>
    <row r="353" spans="1:19" x14ac:dyDescent="0.25">
      <c r="A353" t="str">
        <f>IF('Aset Takberwujud'!$B148="","",'Aset Takberwujud'!A148)</f>
        <v/>
      </c>
      <c r="B353" t="str">
        <f>IF('Aset Takberwujud'!$B148="","",'Aset Takberwujud'!B148)</f>
        <v/>
      </c>
      <c r="C353" t="str">
        <f>IF('Aset Takberwujud'!$B148="","",'Aset Takberwujud'!C148)</f>
        <v/>
      </c>
      <c r="D353" t="str">
        <f>IF('Aset Takberwujud'!$B148="","",'Aset Takberwujud'!D148)</f>
        <v/>
      </c>
      <c r="E353" s="22" t="str">
        <f>IF($B353="","",IF(N('Aset Takberwujud'!$AG148)=0,0,IF(AND((YEAR(E$211)*12+MONTH(E$211))&gt;='Aset Takberwujud'!$Y148,(YEAR(E$211)*12+MONTH(E$211))&lt;=MIN('Aset Takberwujud'!$Z148,IF('Aset Takberwujud'!$S148="Unit Produksi",99999,'Aset Takberwujud'!$Y148+'Aset Takberwujud'!$T148*12-1))),'Aset Takberwujud'!$AQ148/'Aset Takberwujud'!$AG148,0)))</f>
        <v/>
      </c>
      <c r="F353" s="22" t="str">
        <f>IF($B353="","",IF(N('Aset Takberwujud'!$AG148)=0,0,IF(AND((YEAR(F$211)*12+MONTH(F$211))&gt;='Aset Takberwujud'!$Y148,(YEAR(F$211)*12+MONTH(F$211))&lt;=MIN('Aset Takberwujud'!$Z148,IF('Aset Takberwujud'!$S148="Unit Produksi",99999,'Aset Takberwujud'!$Y148+'Aset Takberwujud'!$T148*12-1))),'Aset Takberwujud'!$AQ148/'Aset Takberwujud'!$AG148,0)))</f>
        <v/>
      </c>
      <c r="G353" s="22" t="str">
        <f>IF($B353="","",IF(N('Aset Takberwujud'!$AG148)=0,0,IF(AND((YEAR(G$211)*12+MONTH(G$211))&gt;='Aset Takberwujud'!$Y148,(YEAR(G$211)*12+MONTH(G$211))&lt;=MIN('Aset Takberwujud'!$Z148,IF('Aset Takberwujud'!$S148="Unit Produksi",99999,'Aset Takberwujud'!$Y148+'Aset Takberwujud'!$T148*12-1))),'Aset Takberwujud'!$AQ148/'Aset Takberwujud'!$AG148,0)))</f>
        <v/>
      </c>
      <c r="H353" s="22" t="str">
        <f>IF($B353="","",IF(N('Aset Takberwujud'!$AG148)=0,0,IF(AND((YEAR(H$211)*12+MONTH(H$211))&gt;='Aset Takberwujud'!$Y148,(YEAR(H$211)*12+MONTH(H$211))&lt;=MIN('Aset Takberwujud'!$Z148,IF('Aset Takberwujud'!$S148="Unit Produksi",99999,'Aset Takberwujud'!$Y148+'Aset Takberwujud'!$T148*12-1))),'Aset Takberwujud'!$AQ148/'Aset Takberwujud'!$AG148,0)))</f>
        <v/>
      </c>
      <c r="I353" s="22" t="str">
        <f>IF($B353="","",IF(N('Aset Takberwujud'!$AG148)=0,0,IF(AND((YEAR(I$211)*12+MONTH(I$211))&gt;='Aset Takberwujud'!$Y148,(YEAR(I$211)*12+MONTH(I$211))&lt;=MIN('Aset Takberwujud'!$Z148,IF('Aset Takberwujud'!$S148="Unit Produksi",99999,'Aset Takberwujud'!$Y148+'Aset Takberwujud'!$T148*12-1))),'Aset Takberwujud'!$AQ148/'Aset Takberwujud'!$AG148,0)))</f>
        <v/>
      </c>
      <c r="J353" s="22" t="str">
        <f>IF($B353="","",IF(N('Aset Takberwujud'!$AG148)=0,0,IF(AND((YEAR(J$211)*12+MONTH(J$211))&gt;='Aset Takberwujud'!$Y148,(YEAR(J$211)*12+MONTH(J$211))&lt;=MIN('Aset Takberwujud'!$Z148,IF('Aset Takberwujud'!$S148="Unit Produksi",99999,'Aset Takberwujud'!$Y148+'Aset Takberwujud'!$T148*12-1))),'Aset Takberwujud'!$AQ148/'Aset Takberwujud'!$AG148,0)))</f>
        <v/>
      </c>
      <c r="K353" s="22" t="str">
        <f>IF($B353="","",IF(N('Aset Takberwujud'!$AG148)=0,0,IF(AND((YEAR(K$211)*12+MONTH(K$211))&gt;='Aset Takberwujud'!$Y148,(YEAR(K$211)*12+MONTH(K$211))&lt;=MIN('Aset Takberwujud'!$Z148,IF('Aset Takberwujud'!$S148="Unit Produksi",99999,'Aset Takberwujud'!$Y148+'Aset Takberwujud'!$T148*12-1))),'Aset Takberwujud'!$AQ148/'Aset Takberwujud'!$AG148,0)))</f>
        <v/>
      </c>
      <c r="L353" s="22" t="str">
        <f>IF($B353="","",IF(N('Aset Takberwujud'!$AG148)=0,0,IF(AND((YEAR(L$211)*12+MONTH(L$211))&gt;='Aset Takberwujud'!$Y148,(YEAR(L$211)*12+MONTH(L$211))&lt;=MIN('Aset Takberwujud'!$Z148,IF('Aset Takberwujud'!$S148="Unit Produksi",99999,'Aset Takberwujud'!$Y148+'Aset Takberwujud'!$T148*12-1))),'Aset Takberwujud'!$AQ148/'Aset Takberwujud'!$AG148,0)))</f>
        <v/>
      </c>
      <c r="M353" s="22" t="str">
        <f>IF($B353="","",IF(N('Aset Takberwujud'!$AG148)=0,0,IF(AND((YEAR(M$211)*12+MONTH(M$211))&gt;='Aset Takberwujud'!$Y148,(YEAR(M$211)*12+MONTH(M$211))&lt;=MIN('Aset Takberwujud'!$Z148,IF('Aset Takberwujud'!$S148="Unit Produksi",99999,'Aset Takberwujud'!$Y148+'Aset Takberwujud'!$T148*12-1))),'Aset Takberwujud'!$AQ148/'Aset Takberwujud'!$AG148,0)))</f>
        <v/>
      </c>
      <c r="N353" s="22" t="str">
        <f>IF($B353="","",IF(N('Aset Takberwujud'!$AG148)=0,0,IF(AND((YEAR(N$211)*12+MONTH(N$211))&gt;='Aset Takberwujud'!$Y148,(YEAR(N$211)*12+MONTH(N$211))&lt;=MIN('Aset Takberwujud'!$Z148,IF('Aset Takberwujud'!$S148="Unit Produksi",99999,'Aset Takberwujud'!$Y148+'Aset Takberwujud'!$T148*12-1))),'Aset Takberwujud'!$AQ148/'Aset Takberwujud'!$AG148,0)))</f>
        <v/>
      </c>
      <c r="O353" s="22" t="str">
        <f>IF($B353="","",IF(N('Aset Takberwujud'!$AG148)=0,0,IF(AND((YEAR(O$211)*12+MONTH(O$211))&gt;='Aset Takberwujud'!$Y148,(YEAR(O$211)*12+MONTH(O$211))&lt;=MIN('Aset Takberwujud'!$Z148,IF('Aset Takberwujud'!$S148="Unit Produksi",99999,'Aset Takberwujud'!$Y148+'Aset Takberwujud'!$T148*12-1))),'Aset Takberwujud'!$AQ148/'Aset Takberwujud'!$AG148,0)))</f>
        <v/>
      </c>
      <c r="P353" s="22" t="str">
        <f>IF($B353="","",IF(N('Aset Takberwujud'!$AG148)=0,0,IF(AND((YEAR(P$211)*12+MONTH(P$211))&gt;='Aset Takberwujud'!$Y148,(YEAR(P$211)*12+MONTH(P$211))&lt;=MIN('Aset Takberwujud'!$Z148,IF('Aset Takberwujud'!$S148="Unit Produksi",99999,'Aset Takberwujud'!$Y148+'Aset Takberwujud'!$T148*12-1))),'Aset Takberwujud'!$AQ148/'Aset Takberwujud'!$AG148,0)))</f>
        <v/>
      </c>
      <c r="Q353" s="22" t="str">
        <f>IF($B353="","",SUM(E353:P353))</f>
        <v/>
      </c>
      <c r="R353" s="22" t="str">
        <f>IF($B353="","",'Aset Takberwujud'!AQ148)</f>
        <v/>
      </c>
      <c r="S353" s="22" t="str">
        <f>IF($B353="","",ROUND(Q353-R353,0))</f>
        <v/>
      </c>
    </row>
    <row r="354" spans="1:19" x14ac:dyDescent="0.25">
      <c r="A354" t="str">
        <f>IF('Aset Takberwujud'!$B149="","",'Aset Takberwujud'!A149)</f>
        <v/>
      </c>
      <c r="B354" t="str">
        <f>IF('Aset Takberwujud'!$B149="","",'Aset Takberwujud'!B149)</f>
        <v/>
      </c>
      <c r="C354" t="str">
        <f>IF('Aset Takberwujud'!$B149="","",'Aset Takberwujud'!C149)</f>
        <v/>
      </c>
      <c r="D354" t="str">
        <f>IF('Aset Takberwujud'!$B149="","",'Aset Takberwujud'!D149)</f>
        <v/>
      </c>
      <c r="E354" s="22" t="str">
        <f>IF($B354="","",IF(N('Aset Takberwujud'!$AG149)=0,0,IF(AND((YEAR(E$211)*12+MONTH(E$211))&gt;='Aset Takberwujud'!$Y149,(YEAR(E$211)*12+MONTH(E$211))&lt;=MIN('Aset Takberwujud'!$Z149,IF('Aset Takberwujud'!$S149="Unit Produksi",99999,'Aset Takberwujud'!$Y149+'Aset Takberwujud'!$T149*12-1))),'Aset Takberwujud'!$AQ149/'Aset Takberwujud'!$AG149,0)))</f>
        <v/>
      </c>
      <c r="F354" s="22" t="str">
        <f>IF($B354="","",IF(N('Aset Takberwujud'!$AG149)=0,0,IF(AND((YEAR(F$211)*12+MONTH(F$211))&gt;='Aset Takberwujud'!$Y149,(YEAR(F$211)*12+MONTH(F$211))&lt;=MIN('Aset Takberwujud'!$Z149,IF('Aset Takberwujud'!$S149="Unit Produksi",99999,'Aset Takberwujud'!$Y149+'Aset Takberwujud'!$T149*12-1))),'Aset Takberwujud'!$AQ149/'Aset Takberwujud'!$AG149,0)))</f>
        <v/>
      </c>
      <c r="G354" s="22" t="str">
        <f>IF($B354="","",IF(N('Aset Takberwujud'!$AG149)=0,0,IF(AND((YEAR(G$211)*12+MONTH(G$211))&gt;='Aset Takberwujud'!$Y149,(YEAR(G$211)*12+MONTH(G$211))&lt;=MIN('Aset Takberwujud'!$Z149,IF('Aset Takberwujud'!$S149="Unit Produksi",99999,'Aset Takberwujud'!$Y149+'Aset Takberwujud'!$T149*12-1))),'Aset Takberwujud'!$AQ149/'Aset Takberwujud'!$AG149,0)))</f>
        <v/>
      </c>
      <c r="H354" s="22" t="str">
        <f>IF($B354="","",IF(N('Aset Takberwujud'!$AG149)=0,0,IF(AND((YEAR(H$211)*12+MONTH(H$211))&gt;='Aset Takberwujud'!$Y149,(YEAR(H$211)*12+MONTH(H$211))&lt;=MIN('Aset Takberwujud'!$Z149,IF('Aset Takberwujud'!$S149="Unit Produksi",99999,'Aset Takberwujud'!$Y149+'Aset Takberwujud'!$T149*12-1))),'Aset Takberwujud'!$AQ149/'Aset Takberwujud'!$AG149,0)))</f>
        <v/>
      </c>
      <c r="I354" s="22" t="str">
        <f>IF($B354="","",IF(N('Aset Takberwujud'!$AG149)=0,0,IF(AND((YEAR(I$211)*12+MONTH(I$211))&gt;='Aset Takberwujud'!$Y149,(YEAR(I$211)*12+MONTH(I$211))&lt;=MIN('Aset Takberwujud'!$Z149,IF('Aset Takberwujud'!$S149="Unit Produksi",99999,'Aset Takberwujud'!$Y149+'Aset Takberwujud'!$T149*12-1))),'Aset Takberwujud'!$AQ149/'Aset Takberwujud'!$AG149,0)))</f>
        <v/>
      </c>
      <c r="J354" s="22" t="str">
        <f>IF($B354="","",IF(N('Aset Takberwujud'!$AG149)=0,0,IF(AND((YEAR(J$211)*12+MONTH(J$211))&gt;='Aset Takberwujud'!$Y149,(YEAR(J$211)*12+MONTH(J$211))&lt;=MIN('Aset Takberwujud'!$Z149,IF('Aset Takberwujud'!$S149="Unit Produksi",99999,'Aset Takberwujud'!$Y149+'Aset Takberwujud'!$T149*12-1))),'Aset Takberwujud'!$AQ149/'Aset Takberwujud'!$AG149,0)))</f>
        <v/>
      </c>
      <c r="K354" s="22" t="str">
        <f>IF($B354="","",IF(N('Aset Takberwujud'!$AG149)=0,0,IF(AND((YEAR(K$211)*12+MONTH(K$211))&gt;='Aset Takberwujud'!$Y149,(YEAR(K$211)*12+MONTH(K$211))&lt;=MIN('Aset Takberwujud'!$Z149,IF('Aset Takberwujud'!$S149="Unit Produksi",99999,'Aset Takberwujud'!$Y149+'Aset Takberwujud'!$T149*12-1))),'Aset Takberwujud'!$AQ149/'Aset Takberwujud'!$AG149,0)))</f>
        <v/>
      </c>
      <c r="L354" s="22" t="str">
        <f>IF($B354="","",IF(N('Aset Takberwujud'!$AG149)=0,0,IF(AND((YEAR(L$211)*12+MONTH(L$211))&gt;='Aset Takberwujud'!$Y149,(YEAR(L$211)*12+MONTH(L$211))&lt;=MIN('Aset Takberwujud'!$Z149,IF('Aset Takberwujud'!$S149="Unit Produksi",99999,'Aset Takberwujud'!$Y149+'Aset Takberwujud'!$T149*12-1))),'Aset Takberwujud'!$AQ149/'Aset Takberwujud'!$AG149,0)))</f>
        <v/>
      </c>
      <c r="M354" s="22" t="str">
        <f>IF($B354="","",IF(N('Aset Takberwujud'!$AG149)=0,0,IF(AND((YEAR(M$211)*12+MONTH(M$211))&gt;='Aset Takberwujud'!$Y149,(YEAR(M$211)*12+MONTH(M$211))&lt;=MIN('Aset Takberwujud'!$Z149,IF('Aset Takberwujud'!$S149="Unit Produksi",99999,'Aset Takberwujud'!$Y149+'Aset Takberwujud'!$T149*12-1))),'Aset Takberwujud'!$AQ149/'Aset Takberwujud'!$AG149,0)))</f>
        <v/>
      </c>
      <c r="N354" s="22" t="str">
        <f>IF($B354="","",IF(N('Aset Takberwujud'!$AG149)=0,0,IF(AND((YEAR(N$211)*12+MONTH(N$211))&gt;='Aset Takberwujud'!$Y149,(YEAR(N$211)*12+MONTH(N$211))&lt;=MIN('Aset Takberwujud'!$Z149,IF('Aset Takberwujud'!$S149="Unit Produksi",99999,'Aset Takberwujud'!$Y149+'Aset Takberwujud'!$T149*12-1))),'Aset Takberwujud'!$AQ149/'Aset Takberwujud'!$AG149,0)))</f>
        <v/>
      </c>
      <c r="O354" s="22" t="str">
        <f>IF($B354="","",IF(N('Aset Takberwujud'!$AG149)=0,0,IF(AND((YEAR(O$211)*12+MONTH(O$211))&gt;='Aset Takberwujud'!$Y149,(YEAR(O$211)*12+MONTH(O$211))&lt;=MIN('Aset Takberwujud'!$Z149,IF('Aset Takberwujud'!$S149="Unit Produksi",99999,'Aset Takberwujud'!$Y149+'Aset Takberwujud'!$T149*12-1))),'Aset Takberwujud'!$AQ149/'Aset Takberwujud'!$AG149,0)))</f>
        <v/>
      </c>
      <c r="P354" s="22" t="str">
        <f>IF($B354="","",IF(N('Aset Takberwujud'!$AG149)=0,0,IF(AND((YEAR(P$211)*12+MONTH(P$211))&gt;='Aset Takberwujud'!$Y149,(YEAR(P$211)*12+MONTH(P$211))&lt;=MIN('Aset Takberwujud'!$Z149,IF('Aset Takberwujud'!$S149="Unit Produksi",99999,'Aset Takberwujud'!$Y149+'Aset Takberwujud'!$T149*12-1))),'Aset Takberwujud'!$AQ149/'Aset Takberwujud'!$AG149,0)))</f>
        <v/>
      </c>
      <c r="Q354" s="22" t="str">
        <f>IF($B354="","",SUM(E354:P354))</f>
        <v/>
      </c>
      <c r="R354" s="22" t="str">
        <f>IF($B354="","",'Aset Takberwujud'!AQ149)</f>
        <v/>
      </c>
      <c r="S354" s="22" t="str">
        <f>IF($B354="","",ROUND(Q354-R354,0))</f>
        <v/>
      </c>
    </row>
    <row r="355" spans="1:19" x14ac:dyDescent="0.25">
      <c r="A355" t="str">
        <f>IF('Aset Takberwujud'!$B150="","",'Aset Takberwujud'!A150)</f>
        <v/>
      </c>
      <c r="B355" t="str">
        <f>IF('Aset Takberwujud'!$B150="","",'Aset Takberwujud'!B150)</f>
        <v/>
      </c>
      <c r="C355" t="str">
        <f>IF('Aset Takberwujud'!$B150="","",'Aset Takberwujud'!C150)</f>
        <v/>
      </c>
      <c r="D355" t="str">
        <f>IF('Aset Takberwujud'!$B150="","",'Aset Takberwujud'!D150)</f>
        <v/>
      </c>
      <c r="E355" s="22" t="str">
        <f>IF($B355="","",IF(N('Aset Takberwujud'!$AG150)=0,0,IF(AND((YEAR(E$211)*12+MONTH(E$211))&gt;='Aset Takberwujud'!$Y150,(YEAR(E$211)*12+MONTH(E$211))&lt;=MIN('Aset Takberwujud'!$Z150,IF('Aset Takberwujud'!$S150="Unit Produksi",99999,'Aset Takberwujud'!$Y150+'Aset Takberwujud'!$T150*12-1))),'Aset Takberwujud'!$AQ150/'Aset Takberwujud'!$AG150,0)))</f>
        <v/>
      </c>
      <c r="F355" s="22" t="str">
        <f>IF($B355="","",IF(N('Aset Takberwujud'!$AG150)=0,0,IF(AND((YEAR(F$211)*12+MONTH(F$211))&gt;='Aset Takberwujud'!$Y150,(YEAR(F$211)*12+MONTH(F$211))&lt;=MIN('Aset Takberwujud'!$Z150,IF('Aset Takberwujud'!$S150="Unit Produksi",99999,'Aset Takberwujud'!$Y150+'Aset Takberwujud'!$T150*12-1))),'Aset Takberwujud'!$AQ150/'Aset Takberwujud'!$AG150,0)))</f>
        <v/>
      </c>
      <c r="G355" s="22" t="str">
        <f>IF($B355="","",IF(N('Aset Takberwujud'!$AG150)=0,0,IF(AND((YEAR(G$211)*12+MONTH(G$211))&gt;='Aset Takberwujud'!$Y150,(YEAR(G$211)*12+MONTH(G$211))&lt;=MIN('Aset Takberwujud'!$Z150,IF('Aset Takberwujud'!$S150="Unit Produksi",99999,'Aset Takberwujud'!$Y150+'Aset Takberwujud'!$T150*12-1))),'Aset Takberwujud'!$AQ150/'Aset Takberwujud'!$AG150,0)))</f>
        <v/>
      </c>
      <c r="H355" s="22" t="str">
        <f>IF($B355="","",IF(N('Aset Takberwujud'!$AG150)=0,0,IF(AND((YEAR(H$211)*12+MONTH(H$211))&gt;='Aset Takberwujud'!$Y150,(YEAR(H$211)*12+MONTH(H$211))&lt;=MIN('Aset Takberwujud'!$Z150,IF('Aset Takberwujud'!$S150="Unit Produksi",99999,'Aset Takberwujud'!$Y150+'Aset Takberwujud'!$T150*12-1))),'Aset Takberwujud'!$AQ150/'Aset Takberwujud'!$AG150,0)))</f>
        <v/>
      </c>
      <c r="I355" s="22" t="str">
        <f>IF($B355="","",IF(N('Aset Takberwujud'!$AG150)=0,0,IF(AND((YEAR(I$211)*12+MONTH(I$211))&gt;='Aset Takberwujud'!$Y150,(YEAR(I$211)*12+MONTH(I$211))&lt;=MIN('Aset Takberwujud'!$Z150,IF('Aset Takberwujud'!$S150="Unit Produksi",99999,'Aset Takberwujud'!$Y150+'Aset Takberwujud'!$T150*12-1))),'Aset Takberwujud'!$AQ150/'Aset Takberwujud'!$AG150,0)))</f>
        <v/>
      </c>
      <c r="J355" s="22" t="str">
        <f>IF($B355="","",IF(N('Aset Takberwujud'!$AG150)=0,0,IF(AND((YEAR(J$211)*12+MONTH(J$211))&gt;='Aset Takberwujud'!$Y150,(YEAR(J$211)*12+MONTH(J$211))&lt;=MIN('Aset Takberwujud'!$Z150,IF('Aset Takberwujud'!$S150="Unit Produksi",99999,'Aset Takberwujud'!$Y150+'Aset Takberwujud'!$T150*12-1))),'Aset Takberwujud'!$AQ150/'Aset Takberwujud'!$AG150,0)))</f>
        <v/>
      </c>
      <c r="K355" s="22" t="str">
        <f>IF($B355="","",IF(N('Aset Takberwujud'!$AG150)=0,0,IF(AND((YEAR(K$211)*12+MONTH(K$211))&gt;='Aset Takberwujud'!$Y150,(YEAR(K$211)*12+MONTH(K$211))&lt;=MIN('Aset Takberwujud'!$Z150,IF('Aset Takberwujud'!$S150="Unit Produksi",99999,'Aset Takberwujud'!$Y150+'Aset Takberwujud'!$T150*12-1))),'Aset Takberwujud'!$AQ150/'Aset Takberwujud'!$AG150,0)))</f>
        <v/>
      </c>
      <c r="L355" s="22" t="str">
        <f>IF($B355="","",IF(N('Aset Takberwujud'!$AG150)=0,0,IF(AND((YEAR(L$211)*12+MONTH(L$211))&gt;='Aset Takberwujud'!$Y150,(YEAR(L$211)*12+MONTH(L$211))&lt;=MIN('Aset Takberwujud'!$Z150,IF('Aset Takberwujud'!$S150="Unit Produksi",99999,'Aset Takberwujud'!$Y150+'Aset Takberwujud'!$T150*12-1))),'Aset Takberwujud'!$AQ150/'Aset Takberwujud'!$AG150,0)))</f>
        <v/>
      </c>
      <c r="M355" s="22" t="str">
        <f>IF($B355="","",IF(N('Aset Takberwujud'!$AG150)=0,0,IF(AND((YEAR(M$211)*12+MONTH(M$211))&gt;='Aset Takberwujud'!$Y150,(YEAR(M$211)*12+MONTH(M$211))&lt;=MIN('Aset Takberwujud'!$Z150,IF('Aset Takberwujud'!$S150="Unit Produksi",99999,'Aset Takberwujud'!$Y150+'Aset Takberwujud'!$T150*12-1))),'Aset Takberwujud'!$AQ150/'Aset Takberwujud'!$AG150,0)))</f>
        <v/>
      </c>
      <c r="N355" s="22" t="str">
        <f>IF($B355="","",IF(N('Aset Takberwujud'!$AG150)=0,0,IF(AND((YEAR(N$211)*12+MONTH(N$211))&gt;='Aset Takberwujud'!$Y150,(YEAR(N$211)*12+MONTH(N$211))&lt;=MIN('Aset Takberwujud'!$Z150,IF('Aset Takberwujud'!$S150="Unit Produksi",99999,'Aset Takberwujud'!$Y150+'Aset Takberwujud'!$T150*12-1))),'Aset Takberwujud'!$AQ150/'Aset Takberwujud'!$AG150,0)))</f>
        <v/>
      </c>
      <c r="O355" s="22" t="str">
        <f>IF($B355="","",IF(N('Aset Takberwujud'!$AG150)=0,0,IF(AND((YEAR(O$211)*12+MONTH(O$211))&gt;='Aset Takberwujud'!$Y150,(YEAR(O$211)*12+MONTH(O$211))&lt;=MIN('Aset Takberwujud'!$Z150,IF('Aset Takberwujud'!$S150="Unit Produksi",99999,'Aset Takberwujud'!$Y150+'Aset Takberwujud'!$T150*12-1))),'Aset Takberwujud'!$AQ150/'Aset Takberwujud'!$AG150,0)))</f>
        <v/>
      </c>
      <c r="P355" s="22" t="str">
        <f>IF($B355="","",IF(N('Aset Takberwujud'!$AG150)=0,0,IF(AND((YEAR(P$211)*12+MONTH(P$211))&gt;='Aset Takberwujud'!$Y150,(YEAR(P$211)*12+MONTH(P$211))&lt;=MIN('Aset Takberwujud'!$Z150,IF('Aset Takberwujud'!$S150="Unit Produksi",99999,'Aset Takberwujud'!$Y150+'Aset Takberwujud'!$T150*12-1))),'Aset Takberwujud'!$AQ150/'Aset Takberwujud'!$AG150,0)))</f>
        <v/>
      </c>
      <c r="Q355" s="22" t="str">
        <f>IF($B355="","",SUM(E355:P355))</f>
        <v/>
      </c>
      <c r="R355" s="22" t="str">
        <f>IF($B355="","",'Aset Takberwujud'!AQ150)</f>
        <v/>
      </c>
      <c r="S355" s="22" t="str">
        <f>IF($B355="","",ROUND(Q355-R355,0))</f>
        <v/>
      </c>
    </row>
    <row r="356" spans="1:19" x14ac:dyDescent="0.25">
      <c r="A356" t="str">
        <f>IF('Aset Takberwujud'!$B151="","",'Aset Takberwujud'!A151)</f>
        <v/>
      </c>
      <c r="B356" t="str">
        <f>IF('Aset Takberwujud'!$B151="","",'Aset Takberwujud'!B151)</f>
        <v/>
      </c>
      <c r="C356" t="str">
        <f>IF('Aset Takberwujud'!$B151="","",'Aset Takberwujud'!C151)</f>
        <v/>
      </c>
      <c r="D356" t="str">
        <f>IF('Aset Takberwujud'!$B151="","",'Aset Takberwujud'!D151)</f>
        <v/>
      </c>
      <c r="E356" s="22" t="str">
        <f>IF($B356="","",IF(N('Aset Takberwujud'!$AG151)=0,0,IF(AND((YEAR(E$211)*12+MONTH(E$211))&gt;='Aset Takberwujud'!$Y151,(YEAR(E$211)*12+MONTH(E$211))&lt;=MIN('Aset Takberwujud'!$Z151,IF('Aset Takberwujud'!$S151="Unit Produksi",99999,'Aset Takberwujud'!$Y151+'Aset Takberwujud'!$T151*12-1))),'Aset Takberwujud'!$AQ151/'Aset Takberwujud'!$AG151,0)))</f>
        <v/>
      </c>
      <c r="F356" s="22" t="str">
        <f>IF($B356="","",IF(N('Aset Takberwujud'!$AG151)=0,0,IF(AND((YEAR(F$211)*12+MONTH(F$211))&gt;='Aset Takberwujud'!$Y151,(YEAR(F$211)*12+MONTH(F$211))&lt;=MIN('Aset Takberwujud'!$Z151,IF('Aset Takberwujud'!$S151="Unit Produksi",99999,'Aset Takberwujud'!$Y151+'Aset Takberwujud'!$T151*12-1))),'Aset Takberwujud'!$AQ151/'Aset Takberwujud'!$AG151,0)))</f>
        <v/>
      </c>
      <c r="G356" s="22" t="str">
        <f>IF($B356="","",IF(N('Aset Takberwujud'!$AG151)=0,0,IF(AND((YEAR(G$211)*12+MONTH(G$211))&gt;='Aset Takberwujud'!$Y151,(YEAR(G$211)*12+MONTH(G$211))&lt;=MIN('Aset Takberwujud'!$Z151,IF('Aset Takberwujud'!$S151="Unit Produksi",99999,'Aset Takberwujud'!$Y151+'Aset Takberwujud'!$T151*12-1))),'Aset Takberwujud'!$AQ151/'Aset Takberwujud'!$AG151,0)))</f>
        <v/>
      </c>
      <c r="H356" s="22" t="str">
        <f>IF($B356="","",IF(N('Aset Takberwujud'!$AG151)=0,0,IF(AND((YEAR(H$211)*12+MONTH(H$211))&gt;='Aset Takberwujud'!$Y151,(YEAR(H$211)*12+MONTH(H$211))&lt;=MIN('Aset Takberwujud'!$Z151,IF('Aset Takberwujud'!$S151="Unit Produksi",99999,'Aset Takberwujud'!$Y151+'Aset Takberwujud'!$T151*12-1))),'Aset Takberwujud'!$AQ151/'Aset Takberwujud'!$AG151,0)))</f>
        <v/>
      </c>
      <c r="I356" s="22" t="str">
        <f>IF($B356="","",IF(N('Aset Takberwujud'!$AG151)=0,0,IF(AND((YEAR(I$211)*12+MONTH(I$211))&gt;='Aset Takberwujud'!$Y151,(YEAR(I$211)*12+MONTH(I$211))&lt;=MIN('Aset Takberwujud'!$Z151,IF('Aset Takberwujud'!$S151="Unit Produksi",99999,'Aset Takberwujud'!$Y151+'Aset Takberwujud'!$T151*12-1))),'Aset Takberwujud'!$AQ151/'Aset Takberwujud'!$AG151,0)))</f>
        <v/>
      </c>
      <c r="J356" s="22" t="str">
        <f>IF($B356="","",IF(N('Aset Takberwujud'!$AG151)=0,0,IF(AND((YEAR(J$211)*12+MONTH(J$211))&gt;='Aset Takberwujud'!$Y151,(YEAR(J$211)*12+MONTH(J$211))&lt;=MIN('Aset Takberwujud'!$Z151,IF('Aset Takberwujud'!$S151="Unit Produksi",99999,'Aset Takberwujud'!$Y151+'Aset Takberwujud'!$T151*12-1))),'Aset Takberwujud'!$AQ151/'Aset Takberwujud'!$AG151,0)))</f>
        <v/>
      </c>
      <c r="K356" s="22" t="str">
        <f>IF($B356="","",IF(N('Aset Takberwujud'!$AG151)=0,0,IF(AND((YEAR(K$211)*12+MONTH(K$211))&gt;='Aset Takberwujud'!$Y151,(YEAR(K$211)*12+MONTH(K$211))&lt;=MIN('Aset Takberwujud'!$Z151,IF('Aset Takberwujud'!$S151="Unit Produksi",99999,'Aset Takberwujud'!$Y151+'Aset Takberwujud'!$T151*12-1))),'Aset Takberwujud'!$AQ151/'Aset Takberwujud'!$AG151,0)))</f>
        <v/>
      </c>
      <c r="L356" s="22" t="str">
        <f>IF($B356="","",IF(N('Aset Takberwujud'!$AG151)=0,0,IF(AND((YEAR(L$211)*12+MONTH(L$211))&gt;='Aset Takberwujud'!$Y151,(YEAR(L$211)*12+MONTH(L$211))&lt;=MIN('Aset Takberwujud'!$Z151,IF('Aset Takberwujud'!$S151="Unit Produksi",99999,'Aset Takberwujud'!$Y151+'Aset Takberwujud'!$T151*12-1))),'Aset Takberwujud'!$AQ151/'Aset Takberwujud'!$AG151,0)))</f>
        <v/>
      </c>
      <c r="M356" s="22" t="str">
        <f>IF($B356="","",IF(N('Aset Takberwujud'!$AG151)=0,0,IF(AND((YEAR(M$211)*12+MONTH(M$211))&gt;='Aset Takberwujud'!$Y151,(YEAR(M$211)*12+MONTH(M$211))&lt;=MIN('Aset Takberwujud'!$Z151,IF('Aset Takberwujud'!$S151="Unit Produksi",99999,'Aset Takberwujud'!$Y151+'Aset Takberwujud'!$T151*12-1))),'Aset Takberwujud'!$AQ151/'Aset Takberwujud'!$AG151,0)))</f>
        <v/>
      </c>
      <c r="N356" s="22" t="str">
        <f>IF($B356="","",IF(N('Aset Takberwujud'!$AG151)=0,0,IF(AND((YEAR(N$211)*12+MONTH(N$211))&gt;='Aset Takberwujud'!$Y151,(YEAR(N$211)*12+MONTH(N$211))&lt;=MIN('Aset Takberwujud'!$Z151,IF('Aset Takberwujud'!$S151="Unit Produksi",99999,'Aset Takberwujud'!$Y151+'Aset Takberwujud'!$T151*12-1))),'Aset Takberwujud'!$AQ151/'Aset Takberwujud'!$AG151,0)))</f>
        <v/>
      </c>
      <c r="O356" s="22" t="str">
        <f>IF($B356="","",IF(N('Aset Takberwujud'!$AG151)=0,0,IF(AND((YEAR(O$211)*12+MONTH(O$211))&gt;='Aset Takberwujud'!$Y151,(YEAR(O$211)*12+MONTH(O$211))&lt;=MIN('Aset Takberwujud'!$Z151,IF('Aset Takberwujud'!$S151="Unit Produksi",99999,'Aset Takberwujud'!$Y151+'Aset Takberwujud'!$T151*12-1))),'Aset Takberwujud'!$AQ151/'Aset Takberwujud'!$AG151,0)))</f>
        <v/>
      </c>
      <c r="P356" s="22" t="str">
        <f>IF($B356="","",IF(N('Aset Takberwujud'!$AG151)=0,0,IF(AND((YEAR(P$211)*12+MONTH(P$211))&gt;='Aset Takberwujud'!$Y151,(YEAR(P$211)*12+MONTH(P$211))&lt;=MIN('Aset Takberwujud'!$Z151,IF('Aset Takberwujud'!$S151="Unit Produksi",99999,'Aset Takberwujud'!$Y151+'Aset Takberwujud'!$T151*12-1))),'Aset Takberwujud'!$AQ151/'Aset Takberwujud'!$AG151,0)))</f>
        <v/>
      </c>
      <c r="Q356" s="22" t="str">
        <f>IF($B356="","",SUM(E356:P356))</f>
        <v/>
      </c>
      <c r="R356" s="22" t="str">
        <f>IF($B356="","",'Aset Takberwujud'!AQ151)</f>
        <v/>
      </c>
      <c r="S356" s="22" t="str">
        <f>IF($B356="","",ROUND(Q356-R356,0))</f>
        <v/>
      </c>
    </row>
    <row r="357" spans="1:19" x14ac:dyDescent="0.25">
      <c r="A357" t="str">
        <f>IF('Aset Takberwujud'!$B152="","",'Aset Takberwujud'!A152)</f>
        <v/>
      </c>
      <c r="B357" t="str">
        <f>IF('Aset Takberwujud'!$B152="","",'Aset Takberwujud'!B152)</f>
        <v/>
      </c>
      <c r="C357" t="str">
        <f>IF('Aset Takberwujud'!$B152="","",'Aset Takberwujud'!C152)</f>
        <v/>
      </c>
      <c r="D357" t="str">
        <f>IF('Aset Takberwujud'!$B152="","",'Aset Takberwujud'!D152)</f>
        <v/>
      </c>
      <c r="E357" s="22" t="str">
        <f>IF($B357="","",IF(N('Aset Takberwujud'!$AG152)=0,0,IF(AND((YEAR(E$211)*12+MONTH(E$211))&gt;='Aset Takberwujud'!$Y152,(YEAR(E$211)*12+MONTH(E$211))&lt;=MIN('Aset Takberwujud'!$Z152,IF('Aset Takberwujud'!$S152="Unit Produksi",99999,'Aset Takberwujud'!$Y152+'Aset Takberwujud'!$T152*12-1))),'Aset Takberwujud'!$AQ152/'Aset Takberwujud'!$AG152,0)))</f>
        <v/>
      </c>
      <c r="F357" s="22" t="str">
        <f>IF($B357="","",IF(N('Aset Takberwujud'!$AG152)=0,0,IF(AND((YEAR(F$211)*12+MONTH(F$211))&gt;='Aset Takberwujud'!$Y152,(YEAR(F$211)*12+MONTH(F$211))&lt;=MIN('Aset Takberwujud'!$Z152,IF('Aset Takberwujud'!$S152="Unit Produksi",99999,'Aset Takberwujud'!$Y152+'Aset Takberwujud'!$T152*12-1))),'Aset Takberwujud'!$AQ152/'Aset Takberwujud'!$AG152,0)))</f>
        <v/>
      </c>
      <c r="G357" s="22" t="str">
        <f>IF($B357="","",IF(N('Aset Takberwujud'!$AG152)=0,0,IF(AND((YEAR(G$211)*12+MONTH(G$211))&gt;='Aset Takberwujud'!$Y152,(YEAR(G$211)*12+MONTH(G$211))&lt;=MIN('Aset Takberwujud'!$Z152,IF('Aset Takberwujud'!$S152="Unit Produksi",99999,'Aset Takberwujud'!$Y152+'Aset Takberwujud'!$T152*12-1))),'Aset Takberwujud'!$AQ152/'Aset Takberwujud'!$AG152,0)))</f>
        <v/>
      </c>
      <c r="H357" s="22" t="str">
        <f>IF($B357="","",IF(N('Aset Takberwujud'!$AG152)=0,0,IF(AND((YEAR(H$211)*12+MONTH(H$211))&gt;='Aset Takberwujud'!$Y152,(YEAR(H$211)*12+MONTH(H$211))&lt;=MIN('Aset Takberwujud'!$Z152,IF('Aset Takberwujud'!$S152="Unit Produksi",99999,'Aset Takberwujud'!$Y152+'Aset Takberwujud'!$T152*12-1))),'Aset Takberwujud'!$AQ152/'Aset Takberwujud'!$AG152,0)))</f>
        <v/>
      </c>
      <c r="I357" s="22" t="str">
        <f>IF($B357="","",IF(N('Aset Takberwujud'!$AG152)=0,0,IF(AND((YEAR(I$211)*12+MONTH(I$211))&gt;='Aset Takberwujud'!$Y152,(YEAR(I$211)*12+MONTH(I$211))&lt;=MIN('Aset Takberwujud'!$Z152,IF('Aset Takberwujud'!$S152="Unit Produksi",99999,'Aset Takberwujud'!$Y152+'Aset Takberwujud'!$T152*12-1))),'Aset Takberwujud'!$AQ152/'Aset Takberwujud'!$AG152,0)))</f>
        <v/>
      </c>
      <c r="J357" s="22" t="str">
        <f>IF($B357="","",IF(N('Aset Takberwujud'!$AG152)=0,0,IF(AND((YEAR(J$211)*12+MONTH(J$211))&gt;='Aset Takberwujud'!$Y152,(YEAR(J$211)*12+MONTH(J$211))&lt;=MIN('Aset Takberwujud'!$Z152,IF('Aset Takberwujud'!$S152="Unit Produksi",99999,'Aset Takberwujud'!$Y152+'Aset Takberwujud'!$T152*12-1))),'Aset Takberwujud'!$AQ152/'Aset Takberwujud'!$AG152,0)))</f>
        <v/>
      </c>
      <c r="K357" s="22" t="str">
        <f>IF($B357="","",IF(N('Aset Takberwujud'!$AG152)=0,0,IF(AND((YEAR(K$211)*12+MONTH(K$211))&gt;='Aset Takberwujud'!$Y152,(YEAR(K$211)*12+MONTH(K$211))&lt;=MIN('Aset Takberwujud'!$Z152,IF('Aset Takberwujud'!$S152="Unit Produksi",99999,'Aset Takberwujud'!$Y152+'Aset Takberwujud'!$T152*12-1))),'Aset Takberwujud'!$AQ152/'Aset Takberwujud'!$AG152,0)))</f>
        <v/>
      </c>
      <c r="L357" s="22" t="str">
        <f>IF($B357="","",IF(N('Aset Takberwujud'!$AG152)=0,0,IF(AND((YEAR(L$211)*12+MONTH(L$211))&gt;='Aset Takberwujud'!$Y152,(YEAR(L$211)*12+MONTH(L$211))&lt;=MIN('Aset Takberwujud'!$Z152,IF('Aset Takberwujud'!$S152="Unit Produksi",99999,'Aset Takberwujud'!$Y152+'Aset Takberwujud'!$T152*12-1))),'Aset Takberwujud'!$AQ152/'Aset Takberwujud'!$AG152,0)))</f>
        <v/>
      </c>
      <c r="M357" s="22" t="str">
        <f>IF($B357="","",IF(N('Aset Takberwujud'!$AG152)=0,0,IF(AND((YEAR(M$211)*12+MONTH(M$211))&gt;='Aset Takberwujud'!$Y152,(YEAR(M$211)*12+MONTH(M$211))&lt;=MIN('Aset Takberwujud'!$Z152,IF('Aset Takberwujud'!$S152="Unit Produksi",99999,'Aset Takberwujud'!$Y152+'Aset Takberwujud'!$T152*12-1))),'Aset Takberwujud'!$AQ152/'Aset Takberwujud'!$AG152,0)))</f>
        <v/>
      </c>
      <c r="N357" s="22" t="str">
        <f>IF($B357="","",IF(N('Aset Takberwujud'!$AG152)=0,0,IF(AND((YEAR(N$211)*12+MONTH(N$211))&gt;='Aset Takberwujud'!$Y152,(YEAR(N$211)*12+MONTH(N$211))&lt;=MIN('Aset Takberwujud'!$Z152,IF('Aset Takberwujud'!$S152="Unit Produksi",99999,'Aset Takberwujud'!$Y152+'Aset Takberwujud'!$T152*12-1))),'Aset Takberwujud'!$AQ152/'Aset Takberwujud'!$AG152,0)))</f>
        <v/>
      </c>
      <c r="O357" s="22" t="str">
        <f>IF($B357="","",IF(N('Aset Takberwujud'!$AG152)=0,0,IF(AND((YEAR(O$211)*12+MONTH(O$211))&gt;='Aset Takberwujud'!$Y152,(YEAR(O$211)*12+MONTH(O$211))&lt;=MIN('Aset Takberwujud'!$Z152,IF('Aset Takberwujud'!$S152="Unit Produksi",99999,'Aset Takberwujud'!$Y152+'Aset Takberwujud'!$T152*12-1))),'Aset Takberwujud'!$AQ152/'Aset Takberwujud'!$AG152,0)))</f>
        <v/>
      </c>
      <c r="P357" s="22" t="str">
        <f>IF($B357="","",IF(N('Aset Takberwujud'!$AG152)=0,0,IF(AND((YEAR(P$211)*12+MONTH(P$211))&gt;='Aset Takberwujud'!$Y152,(YEAR(P$211)*12+MONTH(P$211))&lt;=MIN('Aset Takberwujud'!$Z152,IF('Aset Takberwujud'!$S152="Unit Produksi",99999,'Aset Takberwujud'!$Y152+'Aset Takberwujud'!$T152*12-1))),'Aset Takberwujud'!$AQ152/'Aset Takberwujud'!$AG152,0)))</f>
        <v/>
      </c>
      <c r="Q357" s="22" t="str">
        <f>IF($B357="","",SUM(E357:P357))</f>
        <v/>
      </c>
      <c r="R357" s="22" t="str">
        <f>IF($B357="","",'Aset Takberwujud'!AQ152)</f>
        <v/>
      </c>
      <c r="S357" s="22" t="str">
        <f>IF($B357="","",ROUND(Q357-R357,0))</f>
        <v/>
      </c>
    </row>
    <row r="358" spans="1:19" x14ac:dyDescent="0.25">
      <c r="A358" t="str">
        <f>IF('Aset Takberwujud'!$B153="","",'Aset Takberwujud'!A153)</f>
        <v/>
      </c>
      <c r="B358" t="str">
        <f>IF('Aset Takberwujud'!$B153="","",'Aset Takberwujud'!B153)</f>
        <v/>
      </c>
      <c r="C358" t="str">
        <f>IF('Aset Takberwujud'!$B153="","",'Aset Takberwujud'!C153)</f>
        <v/>
      </c>
      <c r="D358" t="str">
        <f>IF('Aset Takberwujud'!$B153="","",'Aset Takberwujud'!D153)</f>
        <v/>
      </c>
      <c r="E358" s="22" t="str">
        <f>IF($B358="","",IF(N('Aset Takberwujud'!$AG153)=0,0,IF(AND((YEAR(E$211)*12+MONTH(E$211))&gt;='Aset Takberwujud'!$Y153,(YEAR(E$211)*12+MONTH(E$211))&lt;=MIN('Aset Takberwujud'!$Z153,IF('Aset Takberwujud'!$S153="Unit Produksi",99999,'Aset Takberwujud'!$Y153+'Aset Takberwujud'!$T153*12-1))),'Aset Takberwujud'!$AQ153/'Aset Takberwujud'!$AG153,0)))</f>
        <v/>
      </c>
      <c r="F358" s="22" t="str">
        <f>IF($B358="","",IF(N('Aset Takberwujud'!$AG153)=0,0,IF(AND((YEAR(F$211)*12+MONTH(F$211))&gt;='Aset Takberwujud'!$Y153,(YEAR(F$211)*12+MONTH(F$211))&lt;=MIN('Aset Takberwujud'!$Z153,IF('Aset Takberwujud'!$S153="Unit Produksi",99999,'Aset Takberwujud'!$Y153+'Aset Takberwujud'!$T153*12-1))),'Aset Takberwujud'!$AQ153/'Aset Takberwujud'!$AG153,0)))</f>
        <v/>
      </c>
      <c r="G358" s="22" t="str">
        <f>IF($B358="","",IF(N('Aset Takberwujud'!$AG153)=0,0,IF(AND((YEAR(G$211)*12+MONTH(G$211))&gt;='Aset Takberwujud'!$Y153,(YEAR(G$211)*12+MONTH(G$211))&lt;=MIN('Aset Takberwujud'!$Z153,IF('Aset Takberwujud'!$S153="Unit Produksi",99999,'Aset Takberwujud'!$Y153+'Aset Takberwujud'!$T153*12-1))),'Aset Takberwujud'!$AQ153/'Aset Takberwujud'!$AG153,0)))</f>
        <v/>
      </c>
      <c r="H358" s="22" t="str">
        <f>IF($B358="","",IF(N('Aset Takberwujud'!$AG153)=0,0,IF(AND((YEAR(H$211)*12+MONTH(H$211))&gt;='Aset Takberwujud'!$Y153,(YEAR(H$211)*12+MONTH(H$211))&lt;=MIN('Aset Takberwujud'!$Z153,IF('Aset Takberwujud'!$S153="Unit Produksi",99999,'Aset Takberwujud'!$Y153+'Aset Takberwujud'!$T153*12-1))),'Aset Takberwujud'!$AQ153/'Aset Takberwujud'!$AG153,0)))</f>
        <v/>
      </c>
      <c r="I358" s="22" t="str">
        <f>IF($B358="","",IF(N('Aset Takberwujud'!$AG153)=0,0,IF(AND((YEAR(I$211)*12+MONTH(I$211))&gt;='Aset Takberwujud'!$Y153,(YEAR(I$211)*12+MONTH(I$211))&lt;=MIN('Aset Takberwujud'!$Z153,IF('Aset Takberwujud'!$S153="Unit Produksi",99999,'Aset Takberwujud'!$Y153+'Aset Takberwujud'!$T153*12-1))),'Aset Takberwujud'!$AQ153/'Aset Takberwujud'!$AG153,0)))</f>
        <v/>
      </c>
      <c r="J358" s="22" t="str">
        <f>IF($B358="","",IF(N('Aset Takberwujud'!$AG153)=0,0,IF(AND((YEAR(J$211)*12+MONTH(J$211))&gt;='Aset Takberwujud'!$Y153,(YEAR(J$211)*12+MONTH(J$211))&lt;=MIN('Aset Takberwujud'!$Z153,IF('Aset Takberwujud'!$S153="Unit Produksi",99999,'Aset Takberwujud'!$Y153+'Aset Takberwujud'!$T153*12-1))),'Aset Takberwujud'!$AQ153/'Aset Takberwujud'!$AG153,0)))</f>
        <v/>
      </c>
      <c r="K358" s="22" t="str">
        <f>IF($B358="","",IF(N('Aset Takberwujud'!$AG153)=0,0,IF(AND((YEAR(K$211)*12+MONTH(K$211))&gt;='Aset Takberwujud'!$Y153,(YEAR(K$211)*12+MONTH(K$211))&lt;=MIN('Aset Takberwujud'!$Z153,IF('Aset Takberwujud'!$S153="Unit Produksi",99999,'Aset Takberwujud'!$Y153+'Aset Takberwujud'!$T153*12-1))),'Aset Takberwujud'!$AQ153/'Aset Takberwujud'!$AG153,0)))</f>
        <v/>
      </c>
      <c r="L358" s="22" t="str">
        <f>IF($B358="","",IF(N('Aset Takberwujud'!$AG153)=0,0,IF(AND((YEAR(L$211)*12+MONTH(L$211))&gt;='Aset Takberwujud'!$Y153,(YEAR(L$211)*12+MONTH(L$211))&lt;=MIN('Aset Takberwujud'!$Z153,IF('Aset Takberwujud'!$S153="Unit Produksi",99999,'Aset Takberwujud'!$Y153+'Aset Takberwujud'!$T153*12-1))),'Aset Takberwujud'!$AQ153/'Aset Takberwujud'!$AG153,0)))</f>
        <v/>
      </c>
      <c r="M358" s="22" t="str">
        <f>IF($B358="","",IF(N('Aset Takberwujud'!$AG153)=0,0,IF(AND((YEAR(M$211)*12+MONTH(M$211))&gt;='Aset Takberwujud'!$Y153,(YEAR(M$211)*12+MONTH(M$211))&lt;=MIN('Aset Takberwujud'!$Z153,IF('Aset Takberwujud'!$S153="Unit Produksi",99999,'Aset Takberwujud'!$Y153+'Aset Takberwujud'!$T153*12-1))),'Aset Takberwujud'!$AQ153/'Aset Takberwujud'!$AG153,0)))</f>
        <v/>
      </c>
      <c r="N358" s="22" t="str">
        <f>IF($B358="","",IF(N('Aset Takberwujud'!$AG153)=0,0,IF(AND((YEAR(N$211)*12+MONTH(N$211))&gt;='Aset Takberwujud'!$Y153,(YEAR(N$211)*12+MONTH(N$211))&lt;=MIN('Aset Takberwujud'!$Z153,IF('Aset Takberwujud'!$S153="Unit Produksi",99999,'Aset Takberwujud'!$Y153+'Aset Takberwujud'!$T153*12-1))),'Aset Takberwujud'!$AQ153/'Aset Takberwujud'!$AG153,0)))</f>
        <v/>
      </c>
      <c r="O358" s="22" t="str">
        <f>IF($B358="","",IF(N('Aset Takberwujud'!$AG153)=0,0,IF(AND((YEAR(O$211)*12+MONTH(O$211))&gt;='Aset Takberwujud'!$Y153,(YEAR(O$211)*12+MONTH(O$211))&lt;=MIN('Aset Takberwujud'!$Z153,IF('Aset Takberwujud'!$S153="Unit Produksi",99999,'Aset Takberwujud'!$Y153+'Aset Takberwujud'!$T153*12-1))),'Aset Takberwujud'!$AQ153/'Aset Takberwujud'!$AG153,0)))</f>
        <v/>
      </c>
      <c r="P358" s="22" t="str">
        <f>IF($B358="","",IF(N('Aset Takberwujud'!$AG153)=0,0,IF(AND((YEAR(P$211)*12+MONTH(P$211))&gt;='Aset Takberwujud'!$Y153,(YEAR(P$211)*12+MONTH(P$211))&lt;=MIN('Aset Takberwujud'!$Z153,IF('Aset Takberwujud'!$S153="Unit Produksi",99999,'Aset Takberwujud'!$Y153+'Aset Takberwujud'!$T153*12-1))),'Aset Takberwujud'!$AQ153/'Aset Takberwujud'!$AG153,0)))</f>
        <v/>
      </c>
      <c r="Q358" s="22" t="str">
        <f>IF($B358="","",SUM(E358:P358))</f>
        <v/>
      </c>
      <c r="R358" s="22" t="str">
        <f>IF($B358="","",'Aset Takberwujud'!AQ153)</f>
        <v/>
      </c>
      <c r="S358" s="22" t="str">
        <f>IF($B358="","",ROUND(Q358-R358,0))</f>
        <v/>
      </c>
    </row>
    <row r="359" spans="1:19" x14ac:dyDescent="0.25">
      <c r="A359" t="str">
        <f>IF('Aset Takberwujud'!$B154="","",'Aset Takberwujud'!A154)</f>
        <v/>
      </c>
      <c r="B359" t="str">
        <f>IF('Aset Takberwujud'!$B154="","",'Aset Takberwujud'!B154)</f>
        <v/>
      </c>
      <c r="C359" t="str">
        <f>IF('Aset Takberwujud'!$B154="","",'Aset Takberwujud'!C154)</f>
        <v/>
      </c>
      <c r="D359" t="str">
        <f>IF('Aset Takberwujud'!$B154="","",'Aset Takberwujud'!D154)</f>
        <v/>
      </c>
      <c r="E359" s="22" t="str">
        <f>IF($B359="","",IF(N('Aset Takberwujud'!$AG154)=0,0,IF(AND((YEAR(E$211)*12+MONTH(E$211))&gt;='Aset Takberwujud'!$Y154,(YEAR(E$211)*12+MONTH(E$211))&lt;=MIN('Aset Takberwujud'!$Z154,IF('Aset Takberwujud'!$S154="Unit Produksi",99999,'Aset Takberwujud'!$Y154+'Aset Takberwujud'!$T154*12-1))),'Aset Takberwujud'!$AQ154/'Aset Takberwujud'!$AG154,0)))</f>
        <v/>
      </c>
      <c r="F359" s="22" t="str">
        <f>IF($B359="","",IF(N('Aset Takberwujud'!$AG154)=0,0,IF(AND((YEAR(F$211)*12+MONTH(F$211))&gt;='Aset Takberwujud'!$Y154,(YEAR(F$211)*12+MONTH(F$211))&lt;=MIN('Aset Takberwujud'!$Z154,IF('Aset Takberwujud'!$S154="Unit Produksi",99999,'Aset Takberwujud'!$Y154+'Aset Takberwujud'!$T154*12-1))),'Aset Takberwujud'!$AQ154/'Aset Takberwujud'!$AG154,0)))</f>
        <v/>
      </c>
      <c r="G359" s="22" t="str">
        <f>IF($B359="","",IF(N('Aset Takberwujud'!$AG154)=0,0,IF(AND((YEAR(G$211)*12+MONTH(G$211))&gt;='Aset Takberwujud'!$Y154,(YEAR(G$211)*12+MONTH(G$211))&lt;=MIN('Aset Takberwujud'!$Z154,IF('Aset Takberwujud'!$S154="Unit Produksi",99999,'Aset Takberwujud'!$Y154+'Aset Takberwujud'!$T154*12-1))),'Aset Takberwujud'!$AQ154/'Aset Takberwujud'!$AG154,0)))</f>
        <v/>
      </c>
      <c r="H359" s="22" t="str">
        <f>IF($B359="","",IF(N('Aset Takberwujud'!$AG154)=0,0,IF(AND((YEAR(H$211)*12+MONTH(H$211))&gt;='Aset Takberwujud'!$Y154,(YEAR(H$211)*12+MONTH(H$211))&lt;=MIN('Aset Takberwujud'!$Z154,IF('Aset Takberwujud'!$S154="Unit Produksi",99999,'Aset Takberwujud'!$Y154+'Aset Takberwujud'!$T154*12-1))),'Aset Takberwujud'!$AQ154/'Aset Takberwujud'!$AG154,0)))</f>
        <v/>
      </c>
      <c r="I359" s="22" t="str">
        <f>IF($B359="","",IF(N('Aset Takberwujud'!$AG154)=0,0,IF(AND((YEAR(I$211)*12+MONTH(I$211))&gt;='Aset Takberwujud'!$Y154,(YEAR(I$211)*12+MONTH(I$211))&lt;=MIN('Aset Takberwujud'!$Z154,IF('Aset Takberwujud'!$S154="Unit Produksi",99999,'Aset Takberwujud'!$Y154+'Aset Takberwujud'!$T154*12-1))),'Aset Takberwujud'!$AQ154/'Aset Takberwujud'!$AG154,0)))</f>
        <v/>
      </c>
      <c r="J359" s="22" t="str">
        <f>IF($B359="","",IF(N('Aset Takberwujud'!$AG154)=0,0,IF(AND((YEAR(J$211)*12+MONTH(J$211))&gt;='Aset Takberwujud'!$Y154,(YEAR(J$211)*12+MONTH(J$211))&lt;=MIN('Aset Takberwujud'!$Z154,IF('Aset Takberwujud'!$S154="Unit Produksi",99999,'Aset Takberwujud'!$Y154+'Aset Takberwujud'!$T154*12-1))),'Aset Takberwujud'!$AQ154/'Aset Takberwujud'!$AG154,0)))</f>
        <v/>
      </c>
      <c r="K359" s="22" t="str">
        <f>IF($B359="","",IF(N('Aset Takberwujud'!$AG154)=0,0,IF(AND((YEAR(K$211)*12+MONTH(K$211))&gt;='Aset Takberwujud'!$Y154,(YEAR(K$211)*12+MONTH(K$211))&lt;=MIN('Aset Takberwujud'!$Z154,IF('Aset Takberwujud'!$S154="Unit Produksi",99999,'Aset Takberwujud'!$Y154+'Aset Takberwujud'!$T154*12-1))),'Aset Takberwujud'!$AQ154/'Aset Takberwujud'!$AG154,0)))</f>
        <v/>
      </c>
      <c r="L359" s="22" t="str">
        <f>IF($B359="","",IF(N('Aset Takberwujud'!$AG154)=0,0,IF(AND((YEAR(L$211)*12+MONTH(L$211))&gt;='Aset Takberwujud'!$Y154,(YEAR(L$211)*12+MONTH(L$211))&lt;=MIN('Aset Takberwujud'!$Z154,IF('Aset Takberwujud'!$S154="Unit Produksi",99999,'Aset Takberwujud'!$Y154+'Aset Takberwujud'!$T154*12-1))),'Aset Takberwujud'!$AQ154/'Aset Takberwujud'!$AG154,0)))</f>
        <v/>
      </c>
      <c r="M359" s="22" t="str">
        <f>IF($B359="","",IF(N('Aset Takberwujud'!$AG154)=0,0,IF(AND((YEAR(M$211)*12+MONTH(M$211))&gt;='Aset Takberwujud'!$Y154,(YEAR(M$211)*12+MONTH(M$211))&lt;=MIN('Aset Takberwujud'!$Z154,IF('Aset Takberwujud'!$S154="Unit Produksi",99999,'Aset Takberwujud'!$Y154+'Aset Takberwujud'!$T154*12-1))),'Aset Takberwujud'!$AQ154/'Aset Takberwujud'!$AG154,0)))</f>
        <v/>
      </c>
      <c r="N359" s="22" t="str">
        <f>IF($B359="","",IF(N('Aset Takberwujud'!$AG154)=0,0,IF(AND((YEAR(N$211)*12+MONTH(N$211))&gt;='Aset Takberwujud'!$Y154,(YEAR(N$211)*12+MONTH(N$211))&lt;=MIN('Aset Takberwujud'!$Z154,IF('Aset Takberwujud'!$S154="Unit Produksi",99999,'Aset Takberwujud'!$Y154+'Aset Takberwujud'!$T154*12-1))),'Aset Takberwujud'!$AQ154/'Aset Takberwujud'!$AG154,0)))</f>
        <v/>
      </c>
      <c r="O359" s="22" t="str">
        <f>IF($B359="","",IF(N('Aset Takberwujud'!$AG154)=0,0,IF(AND((YEAR(O$211)*12+MONTH(O$211))&gt;='Aset Takberwujud'!$Y154,(YEAR(O$211)*12+MONTH(O$211))&lt;=MIN('Aset Takberwujud'!$Z154,IF('Aset Takberwujud'!$S154="Unit Produksi",99999,'Aset Takberwujud'!$Y154+'Aset Takberwujud'!$T154*12-1))),'Aset Takberwujud'!$AQ154/'Aset Takberwujud'!$AG154,0)))</f>
        <v/>
      </c>
      <c r="P359" s="22" t="str">
        <f>IF($B359="","",IF(N('Aset Takberwujud'!$AG154)=0,0,IF(AND((YEAR(P$211)*12+MONTH(P$211))&gt;='Aset Takberwujud'!$Y154,(YEAR(P$211)*12+MONTH(P$211))&lt;=MIN('Aset Takberwujud'!$Z154,IF('Aset Takberwujud'!$S154="Unit Produksi",99999,'Aset Takberwujud'!$Y154+'Aset Takberwujud'!$T154*12-1))),'Aset Takberwujud'!$AQ154/'Aset Takberwujud'!$AG154,0)))</f>
        <v/>
      </c>
      <c r="Q359" s="22" t="str">
        <f>IF($B359="","",SUM(E359:P359))</f>
        <v/>
      </c>
      <c r="R359" s="22" t="str">
        <f>IF($B359="","",'Aset Takberwujud'!AQ154)</f>
        <v/>
      </c>
      <c r="S359" s="22" t="str">
        <f>IF($B359="","",ROUND(Q359-R359,0))</f>
        <v/>
      </c>
    </row>
    <row r="360" spans="1:19" x14ac:dyDescent="0.25">
      <c r="A360" t="str">
        <f>IF('Aset Takberwujud'!$B155="","",'Aset Takberwujud'!A155)</f>
        <v/>
      </c>
      <c r="B360" t="str">
        <f>IF('Aset Takberwujud'!$B155="","",'Aset Takberwujud'!B155)</f>
        <v/>
      </c>
      <c r="C360" t="str">
        <f>IF('Aset Takberwujud'!$B155="","",'Aset Takberwujud'!C155)</f>
        <v/>
      </c>
      <c r="D360" t="str">
        <f>IF('Aset Takberwujud'!$B155="","",'Aset Takberwujud'!D155)</f>
        <v/>
      </c>
      <c r="E360" s="22" t="str">
        <f>IF($B360="","",IF(N('Aset Takberwujud'!$AG155)=0,0,IF(AND((YEAR(E$211)*12+MONTH(E$211))&gt;='Aset Takberwujud'!$Y155,(YEAR(E$211)*12+MONTH(E$211))&lt;=MIN('Aset Takberwujud'!$Z155,IF('Aset Takberwujud'!$S155="Unit Produksi",99999,'Aset Takberwujud'!$Y155+'Aset Takberwujud'!$T155*12-1))),'Aset Takberwujud'!$AQ155/'Aset Takberwujud'!$AG155,0)))</f>
        <v/>
      </c>
      <c r="F360" s="22" t="str">
        <f>IF($B360="","",IF(N('Aset Takberwujud'!$AG155)=0,0,IF(AND((YEAR(F$211)*12+MONTH(F$211))&gt;='Aset Takberwujud'!$Y155,(YEAR(F$211)*12+MONTH(F$211))&lt;=MIN('Aset Takberwujud'!$Z155,IF('Aset Takberwujud'!$S155="Unit Produksi",99999,'Aset Takberwujud'!$Y155+'Aset Takberwujud'!$T155*12-1))),'Aset Takberwujud'!$AQ155/'Aset Takberwujud'!$AG155,0)))</f>
        <v/>
      </c>
      <c r="G360" s="22" t="str">
        <f>IF($B360="","",IF(N('Aset Takberwujud'!$AG155)=0,0,IF(AND((YEAR(G$211)*12+MONTH(G$211))&gt;='Aset Takberwujud'!$Y155,(YEAR(G$211)*12+MONTH(G$211))&lt;=MIN('Aset Takberwujud'!$Z155,IF('Aset Takberwujud'!$S155="Unit Produksi",99999,'Aset Takberwujud'!$Y155+'Aset Takberwujud'!$T155*12-1))),'Aset Takberwujud'!$AQ155/'Aset Takberwujud'!$AG155,0)))</f>
        <v/>
      </c>
      <c r="H360" s="22" t="str">
        <f>IF($B360="","",IF(N('Aset Takberwujud'!$AG155)=0,0,IF(AND((YEAR(H$211)*12+MONTH(H$211))&gt;='Aset Takberwujud'!$Y155,(YEAR(H$211)*12+MONTH(H$211))&lt;=MIN('Aset Takberwujud'!$Z155,IF('Aset Takberwujud'!$S155="Unit Produksi",99999,'Aset Takberwujud'!$Y155+'Aset Takberwujud'!$T155*12-1))),'Aset Takberwujud'!$AQ155/'Aset Takberwujud'!$AG155,0)))</f>
        <v/>
      </c>
      <c r="I360" s="22" t="str">
        <f>IF($B360="","",IF(N('Aset Takberwujud'!$AG155)=0,0,IF(AND((YEAR(I$211)*12+MONTH(I$211))&gt;='Aset Takberwujud'!$Y155,(YEAR(I$211)*12+MONTH(I$211))&lt;=MIN('Aset Takberwujud'!$Z155,IF('Aset Takberwujud'!$S155="Unit Produksi",99999,'Aset Takberwujud'!$Y155+'Aset Takberwujud'!$T155*12-1))),'Aset Takberwujud'!$AQ155/'Aset Takberwujud'!$AG155,0)))</f>
        <v/>
      </c>
      <c r="J360" s="22" t="str">
        <f>IF($B360="","",IF(N('Aset Takberwujud'!$AG155)=0,0,IF(AND((YEAR(J$211)*12+MONTH(J$211))&gt;='Aset Takberwujud'!$Y155,(YEAR(J$211)*12+MONTH(J$211))&lt;=MIN('Aset Takberwujud'!$Z155,IF('Aset Takberwujud'!$S155="Unit Produksi",99999,'Aset Takberwujud'!$Y155+'Aset Takberwujud'!$T155*12-1))),'Aset Takberwujud'!$AQ155/'Aset Takberwujud'!$AG155,0)))</f>
        <v/>
      </c>
      <c r="K360" s="22" t="str">
        <f>IF($B360="","",IF(N('Aset Takberwujud'!$AG155)=0,0,IF(AND((YEAR(K$211)*12+MONTH(K$211))&gt;='Aset Takberwujud'!$Y155,(YEAR(K$211)*12+MONTH(K$211))&lt;=MIN('Aset Takberwujud'!$Z155,IF('Aset Takberwujud'!$S155="Unit Produksi",99999,'Aset Takberwujud'!$Y155+'Aset Takberwujud'!$T155*12-1))),'Aset Takberwujud'!$AQ155/'Aset Takberwujud'!$AG155,0)))</f>
        <v/>
      </c>
      <c r="L360" s="22" t="str">
        <f>IF($B360="","",IF(N('Aset Takberwujud'!$AG155)=0,0,IF(AND((YEAR(L$211)*12+MONTH(L$211))&gt;='Aset Takberwujud'!$Y155,(YEAR(L$211)*12+MONTH(L$211))&lt;=MIN('Aset Takberwujud'!$Z155,IF('Aset Takberwujud'!$S155="Unit Produksi",99999,'Aset Takberwujud'!$Y155+'Aset Takberwujud'!$T155*12-1))),'Aset Takberwujud'!$AQ155/'Aset Takberwujud'!$AG155,0)))</f>
        <v/>
      </c>
      <c r="M360" s="22" t="str">
        <f>IF($B360="","",IF(N('Aset Takberwujud'!$AG155)=0,0,IF(AND((YEAR(M$211)*12+MONTH(M$211))&gt;='Aset Takberwujud'!$Y155,(YEAR(M$211)*12+MONTH(M$211))&lt;=MIN('Aset Takberwujud'!$Z155,IF('Aset Takberwujud'!$S155="Unit Produksi",99999,'Aset Takberwujud'!$Y155+'Aset Takberwujud'!$T155*12-1))),'Aset Takberwujud'!$AQ155/'Aset Takberwujud'!$AG155,0)))</f>
        <v/>
      </c>
      <c r="N360" s="22" t="str">
        <f>IF($B360="","",IF(N('Aset Takberwujud'!$AG155)=0,0,IF(AND((YEAR(N$211)*12+MONTH(N$211))&gt;='Aset Takberwujud'!$Y155,(YEAR(N$211)*12+MONTH(N$211))&lt;=MIN('Aset Takberwujud'!$Z155,IF('Aset Takberwujud'!$S155="Unit Produksi",99999,'Aset Takberwujud'!$Y155+'Aset Takberwujud'!$T155*12-1))),'Aset Takberwujud'!$AQ155/'Aset Takberwujud'!$AG155,0)))</f>
        <v/>
      </c>
      <c r="O360" s="22" t="str">
        <f>IF($B360="","",IF(N('Aset Takberwujud'!$AG155)=0,0,IF(AND((YEAR(O$211)*12+MONTH(O$211))&gt;='Aset Takberwujud'!$Y155,(YEAR(O$211)*12+MONTH(O$211))&lt;=MIN('Aset Takberwujud'!$Z155,IF('Aset Takberwujud'!$S155="Unit Produksi",99999,'Aset Takberwujud'!$Y155+'Aset Takberwujud'!$T155*12-1))),'Aset Takberwujud'!$AQ155/'Aset Takberwujud'!$AG155,0)))</f>
        <v/>
      </c>
      <c r="P360" s="22" t="str">
        <f>IF($B360="","",IF(N('Aset Takberwujud'!$AG155)=0,0,IF(AND((YEAR(P$211)*12+MONTH(P$211))&gt;='Aset Takberwujud'!$Y155,(YEAR(P$211)*12+MONTH(P$211))&lt;=MIN('Aset Takberwujud'!$Z155,IF('Aset Takberwujud'!$S155="Unit Produksi",99999,'Aset Takberwujud'!$Y155+'Aset Takberwujud'!$T155*12-1))),'Aset Takberwujud'!$AQ155/'Aset Takberwujud'!$AG155,0)))</f>
        <v/>
      </c>
      <c r="Q360" s="22" t="str">
        <f>IF($B360="","",SUM(E360:P360))</f>
        <v/>
      </c>
      <c r="R360" s="22" t="str">
        <f>IF($B360="","",'Aset Takberwujud'!AQ155)</f>
        <v/>
      </c>
      <c r="S360" s="22" t="str">
        <f>IF($B360="","",ROUND(Q360-R360,0))</f>
        <v/>
      </c>
    </row>
    <row r="361" spans="1:19" x14ac:dyDescent="0.25">
      <c r="A361" t="str">
        <f>IF('Aset Takberwujud'!$B156="","",'Aset Takberwujud'!A156)</f>
        <v/>
      </c>
      <c r="B361" t="str">
        <f>IF('Aset Takberwujud'!$B156="","",'Aset Takberwujud'!B156)</f>
        <v/>
      </c>
      <c r="C361" t="str">
        <f>IF('Aset Takberwujud'!$B156="","",'Aset Takberwujud'!C156)</f>
        <v/>
      </c>
      <c r="D361" t="str">
        <f>IF('Aset Takberwujud'!$B156="","",'Aset Takberwujud'!D156)</f>
        <v/>
      </c>
      <c r="E361" s="22" t="str">
        <f>IF($B361="","",IF(N('Aset Takberwujud'!$AG156)=0,0,IF(AND((YEAR(E$211)*12+MONTH(E$211))&gt;='Aset Takberwujud'!$Y156,(YEAR(E$211)*12+MONTH(E$211))&lt;=MIN('Aset Takberwujud'!$Z156,IF('Aset Takberwujud'!$S156="Unit Produksi",99999,'Aset Takberwujud'!$Y156+'Aset Takberwujud'!$T156*12-1))),'Aset Takberwujud'!$AQ156/'Aset Takberwujud'!$AG156,0)))</f>
        <v/>
      </c>
      <c r="F361" s="22" t="str">
        <f>IF($B361="","",IF(N('Aset Takberwujud'!$AG156)=0,0,IF(AND((YEAR(F$211)*12+MONTH(F$211))&gt;='Aset Takberwujud'!$Y156,(YEAR(F$211)*12+MONTH(F$211))&lt;=MIN('Aset Takberwujud'!$Z156,IF('Aset Takberwujud'!$S156="Unit Produksi",99999,'Aset Takberwujud'!$Y156+'Aset Takberwujud'!$T156*12-1))),'Aset Takberwujud'!$AQ156/'Aset Takberwujud'!$AG156,0)))</f>
        <v/>
      </c>
      <c r="G361" s="22" t="str">
        <f>IF($B361="","",IF(N('Aset Takberwujud'!$AG156)=0,0,IF(AND((YEAR(G$211)*12+MONTH(G$211))&gt;='Aset Takberwujud'!$Y156,(YEAR(G$211)*12+MONTH(G$211))&lt;=MIN('Aset Takberwujud'!$Z156,IF('Aset Takberwujud'!$S156="Unit Produksi",99999,'Aset Takberwujud'!$Y156+'Aset Takberwujud'!$T156*12-1))),'Aset Takberwujud'!$AQ156/'Aset Takberwujud'!$AG156,0)))</f>
        <v/>
      </c>
      <c r="H361" s="22" t="str">
        <f>IF($B361="","",IF(N('Aset Takberwujud'!$AG156)=0,0,IF(AND((YEAR(H$211)*12+MONTH(H$211))&gt;='Aset Takberwujud'!$Y156,(YEAR(H$211)*12+MONTH(H$211))&lt;=MIN('Aset Takberwujud'!$Z156,IF('Aset Takberwujud'!$S156="Unit Produksi",99999,'Aset Takberwujud'!$Y156+'Aset Takberwujud'!$T156*12-1))),'Aset Takberwujud'!$AQ156/'Aset Takberwujud'!$AG156,0)))</f>
        <v/>
      </c>
      <c r="I361" s="22" t="str">
        <f>IF($B361="","",IF(N('Aset Takberwujud'!$AG156)=0,0,IF(AND((YEAR(I$211)*12+MONTH(I$211))&gt;='Aset Takberwujud'!$Y156,(YEAR(I$211)*12+MONTH(I$211))&lt;=MIN('Aset Takberwujud'!$Z156,IF('Aset Takberwujud'!$S156="Unit Produksi",99999,'Aset Takberwujud'!$Y156+'Aset Takberwujud'!$T156*12-1))),'Aset Takberwujud'!$AQ156/'Aset Takberwujud'!$AG156,0)))</f>
        <v/>
      </c>
      <c r="J361" s="22" t="str">
        <f>IF($B361="","",IF(N('Aset Takberwujud'!$AG156)=0,0,IF(AND((YEAR(J$211)*12+MONTH(J$211))&gt;='Aset Takberwujud'!$Y156,(YEAR(J$211)*12+MONTH(J$211))&lt;=MIN('Aset Takberwujud'!$Z156,IF('Aset Takberwujud'!$S156="Unit Produksi",99999,'Aset Takberwujud'!$Y156+'Aset Takberwujud'!$T156*12-1))),'Aset Takberwujud'!$AQ156/'Aset Takberwujud'!$AG156,0)))</f>
        <v/>
      </c>
      <c r="K361" s="22" t="str">
        <f>IF($B361="","",IF(N('Aset Takberwujud'!$AG156)=0,0,IF(AND((YEAR(K$211)*12+MONTH(K$211))&gt;='Aset Takberwujud'!$Y156,(YEAR(K$211)*12+MONTH(K$211))&lt;=MIN('Aset Takberwujud'!$Z156,IF('Aset Takberwujud'!$S156="Unit Produksi",99999,'Aset Takberwujud'!$Y156+'Aset Takberwujud'!$T156*12-1))),'Aset Takberwujud'!$AQ156/'Aset Takberwujud'!$AG156,0)))</f>
        <v/>
      </c>
      <c r="L361" s="22" t="str">
        <f>IF($B361="","",IF(N('Aset Takberwujud'!$AG156)=0,0,IF(AND((YEAR(L$211)*12+MONTH(L$211))&gt;='Aset Takberwujud'!$Y156,(YEAR(L$211)*12+MONTH(L$211))&lt;=MIN('Aset Takberwujud'!$Z156,IF('Aset Takberwujud'!$S156="Unit Produksi",99999,'Aset Takberwujud'!$Y156+'Aset Takberwujud'!$T156*12-1))),'Aset Takberwujud'!$AQ156/'Aset Takberwujud'!$AG156,0)))</f>
        <v/>
      </c>
      <c r="M361" s="22" t="str">
        <f>IF($B361="","",IF(N('Aset Takberwujud'!$AG156)=0,0,IF(AND((YEAR(M$211)*12+MONTH(M$211))&gt;='Aset Takberwujud'!$Y156,(YEAR(M$211)*12+MONTH(M$211))&lt;=MIN('Aset Takberwujud'!$Z156,IF('Aset Takberwujud'!$S156="Unit Produksi",99999,'Aset Takberwujud'!$Y156+'Aset Takberwujud'!$T156*12-1))),'Aset Takberwujud'!$AQ156/'Aset Takberwujud'!$AG156,0)))</f>
        <v/>
      </c>
      <c r="N361" s="22" t="str">
        <f>IF($B361="","",IF(N('Aset Takberwujud'!$AG156)=0,0,IF(AND((YEAR(N$211)*12+MONTH(N$211))&gt;='Aset Takberwujud'!$Y156,(YEAR(N$211)*12+MONTH(N$211))&lt;=MIN('Aset Takberwujud'!$Z156,IF('Aset Takberwujud'!$S156="Unit Produksi",99999,'Aset Takberwujud'!$Y156+'Aset Takberwujud'!$T156*12-1))),'Aset Takberwujud'!$AQ156/'Aset Takberwujud'!$AG156,0)))</f>
        <v/>
      </c>
      <c r="O361" s="22" t="str">
        <f>IF($B361="","",IF(N('Aset Takberwujud'!$AG156)=0,0,IF(AND((YEAR(O$211)*12+MONTH(O$211))&gt;='Aset Takberwujud'!$Y156,(YEAR(O$211)*12+MONTH(O$211))&lt;=MIN('Aset Takberwujud'!$Z156,IF('Aset Takberwujud'!$S156="Unit Produksi",99999,'Aset Takberwujud'!$Y156+'Aset Takberwujud'!$T156*12-1))),'Aset Takberwujud'!$AQ156/'Aset Takberwujud'!$AG156,0)))</f>
        <v/>
      </c>
      <c r="P361" s="22" t="str">
        <f>IF($B361="","",IF(N('Aset Takberwujud'!$AG156)=0,0,IF(AND((YEAR(P$211)*12+MONTH(P$211))&gt;='Aset Takberwujud'!$Y156,(YEAR(P$211)*12+MONTH(P$211))&lt;=MIN('Aset Takberwujud'!$Z156,IF('Aset Takberwujud'!$S156="Unit Produksi",99999,'Aset Takberwujud'!$Y156+'Aset Takberwujud'!$T156*12-1))),'Aset Takberwujud'!$AQ156/'Aset Takberwujud'!$AG156,0)))</f>
        <v/>
      </c>
      <c r="Q361" s="22" t="str">
        <f>IF($B361="","",SUM(E361:P361))</f>
        <v/>
      </c>
      <c r="R361" s="22" t="str">
        <f>IF($B361="","",'Aset Takberwujud'!AQ156)</f>
        <v/>
      </c>
      <c r="S361" s="22" t="str">
        <f>IF($B361="","",ROUND(Q361-R361,0))</f>
        <v/>
      </c>
    </row>
    <row r="362" spans="1:19" x14ac:dyDescent="0.25">
      <c r="A362" t="str">
        <f>IF('Aset Takberwujud'!$B157="","",'Aset Takberwujud'!A157)</f>
        <v/>
      </c>
      <c r="B362" t="str">
        <f>IF('Aset Takberwujud'!$B157="","",'Aset Takberwujud'!B157)</f>
        <v/>
      </c>
      <c r="C362" t="str">
        <f>IF('Aset Takberwujud'!$B157="","",'Aset Takberwujud'!C157)</f>
        <v/>
      </c>
      <c r="D362" t="str">
        <f>IF('Aset Takberwujud'!$B157="","",'Aset Takberwujud'!D157)</f>
        <v/>
      </c>
      <c r="E362" s="22" t="str">
        <f>IF($B362="","",IF(N('Aset Takberwujud'!$AG157)=0,0,IF(AND((YEAR(E$211)*12+MONTH(E$211))&gt;='Aset Takberwujud'!$Y157,(YEAR(E$211)*12+MONTH(E$211))&lt;=MIN('Aset Takberwujud'!$Z157,IF('Aset Takberwujud'!$S157="Unit Produksi",99999,'Aset Takberwujud'!$Y157+'Aset Takberwujud'!$T157*12-1))),'Aset Takberwujud'!$AQ157/'Aset Takberwujud'!$AG157,0)))</f>
        <v/>
      </c>
      <c r="F362" s="22" t="str">
        <f>IF($B362="","",IF(N('Aset Takberwujud'!$AG157)=0,0,IF(AND((YEAR(F$211)*12+MONTH(F$211))&gt;='Aset Takberwujud'!$Y157,(YEAR(F$211)*12+MONTH(F$211))&lt;=MIN('Aset Takberwujud'!$Z157,IF('Aset Takberwujud'!$S157="Unit Produksi",99999,'Aset Takberwujud'!$Y157+'Aset Takberwujud'!$T157*12-1))),'Aset Takberwujud'!$AQ157/'Aset Takberwujud'!$AG157,0)))</f>
        <v/>
      </c>
      <c r="G362" s="22" t="str">
        <f>IF($B362="","",IF(N('Aset Takberwujud'!$AG157)=0,0,IF(AND((YEAR(G$211)*12+MONTH(G$211))&gt;='Aset Takberwujud'!$Y157,(YEAR(G$211)*12+MONTH(G$211))&lt;=MIN('Aset Takberwujud'!$Z157,IF('Aset Takberwujud'!$S157="Unit Produksi",99999,'Aset Takberwujud'!$Y157+'Aset Takberwujud'!$T157*12-1))),'Aset Takberwujud'!$AQ157/'Aset Takberwujud'!$AG157,0)))</f>
        <v/>
      </c>
      <c r="H362" s="22" t="str">
        <f>IF($B362="","",IF(N('Aset Takberwujud'!$AG157)=0,0,IF(AND((YEAR(H$211)*12+MONTH(H$211))&gt;='Aset Takberwujud'!$Y157,(YEAR(H$211)*12+MONTH(H$211))&lt;=MIN('Aset Takberwujud'!$Z157,IF('Aset Takberwujud'!$S157="Unit Produksi",99999,'Aset Takberwujud'!$Y157+'Aset Takberwujud'!$T157*12-1))),'Aset Takberwujud'!$AQ157/'Aset Takberwujud'!$AG157,0)))</f>
        <v/>
      </c>
      <c r="I362" s="22" t="str">
        <f>IF($B362="","",IF(N('Aset Takberwujud'!$AG157)=0,0,IF(AND((YEAR(I$211)*12+MONTH(I$211))&gt;='Aset Takberwujud'!$Y157,(YEAR(I$211)*12+MONTH(I$211))&lt;=MIN('Aset Takberwujud'!$Z157,IF('Aset Takberwujud'!$S157="Unit Produksi",99999,'Aset Takberwujud'!$Y157+'Aset Takberwujud'!$T157*12-1))),'Aset Takberwujud'!$AQ157/'Aset Takberwujud'!$AG157,0)))</f>
        <v/>
      </c>
      <c r="J362" s="22" t="str">
        <f>IF($B362="","",IF(N('Aset Takberwujud'!$AG157)=0,0,IF(AND((YEAR(J$211)*12+MONTH(J$211))&gt;='Aset Takberwujud'!$Y157,(YEAR(J$211)*12+MONTH(J$211))&lt;=MIN('Aset Takberwujud'!$Z157,IF('Aset Takberwujud'!$S157="Unit Produksi",99999,'Aset Takberwujud'!$Y157+'Aset Takberwujud'!$T157*12-1))),'Aset Takberwujud'!$AQ157/'Aset Takberwujud'!$AG157,0)))</f>
        <v/>
      </c>
      <c r="K362" s="22" t="str">
        <f>IF($B362="","",IF(N('Aset Takberwujud'!$AG157)=0,0,IF(AND((YEAR(K$211)*12+MONTH(K$211))&gt;='Aset Takberwujud'!$Y157,(YEAR(K$211)*12+MONTH(K$211))&lt;=MIN('Aset Takberwujud'!$Z157,IF('Aset Takberwujud'!$S157="Unit Produksi",99999,'Aset Takberwujud'!$Y157+'Aset Takberwujud'!$T157*12-1))),'Aset Takberwujud'!$AQ157/'Aset Takberwujud'!$AG157,0)))</f>
        <v/>
      </c>
      <c r="L362" s="22" t="str">
        <f>IF($B362="","",IF(N('Aset Takberwujud'!$AG157)=0,0,IF(AND((YEAR(L$211)*12+MONTH(L$211))&gt;='Aset Takberwujud'!$Y157,(YEAR(L$211)*12+MONTH(L$211))&lt;=MIN('Aset Takberwujud'!$Z157,IF('Aset Takberwujud'!$S157="Unit Produksi",99999,'Aset Takberwujud'!$Y157+'Aset Takberwujud'!$T157*12-1))),'Aset Takberwujud'!$AQ157/'Aset Takberwujud'!$AG157,0)))</f>
        <v/>
      </c>
      <c r="M362" s="22" t="str">
        <f>IF($B362="","",IF(N('Aset Takberwujud'!$AG157)=0,0,IF(AND((YEAR(M$211)*12+MONTH(M$211))&gt;='Aset Takberwujud'!$Y157,(YEAR(M$211)*12+MONTH(M$211))&lt;=MIN('Aset Takberwujud'!$Z157,IF('Aset Takberwujud'!$S157="Unit Produksi",99999,'Aset Takberwujud'!$Y157+'Aset Takberwujud'!$T157*12-1))),'Aset Takberwujud'!$AQ157/'Aset Takberwujud'!$AG157,0)))</f>
        <v/>
      </c>
      <c r="N362" s="22" t="str">
        <f>IF($B362="","",IF(N('Aset Takberwujud'!$AG157)=0,0,IF(AND((YEAR(N$211)*12+MONTH(N$211))&gt;='Aset Takberwujud'!$Y157,(YEAR(N$211)*12+MONTH(N$211))&lt;=MIN('Aset Takberwujud'!$Z157,IF('Aset Takberwujud'!$S157="Unit Produksi",99999,'Aset Takberwujud'!$Y157+'Aset Takberwujud'!$T157*12-1))),'Aset Takberwujud'!$AQ157/'Aset Takberwujud'!$AG157,0)))</f>
        <v/>
      </c>
      <c r="O362" s="22" t="str">
        <f>IF($B362="","",IF(N('Aset Takberwujud'!$AG157)=0,0,IF(AND((YEAR(O$211)*12+MONTH(O$211))&gt;='Aset Takberwujud'!$Y157,(YEAR(O$211)*12+MONTH(O$211))&lt;=MIN('Aset Takberwujud'!$Z157,IF('Aset Takberwujud'!$S157="Unit Produksi",99999,'Aset Takberwujud'!$Y157+'Aset Takberwujud'!$T157*12-1))),'Aset Takberwujud'!$AQ157/'Aset Takberwujud'!$AG157,0)))</f>
        <v/>
      </c>
      <c r="P362" s="22" t="str">
        <f>IF($B362="","",IF(N('Aset Takberwujud'!$AG157)=0,0,IF(AND((YEAR(P$211)*12+MONTH(P$211))&gt;='Aset Takberwujud'!$Y157,(YEAR(P$211)*12+MONTH(P$211))&lt;=MIN('Aset Takberwujud'!$Z157,IF('Aset Takberwujud'!$S157="Unit Produksi",99999,'Aset Takberwujud'!$Y157+'Aset Takberwujud'!$T157*12-1))),'Aset Takberwujud'!$AQ157/'Aset Takberwujud'!$AG157,0)))</f>
        <v/>
      </c>
      <c r="Q362" s="22" t="str">
        <f>IF($B362="","",SUM(E362:P362))</f>
        <v/>
      </c>
      <c r="R362" s="22" t="str">
        <f>IF($B362="","",'Aset Takberwujud'!AQ157)</f>
        <v/>
      </c>
      <c r="S362" s="22" t="str">
        <f>IF($B362="","",ROUND(Q362-R362,0))</f>
        <v/>
      </c>
    </row>
    <row r="363" spans="1:19" x14ac:dyDescent="0.25">
      <c r="A363" t="str">
        <f>IF('Aset Takberwujud'!$B158="","",'Aset Takberwujud'!A158)</f>
        <v/>
      </c>
      <c r="B363" t="str">
        <f>IF('Aset Takberwujud'!$B158="","",'Aset Takberwujud'!B158)</f>
        <v/>
      </c>
      <c r="C363" t="str">
        <f>IF('Aset Takberwujud'!$B158="","",'Aset Takberwujud'!C158)</f>
        <v/>
      </c>
      <c r="D363" t="str">
        <f>IF('Aset Takberwujud'!$B158="","",'Aset Takberwujud'!D158)</f>
        <v/>
      </c>
      <c r="E363" s="22" t="str">
        <f>IF($B363="","",IF(N('Aset Takberwujud'!$AG158)=0,0,IF(AND((YEAR(E$211)*12+MONTH(E$211))&gt;='Aset Takberwujud'!$Y158,(YEAR(E$211)*12+MONTH(E$211))&lt;=MIN('Aset Takberwujud'!$Z158,IF('Aset Takberwujud'!$S158="Unit Produksi",99999,'Aset Takberwujud'!$Y158+'Aset Takberwujud'!$T158*12-1))),'Aset Takberwujud'!$AQ158/'Aset Takberwujud'!$AG158,0)))</f>
        <v/>
      </c>
      <c r="F363" s="22" t="str">
        <f>IF($B363="","",IF(N('Aset Takberwujud'!$AG158)=0,0,IF(AND((YEAR(F$211)*12+MONTH(F$211))&gt;='Aset Takberwujud'!$Y158,(YEAR(F$211)*12+MONTH(F$211))&lt;=MIN('Aset Takberwujud'!$Z158,IF('Aset Takberwujud'!$S158="Unit Produksi",99999,'Aset Takberwujud'!$Y158+'Aset Takberwujud'!$T158*12-1))),'Aset Takberwujud'!$AQ158/'Aset Takberwujud'!$AG158,0)))</f>
        <v/>
      </c>
      <c r="G363" s="22" t="str">
        <f>IF($B363="","",IF(N('Aset Takberwujud'!$AG158)=0,0,IF(AND((YEAR(G$211)*12+MONTH(G$211))&gt;='Aset Takberwujud'!$Y158,(YEAR(G$211)*12+MONTH(G$211))&lt;=MIN('Aset Takberwujud'!$Z158,IF('Aset Takberwujud'!$S158="Unit Produksi",99999,'Aset Takberwujud'!$Y158+'Aset Takberwujud'!$T158*12-1))),'Aset Takberwujud'!$AQ158/'Aset Takberwujud'!$AG158,0)))</f>
        <v/>
      </c>
      <c r="H363" s="22" t="str">
        <f>IF($B363="","",IF(N('Aset Takberwujud'!$AG158)=0,0,IF(AND((YEAR(H$211)*12+MONTH(H$211))&gt;='Aset Takberwujud'!$Y158,(YEAR(H$211)*12+MONTH(H$211))&lt;=MIN('Aset Takberwujud'!$Z158,IF('Aset Takberwujud'!$S158="Unit Produksi",99999,'Aset Takberwujud'!$Y158+'Aset Takberwujud'!$T158*12-1))),'Aset Takberwujud'!$AQ158/'Aset Takberwujud'!$AG158,0)))</f>
        <v/>
      </c>
      <c r="I363" s="22" t="str">
        <f>IF($B363="","",IF(N('Aset Takberwujud'!$AG158)=0,0,IF(AND((YEAR(I$211)*12+MONTH(I$211))&gt;='Aset Takberwujud'!$Y158,(YEAR(I$211)*12+MONTH(I$211))&lt;=MIN('Aset Takberwujud'!$Z158,IF('Aset Takberwujud'!$S158="Unit Produksi",99999,'Aset Takberwujud'!$Y158+'Aset Takberwujud'!$T158*12-1))),'Aset Takberwujud'!$AQ158/'Aset Takberwujud'!$AG158,0)))</f>
        <v/>
      </c>
      <c r="J363" s="22" t="str">
        <f>IF($B363="","",IF(N('Aset Takberwujud'!$AG158)=0,0,IF(AND((YEAR(J$211)*12+MONTH(J$211))&gt;='Aset Takberwujud'!$Y158,(YEAR(J$211)*12+MONTH(J$211))&lt;=MIN('Aset Takberwujud'!$Z158,IF('Aset Takberwujud'!$S158="Unit Produksi",99999,'Aset Takberwujud'!$Y158+'Aset Takberwujud'!$T158*12-1))),'Aset Takberwujud'!$AQ158/'Aset Takberwujud'!$AG158,0)))</f>
        <v/>
      </c>
      <c r="K363" s="22" t="str">
        <f>IF($B363="","",IF(N('Aset Takberwujud'!$AG158)=0,0,IF(AND((YEAR(K$211)*12+MONTH(K$211))&gt;='Aset Takberwujud'!$Y158,(YEAR(K$211)*12+MONTH(K$211))&lt;=MIN('Aset Takberwujud'!$Z158,IF('Aset Takberwujud'!$S158="Unit Produksi",99999,'Aset Takberwujud'!$Y158+'Aset Takberwujud'!$T158*12-1))),'Aset Takberwujud'!$AQ158/'Aset Takberwujud'!$AG158,0)))</f>
        <v/>
      </c>
      <c r="L363" s="22" t="str">
        <f>IF($B363="","",IF(N('Aset Takberwujud'!$AG158)=0,0,IF(AND((YEAR(L$211)*12+MONTH(L$211))&gt;='Aset Takberwujud'!$Y158,(YEAR(L$211)*12+MONTH(L$211))&lt;=MIN('Aset Takberwujud'!$Z158,IF('Aset Takberwujud'!$S158="Unit Produksi",99999,'Aset Takberwujud'!$Y158+'Aset Takberwujud'!$T158*12-1))),'Aset Takberwujud'!$AQ158/'Aset Takberwujud'!$AG158,0)))</f>
        <v/>
      </c>
      <c r="M363" s="22" t="str">
        <f>IF($B363="","",IF(N('Aset Takberwujud'!$AG158)=0,0,IF(AND((YEAR(M$211)*12+MONTH(M$211))&gt;='Aset Takberwujud'!$Y158,(YEAR(M$211)*12+MONTH(M$211))&lt;=MIN('Aset Takberwujud'!$Z158,IF('Aset Takberwujud'!$S158="Unit Produksi",99999,'Aset Takberwujud'!$Y158+'Aset Takberwujud'!$T158*12-1))),'Aset Takberwujud'!$AQ158/'Aset Takberwujud'!$AG158,0)))</f>
        <v/>
      </c>
      <c r="N363" s="22" t="str">
        <f>IF($B363="","",IF(N('Aset Takberwujud'!$AG158)=0,0,IF(AND((YEAR(N$211)*12+MONTH(N$211))&gt;='Aset Takberwujud'!$Y158,(YEAR(N$211)*12+MONTH(N$211))&lt;=MIN('Aset Takberwujud'!$Z158,IF('Aset Takberwujud'!$S158="Unit Produksi",99999,'Aset Takberwujud'!$Y158+'Aset Takberwujud'!$T158*12-1))),'Aset Takberwujud'!$AQ158/'Aset Takberwujud'!$AG158,0)))</f>
        <v/>
      </c>
      <c r="O363" s="22" t="str">
        <f>IF($B363="","",IF(N('Aset Takberwujud'!$AG158)=0,0,IF(AND((YEAR(O$211)*12+MONTH(O$211))&gt;='Aset Takberwujud'!$Y158,(YEAR(O$211)*12+MONTH(O$211))&lt;=MIN('Aset Takberwujud'!$Z158,IF('Aset Takberwujud'!$S158="Unit Produksi",99999,'Aset Takberwujud'!$Y158+'Aset Takberwujud'!$T158*12-1))),'Aset Takberwujud'!$AQ158/'Aset Takberwujud'!$AG158,0)))</f>
        <v/>
      </c>
      <c r="P363" s="22" t="str">
        <f>IF($B363="","",IF(N('Aset Takberwujud'!$AG158)=0,0,IF(AND((YEAR(P$211)*12+MONTH(P$211))&gt;='Aset Takberwujud'!$Y158,(YEAR(P$211)*12+MONTH(P$211))&lt;=MIN('Aset Takberwujud'!$Z158,IF('Aset Takberwujud'!$S158="Unit Produksi",99999,'Aset Takberwujud'!$Y158+'Aset Takberwujud'!$T158*12-1))),'Aset Takberwujud'!$AQ158/'Aset Takberwujud'!$AG158,0)))</f>
        <v/>
      </c>
      <c r="Q363" s="22" t="str">
        <f>IF($B363="","",SUM(E363:P363))</f>
        <v/>
      </c>
      <c r="R363" s="22" t="str">
        <f>IF($B363="","",'Aset Takberwujud'!AQ158)</f>
        <v/>
      </c>
      <c r="S363" s="22" t="str">
        <f>IF($B363="","",ROUND(Q363-R363,0))</f>
        <v/>
      </c>
    </row>
    <row r="364" spans="1:19" x14ac:dyDescent="0.25">
      <c r="A364" t="str">
        <f>IF('Aset Takberwujud'!$B159="","",'Aset Takberwujud'!A159)</f>
        <v/>
      </c>
      <c r="B364" t="str">
        <f>IF('Aset Takberwujud'!$B159="","",'Aset Takberwujud'!B159)</f>
        <v/>
      </c>
      <c r="C364" t="str">
        <f>IF('Aset Takberwujud'!$B159="","",'Aset Takberwujud'!C159)</f>
        <v/>
      </c>
      <c r="D364" t="str">
        <f>IF('Aset Takberwujud'!$B159="","",'Aset Takberwujud'!D159)</f>
        <v/>
      </c>
      <c r="E364" s="22" t="str">
        <f>IF($B364="","",IF(N('Aset Takberwujud'!$AG159)=0,0,IF(AND((YEAR(E$211)*12+MONTH(E$211))&gt;='Aset Takberwujud'!$Y159,(YEAR(E$211)*12+MONTH(E$211))&lt;=MIN('Aset Takberwujud'!$Z159,IF('Aset Takberwujud'!$S159="Unit Produksi",99999,'Aset Takberwujud'!$Y159+'Aset Takberwujud'!$T159*12-1))),'Aset Takberwujud'!$AQ159/'Aset Takberwujud'!$AG159,0)))</f>
        <v/>
      </c>
      <c r="F364" s="22" t="str">
        <f>IF($B364="","",IF(N('Aset Takberwujud'!$AG159)=0,0,IF(AND((YEAR(F$211)*12+MONTH(F$211))&gt;='Aset Takberwujud'!$Y159,(YEAR(F$211)*12+MONTH(F$211))&lt;=MIN('Aset Takberwujud'!$Z159,IF('Aset Takberwujud'!$S159="Unit Produksi",99999,'Aset Takberwujud'!$Y159+'Aset Takberwujud'!$T159*12-1))),'Aset Takberwujud'!$AQ159/'Aset Takberwujud'!$AG159,0)))</f>
        <v/>
      </c>
      <c r="G364" s="22" t="str">
        <f>IF($B364="","",IF(N('Aset Takberwujud'!$AG159)=0,0,IF(AND((YEAR(G$211)*12+MONTH(G$211))&gt;='Aset Takberwujud'!$Y159,(YEAR(G$211)*12+MONTH(G$211))&lt;=MIN('Aset Takberwujud'!$Z159,IF('Aset Takberwujud'!$S159="Unit Produksi",99999,'Aset Takberwujud'!$Y159+'Aset Takberwujud'!$T159*12-1))),'Aset Takberwujud'!$AQ159/'Aset Takberwujud'!$AG159,0)))</f>
        <v/>
      </c>
      <c r="H364" s="22" t="str">
        <f>IF($B364="","",IF(N('Aset Takberwujud'!$AG159)=0,0,IF(AND((YEAR(H$211)*12+MONTH(H$211))&gt;='Aset Takberwujud'!$Y159,(YEAR(H$211)*12+MONTH(H$211))&lt;=MIN('Aset Takberwujud'!$Z159,IF('Aset Takberwujud'!$S159="Unit Produksi",99999,'Aset Takberwujud'!$Y159+'Aset Takberwujud'!$T159*12-1))),'Aset Takberwujud'!$AQ159/'Aset Takberwujud'!$AG159,0)))</f>
        <v/>
      </c>
      <c r="I364" s="22" t="str">
        <f>IF($B364="","",IF(N('Aset Takberwujud'!$AG159)=0,0,IF(AND((YEAR(I$211)*12+MONTH(I$211))&gt;='Aset Takberwujud'!$Y159,(YEAR(I$211)*12+MONTH(I$211))&lt;=MIN('Aset Takberwujud'!$Z159,IF('Aset Takberwujud'!$S159="Unit Produksi",99999,'Aset Takberwujud'!$Y159+'Aset Takberwujud'!$T159*12-1))),'Aset Takberwujud'!$AQ159/'Aset Takberwujud'!$AG159,0)))</f>
        <v/>
      </c>
      <c r="J364" s="22" t="str">
        <f>IF($B364="","",IF(N('Aset Takberwujud'!$AG159)=0,0,IF(AND((YEAR(J$211)*12+MONTH(J$211))&gt;='Aset Takberwujud'!$Y159,(YEAR(J$211)*12+MONTH(J$211))&lt;=MIN('Aset Takberwujud'!$Z159,IF('Aset Takberwujud'!$S159="Unit Produksi",99999,'Aset Takberwujud'!$Y159+'Aset Takberwujud'!$T159*12-1))),'Aset Takberwujud'!$AQ159/'Aset Takberwujud'!$AG159,0)))</f>
        <v/>
      </c>
      <c r="K364" s="22" t="str">
        <f>IF($B364="","",IF(N('Aset Takberwujud'!$AG159)=0,0,IF(AND((YEAR(K$211)*12+MONTH(K$211))&gt;='Aset Takberwujud'!$Y159,(YEAR(K$211)*12+MONTH(K$211))&lt;=MIN('Aset Takberwujud'!$Z159,IF('Aset Takberwujud'!$S159="Unit Produksi",99999,'Aset Takberwujud'!$Y159+'Aset Takberwujud'!$T159*12-1))),'Aset Takberwujud'!$AQ159/'Aset Takberwujud'!$AG159,0)))</f>
        <v/>
      </c>
      <c r="L364" s="22" t="str">
        <f>IF($B364="","",IF(N('Aset Takberwujud'!$AG159)=0,0,IF(AND((YEAR(L$211)*12+MONTH(L$211))&gt;='Aset Takberwujud'!$Y159,(YEAR(L$211)*12+MONTH(L$211))&lt;=MIN('Aset Takberwujud'!$Z159,IF('Aset Takberwujud'!$S159="Unit Produksi",99999,'Aset Takberwujud'!$Y159+'Aset Takberwujud'!$T159*12-1))),'Aset Takberwujud'!$AQ159/'Aset Takberwujud'!$AG159,0)))</f>
        <v/>
      </c>
      <c r="M364" s="22" t="str">
        <f>IF($B364="","",IF(N('Aset Takberwujud'!$AG159)=0,0,IF(AND((YEAR(M$211)*12+MONTH(M$211))&gt;='Aset Takberwujud'!$Y159,(YEAR(M$211)*12+MONTH(M$211))&lt;=MIN('Aset Takberwujud'!$Z159,IF('Aset Takberwujud'!$S159="Unit Produksi",99999,'Aset Takberwujud'!$Y159+'Aset Takberwujud'!$T159*12-1))),'Aset Takberwujud'!$AQ159/'Aset Takberwujud'!$AG159,0)))</f>
        <v/>
      </c>
      <c r="N364" s="22" t="str">
        <f>IF($B364="","",IF(N('Aset Takberwujud'!$AG159)=0,0,IF(AND((YEAR(N$211)*12+MONTH(N$211))&gt;='Aset Takberwujud'!$Y159,(YEAR(N$211)*12+MONTH(N$211))&lt;=MIN('Aset Takberwujud'!$Z159,IF('Aset Takberwujud'!$S159="Unit Produksi",99999,'Aset Takberwujud'!$Y159+'Aset Takberwujud'!$T159*12-1))),'Aset Takberwujud'!$AQ159/'Aset Takberwujud'!$AG159,0)))</f>
        <v/>
      </c>
      <c r="O364" s="22" t="str">
        <f>IF($B364="","",IF(N('Aset Takberwujud'!$AG159)=0,0,IF(AND((YEAR(O$211)*12+MONTH(O$211))&gt;='Aset Takberwujud'!$Y159,(YEAR(O$211)*12+MONTH(O$211))&lt;=MIN('Aset Takberwujud'!$Z159,IF('Aset Takberwujud'!$S159="Unit Produksi",99999,'Aset Takberwujud'!$Y159+'Aset Takberwujud'!$T159*12-1))),'Aset Takberwujud'!$AQ159/'Aset Takberwujud'!$AG159,0)))</f>
        <v/>
      </c>
      <c r="P364" s="22" t="str">
        <f>IF($B364="","",IF(N('Aset Takberwujud'!$AG159)=0,0,IF(AND((YEAR(P$211)*12+MONTH(P$211))&gt;='Aset Takberwujud'!$Y159,(YEAR(P$211)*12+MONTH(P$211))&lt;=MIN('Aset Takberwujud'!$Z159,IF('Aset Takberwujud'!$S159="Unit Produksi",99999,'Aset Takberwujud'!$Y159+'Aset Takberwujud'!$T159*12-1))),'Aset Takberwujud'!$AQ159/'Aset Takberwujud'!$AG159,0)))</f>
        <v/>
      </c>
      <c r="Q364" s="22" t="str">
        <f>IF($B364="","",SUM(E364:P364))</f>
        <v/>
      </c>
      <c r="R364" s="22" t="str">
        <f>IF($B364="","",'Aset Takberwujud'!AQ159)</f>
        <v/>
      </c>
      <c r="S364" s="22" t="str">
        <f>IF($B364="","",ROUND(Q364-R364,0))</f>
        <v/>
      </c>
    </row>
    <row r="365" spans="1:19" x14ac:dyDescent="0.25">
      <c r="A365" t="str">
        <f>IF('Aset Takberwujud'!$B160="","",'Aset Takberwujud'!A160)</f>
        <v/>
      </c>
      <c r="B365" t="str">
        <f>IF('Aset Takberwujud'!$B160="","",'Aset Takberwujud'!B160)</f>
        <v/>
      </c>
      <c r="C365" t="str">
        <f>IF('Aset Takberwujud'!$B160="","",'Aset Takberwujud'!C160)</f>
        <v/>
      </c>
      <c r="D365" t="str">
        <f>IF('Aset Takberwujud'!$B160="","",'Aset Takberwujud'!D160)</f>
        <v/>
      </c>
      <c r="E365" s="22" t="str">
        <f>IF($B365="","",IF(N('Aset Takberwujud'!$AG160)=0,0,IF(AND((YEAR(E$211)*12+MONTH(E$211))&gt;='Aset Takberwujud'!$Y160,(YEAR(E$211)*12+MONTH(E$211))&lt;=MIN('Aset Takberwujud'!$Z160,IF('Aset Takberwujud'!$S160="Unit Produksi",99999,'Aset Takberwujud'!$Y160+'Aset Takberwujud'!$T160*12-1))),'Aset Takberwujud'!$AQ160/'Aset Takberwujud'!$AG160,0)))</f>
        <v/>
      </c>
      <c r="F365" s="22" t="str">
        <f>IF($B365="","",IF(N('Aset Takberwujud'!$AG160)=0,0,IF(AND((YEAR(F$211)*12+MONTH(F$211))&gt;='Aset Takberwujud'!$Y160,(YEAR(F$211)*12+MONTH(F$211))&lt;=MIN('Aset Takberwujud'!$Z160,IF('Aset Takberwujud'!$S160="Unit Produksi",99999,'Aset Takberwujud'!$Y160+'Aset Takberwujud'!$T160*12-1))),'Aset Takberwujud'!$AQ160/'Aset Takberwujud'!$AG160,0)))</f>
        <v/>
      </c>
      <c r="G365" s="22" t="str">
        <f>IF($B365="","",IF(N('Aset Takberwujud'!$AG160)=0,0,IF(AND((YEAR(G$211)*12+MONTH(G$211))&gt;='Aset Takberwujud'!$Y160,(YEAR(G$211)*12+MONTH(G$211))&lt;=MIN('Aset Takberwujud'!$Z160,IF('Aset Takberwujud'!$S160="Unit Produksi",99999,'Aset Takberwujud'!$Y160+'Aset Takberwujud'!$T160*12-1))),'Aset Takberwujud'!$AQ160/'Aset Takberwujud'!$AG160,0)))</f>
        <v/>
      </c>
      <c r="H365" s="22" t="str">
        <f>IF($B365="","",IF(N('Aset Takberwujud'!$AG160)=0,0,IF(AND((YEAR(H$211)*12+MONTH(H$211))&gt;='Aset Takberwujud'!$Y160,(YEAR(H$211)*12+MONTH(H$211))&lt;=MIN('Aset Takberwujud'!$Z160,IF('Aset Takberwujud'!$S160="Unit Produksi",99999,'Aset Takberwujud'!$Y160+'Aset Takberwujud'!$T160*12-1))),'Aset Takberwujud'!$AQ160/'Aset Takberwujud'!$AG160,0)))</f>
        <v/>
      </c>
      <c r="I365" s="22" t="str">
        <f>IF($B365="","",IF(N('Aset Takberwujud'!$AG160)=0,0,IF(AND((YEAR(I$211)*12+MONTH(I$211))&gt;='Aset Takberwujud'!$Y160,(YEAR(I$211)*12+MONTH(I$211))&lt;=MIN('Aset Takberwujud'!$Z160,IF('Aset Takberwujud'!$S160="Unit Produksi",99999,'Aset Takberwujud'!$Y160+'Aset Takberwujud'!$T160*12-1))),'Aset Takberwujud'!$AQ160/'Aset Takberwujud'!$AG160,0)))</f>
        <v/>
      </c>
      <c r="J365" s="22" t="str">
        <f>IF($B365="","",IF(N('Aset Takberwujud'!$AG160)=0,0,IF(AND((YEAR(J$211)*12+MONTH(J$211))&gt;='Aset Takberwujud'!$Y160,(YEAR(J$211)*12+MONTH(J$211))&lt;=MIN('Aset Takberwujud'!$Z160,IF('Aset Takberwujud'!$S160="Unit Produksi",99999,'Aset Takberwujud'!$Y160+'Aset Takberwujud'!$T160*12-1))),'Aset Takberwujud'!$AQ160/'Aset Takberwujud'!$AG160,0)))</f>
        <v/>
      </c>
      <c r="K365" s="22" t="str">
        <f>IF($B365="","",IF(N('Aset Takberwujud'!$AG160)=0,0,IF(AND((YEAR(K$211)*12+MONTH(K$211))&gt;='Aset Takberwujud'!$Y160,(YEAR(K$211)*12+MONTH(K$211))&lt;=MIN('Aset Takberwujud'!$Z160,IF('Aset Takberwujud'!$S160="Unit Produksi",99999,'Aset Takberwujud'!$Y160+'Aset Takberwujud'!$T160*12-1))),'Aset Takberwujud'!$AQ160/'Aset Takberwujud'!$AG160,0)))</f>
        <v/>
      </c>
      <c r="L365" s="22" t="str">
        <f>IF($B365="","",IF(N('Aset Takberwujud'!$AG160)=0,0,IF(AND((YEAR(L$211)*12+MONTH(L$211))&gt;='Aset Takberwujud'!$Y160,(YEAR(L$211)*12+MONTH(L$211))&lt;=MIN('Aset Takberwujud'!$Z160,IF('Aset Takberwujud'!$S160="Unit Produksi",99999,'Aset Takberwujud'!$Y160+'Aset Takberwujud'!$T160*12-1))),'Aset Takberwujud'!$AQ160/'Aset Takberwujud'!$AG160,0)))</f>
        <v/>
      </c>
      <c r="M365" s="22" t="str">
        <f>IF($B365="","",IF(N('Aset Takberwujud'!$AG160)=0,0,IF(AND((YEAR(M$211)*12+MONTH(M$211))&gt;='Aset Takberwujud'!$Y160,(YEAR(M$211)*12+MONTH(M$211))&lt;=MIN('Aset Takberwujud'!$Z160,IF('Aset Takberwujud'!$S160="Unit Produksi",99999,'Aset Takberwujud'!$Y160+'Aset Takberwujud'!$T160*12-1))),'Aset Takberwujud'!$AQ160/'Aset Takberwujud'!$AG160,0)))</f>
        <v/>
      </c>
      <c r="N365" s="22" t="str">
        <f>IF($B365="","",IF(N('Aset Takberwujud'!$AG160)=0,0,IF(AND((YEAR(N$211)*12+MONTH(N$211))&gt;='Aset Takberwujud'!$Y160,(YEAR(N$211)*12+MONTH(N$211))&lt;=MIN('Aset Takberwujud'!$Z160,IF('Aset Takberwujud'!$S160="Unit Produksi",99999,'Aset Takberwujud'!$Y160+'Aset Takberwujud'!$T160*12-1))),'Aset Takberwujud'!$AQ160/'Aset Takberwujud'!$AG160,0)))</f>
        <v/>
      </c>
      <c r="O365" s="22" t="str">
        <f>IF($B365="","",IF(N('Aset Takberwujud'!$AG160)=0,0,IF(AND((YEAR(O$211)*12+MONTH(O$211))&gt;='Aset Takberwujud'!$Y160,(YEAR(O$211)*12+MONTH(O$211))&lt;=MIN('Aset Takberwujud'!$Z160,IF('Aset Takberwujud'!$S160="Unit Produksi",99999,'Aset Takberwujud'!$Y160+'Aset Takberwujud'!$T160*12-1))),'Aset Takberwujud'!$AQ160/'Aset Takberwujud'!$AG160,0)))</f>
        <v/>
      </c>
      <c r="P365" s="22" t="str">
        <f>IF($B365="","",IF(N('Aset Takberwujud'!$AG160)=0,0,IF(AND((YEAR(P$211)*12+MONTH(P$211))&gt;='Aset Takberwujud'!$Y160,(YEAR(P$211)*12+MONTH(P$211))&lt;=MIN('Aset Takberwujud'!$Z160,IF('Aset Takberwujud'!$S160="Unit Produksi",99999,'Aset Takberwujud'!$Y160+'Aset Takberwujud'!$T160*12-1))),'Aset Takberwujud'!$AQ160/'Aset Takberwujud'!$AG160,0)))</f>
        <v/>
      </c>
      <c r="Q365" s="22" t="str">
        <f>IF($B365="","",SUM(E365:P365))</f>
        <v/>
      </c>
      <c r="R365" s="22" t="str">
        <f>IF($B365="","",'Aset Takberwujud'!AQ160)</f>
        <v/>
      </c>
      <c r="S365" s="22" t="str">
        <f>IF($B365="","",ROUND(Q365-R365,0))</f>
        <v/>
      </c>
    </row>
    <row r="366" spans="1:19" x14ac:dyDescent="0.25">
      <c r="A366" t="str">
        <f>IF('Aset Takberwujud'!$B161="","",'Aset Takberwujud'!A161)</f>
        <v/>
      </c>
      <c r="B366" t="str">
        <f>IF('Aset Takberwujud'!$B161="","",'Aset Takberwujud'!B161)</f>
        <v/>
      </c>
      <c r="C366" t="str">
        <f>IF('Aset Takberwujud'!$B161="","",'Aset Takberwujud'!C161)</f>
        <v/>
      </c>
      <c r="D366" t="str">
        <f>IF('Aset Takberwujud'!$B161="","",'Aset Takberwujud'!D161)</f>
        <v/>
      </c>
      <c r="E366" s="22" t="str">
        <f>IF($B366="","",IF(N('Aset Takberwujud'!$AG161)=0,0,IF(AND((YEAR(E$211)*12+MONTH(E$211))&gt;='Aset Takberwujud'!$Y161,(YEAR(E$211)*12+MONTH(E$211))&lt;=MIN('Aset Takberwujud'!$Z161,IF('Aset Takberwujud'!$S161="Unit Produksi",99999,'Aset Takberwujud'!$Y161+'Aset Takberwujud'!$T161*12-1))),'Aset Takberwujud'!$AQ161/'Aset Takberwujud'!$AG161,0)))</f>
        <v/>
      </c>
      <c r="F366" s="22" t="str">
        <f>IF($B366="","",IF(N('Aset Takberwujud'!$AG161)=0,0,IF(AND((YEAR(F$211)*12+MONTH(F$211))&gt;='Aset Takberwujud'!$Y161,(YEAR(F$211)*12+MONTH(F$211))&lt;=MIN('Aset Takberwujud'!$Z161,IF('Aset Takberwujud'!$S161="Unit Produksi",99999,'Aset Takberwujud'!$Y161+'Aset Takberwujud'!$T161*12-1))),'Aset Takberwujud'!$AQ161/'Aset Takberwujud'!$AG161,0)))</f>
        <v/>
      </c>
      <c r="G366" s="22" t="str">
        <f>IF($B366="","",IF(N('Aset Takberwujud'!$AG161)=0,0,IF(AND((YEAR(G$211)*12+MONTH(G$211))&gt;='Aset Takberwujud'!$Y161,(YEAR(G$211)*12+MONTH(G$211))&lt;=MIN('Aset Takberwujud'!$Z161,IF('Aset Takberwujud'!$S161="Unit Produksi",99999,'Aset Takberwujud'!$Y161+'Aset Takberwujud'!$T161*12-1))),'Aset Takberwujud'!$AQ161/'Aset Takberwujud'!$AG161,0)))</f>
        <v/>
      </c>
      <c r="H366" s="22" t="str">
        <f>IF($B366="","",IF(N('Aset Takberwujud'!$AG161)=0,0,IF(AND((YEAR(H$211)*12+MONTH(H$211))&gt;='Aset Takberwujud'!$Y161,(YEAR(H$211)*12+MONTH(H$211))&lt;=MIN('Aset Takberwujud'!$Z161,IF('Aset Takberwujud'!$S161="Unit Produksi",99999,'Aset Takberwujud'!$Y161+'Aset Takberwujud'!$T161*12-1))),'Aset Takberwujud'!$AQ161/'Aset Takberwujud'!$AG161,0)))</f>
        <v/>
      </c>
      <c r="I366" s="22" t="str">
        <f>IF($B366="","",IF(N('Aset Takberwujud'!$AG161)=0,0,IF(AND((YEAR(I$211)*12+MONTH(I$211))&gt;='Aset Takberwujud'!$Y161,(YEAR(I$211)*12+MONTH(I$211))&lt;=MIN('Aset Takberwujud'!$Z161,IF('Aset Takberwujud'!$S161="Unit Produksi",99999,'Aset Takberwujud'!$Y161+'Aset Takberwujud'!$T161*12-1))),'Aset Takberwujud'!$AQ161/'Aset Takberwujud'!$AG161,0)))</f>
        <v/>
      </c>
      <c r="J366" s="22" t="str">
        <f>IF($B366="","",IF(N('Aset Takberwujud'!$AG161)=0,0,IF(AND((YEAR(J$211)*12+MONTH(J$211))&gt;='Aset Takberwujud'!$Y161,(YEAR(J$211)*12+MONTH(J$211))&lt;=MIN('Aset Takberwujud'!$Z161,IF('Aset Takberwujud'!$S161="Unit Produksi",99999,'Aset Takberwujud'!$Y161+'Aset Takberwujud'!$T161*12-1))),'Aset Takberwujud'!$AQ161/'Aset Takberwujud'!$AG161,0)))</f>
        <v/>
      </c>
      <c r="K366" s="22" t="str">
        <f>IF($B366="","",IF(N('Aset Takberwujud'!$AG161)=0,0,IF(AND((YEAR(K$211)*12+MONTH(K$211))&gt;='Aset Takberwujud'!$Y161,(YEAR(K$211)*12+MONTH(K$211))&lt;=MIN('Aset Takberwujud'!$Z161,IF('Aset Takberwujud'!$S161="Unit Produksi",99999,'Aset Takberwujud'!$Y161+'Aset Takberwujud'!$T161*12-1))),'Aset Takberwujud'!$AQ161/'Aset Takberwujud'!$AG161,0)))</f>
        <v/>
      </c>
      <c r="L366" s="22" t="str">
        <f>IF($B366="","",IF(N('Aset Takberwujud'!$AG161)=0,0,IF(AND((YEAR(L$211)*12+MONTH(L$211))&gt;='Aset Takberwujud'!$Y161,(YEAR(L$211)*12+MONTH(L$211))&lt;=MIN('Aset Takberwujud'!$Z161,IF('Aset Takberwujud'!$S161="Unit Produksi",99999,'Aset Takberwujud'!$Y161+'Aset Takberwujud'!$T161*12-1))),'Aset Takberwujud'!$AQ161/'Aset Takberwujud'!$AG161,0)))</f>
        <v/>
      </c>
      <c r="M366" s="22" t="str">
        <f>IF($B366="","",IF(N('Aset Takberwujud'!$AG161)=0,0,IF(AND((YEAR(M$211)*12+MONTH(M$211))&gt;='Aset Takberwujud'!$Y161,(YEAR(M$211)*12+MONTH(M$211))&lt;=MIN('Aset Takberwujud'!$Z161,IF('Aset Takberwujud'!$S161="Unit Produksi",99999,'Aset Takberwujud'!$Y161+'Aset Takberwujud'!$T161*12-1))),'Aset Takberwujud'!$AQ161/'Aset Takberwujud'!$AG161,0)))</f>
        <v/>
      </c>
      <c r="N366" s="22" t="str">
        <f>IF($B366="","",IF(N('Aset Takberwujud'!$AG161)=0,0,IF(AND((YEAR(N$211)*12+MONTH(N$211))&gt;='Aset Takberwujud'!$Y161,(YEAR(N$211)*12+MONTH(N$211))&lt;=MIN('Aset Takberwujud'!$Z161,IF('Aset Takberwujud'!$S161="Unit Produksi",99999,'Aset Takberwujud'!$Y161+'Aset Takberwujud'!$T161*12-1))),'Aset Takberwujud'!$AQ161/'Aset Takberwujud'!$AG161,0)))</f>
        <v/>
      </c>
      <c r="O366" s="22" t="str">
        <f>IF($B366="","",IF(N('Aset Takberwujud'!$AG161)=0,0,IF(AND((YEAR(O$211)*12+MONTH(O$211))&gt;='Aset Takberwujud'!$Y161,(YEAR(O$211)*12+MONTH(O$211))&lt;=MIN('Aset Takberwujud'!$Z161,IF('Aset Takberwujud'!$S161="Unit Produksi",99999,'Aset Takberwujud'!$Y161+'Aset Takberwujud'!$T161*12-1))),'Aset Takberwujud'!$AQ161/'Aset Takberwujud'!$AG161,0)))</f>
        <v/>
      </c>
      <c r="P366" s="22" t="str">
        <f>IF($B366="","",IF(N('Aset Takberwujud'!$AG161)=0,0,IF(AND((YEAR(P$211)*12+MONTH(P$211))&gt;='Aset Takberwujud'!$Y161,(YEAR(P$211)*12+MONTH(P$211))&lt;=MIN('Aset Takberwujud'!$Z161,IF('Aset Takberwujud'!$S161="Unit Produksi",99999,'Aset Takberwujud'!$Y161+'Aset Takberwujud'!$T161*12-1))),'Aset Takberwujud'!$AQ161/'Aset Takberwujud'!$AG161,0)))</f>
        <v/>
      </c>
      <c r="Q366" s="22" t="str">
        <f>IF($B366="","",SUM(E366:P366))</f>
        <v/>
      </c>
      <c r="R366" s="22" t="str">
        <f>IF($B366="","",'Aset Takberwujud'!AQ161)</f>
        <v/>
      </c>
      <c r="S366" s="22" t="str">
        <f>IF($B366="","",ROUND(Q366-R366,0))</f>
        <v/>
      </c>
    </row>
    <row r="367" spans="1:19" x14ac:dyDescent="0.25">
      <c r="A367" t="str">
        <f>IF('Aset Takberwujud'!$B162="","",'Aset Takberwujud'!A162)</f>
        <v/>
      </c>
      <c r="B367" t="str">
        <f>IF('Aset Takberwujud'!$B162="","",'Aset Takberwujud'!B162)</f>
        <v/>
      </c>
      <c r="C367" t="str">
        <f>IF('Aset Takberwujud'!$B162="","",'Aset Takberwujud'!C162)</f>
        <v/>
      </c>
      <c r="D367" t="str">
        <f>IF('Aset Takberwujud'!$B162="","",'Aset Takberwujud'!D162)</f>
        <v/>
      </c>
      <c r="E367" s="22" t="str">
        <f>IF($B367="","",IF(N('Aset Takberwujud'!$AG162)=0,0,IF(AND((YEAR(E$211)*12+MONTH(E$211))&gt;='Aset Takberwujud'!$Y162,(YEAR(E$211)*12+MONTH(E$211))&lt;=MIN('Aset Takberwujud'!$Z162,IF('Aset Takberwujud'!$S162="Unit Produksi",99999,'Aset Takberwujud'!$Y162+'Aset Takberwujud'!$T162*12-1))),'Aset Takberwujud'!$AQ162/'Aset Takberwujud'!$AG162,0)))</f>
        <v/>
      </c>
      <c r="F367" s="22" t="str">
        <f>IF($B367="","",IF(N('Aset Takberwujud'!$AG162)=0,0,IF(AND((YEAR(F$211)*12+MONTH(F$211))&gt;='Aset Takberwujud'!$Y162,(YEAR(F$211)*12+MONTH(F$211))&lt;=MIN('Aset Takberwujud'!$Z162,IF('Aset Takberwujud'!$S162="Unit Produksi",99999,'Aset Takberwujud'!$Y162+'Aset Takberwujud'!$T162*12-1))),'Aset Takberwujud'!$AQ162/'Aset Takberwujud'!$AG162,0)))</f>
        <v/>
      </c>
      <c r="G367" s="22" t="str">
        <f>IF($B367="","",IF(N('Aset Takberwujud'!$AG162)=0,0,IF(AND((YEAR(G$211)*12+MONTH(G$211))&gt;='Aset Takberwujud'!$Y162,(YEAR(G$211)*12+MONTH(G$211))&lt;=MIN('Aset Takberwujud'!$Z162,IF('Aset Takberwujud'!$S162="Unit Produksi",99999,'Aset Takberwujud'!$Y162+'Aset Takberwujud'!$T162*12-1))),'Aset Takberwujud'!$AQ162/'Aset Takberwujud'!$AG162,0)))</f>
        <v/>
      </c>
      <c r="H367" s="22" t="str">
        <f>IF($B367="","",IF(N('Aset Takberwujud'!$AG162)=0,0,IF(AND((YEAR(H$211)*12+MONTH(H$211))&gt;='Aset Takberwujud'!$Y162,(YEAR(H$211)*12+MONTH(H$211))&lt;=MIN('Aset Takberwujud'!$Z162,IF('Aset Takberwujud'!$S162="Unit Produksi",99999,'Aset Takberwujud'!$Y162+'Aset Takberwujud'!$T162*12-1))),'Aset Takberwujud'!$AQ162/'Aset Takberwujud'!$AG162,0)))</f>
        <v/>
      </c>
      <c r="I367" s="22" t="str">
        <f>IF($B367="","",IF(N('Aset Takberwujud'!$AG162)=0,0,IF(AND((YEAR(I$211)*12+MONTH(I$211))&gt;='Aset Takberwujud'!$Y162,(YEAR(I$211)*12+MONTH(I$211))&lt;=MIN('Aset Takberwujud'!$Z162,IF('Aset Takberwujud'!$S162="Unit Produksi",99999,'Aset Takberwujud'!$Y162+'Aset Takberwujud'!$T162*12-1))),'Aset Takberwujud'!$AQ162/'Aset Takberwujud'!$AG162,0)))</f>
        <v/>
      </c>
      <c r="J367" s="22" t="str">
        <f>IF($B367="","",IF(N('Aset Takberwujud'!$AG162)=0,0,IF(AND((YEAR(J$211)*12+MONTH(J$211))&gt;='Aset Takberwujud'!$Y162,(YEAR(J$211)*12+MONTH(J$211))&lt;=MIN('Aset Takberwujud'!$Z162,IF('Aset Takberwujud'!$S162="Unit Produksi",99999,'Aset Takberwujud'!$Y162+'Aset Takberwujud'!$T162*12-1))),'Aset Takberwujud'!$AQ162/'Aset Takberwujud'!$AG162,0)))</f>
        <v/>
      </c>
      <c r="K367" s="22" t="str">
        <f>IF($B367="","",IF(N('Aset Takberwujud'!$AG162)=0,0,IF(AND((YEAR(K$211)*12+MONTH(K$211))&gt;='Aset Takberwujud'!$Y162,(YEAR(K$211)*12+MONTH(K$211))&lt;=MIN('Aset Takberwujud'!$Z162,IF('Aset Takberwujud'!$S162="Unit Produksi",99999,'Aset Takberwujud'!$Y162+'Aset Takberwujud'!$T162*12-1))),'Aset Takberwujud'!$AQ162/'Aset Takberwujud'!$AG162,0)))</f>
        <v/>
      </c>
      <c r="L367" s="22" t="str">
        <f>IF($B367="","",IF(N('Aset Takberwujud'!$AG162)=0,0,IF(AND((YEAR(L$211)*12+MONTH(L$211))&gt;='Aset Takberwujud'!$Y162,(YEAR(L$211)*12+MONTH(L$211))&lt;=MIN('Aset Takberwujud'!$Z162,IF('Aset Takberwujud'!$S162="Unit Produksi",99999,'Aset Takberwujud'!$Y162+'Aset Takberwujud'!$T162*12-1))),'Aset Takberwujud'!$AQ162/'Aset Takberwujud'!$AG162,0)))</f>
        <v/>
      </c>
      <c r="M367" s="22" t="str">
        <f>IF($B367="","",IF(N('Aset Takberwujud'!$AG162)=0,0,IF(AND((YEAR(M$211)*12+MONTH(M$211))&gt;='Aset Takberwujud'!$Y162,(YEAR(M$211)*12+MONTH(M$211))&lt;=MIN('Aset Takberwujud'!$Z162,IF('Aset Takberwujud'!$S162="Unit Produksi",99999,'Aset Takberwujud'!$Y162+'Aset Takberwujud'!$T162*12-1))),'Aset Takberwujud'!$AQ162/'Aset Takberwujud'!$AG162,0)))</f>
        <v/>
      </c>
      <c r="N367" s="22" t="str">
        <f>IF($B367="","",IF(N('Aset Takberwujud'!$AG162)=0,0,IF(AND((YEAR(N$211)*12+MONTH(N$211))&gt;='Aset Takberwujud'!$Y162,(YEAR(N$211)*12+MONTH(N$211))&lt;=MIN('Aset Takberwujud'!$Z162,IF('Aset Takberwujud'!$S162="Unit Produksi",99999,'Aset Takberwujud'!$Y162+'Aset Takberwujud'!$T162*12-1))),'Aset Takberwujud'!$AQ162/'Aset Takberwujud'!$AG162,0)))</f>
        <v/>
      </c>
      <c r="O367" s="22" t="str">
        <f>IF($B367="","",IF(N('Aset Takberwujud'!$AG162)=0,0,IF(AND((YEAR(O$211)*12+MONTH(O$211))&gt;='Aset Takberwujud'!$Y162,(YEAR(O$211)*12+MONTH(O$211))&lt;=MIN('Aset Takberwujud'!$Z162,IF('Aset Takberwujud'!$S162="Unit Produksi",99999,'Aset Takberwujud'!$Y162+'Aset Takberwujud'!$T162*12-1))),'Aset Takberwujud'!$AQ162/'Aset Takberwujud'!$AG162,0)))</f>
        <v/>
      </c>
      <c r="P367" s="22" t="str">
        <f>IF($B367="","",IF(N('Aset Takberwujud'!$AG162)=0,0,IF(AND((YEAR(P$211)*12+MONTH(P$211))&gt;='Aset Takberwujud'!$Y162,(YEAR(P$211)*12+MONTH(P$211))&lt;=MIN('Aset Takberwujud'!$Z162,IF('Aset Takberwujud'!$S162="Unit Produksi",99999,'Aset Takberwujud'!$Y162+'Aset Takberwujud'!$T162*12-1))),'Aset Takberwujud'!$AQ162/'Aset Takberwujud'!$AG162,0)))</f>
        <v/>
      </c>
      <c r="Q367" s="22" t="str">
        <f>IF($B367="","",SUM(E367:P367))</f>
        <v/>
      </c>
      <c r="R367" s="22" t="str">
        <f>IF($B367="","",'Aset Takberwujud'!AQ162)</f>
        <v/>
      </c>
      <c r="S367" s="22" t="str">
        <f>IF($B367="","",ROUND(Q367-R367,0))</f>
        <v/>
      </c>
    </row>
    <row r="368" spans="1:19" x14ac:dyDescent="0.25">
      <c r="A368" t="str">
        <f>IF('Aset Takberwujud'!$B163="","",'Aset Takberwujud'!A163)</f>
        <v/>
      </c>
      <c r="B368" t="str">
        <f>IF('Aset Takberwujud'!$B163="","",'Aset Takberwujud'!B163)</f>
        <v/>
      </c>
      <c r="C368" t="str">
        <f>IF('Aset Takberwujud'!$B163="","",'Aset Takberwujud'!C163)</f>
        <v/>
      </c>
      <c r="D368" t="str">
        <f>IF('Aset Takberwujud'!$B163="","",'Aset Takberwujud'!D163)</f>
        <v/>
      </c>
      <c r="E368" s="22" t="str">
        <f>IF($B368="","",IF(N('Aset Takberwujud'!$AG163)=0,0,IF(AND((YEAR(E$211)*12+MONTH(E$211))&gt;='Aset Takberwujud'!$Y163,(YEAR(E$211)*12+MONTH(E$211))&lt;=MIN('Aset Takberwujud'!$Z163,IF('Aset Takberwujud'!$S163="Unit Produksi",99999,'Aset Takberwujud'!$Y163+'Aset Takberwujud'!$T163*12-1))),'Aset Takberwujud'!$AQ163/'Aset Takberwujud'!$AG163,0)))</f>
        <v/>
      </c>
      <c r="F368" s="22" t="str">
        <f>IF($B368="","",IF(N('Aset Takberwujud'!$AG163)=0,0,IF(AND((YEAR(F$211)*12+MONTH(F$211))&gt;='Aset Takberwujud'!$Y163,(YEAR(F$211)*12+MONTH(F$211))&lt;=MIN('Aset Takberwujud'!$Z163,IF('Aset Takberwujud'!$S163="Unit Produksi",99999,'Aset Takberwujud'!$Y163+'Aset Takberwujud'!$T163*12-1))),'Aset Takberwujud'!$AQ163/'Aset Takberwujud'!$AG163,0)))</f>
        <v/>
      </c>
      <c r="G368" s="22" t="str">
        <f>IF($B368="","",IF(N('Aset Takberwujud'!$AG163)=0,0,IF(AND((YEAR(G$211)*12+MONTH(G$211))&gt;='Aset Takberwujud'!$Y163,(YEAR(G$211)*12+MONTH(G$211))&lt;=MIN('Aset Takberwujud'!$Z163,IF('Aset Takberwujud'!$S163="Unit Produksi",99999,'Aset Takberwujud'!$Y163+'Aset Takberwujud'!$T163*12-1))),'Aset Takberwujud'!$AQ163/'Aset Takberwujud'!$AG163,0)))</f>
        <v/>
      </c>
      <c r="H368" s="22" t="str">
        <f>IF($B368="","",IF(N('Aset Takberwujud'!$AG163)=0,0,IF(AND((YEAR(H$211)*12+MONTH(H$211))&gt;='Aset Takberwujud'!$Y163,(YEAR(H$211)*12+MONTH(H$211))&lt;=MIN('Aset Takberwujud'!$Z163,IF('Aset Takberwujud'!$S163="Unit Produksi",99999,'Aset Takberwujud'!$Y163+'Aset Takberwujud'!$T163*12-1))),'Aset Takberwujud'!$AQ163/'Aset Takberwujud'!$AG163,0)))</f>
        <v/>
      </c>
      <c r="I368" s="22" t="str">
        <f>IF($B368="","",IF(N('Aset Takberwujud'!$AG163)=0,0,IF(AND((YEAR(I$211)*12+MONTH(I$211))&gt;='Aset Takberwujud'!$Y163,(YEAR(I$211)*12+MONTH(I$211))&lt;=MIN('Aset Takberwujud'!$Z163,IF('Aset Takberwujud'!$S163="Unit Produksi",99999,'Aset Takberwujud'!$Y163+'Aset Takberwujud'!$T163*12-1))),'Aset Takberwujud'!$AQ163/'Aset Takberwujud'!$AG163,0)))</f>
        <v/>
      </c>
      <c r="J368" s="22" t="str">
        <f>IF($B368="","",IF(N('Aset Takberwujud'!$AG163)=0,0,IF(AND((YEAR(J$211)*12+MONTH(J$211))&gt;='Aset Takberwujud'!$Y163,(YEAR(J$211)*12+MONTH(J$211))&lt;=MIN('Aset Takberwujud'!$Z163,IF('Aset Takberwujud'!$S163="Unit Produksi",99999,'Aset Takberwujud'!$Y163+'Aset Takberwujud'!$T163*12-1))),'Aset Takberwujud'!$AQ163/'Aset Takberwujud'!$AG163,0)))</f>
        <v/>
      </c>
      <c r="K368" s="22" t="str">
        <f>IF($B368="","",IF(N('Aset Takberwujud'!$AG163)=0,0,IF(AND((YEAR(K$211)*12+MONTH(K$211))&gt;='Aset Takberwujud'!$Y163,(YEAR(K$211)*12+MONTH(K$211))&lt;=MIN('Aset Takberwujud'!$Z163,IF('Aset Takberwujud'!$S163="Unit Produksi",99999,'Aset Takberwujud'!$Y163+'Aset Takberwujud'!$T163*12-1))),'Aset Takberwujud'!$AQ163/'Aset Takberwujud'!$AG163,0)))</f>
        <v/>
      </c>
      <c r="L368" s="22" t="str">
        <f>IF($B368="","",IF(N('Aset Takberwujud'!$AG163)=0,0,IF(AND((YEAR(L$211)*12+MONTH(L$211))&gt;='Aset Takberwujud'!$Y163,(YEAR(L$211)*12+MONTH(L$211))&lt;=MIN('Aset Takberwujud'!$Z163,IF('Aset Takberwujud'!$S163="Unit Produksi",99999,'Aset Takberwujud'!$Y163+'Aset Takberwujud'!$T163*12-1))),'Aset Takberwujud'!$AQ163/'Aset Takberwujud'!$AG163,0)))</f>
        <v/>
      </c>
      <c r="M368" s="22" t="str">
        <f>IF($B368="","",IF(N('Aset Takberwujud'!$AG163)=0,0,IF(AND((YEAR(M$211)*12+MONTH(M$211))&gt;='Aset Takberwujud'!$Y163,(YEAR(M$211)*12+MONTH(M$211))&lt;=MIN('Aset Takberwujud'!$Z163,IF('Aset Takberwujud'!$S163="Unit Produksi",99999,'Aset Takberwujud'!$Y163+'Aset Takberwujud'!$T163*12-1))),'Aset Takberwujud'!$AQ163/'Aset Takberwujud'!$AG163,0)))</f>
        <v/>
      </c>
      <c r="N368" s="22" t="str">
        <f>IF($B368="","",IF(N('Aset Takberwujud'!$AG163)=0,0,IF(AND((YEAR(N$211)*12+MONTH(N$211))&gt;='Aset Takberwujud'!$Y163,(YEAR(N$211)*12+MONTH(N$211))&lt;=MIN('Aset Takberwujud'!$Z163,IF('Aset Takberwujud'!$S163="Unit Produksi",99999,'Aset Takberwujud'!$Y163+'Aset Takberwujud'!$T163*12-1))),'Aset Takberwujud'!$AQ163/'Aset Takberwujud'!$AG163,0)))</f>
        <v/>
      </c>
      <c r="O368" s="22" t="str">
        <f>IF($B368="","",IF(N('Aset Takberwujud'!$AG163)=0,0,IF(AND((YEAR(O$211)*12+MONTH(O$211))&gt;='Aset Takberwujud'!$Y163,(YEAR(O$211)*12+MONTH(O$211))&lt;=MIN('Aset Takberwujud'!$Z163,IF('Aset Takberwujud'!$S163="Unit Produksi",99999,'Aset Takberwujud'!$Y163+'Aset Takberwujud'!$T163*12-1))),'Aset Takberwujud'!$AQ163/'Aset Takberwujud'!$AG163,0)))</f>
        <v/>
      </c>
      <c r="P368" s="22" t="str">
        <f>IF($B368="","",IF(N('Aset Takberwujud'!$AG163)=0,0,IF(AND((YEAR(P$211)*12+MONTH(P$211))&gt;='Aset Takberwujud'!$Y163,(YEAR(P$211)*12+MONTH(P$211))&lt;=MIN('Aset Takberwujud'!$Z163,IF('Aset Takberwujud'!$S163="Unit Produksi",99999,'Aset Takberwujud'!$Y163+'Aset Takberwujud'!$T163*12-1))),'Aset Takberwujud'!$AQ163/'Aset Takberwujud'!$AG163,0)))</f>
        <v/>
      </c>
      <c r="Q368" s="22" t="str">
        <f>IF($B368="","",SUM(E368:P368))</f>
        <v/>
      </c>
      <c r="R368" s="22" t="str">
        <f>IF($B368="","",'Aset Takberwujud'!AQ163)</f>
        <v/>
      </c>
      <c r="S368" s="22" t="str">
        <f>IF($B368="","",ROUND(Q368-R368,0))</f>
        <v/>
      </c>
    </row>
    <row r="369" spans="1:19" x14ac:dyDescent="0.25">
      <c r="A369" t="str">
        <f>IF('Aset Takberwujud'!$B164="","",'Aset Takberwujud'!A164)</f>
        <v/>
      </c>
      <c r="B369" t="str">
        <f>IF('Aset Takberwujud'!$B164="","",'Aset Takberwujud'!B164)</f>
        <v/>
      </c>
      <c r="C369" t="str">
        <f>IF('Aset Takberwujud'!$B164="","",'Aset Takberwujud'!C164)</f>
        <v/>
      </c>
      <c r="D369" t="str">
        <f>IF('Aset Takberwujud'!$B164="","",'Aset Takberwujud'!D164)</f>
        <v/>
      </c>
      <c r="E369" s="22" t="str">
        <f>IF($B369="","",IF(N('Aset Takberwujud'!$AG164)=0,0,IF(AND((YEAR(E$211)*12+MONTH(E$211))&gt;='Aset Takberwujud'!$Y164,(YEAR(E$211)*12+MONTH(E$211))&lt;=MIN('Aset Takberwujud'!$Z164,IF('Aset Takberwujud'!$S164="Unit Produksi",99999,'Aset Takberwujud'!$Y164+'Aset Takberwujud'!$T164*12-1))),'Aset Takberwujud'!$AQ164/'Aset Takberwujud'!$AG164,0)))</f>
        <v/>
      </c>
      <c r="F369" s="22" t="str">
        <f>IF($B369="","",IF(N('Aset Takberwujud'!$AG164)=0,0,IF(AND((YEAR(F$211)*12+MONTH(F$211))&gt;='Aset Takberwujud'!$Y164,(YEAR(F$211)*12+MONTH(F$211))&lt;=MIN('Aset Takberwujud'!$Z164,IF('Aset Takberwujud'!$S164="Unit Produksi",99999,'Aset Takberwujud'!$Y164+'Aset Takberwujud'!$T164*12-1))),'Aset Takberwujud'!$AQ164/'Aset Takberwujud'!$AG164,0)))</f>
        <v/>
      </c>
      <c r="G369" s="22" t="str">
        <f>IF($B369="","",IF(N('Aset Takberwujud'!$AG164)=0,0,IF(AND((YEAR(G$211)*12+MONTH(G$211))&gt;='Aset Takberwujud'!$Y164,(YEAR(G$211)*12+MONTH(G$211))&lt;=MIN('Aset Takberwujud'!$Z164,IF('Aset Takberwujud'!$S164="Unit Produksi",99999,'Aset Takberwujud'!$Y164+'Aset Takberwujud'!$T164*12-1))),'Aset Takberwujud'!$AQ164/'Aset Takberwujud'!$AG164,0)))</f>
        <v/>
      </c>
      <c r="H369" s="22" t="str">
        <f>IF($B369="","",IF(N('Aset Takberwujud'!$AG164)=0,0,IF(AND((YEAR(H$211)*12+MONTH(H$211))&gt;='Aset Takberwujud'!$Y164,(YEAR(H$211)*12+MONTH(H$211))&lt;=MIN('Aset Takberwujud'!$Z164,IF('Aset Takberwujud'!$S164="Unit Produksi",99999,'Aset Takberwujud'!$Y164+'Aset Takberwujud'!$T164*12-1))),'Aset Takberwujud'!$AQ164/'Aset Takberwujud'!$AG164,0)))</f>
        <v/>
      </c>
      <c r="I369" s="22" t="str">
        <f>IF($B369="","",IF(N('Aset Takberwujud'!$AG164)=0,0,IF(AND((YEAR(I$211)*12+MONTH(I$211))&gt;='Aset Takberwujud'!$Y164,(YEAR(I$211)*12+MONTH(I$211))&lt;=MIN('Aset Takberwujud'!$Z164,IF('Aset Takberwujud'!$S164="Unit Produksi",99999,'Aset Takberwujud'!$Y164+'Aset Takberwujud'!$T164*12-1))),'Aset Takberwujud'!$AQ164/'Aset Takberwujud'!$AG164,0)))</f>
        <v/>
      </c>
      <c r="J369" s="22" t="str">
        <f>IF($B369="","",IF(N('Aset Takberwujud'!$AG164)=0,0,IF(AND((YEAR(J$211)*12+MONTH(J$211))&gt;='Aset Takberwujud'!$Y164,(YEAR(J$211)*12+MONTH(J$211))&lt;=MIN('Aset Takberwujud'!$Z164,IF('Aset Takberwujud'!$S164="Unit Produksi",99999,'Aset Takberwujud'!$Y164+'Aset Takberwujud'!$T164*12-1))),'Aset Takberwujud'!$AQ164/'Aset Takberwujud'!$AG164,0)))</f>
        <v/>
      </c>
      <c r="K369" s="22" t="str">
        <f>IF($B369="","",IF(N('Aset Takberwujud'!$AG164)=0,0,IF(AND((YEAR(K$211)*12+MONTH(K$211))&gt;='Aset Takberwujud'!$Y164,(YEAR(K$211)*12+MONTH(K$211))&lt;=MIN('Aset Takberwujud'!$Z164,IF('Aset Takberwujud'!$S164="Unit Produksi",99999,'Aset Takberwujud'!$Y164+'Aset Takberwujud'!$T164*12-1))),'Aset Takberwujud'!$AQ164/'Aset Takberwujud'!$AG164,0)))</f>
        <v/>
      </c>
      <c r="L369" s="22" t="str">
        <f>IF($B369="","",IF(N('Aset Takberwujud'!$AG164)=0,0,IF(AND((YEAR(L$211)*12+MONTH(L$211))&gt;='Aset Takberwujud'!$Y164,(YEAR(L$211)*12+MONTH(L$211))&lt;=MIN('Aset Takberwujud'!$Z164,IF('Aset Takberwujud'!$S164="Unit Produksi",99999,'Aset Takberwujud'!$Y164+'Aset Takberwujud'!$T164*12-1))),'Aset Takberwujud'!$AQ164/'Aset Takberwujud'!$AG164,0)))</f>
        <v/>
      </c>
      <c r="M369" s="22" t="str">
        <f>IF($B369="","",IF(N('Aset Takberwujud'!$AG164)=0,0,IF(AND((YEAR(M$211)*12+MONTH(M$211))&gt;='Aset Takberwujud'!$Y164,(YEAR(M$211)*12+MONTH(M$211))&lt;=MIN('Aset Takberwujud'!$Z164,IF('Aset Takberwujud'!$S164="Unit Produksi",99999,'Aset Takberwujud'!$Y164+'Aset Takberwujud'!$T164*12-1))),'Aset Takberwujud'!$AQ164/'Aset Takberwujud'!$AG164,0)))</f>
        <v/>
      </c>
      <c r="N369" s="22" t="str">
        <f>IF($B369="","",IF(N('Aset Takberwujud'!$AG164)=0,0,IF(AND((YEAR(N$211)*12+MONTH(N$211))&gt;='Aset Takberwujud'!$Y164,(YEAR(N$211)*12+MONTH(N$211))&lt;=MIN('Aset Takberwujud'!$Z164,IF('Aset Takberwujud'!$S164="Unit Produksi",99999,'Aset Takberwujud'!$Y164+'Aset Takberwujud'!$T164*12-1))),'Aset Takberwujud'!$AQ164/'Aset Takberwujud'!$AG164,0)))</f>
        <v/>
      </c>
      <c r="O369" s="22" t="str">
        <f>IF($B369="","",IF(N('Aset Takberwujud'!$AG164)=0,0,IF(AND((YEAR(O$211)*12+MONTH(O$211))&gt;='Aset Takberwujud'!$Y164,(YEAR(O$211)*12+MONTH(O$211))&lt;=MIN('Aset Takberwujud'!$Z164,IF('Aset Takberwujud'!$S164="Unit Produksi",99999,'Aset Takberwujud'!$Y164+'Aset Takberwujud'!$T164*12-1))),'Aset Takberwujud'!$AQ164/'Aset Takberwujud'!$AG164,0)))</f>
        <v/>
      </c>
      <c r="P369" s="22" t="str">
        <f>IF($B369="","",IF(N('Aset Takberwujud'!$AG164)=0,0,IF(AND((YEAR(P$211)*12+MONTH(P$211))&gt;='Aset Takberwujud'!$Y164,(YEAR(P$211)*12+MONTH(P$211))&lt;=MIN('Aset Takberwujud'!$Z164,IF('Aset Takberwujud'!$S164="Unit Produksi",99999,'Aset Takberwujud'!$Y164+'Aset Takberwujud'!$T164*12-1))),'Aset Takberwujud'!$AQ164/'Aset Takberwujud'!$AG164,0)))</f>
        <v/>
      </c>
      <c r="Q369" s="22" t="str">
        <f>IF($B369="","",SUM(E369:P369))</f>
        <v/>
      </c>
      <c r="R369" s="22" t="str">
        <f>IF($B369="","",'Aset Takberwujud'!AQ164)</f>
        <v/>
      </c>
      <c r="S369" s="22" t="str">
        <f>IF($B369="","",ROUND(Q369-R369,0))</f>
        <v/>
      </c>
    </row>
    <row r="370" spans="1:19" x14ac:dyDescent="0.25">
      <c r="A370" t="str">
        <f>IF('Aset Takberwujud'!$B165="","",'Aset Takberwujud'!A165)</f>
        <v/>
      </c>
      <c r="B370" t="str">
        <f>IF('Aset Takberwujud'!$B165="","",'Aset Takberwujud'!B165)</f>
        <v/>
      </c>
      <c r="C370" t="str">
        <f>IF('Aset Takberwujud'!$B165="","",'Aset Takberwujud'!C165)</f>
        <v/>
      </c>
      <c r="D370" t="str">
        <f>IF('Aset Takberwujud'!$B165="","",'Aset Takberwujud'!D165)</f>
        <v/>
      </c>
      <c r="E370" s="22" t="str">
        <f>IF($B370="","",IF(N('Aset Takberwujud'!$AG165)=0,0,IF(AND((YEAR(E$211)*12+MONTH(E$211))&gt;='Aset Takberwujud'!$Y165,(YEAR(E$211)*12+MONTH(E$211))&lt;=MIN('Aset Takberwujud'!$Z165,IF('Aset Takberwujud'!$S165="Unit Produksi",99999,'Aset Takberwujud'!$Y165+'Aset Takberwujud'!$T165*12-1))),'Aset Takberwujud'!$AQ165/'Aset Takberwujud'!$AG165,0)))</f>
        <v/>
      </c>
      <c r="F370" s="22" t="str">
        <f>IF($B370="","",IF(N('Aset Takberwujud'!$AG165)=0,0,IF(AND((YEAR(F$211)*12+MONTH(F$211))&gt;='Aset Takberwujud'!$Y165,(YEAR(F$211)*12+MONTH(F$211))&lt;=MIN('Aset Takberwujud'!$Z165,IF('Aset Takberwujud'!$S165="Unit Produksi",99999,'Aset Takberwujud'!$Y165+'Aset Takberwujud'!$T165*12-1))),'Aset Takberwujud'!$AQ165/'Aset Takberwujud'!$AG165,0)))</f>
        <v/>
      </c>
      <c r="G370" s="22" t="str">
        <f>IF($B370="","",IF(N('Aset Takberwujud'!$AG165)=0,0,IF(AND((YEAR(G$211)*12+MONTH(G$211))&gt;='Aset Takberwujud'!$Y165,(YEAR(G$211)*12+MONTH(G$211))&lt;=MIN('Aset Takberwujud'!$Z165,IF('Aset Takberwujud'!$S165="Unit Produksi",99999,'Aset Takberwujud'!$Y165+'Aset Takberwujud'!$T165*12-1))),'Aset Takberwujud'!$AQ165/'Aset Takberwujud'!$AG165,0)))</f>
        <v/>
      </c>
      <c r="H370" s="22" t="str">
        <f>IF($B370="","",IF(N('Aset Takberwujud'!$AG165)=0,0,IF(AND((YEAR(H$211)*12+MONTH(H$211))&gt;='Aset Takberwujud'!$Y165,(YEAR(H$211)*12+MONTH(H$211))&lt;=MIN('Aset Takberwujud'!$Z165,IF('Aset Takberwujud'!$S165="Unit Produksi",99999,'Aset Takberwujud'!$Y165+'Aset Takberwujud'!$T165*12-1))),'Aset Takberwujud'!$AQ165/'Aset Takberwujud'!$AG165,0)))</f>
        <v/>
      </c>
      <c r="I370" s="22" t="str">
        <f>IF($B370="","",IF(N('Aset Takberwujud'!$AG165)=0,0,IF(AND((YEAR(I$211)*12+MONTH(I$211))&gt;='Aset Takberwujud'!$Y165,(YEAR(I$211)*12+MONTH(I$211))&lt;=MIN('Aset Takberwujud'!$Z165,IF('Aset Takberwujud'!$S165="Unit Produksi",99999,'Aset Takberwujud'!$Y165+'Aset Takberwujud'!$T165*12-1))),'Aset Takberwujud'!$AQ165/'Aset Takberwujud'!$AG165,0)))</f>
        <v/>
      </c>
      <c r="J370" s="22" t="str">
        <f>IF($B370="","",IF(N('Aset Takberwujud'!$AG165)=0,0,IF(AND((YEAR(J$211)*12+MONTH(J$211))&gt;='Aset Takberwujud'!$Y165,(YEAR(J$211)*12+MONTH(J$211))&lt;=MIN('Aset Takberwujud'!$Z165,IF('Aset Takberwujud'!$S165="Unit Produksi",99999,'Aset Takberwujud'!$Y165+'Aset Takberwujud'!$T165*12-1))),'Aset Takberwujud'!$AQ165/'Aset Takberwujud'!$AG165,0)))</f>
        <v/>
      </c>
      <c r="K370" s="22" t="str">
        <f>IF($B370="","",IF(N('Aset Takberwujud'!$AG165)=0,0,IF(AND((YEAR(K$211)*12+MONTH(K$211))&gt;='Aset Takberwujud'!$Y165,(YEAR(K$211)*12+MONTH(K$211))&lt;=MIN('Aset Takberwujud'!$Z165,IF('Aset Takberwujud'!$S165="Unit Produksi",99999,'Aset Takberwujud'!$Y165+'Aset Takberwujud'!$T165*12-1))),'Aset Takberwujud'!$AQ165/'Aset Takberwujud'!$AG165,0)))</f>
        <v/>
      </c>
      <c r="L370" s="22" t="str">
        <f>IF($B370="","",IF(N('Aset Takberwujud'!$AG165)=0,0,IF(AND((YEAR(L$211)*12+MONTH(L$211))&gt;='Aset Takberwujud'!$Y165,(YEAR(L$211)*12+MONTH(L$211))&lt;=MIN('Aset Takberwujud'!$Z165,IF('Aset Takberwujud'!$S165="Unit Produksi",99999,'Aset Takberwujud'!$Y165+'Aset Takberwujud'!$T165*12-1))),'Aset Takberwujud'!$AQ165/'Aset Takberwujud'!$AG165,0)))</f>
        <v/>
      </c>
      <c r="M370" s="22" t="str">
        <f>IF($B370="","",IF(N('Aset Takberwujud'!$AG165)=0,0,IF(AND((YEAR(M$211)*12+MONTH(M$211))&gt;='Aset Takberwujud'!$Y165,(YEAR(M$211)*12+MONTH(M$211))&lt;=MIN('Aset Takberwujud'!$Z165,IF('Aset Takberwujud'!$S165="Unit Produksi",99999,'Aset Takberwujud'!$Y165+'Aset Takberwujud'!$T165*12-1))),'Aset Takberwujud'!$AQ165/'Aset Takberwujud'!$AG165,0)))</f>
        <v/>
      </c>
      <c r="N370" s="22" t="str">
        <f>IF($B370="","",IF(N('Aset Takberwujud'!$AG165)=0,0,IF(AND((YEAR(N$211)*12+MONTH(N$211))&gt;='Aset Takberwujud'!$Y165,(YEAR(N$211)*12+MONTH(N$211))&lt;=MIN('Aset Takberwujud'!$Z165,IF('Aset Takberwujud'!$S165="Unit Produksi",99999,'Aset Takberwujud'!$Y165+'Aset Takberwujud'!$T165*12-1))),'Aset Takberwujud'!$AQ165/'Aset Takberwujud'!$AG165,0)))</f>
        <v/>
      </c>
      <c r="O370" s="22" t="str">
        <f>IF($B370="","",IF(N('Aset Takberwujud'!$AG165)=0,0,IF(AND((YEAR(O$211)*12+MONTH(O$211))&gt;='Aset Takberwujud'!$Y165,(YEAR(O$211)*12+MONTH(O$211))&lt;=MIN('Aset Takberwujud'!$Z165,IF('Aset Takberwujud'!$S165="Unit Produksi",99999,'Aset Takberwujud'!$Y165+'Aset Takberwujud'!$T165*12-1))),'Aset Takberwujud'!$AQ165/'Aset Takberwujud'!$AG165,0)))</f>
        <v/>
      </c>
      <c r="P370" s="22" t="str">
        <f>IF($B370="","",IF(N('Aset Takberwujud'!$AG165)=0,0,IF(AND((YEAR(P$211)*12+MONTH(P$211))&gt;='Aset Takberwujud'!$Y165,(YEAR(P$211)*12+MONTH(P$211))&lt;=MIN('Aset Takberwujud'!$Z165,IF('Aset Takberwujud'!$S165="Unit Produksi",99999,'Aset Takberwujud'!$Y165+'Aset Takberwujud'!$T165*12-1))),'Aset Takberwujud'!$AQ165/'Aset Takberwujud'!$AG165,0)))</f>
        <v/>
      </c>
      <c r="Q370" s="22" t="str">
        <f>IF($B370="","",SUM(E370:P370))</f>
        <v/>
      </c>
      <c r="R370" s="22" t="str">
        <f>IF($B370="","",'Aset Takberwujud'!AQ165)</f>
        <v/>
      </c>
      <c r="S370" s="22" t="str">
        <f>IF($B370="","",ROUND(Q370-R370,0))</f>
        <v/>
      </c>
    </row>
    <row r="371" spans="1:19" x14ac:dyDescent="0.25">
      <c r="A371" t="str">
        <f>IF('Aset Takberwujud'!$B166="","",'Aset Takberwujud'!A166)</f>
        <v/>
      </c>
      <c r="B371" t="str">
        <f>IF('Aset Takberwujud'!$B166="","",'Aset Takberwujud'!B166)</f>
        <v/>
      </c>
      <c r="C371" t="str">
        <f>IF('Aset Takberwujud'!$B166="","",'Aset Takberwujud'!C166)</f>
        <v/>
      </c>
      <c r="D371" t="str">
        <f>IF('Aset Takberwujud'!$B166="","",'Aset Takberwujud'!D166)</f>
        <v/>
      </c>
      <c r="E371" s="22" t="str">
        <f>IF($B371="","",IF(N('Aset Takberwujud'!$AG166)=0,0,IF(AND((YEAR(E$211)*12+MONTH(E$211))&gt;='Aset Takberwujud'!$Y166,(YEAR(E$211)*12+MONTH(E$211))&lt;=MIN('Aset Takberwujud'!$Z166,IF('Aset Takberwujud'!$S166="Unit Produksi",99999,'Aset Takberwujud'!$Y166+'Aset Takberwujud'!$T166*12-1))),'Aset Takberwujud'!$AQ166/'Aset Takberwujud'!$AG166,0)))</f>
        <v/>
      </c>
      <c r="F371" s="22" t="str">
        <f>IF($B371="","",IF(N('Aset Takberwujud'!$AG166)=0,0,IF(AND((YEAR(F$211)*12+MONTH(F$211))&gt;='Aset Takberwujud'!$Y166,(YEAR(F$211)*12+MONTH(F$211))&lt;=MIN('Aset Takberwujud'!$Z166,IF('Aset Takberwujud'!$S166="Unit Produksi",99999,'Aset Takberwujud'!$Y166+'Aset Takberwujud'!$T166*12-1))),'Aset Takberwujud'!$AQ166/'Aset Takberwujud'!$AG166,0)))</f>
        <v/>
      </c>
      <c r="G371" s="22" t="str">
        <f>IF($B371="","",IF(N('Aset Takberwujud'!$AG166)=0,0,IF(AND((YEAR(G$211)*12+MONTH(G$211))&gt;='Aset Takberwujud'!$Y166,(YEAR(G$211)*12+MONTH(G$211))&lt;=MIN('Aset Takberwujud'!$Z166,IF('Aset Takberwujud'!$S166="Unit Produksi",99999,'Aset Takberwujud'!$Y166+'Aset Takberwujud'!$T166*12-1))),'Aset Takberwujud'!$AQ166/'Aset Takberwujud'!$AG166,0)))</f>
        <v/>
      </c>
      <c r="H371" s="22" t="str">
        <f>IF($B371="","",IF(N('Aset Takberwujud'!$AG166)=0,0,IF(AND((YEAR(H$211)*12+MONTH(H$211))&gt;='Aset Takberwujud'!$Y166,(YEAR(H$211)*12+MONTH(H$211))&lt;=MIN('Aset Takberwujud'!$Z166,IF('Aset Takberwujud'!$S166="Unit Produksi",99999,'Aset Takberwujud'!$Y166+'Aset Takberwujud'!$T166*12-1))),'Aset Takberwujud'!$AQ166/'Aset Takberwujud'!$AG166,0)))</f>
        <v/>
      </c>
      <c r="I371" s="22" t="str">
        <f>IF($B371="","",IF(N('Aset Takberwujud'!$AG166)=0,0,IF(AND((YEAR(I$211)*12+MONTH(I$211))&gt;='Aset Takberwujud'!$Y166,(YEAR(I$211)*12+MONTH(I$211))&lt;=MIN('Aset Takberwujud'!$Z166,IF('Aset Takberwujud'!$S166="Unit Produksi",99999,'Aset Takberwujud'!$Y166+'Aset Takberwujud'!$T166*12-1))),'Aset Takberwujud'!$AQ166/'Aset Takberwujud'!$AG166,0)))</f>
        <v/>
      </c>
      <c r="J371" s="22" t="str">
        <f>IF($B371="","",IF(N('Aset Takberwujud'!$AG166)=0,0,IF(AND((YEAR(J$211)*12+MONTH(J$211))&gt;='Aset Takberwujud'!$Y166,(YEAR(J$211)*12+MONTH(J$211))&lt;=MIN('Aset Takberwujud'!$Z166,IF('Aset Takberwujud'!$S166="Unit Produksi",99999,'Aset Takberwujud'!$Y166+'Aset Takberwujud'!$T166*12-1))),'Aset Takberwujud'!$AQ166/'Aset Takberwujud'!$AG166,0)))</f>
        <v/>
      </c>
      <c r="K371" s="22" t="str">
        <f>IF($B371="","",IF(N('Aset Takberwujud'!$AG166)=0,0,IF(AND((YEAR(K$211)*12+MONTH(K$211))&gt;='Aset Takberwujud'!$Y166,(YEAR(K$211)*12+MONTH(K$211))&lt;=MIN('Aset Takberwujud'!$Z166,IF('Aset Takberwujud'!$S166="Unit Produksi",99999,'Aset Takberwujud'!$Y166+'Aset Takberwujud'!$T166*12-1))),'Aset Takberwujud'!$AQ166/'Aset Takberwujud'!$AG166,0)))</f>
        <v/>
      </c>
      <c r="L371" s="22" t="str">
        <f>IF($B371="","",IF(N('Aset Takberwujud'!$AG166)=0,0,IF(AND((YEAR(L$211)*12+MONTH(L$211))&gt;='Aset Takberwujud'!$Y166,(YEAR(L$211)*12+MONTH(L$211))&lt;=MIN('Aset Takberwujud'!$Z166,IF('Aset Takberwujud'!$S166="Unit Produksi",99999,'Aset Takberwujud'!$Y166+'Aset Takberwujud'!$T166*12-1))),'Aset Takberwujud'!$AQ166/'Aset Takberwujud'!$AG166,0)))</f>
        <v/>
      </c>
      <c r="M371" s="22" t="str">
        <f>IF($B371="","",IF(N('Aset Takberwujud'!$AG166)=0,0,IF(AND((YEAR(M$211)*12+MONTH(M$211))&gt;='Aset Takberwujud'!$Y166,(YEAR(M$211)*12+MONTH(M$211))&lt;=MIN('Aset Takberwujud'!$Z166,IF('Aset Takberwujud'!$S166="Unit Produksi",99999,'Aset Takberwujud'!$Y166+'Aset Takberwujud'!$T166*12-1))),'Aset Takberwujud'!$AQ166/'Aset Takberwujud'!$AG166,0)))</f>
        <v/>
      </c>
      <c r="N371" s="22" t="str">
        <f>IF($B371="","",IF(N('Aset Takberwujud'!$AG166)=0,0,IF(AND((YEAR(N$211)*12+MONTH(N$211))&gt;='Aset Takberwujud'!$Y166,(YEAR(N$211)*12+MONTH(N$211))&lt;=MIN('Aset Takberwujud'!$Z166,IF('Aset Takberwujud'!$S166="Unit Produksi",99999,'Aset Takberwujud'!$Y166+'Aset Takberwujud'!$T166*12-1))),'Aset Takberwujud'!$AQ166/'Aset Takberwujud'!$AG166,0)))</f>
        <v/>
      </c>
      <c r="O371" s="22" t="str">
        <f>IF($B371="","",IF(N('Aset Takberwujud'!$AG166)=0,0,IF(AND((YEAR(O$211)*12+MONTH(O$211))&gt;='Aset Takberwujud'!$Y166,(YEAR(O$211)*12+MONTH(O$211))&lt;=MIN('Aset Takberwujud'!$Z166,IF('Aset Takberwujud'!$S166="Unit Produksi",99999,'Aset Takberwujud'!$Y166+'Aset Takberwujud'!$T166*12-1))),'Aset Takberwujud'!$AQ166/'Aset Takberwujud'!$AG166,0)))</f>
        <v/>
      </c>
      <c r="P371" s="22" t="str">
        <f>IF($B371="","",IF(N('Aset Takberwujud'!$AG166)=0,0,IF(AND((YEAR(P$211)*12+MONTH(P$211))&gt;='Aset Takberwujud'!$Y166,(YEAR(P$211)*12+MONTH(P$211))&lt;=MIN('Aset Takberwujud'!$Z166,IF('Aset Takberwujud'!$S166="Unit Produksi",99999,'Aset Takberwujud'!$Y166+'Aset Takberwujud'!$T166*12-1))),'Aset Takberwujud'!$AQ166/'Aset Takberwujud'!$AG166,0)))</f>
        <v/>
      </c>
      <c r="Q371" s="22" t="str">
        <f>IF($B371="","",SUM(E371:P371))</f>
        <v/>
      </c>
      <c r="R371" s="22" t="str">
        <f>IF($B371="","",'Aset Takberwujud'!AQ166)</f>
        <v/>
      </c>
      <c r="S371" s="22" t="str">
        <f>IF($B371="","",ROUND(Q371-R371,0))</f>
        <v/>
      </c>
    </row>
    <row r="372" spans="1:19" x14ac:dyDescent="0.25">
      <c r="A372" t="str">
        <f>IF('Aset Takberwujud'!$B167="","",'Aset Takberwujud'!A167)</f>
        <v/>
      </c>
      <c r="B372" t="str">
        <f>IF('Aset Takberwujud'!$B167="","",'Aset Takberwujud'!B167)</f>
        <v/>
      </c>
      <c r="C372" t="str">
        <f>IF('Aset Takberwujud'!$B167="","",'Aset Takberwujud'!C167)</f>
        <v/>
      </c>
      <c r="D372" t="str">
        <f>IF('Aset Takberwujud'!$B167="","",'Aset Takberwujud'!D167)</f>
        <v/>
      </c>
      <c r="E372" s="22" t="str">
        <f>IF($B372="","",IF(N('Aset Takberwujud'!$AG167)=0,0,IF(AND((YEAR(E$211)*12+MONTH(E$211))&gt;='Aset Takberwujud'!$Y167,(YEAR(E$211)*12+MONTH(E$211))&lt;=MIN('Aset Takberwujud'!$Z167,IF('Aset Takberwujud'!$S167="Unit Produksi",99999,'Aset Takberwujud'!$Y167+'Aset Takberwujud'!$T167*12-1))),'Aset Takberwujud'!$AQ167/'Aset Takberwujud'!$AG167,0)))</f>
        <v/>
      </c>
      <c r="F372" s="22" t="str">
        <f>IF($B372="","",IF(N('Aset Takberwujud'!$AG167)=0,0,IF(AND((YEAR(F$211)*12+MONTH(F$211))&gt;='Aset Takberwujud'!$Y167,(YEAR(F$211)*12+MONTH(F$211))&lt;=MIN('Aset Takberwujud'!$Z167,IF('Aset Takberwujud'!$S167="Unit Produksi",99999,'Aset Takberwujud'!$Y167+'Aset Takberwujud'!$T167*12-1))),'Aset Takberwujud'!$AQ167/'Aset Takberwujud'!$AG167,0)))</f>
        <v/>
      </c>
      <c r="G372" s="22" t="str">
        <f>IF($B372="","",IF(N('Aset Takberwujud'!$AG167)=0,0,IF(AND((YEAR(G$211)*12+MONTH(G$211))&gt;='Aset Takberwujud'!$Y167,(YEAR(G$211)*12+MONTH(G$211))&lt;=MIN('Aset Takberwujud'!$Z167,IF('Aset Takberwujud'!$S167="Unit Produksi",99999,'Aset Takberwujud'!$Y167+'Aset Takberwujud'!$T167*12-1))),'Aset Takberwujud'!$AQ167/'Aset Takberwujud'!$AG167,0)))</f>
        <v/>
      </c>
      <c r="H372" s="22" t="str">
        <f>IF($B372="","",IF(N('Aset Takberwujud'!$AG167)=0,0,IF(AND((YEAR(H$211)*12+MONTH(H$211))&gt;='Aset Takberwujud'!$Y167,(YEAR(H$211)*12+MONTH(H$211))&lt;=MIN('Aset Takberwujud'!$Z167,IF('Aset Takberwujud'!$S167="Unit Produksi",99999,'Aset Takberwujud'!$Y167+'Aset Takberwujud'!$T167*12-1))),'Aset Takberwujud'!$AQ167/'Aset Takberwujud'!$AG167,0)))</f>
        <v/>
      </c>
      <c r="I372" s="22" t="str">
        <f>IF($B372="","",IF(N('Aset Takberwujud'!$AG167)=0,0,IF(AND((YEAR(I$211)*12+MONTH(I$211))&gt;='Aset Takberwujud'!$Y167,(YEAR(I$211)*12+MONTH(I$211))&lt;=MIN('Aset Takberwujud'!$Z167,IF('Aset Takberwujud'!$S167="Unit Produksi",99999,'Aset Takberwujud'!$Y167+'Aset Takberwujud'!$T167*12-1))),'Aset Takberwujud'!$AQ167/'Aset Takberwujud'!$AG167,0)))</f>
        <v/>
      </c>
      <c r="J372" s="22" t="str">
        <f>IF($B372="","",IF(N('Aset Takberwujud'!$AG167)=0,0,IF(AND((YEAR(J$211)*12+MONTH(J$211))&gt;='Aset Takberwujud'!$Y167,(YEAR(J$211)*12+MONTH(J$211))&lt;=MIN('Aset Takberwujud'!$Z167,IF('Aset Takberwujud'!$S167="Unit Produksi",99999,'Aset Takberwujud'!$Y167+'Aset Takberwujud'!$T167*12-1))),'Aset Takberwujud'!$AQ167/'Aset Takberwujud'!$AG167,0)))</f>
        <v/>
      </c>
      <c r="K372" s="22" t="str">
        <f>IF($B372="","",IF(N('Aset Takberwujud'!$AG167)=0,0,IF(AND((YEAR(K$211)*12+MONTH(K$211))&gt;='Aset Takberwujud'!$Y167,(YEAR(K$211)*12+MONTH(K$211))&lt;=MIN('Aset Takberwujud'!$Z167,IF('Aset Takberwujud'!$S167="Unit Produksi",99999,'Aset Takberwujud'!$Y167+'Aset Takberwujud'!$T167*12-1))),'Aset Takberwujud'!$AQ167/'Aset Takberwujud'!$AG167,0)))</f>
        <v/>
      </c>
      <c r="L372" s="22" t="str">
        <f>IF($B372="","",IF(N('Aset Takberwujud'!$AG167)=0,0,IF(AND((YEAR(L$211)*12+MONTH(L$211))&gt;='Aset Takberwujud'!$Y167,(YEAR(L$211)*12+MONTH(L$211))&lt;=MIN('Aset Takberwujud'!$Z167,IF('Aset Takberwujud'!$S167="Unit Produksi",99999,'Aset Takberwujud'!$Y167+'Aset Takberwujud'!$T167*12-1))),'Aset Takberwujud'!$AQ167/'Aset Takberwujud'!$AG167,0)))</f>
        <v/>
      </c>
      <c r="M372" s="22" t="str">
        <f>IF($B372="","",IF(N('Aset Takberwujud'!$AG167)=0,0,IF(AND((YEAR(M$211)*12+MONTH(M$211))&gt;='Aset Takberwujud'!$Y167,(YEAR(M$211)*12+MONTH(M$211))&lt;=MIN('Aset Takberwujud'!$Z167,IF('Aset Takberwujud'!$S167="Unit Produksi",99999,'Aset Takberwujud'!$Y167+'Aset Takberwujud'!$T167*12-1))),'Aset Takberwujud'!$AQ167/'Aset Takberwujud'!$AG167,0)))</f>
        <v/>
      </c>
      <c r="N372" s="22" t="str">
        <f>IF($B372="","",IF(N('Aset Takberwujud'!$AG167)=0,0,IF(AND((YEAR(N$211)*12+MONTH(N$211))&gt;='Aset Takberwujud'!$Y167,(YEAR(N$211)*12+MONTH(N$211))&lt;=MIN('Aset Takberwujud'!$Z167,IF('Aset Takberwujud'!$S167="Unit Produksi",99999,'Aset Takberwujud'!$Y167+'Aset Takberwujud'!$T167*12-1))),'Aset Takberwujud'!$AQ167/'Aset Takberwujud'!$AG167,0)))</f>
        <v/>
      </c>
      <c r="O372" s="22" t="str">
        <f>IF($B372="","",IF(N('Aset Takberwujud'!$AG167)=0,0,IF(AND((YEAR(O$211)*12+MONTH(O$211))&gt;='Aset Takberwujud'!$Y167,(YEAR(O$211)*12+MONTH(O$211))&lt;=MIN('Aset Takberwujud'!$Z167,IF('Aset Takberwujud'!$S167="Unit Produksi",99999,'Aset Takberwujud'!$Y167+'Aset Takberwujud'!$T167*12-1))),'Aset Takberwujud'!$AQ167/'Aset Takberwujud'!$AG167,0)))</f>
        <v/>
      </c>
      <c r="P372" s="22" t="str">
        <f>IF($B372="","",IF(N('Aset Takberwujud'!$AG167)=0,0,IF(AND((YEAR(P$211)*12+MONTH(P$211))&gt;='Aset Takberwujud'!$Y167,(YEAR(P$211)*12+MONTH(P$211))&lt;=MIN('Aset Takberwujud'!$Z167,IF('Aset Takberwujud'!$S167="Unit Produksi",99999,'Aset Takberwujud'!$Y167+'Aset Takberwujud'!$T167*12-1))),'Aset Takberwujud'!$AQ167/'Aset Takberwujud'!$AG167,0)))</f>
        <v/>
      </c>
      <c r="Q372" s="22" t="str">
        <f>IF($B372="","",SUM(E372:P372))</f>
        <v/>
      </c>
      <c r="R372" s="22" t="str">
        <f>IF($B372="","",'Aset Takberwujud'!AQ167)</f>
        <v/>
      </c>
      <c r="S372" s="22" t="str">
        <f>IF($B372="","",ROUND(Q372-R372,0))</f>
        <v/>
      </c>
    </row>
    <row r="373" spans="1:19" x14ac:dyDescent="0.25">
      <c r="A373" t="str">
        <f>IF('Aset Takberwujud'!$B168="","",'Aset Takberwujud'!A168)</f>
        <v/>
      </c>
      <c r="B373" t="str">
        <f>IF('Aset Takberwujud'!$B168="","",'Aset Takberwujud'!B168)</f>
        <v/>
      </c>
      <c r="C373" t="str">
        <f>IF('Aset Takberwujud'!$B168="","",'Aset Takberwujud'!C168)</f>
        <v/>
      </c>
      <c r="D373" t="str">
        <f>IF('Aset Takberwujud'!$B168="","",'Aset Takberwujud'!D168)</f>
        <v/>
      </c>
      <c r="E373" s="22" t="str">
        <f>IF($B373="","",IF(N('Aset Takberwujud'!$AG168)=0,0,IF(AND((YEAR(E$211)*12+MONTH(E$211))&gt;='Aset Takberwujud'!$Y168,(YEAR(E$211)*12+MONTH(E$211))&lt;=MIN('Aset Takberwujud'!$Z168,IF('Aset Takberwujud'!$S168="Unit Produksi",99999,'Aset Takberwujud'!$Y168+'Aset Takberwujud'!$T168*12-1))),'Aset Takberwujud'!$AQ168/'Aset Takberwujud'!$AG168,0)))</f>
        <v/>
      </c>
      <c r="F373" s="22" t="str">
        <f>IF($B373="","",IF(N('Aset Takberwujud'!$AG168)=0,0,IF(AND((YEAR(F$211)*12+MONTH(F$211))&gt;='Aset Takberwujud'!$Y168,(YEAR(F$211)*12+MONTH(F$211))&lt;=MIN('Aset Takberwujud'!$Z168,IF('Aset Takberwujud'!$S168="Unit Produksi",99999,'Aset Takberwujud'!$Y168+'Aset Takberwujud'!$T168*12-1))),'Aset Takberwujud'!$AQ168/'Aset Takberwujud'!$AG168,0)))</f>
        <v/>
      </c>
      <c r="G373" s="22" t="str">
        <f>IF($B373="","",IF(N('Aset Takberwujud'!$AG168)=0,0,IF(AND((YEAR(G$211)*12+MONTH(G$211))&gt;='Aset Takberwujud'!$Y168,(YEAR(G$211)*12+MONTH(G$211))&lt;=MIN('Aset Takberwujud'!$Z168,IF('Aset Takberwujud'!$S168="Unit Produksi",99999,'Aset Takberwujud'!$Y168+'Aset Takberwujud'!$T168*12-1))),'Aset Takberwujud'!$AQ168/'Aset Takberwujud'!$AG168,0)))</f>
        <v/>
      </c>
      <c r="H373" s="22" t="str">
        <f>IF($B373="","",IF(N('Aset Takberwujud'!$AG168)=0,0,IF(AND((YEAR(H$211)*12+MONTH(H$211))&gt;='Aset Takberwujud'!$Y168,(YEAR(H$211)*12+MONTH(H$211))&lt;=MIN('Aset Takberwujud'!$Z168,IF('Aset Takberwujud'!$S168="Unit Produksi",99999,'Aset Takberwujud'!$Y168+'Aset Takberwujud'!$T168*12-1))),'Aset Takberwujud'!$AQ168/'Aset Takberwujud'!$AG168,0)))</f>
        <v/>
      </c>
      <c r="I373" s="22" t="str">
        <f>IF($B373="","",IF(N('Aset Takberwujud'!$AG168)=0,0,IF(AND((YEAR(I$211)*12+MONTH(I$211))&gt;='Aset Takberwujud'!$Y168,(YEAR(I$211)*12+MONTH(I$211))&lt;=MIN('Aset Takberwujud'!$Z168,IF('Aset Takberwujud'!$S168="Unit Produksi",99999,'Aset Takberwujud'!$Y168+'Aset Takberwujud'!$T168*12-1))),'Aset Takberwujud'!$AQ168/'Aset Takberwujud'!$AG168,0)))</f>
        <v/>
      </c>
      <c r="J373" s="22" t="str">
        <f>IF($B373="","",IF(N('Aset Takberwujud'!$AG168)=0,0,IF(AND((YEAR(J$211)*12+MONTH(J$211))&gt;='Aset Takberwujud'!$Y168,(YEAR(J$211)*12+MONTH(J$211))&lt;=MIN('Aset Takberwujud'!$Z168,IF('Aset Takberwujud'!$S168="Unit Produksi",99999,'Aset Takberwujud'!$Y168+'Aset Takberwujud'!$T168*12-1))),'Aset Takberwujud'!$AQ168/'Aset Takberwujud'!$AG168,0)))</f>
        <v/>
      </c>
      <c r="K373" s="22" t="str">
        <f>IF($B373="","",IF(N('Aset Takberwujud'!$AG168)=0,0,IF(AND((YEAR(K$211)*12+MONTH(K$211))&gt;='Aset Takberwujud'!$Y168,(YEAR(K$211)*12+MONTH(K$211))&lt;=MIN('Aset Takberwujud'!$Z168,IF('Aset Takberwujud'!$S168="Unit Produksi",99999,'Aset Takberwujud'!$Y168+'Aset Takberwujud'!$T168*12-1))),'Aset Takberwujud'!$AQ168/'Aset Takberwujud'!$AG168,0)))</f>
        <v/>
      </c>
      <c r="L373" s="22" t="str">
        <f>IF($B373="","",IF(N('Aset Takberwujud'!$AG168)=0,0,IF(AND((YEAR(L$211)*12+MONTH(L$211))&gt;='Aset Takberwujud'!$Y168,(YEAR(L$211)*12+MONTH(L$211))&lt;=MIN('Aset Takberwujud'!$Z168,IF('Aset Takberwujud'!$S168="Unit Produksi",99999,'Aset Takberwujud'!$Y168+'Aset Takberwujud'!$T168*12-1))),'Aset Takberwujud'!$AQ168/'Aset Takberwujud'!$AG168,0)))</f>
        <v/>
      </c>
      <c r="M373" s="22" t="str">
        <f>IF($B373="","",IF(N('Aset Takberwujud'!$AG168)=0,0,IF(AND((YEAR(M$211)*12+MONTH(M$211))&gt;='Aset Takberwujud'!$Y168,(YEAR(M$211)*12+MONTH(M$211))&lt;=MIN('Aset Takberwujud'!$Z168,IF('Aset Takberwujud'!$S168="Unit Produksi",99999,'Aset Takberwujud'!$Y168+'Aset Takberwujud'!$T168*12-1))),'Aset Takberwujud'!$AQ168/'Aset Takberwujud'!$AG168,0)))</f>
        <v/>
      </c>
      <c r="N373" s="22" t="str">
        <f>IF($B373="","",IF(N('Aset Takberwujud'!$AG168)=0,0,IF(AND((YEAR(N$211)*12+MONTH(N$211))&gt;='Aset Takberwujud'!$Y168,(YEAR(N$211)*12+MONTH(N$211))&lt;=MIN('Aset Takberwujud'!$Z168,IF('Aset Takberwujud'!$S168="Unit Produksi",99999,'Aset Takberwujud'!$Y168+'Aset Takberwujud'!$T168*12-1))),'Aset Takberwujud'!$AQ168/'Aset Takberwujud'!$AG168,0)))</f>
        <v/>
      </c>
      <c r="O373" s="22" t="str">
        <f>IF($B373="","",IF(N('Aset Takberwujud'!$AG168)=0,0,IF(AND((YEAR(O$211)*12+MONTH(O$211))&gt;='Aset Takberwujud'!$Y168,(YEAR(O$211)*12+MONTH(O$211))&lt;=MIN('Aset Takberwujud'!$Z168,IF('Aset Takberwujud'!$S168="Unit Produksi",99999,'Aset Takberwujud'!$Y168+'Aset Takberwujud'!$T168*12-1))),'Aset Takberwujud'!$AQ168/'Aset Takberwujud'!$AG168,0)))</f>
        <v/>
      </c>
      <c r="P373" s="22" t="str">
        <f>IF($B373="","",IF(N('Aset Takberwujud'!$AG168)=0,0,IF(AND((YEAR(P$211)*12+MONTH(P$211))&gt;='Aset Takberwujud'!$Y168,(YEAR(P$211)*12+MONTH(P$211))&lt;=MIN('Aset Takberwujud'!$Z168,IF('Aset Takberwujud'!$S168="Unit Produksi",99999,'Aset Takberwujud'!$Y168+'Aset Takberwujud'!$T168*12-1))),'Aset Takberwujud'!$AQ168/'Aset Takberwujud'!$AG168,0)))</f>
        <v/>
      </c>
      <c r="Q373" s="22" t="str">
        <f>IF($B373="","",SUM(E373:P373))</f>
        <v/>
      </c>
      <c r="R373" s="22" t="str">
        <f>IF($B373="","",'Aset Takberwujud'!AQ168)</f>
        <v/>
      </c>
      <c r="S373" s="22" t="str">
        <f>IF($B373="","",ROUND(Q373-R373,0))</f>
        <v/>
      </c>
    </row>
    <row r="374" spans="1:19" x14ac:dyDescent="0.25">
      <c r="A374" t="str">
        <f>IF('Aset Takberwujud'!$B169="","",'Aset Takberwujud'!A169)</f>
        <v/>
      </c>
      <c r="B374" t="str">
        <f>IF('Aset Takberwujud'!$B169="","",'Aset Takberwujud'!B169)</f>
        <v/>
      </c>
      <c r="C374" t="str">
        <f>IF('Aset Takberwujud'!$B169="","",'Aset Takberwujud'!C169)</f>
        <v/>
      </c>
      <c r="D374" t="str">
        <f>IF('Aset Takberwujud'!$B169="","",'Aset Takberwujud'!D169)</f>
        <v/>
      </c>
      <c r="E374" s="22" t="str">
        <f>IF($B374="","",IF(N('Aset Takberwujud'!$AG169)=0,0,IF(AND((YEAR(E$211)*12+MONTH(E$211))&gt;='Aset Takberwujud'!$Y169,(YEAR(E$211)*12+MONTH(E$211))&lt;=MIN('Aset Takberwujud'!$Z169,IF('Aset Takberwujud'!$S169="Unit Produksi",99999,'Aset Takberwujud'!$Y169+'Aset Takberwujud'!$T169*12-1))),'Aset Takberwujud'!$AQ169/'Aset Takberwujud'!$AG169,0)))</f>
        <v/>
      </c>
      <c r="F374" s="22" t="str">
        <f>IF($B374="","",IF(N('Aset Takberwujud'!$AG169)=0,0,IF(AND((YEAR(F$211)*12+MONTH(F$211))&gt;='Aset Takberwujud'!$Y169,(YEAR(F$211)*12+MONTH(F$211))&lt;=MIN('Aset Takberwujud'!$Z169,IF('Aset Takberwujud'!$S169="Unit Produksi",99999,'Aset Takberwujud'!$Y169+'Aset Takberwujud'!$T169*12-1))),'Aset Takberwujud'!$AQ169/'Aset Takberwujud'!$AG169,0)))</f>
        <v/>
      </c>
      <c r="G374" s="22" t="str">
        <f>IF($B374="","",IF(N('Aset Takberwujud'!$AG169)=0,0,IF(AND((YEAR(G$211)*12+MONTH(G$211))&gt;='Aset Takberwujud'!$Y169,(YEAR(G$211)*12+MONTH(G$211))&lt;=MIN('Aset Takberwujud'!$Z169,IF('Aset Takberwujud'!$S169="Unit Produksi",99999,'Aset Takberwujud'!$Y169+'Aset Takberwujud'!$T169*12-1))),'Aset Takberwujud'!$AQ169/'Aset Takberwujud'!$AG169,0)))</f>
        <v/>
      </c>
      <c r="H374" s="22" t="str">
        <f>IF($B374="","",IF(N('Aset Takberwujud'!$AG169)=0,0,IF(AND((YEAR(H$211)*12+MONTH(H$211))&gt;='Aset Takberwujud'!$Y169,(YEAR(H$211)*12+MONTH(H$211))&lt;=MIN('Aset Takberwujud'!$Z169,IF('Aset Takberwujud'!$S169="Unit Produksi",99999,'Aset Takberwujud'!$Y169+'Aset Takberwujud'!$T169*12-1))),'Aset Takberwujud'!$AQ169/'Aset Takberwujud'!$AG169,0)))</f>
        <v/>
      </c>
      <c r="I374" s="22" t="str">
        <f>IF($B374="","",IF(N('Aset Takberwujud'!$AG169)=0,0,IF(AND((YEAR(I$211)*12+MONTH(I$211))&gt;='Aset Takberwujud'!$Y169,(YEAR(I$211)*12+MONTH(I$211))&lt;=MIN('Aset Takberwujud'!$Z169,IF('Aset Takberwujud'!$S169="Unit Produksi",99999,'Aset Takberwujud'!$Y169+'Aset Takberwujud'!$T169*12-1))),'Aset Takberwujud'!$AQ169/'Aset Takberwujud'!$AG169,0)))</f>
        <v/>
      </c>
      <c r="J374" s="22" t="str">
        <f>IF($B374="","",IF(N('Aset Takberwujud'!$AG169)=0,0,IF(AND((YEAR(J$211)*12+MONTH(J$211))&gt;='Aset Takberwujud'!$Y169,(YEAR(J$211)*12+MONTH(J$211))&lt;=MIN('Aset Takberwujud'!$Z169,IF('Aset Takberwujud'!$S169="Unit Produksi",99999,'Aset Takberwujud'!$Y169+'Aset Takberwujud'!$T169*12-1))),'Aset Takberwujud'!$AQ169/'Aset Takberwujud'!$AG169,0)))</f>
        <v/>
      </c>
      <c r="K374" s="22" t="str">
        <f>IF($B374="","",IF(N('Aset Takberwujud'!$AG169)=0,0,IF(AND((YEAR(K$211)*12+MONTH(K$211))&gt;='Aset Takberwujud'!$Y169,(YEAR(K$211)*12+MONTH(K$211))&lt;=MIN('Aset Takberwujud'!$Z169,IF('Aset Takberwujud'!$S169="Unit Produksi",99999,'Aset Takberwujud'!$Y169+'Aset Takberwujud'!$T169*12-1))),'Aset Takberwujud'!$AQ169/'Aset Takberwujud'!$AG169,0)))</f>
        <v/>
      </c>
      <c r="L374" s="22" t="str">
        <f>IF($B374="","",IF(N('Aset Takberwujud'!$AG169)=0,0,IF(AND((YEAR(L$211)*12+MONTH(L$211))&gt;='Aset Takberwujud'!$Y169,(YEAR(L$211)*12+MONTH(L$211))&lt;=MIN('Aset Takberwujud'!$Z169,IF('Aset Takberwujud'!$S169="Unit Produksi",99999,'Aset Takberwujud'!$Y169+'Aset Takberwujud'!$T169*12-1))),'Aset Takberwujud'!$AQ169/'Aset Takberwujud'!$AG169,0)))</f>
        <v/>
      </c>
      <c r="M374" s="22" t="str">
        <f>IF($B374="","",IF(N('Aset Takberwujud'!$AG169)=0,0,IF(AND((YEAR(M$211)*12+MONTH(M$211))&gt;='Aset Takberwujud'!$Y169,(YEAR(M$211)*12+MONTH(M$211))&lt;=MIN('Aset Takberwujud'!$Z169,IF('Aset Takberwujud'!$S169="Unit Produksi",99999,'Aset Takberwujud'!$Y169+'Aset Takberwujud'!$T169*12-1))),'Aset Takberwujud'!$AQ169/'Aset Takberwujud'!$AG169,0)))</f>
        <v/>
      </c>
      <c r="N374" s="22" t="str">
        <f>IF($B374="","",IF(N('Aset Takberwujud'!$AG169)=0,0,IF(AND((YEAR(N$211)*12+MONTH(N$211))&gt;='Aset Takberwujud'!$Y169,(YEAR(N$211)*12+MONTH(N$211))&lt;=MIN('Aset Takberwujud'!$Z169,IF('Aset Takberwujud'!$S169="Unit Produksi",99999,'Aset Takberwujud'!$Y169+'Aset Takberwujud'!$T169*12-1))),'Aset Takberwujud'!$AQ169/'Aset Takberwujud'!$AG169,0)))</f>
        <v/>
      </c>
      <c r="O374" s="22" t="str">
        <f>IF($B374="","",IF(N('Aset Takberwujud'!$AG169)=0,0,IF(AND((YEAR(O$211)*12+MONTH(O$211))&gt;='Aset Takberwujud'!$Y169,(YEAR(O$211)*12+MONTH(O$211))&lt;=MIN('Aset Takberwujud'!$Z169,IF('Aset Takberwujud'!$S169="Unit Produksi",99999,'Aset Takberwujud'!$Y169+'Aset Takberwujud'!$T169*12-1))),'Aset Takberwujud'!$AQ169/'Aset Takberwujud'!$AG169,0)))</f>
        <v/>
      </c>
      <c r="P374" s="22" t="str">
        <f>IF($B374="","",IF(N('Aset Takberwujud'!$AG169)=0,0,IF(AND((YEAR(P$211)*12+MONTH(P$211))&gt;='Aset Takberwujud'!$Y169,(YEAR(P$211)*12+MONTH(P$211))&lt;=MIN('Aset Takberwujud'!$Z169,IF('Aset Takberwujud'!$S169="Unit Produksi",99999,'Aset Takberwujud'!$Y169+'Aset Takberwujud'!$T169*12-1))),'Aset Takberwujud'!$AQ169/'Aset Takberwujud'!$AG169,0)))</f>
        <v/>
      </c>
      <c r="Q374" s="22" t="str">
        <f>IF($B374="","",SUM(E374:P374))</f>
        <v/>
      </c>
      <c r="R374" s="22" t="str">
        <f>IF($B374="","",'Aset Takberwujud'!AQ169)</f>
        <v/>
      </c>
      <c r="S374" s="22" t="str">
        <f>IF($B374="","",ROUND(Q374-R374,0))</f>
        <v/>
      </c>
    </row>
    <row r="375" spans="1:19" x14ac:dyDescent="0.25">
      <c r="A375" t="str">
        <f>IF('Aset Takberwujud'!$B170="","",'Aset Takberwujud'!A170)</f>
        <v/>
      </c>
      <c r="B375" t="str">
        <f>IF('Aset Takberwujud'!$B170="","",'Aset Takberwujud'!B170)</f>
        <v/>
      </c>
      <c r="C375" t="str">
        <f>IF('Aset Takberwujud'!$B170="","",'Aset Takberwujud'!C170)</f>
        <v/>
      </c>
      <c r="D375" t="str">
        <f>IF('Aset Takberwujud'!$B170="","",'Aset Takberwujud'!D170)</f>
        <v/>
      </c>
      <c r="E375" s="22" t="str">
        <f>IF($B375="","",IF(N('Aset Takberwujud'!$AG170)=0,0,IF(AND((YEAR(E$211)*12+MONTH(E$211))&gt;='Aset Takberwujud'!$Y170,(YEAR(E$211)*12+MONTH(E$211))&lt;=MIN('Aset Takberwujud'!$Z170,IF('Aset Takberwujud'!$S170="Unit Produksi",99999,'Aset Takberwujud'!$Y170+'Aset Takberwujud'!$T170*12-1))),'Aset Takberwujud'!$AQ170/'Aset Takberwujud'!$AG170,0)))</f>
        <v/>
      </c>
      <c r="F375" s="22" t="str">
        <f>IF($B375="","",IF(N('Aset Takberwujud'!$AG170)=0,0,IF(AND((YEAR(F$211)*12+MONTH(F$211))&gt;='Aset Takberwujud'!$Y170,(YEAR(F$211)*12+MONTH(F$211))&lt;=MIN('Aset Takberwujud'!$Z170,IF('Aset Takberwujud'!$S170="Unit Produksi",99999,'Aset Takberwujud'!$Y170+'Aset Takberwujud'!$T170*12-1))),'Aset Takberwujud'!$AQ170/'Aset Takberwujud'!$AG170,0)))</f>
        <v/>
      </c>
      <c r="G375" s="22" t="str">
        <f>IF($B375="","",IF(N('Aset Takberwujud'!$AG170)=0,0,IF(AND((YEAR(G$211)*12+MONTH(G$211))&gt;='Aset Takberwujud'!$Y170,(YEAR(G$211)*12+MONTH(G$211))&lt;=MIN('Aset Takberwujud'!$Z170,IF('Aset Takberwujud'!$S170="Unit Produksi",99999,'Aset Takberwujud'!$Y170+'Aset Takberwujud'!$T170*12-1))),'Aset Takberwujud'!$AQ170/'Aset Takberwujud'!$AG170,0)))</f>
        <v/>
      </c>
      <c r="H375" s="22" t="str">
        <f>IF($B375="","",IF(N('Aset Takberwujud'!$AG170)=0,0,IF(AND((YEAR(H$211)*12+MONTH(H$211))&gt;='Aset Takberwujud'!$Y170,(YEAR(H$211)*12+MONTH(H$211))&lt;=MIN('Aset Takberwujud'!$Z170,IF('Aset Takberwujud'!$S170="Unit Produksi",99999,'Aset Takberwujud'!$Y170+'Aset Takberwujud'!$T170*12-1))),'Aset Takberwujud'!$AQ170/'Aset Takberwujud'!$AG170,0)))</f>
        <v/>
      </c>
      <c r="I375" s="22" t="str">
        <f>IF($B375="","",IF(N('Aset Takberwujud'!$AG170)=0,0,IF(AND((YEAR(I$211)*12+MONTH(I$211))&gt;='Aset Takberwujud'!$Y170,(YEAR(I$211)*12+MONTH(I$211))&lt;=MIN('Aset Takberwujud'!$Z170,IF('Aset Takberwujud'!$S170="Unit Produksi",99999,'Aset Takberwujud'!$Y170+'Aset Takberwujud'!$T170*12-1))),'Aset Takberwujud'!$AQ170/'Aset Takberwujud'!$AG170,0)))</f>
        <v/>
      </c>
      <c r="J375" s="22" t="str">
        <f>IF($B375="","",IF(N('Aset Takberwujud'!$AG170)=0,0,IF(AND((YEAR(J$211)*12+MONTH(J$211))&gt;='Aset Takberwujud'!$Y170,(YEAR(J$211)*12+MONTH(J$211))&lt;=MIN('Aset Takberwujud'!$Z170,IF('Aset Takberwujud'!$S170="Unit Produksi",99999,'Aset Takberwujud'!$Y170+'Aset Takberwujud'!$T170*12-1))),'Aset Takberwujud'!$AQ170/'Aset Takberwujud'!$AG170,0)))</f>
        <v/>
      </c>
      <c r="K375" s="22" t="str">
        <f>IF($B375="","",IF(N('Aset Takberwujud'!$AG170)=0,0,IF(AND((YEAR(K$211)*12+MONTH(K$211))&gt;='Aset Takberwujud'!$Y170,(YEAR(K$211)*12+MONTH(K$211))&lt;=MIN('Aset Takberwujud'!$Z170,IF('Aset Takberwujud'!$S170="Unit Produksi",99999,'Aset Takberwujud'!$Y170+'Aset Takberwujud'!$T170*12-1))),'Aset Takberwujud'!$AQ170/'Aset Takberwujud'!$AG170,0)))</f>
        <v/>
      </c>
      <c r="L375" s="22" t="str">
        <f>IF($B375="","",IF(N('Aset Takberwujud'!$AG170)=0,0,IF(AND((YEAR(L$211)*12+MONTH(L$211))&gt;='Aset Takberwujud'!$Y170,(YEAR(L$211)*12+MONTH(L$211))&lt;=MIN('Aset Takberwujud'!$Z170,IF('Aset Takberwujud'!$S170="Unit Produksi",99999,'Aset Takberwujud'!$Y170+'Aset Takberwujud'!$T170*12-1))),'Aset Takberwujud'!$AQ170/'Aset Takberwujud'!$AG170,0)))</f>
        <v/>
      </c>
      <c r="M375" s="22" t="str">
        <f>IF($B375="","",IF(N('Aset Takberwujud'!$AG170)=0,0,IF(AND((YEAR(M$211)*12+MONTH(M$211))&gt;='Aset Takberwujud'!$Y170,(YEAR(M$211)*12+MONTH(M$211))&lt;=MIN('Aset Takberwujud'!$Z170,IF('Aset Takberwujud'!$S170="Unit Produksi",99999,'Aset Takberwujud'!$Y170+'Aset Takberwujud'!$T170*12-1))),'Aset Takberwujud'!$AQ170/'Aset Takberwujud'!$AG170,0)))</f>
        <v/>
      </c>
      <c r="N375" s="22" t="str">
        <f>IF($B375="","",IF(N('Aset Takberwujud'!$AG170)=0,0,IF(AND((YEAR(N$211)*12+MONTH(N$211))&gt;='Aset Takberwujud'!$Y170,(YEAR(N$211)*12+MONTH(N$211))&lt;=MIN('Aset Takberwujud'!$Z170,IF('Aset Takberwujud'!$S170="Unit Produksi",99999,'Aset Takberwujud'!$Y170+'Aset Takberwujud'!$T170*12-1))),'Aset Takberwujud'!$AQ170/'Aset Takberwujud'!$AG170,0)))</f>
        <v/>
      </c>
      <c r="O375" s="22" t="str">
        <f>IF($B375="","",IF(N('Aset Takberwujud'!$AG170)=0,0,IF(AND((YEAR(O$211)*12+MONTH(O$211))&gt;='Aset Takberwujud'!$Y170,(YEAR(O$211)*12+MONTH(O$211))&lt;=MIN('Aset Takberwujud'!$Z170,IF('Aset Takberwujud'!$S170="Unit Produksi",99999,'Aset Takberwujud'!$Y170+'Aset Takberwujud'!$T170*12-1))),'Aset Takberwujud'!$AQ170/'Aset Takberwujud'!$AG170,0)))</f>
        <v/>
      </c>
      <c r="P375" s="22" t="str">
        <f>IF($B375="","",IF(N('Aset Takberwujud'!$AG170)=0,0,IF(AND((YEAR(P$211)*12+MONTH(P$211))&gt;='Aset Takberwujud'!$Y170,(YEAR(P$211)*12+MONTH(P$211))&lt;=MIN('Aset Takberwujud'!$Z170,IF('Aset Takberwujud'!$S170="Unit Produksi",99999,'Aset Takberwujud'!$Y170+'Aset Takberwujud'!$T170*12-1))),'Aset Takberwujud'!$AQ170/'Aset Takberwujud'!$AG170,0)))</f>
        <v/>
      </c>
      <c r="Q375" s="22" t="str">
        <f>IF($B375="","",SUM(E375:P375))</f>
        <v/>
      </c>
      <c r="R375" s="22" t="str">
        <f>IF($B375="","",'Aset Takberwujud'!AQ170)</f>
        <v/>
      </c>
      <c r="S375" s="22" t="str">
        <f>IF($B375="","",ROUND(Q375-R375,0))</f>
        <v/>
      </c>
    </row>
    <row r="376" spans="1:19" x14ac:dyDescent="0.25">
      <c r="A376" t="str">
        <f>IF('Aset Takberwujud'!$B171="","",'Aset Takberwujud'!A171)</f>
        <v/>
      </c>
      <c r="B376" t="str">
        <f>IF('Aset Takberwujud'!$B171="","",'Aset Takberwujud'!B171)</f>
        <v/>
      </c>
      <c r="C376" t="str">
        <f>IF('Aset Takberwujud'!$B171="","",'Aset Takberwujud'!C171)</f>
        <v/>
      </c>
      <c r="D376" t="str">
        <f>IF('Aset Takberwujud'!$B171="","",'Aset Takberwujud'!D171)</f>
        <v/>
      </c>
      <c r="E376" s="22" t="str">
        <f>IF($B376="","",IF(N('Aset Takberwujud'!$AG171)=0,0,IF(AND((YEAR(E$211)*12+MONTH(E$211))&gt;='Aset Takberwujud'!$Y171,(YEAR(E$211)*12+MONTH(E$211))&lt;=MIN('Aset Takberwujud'!$Z171,IF('Aset Takberwujud'!$S171="Unit Produksi",99999,'Aset Takberwujud'!$Y171+'Aset Takberwujud'!$T171*12-1))),'Aset Takberwujud'!$AQ171/'Aset Takberwujud'!$AG171,0)))</f>
        <v/>
      </c>
      <c r="F376" s="22" t="str">
        <f>IF($B376="","",IF(N('Aset Takberwujud'!$AG171)=0,0,IF(AND((YEAR(F$211)*12+MONTH(F$211))&gt;='Aset Takberwujud'!$Y171,(YEAR(F$211)*12+MONTH(F$211))&lt;=MIN('Aset Takberwujud'!$Z171,IF('Aset Takberwujud'!$S171="Unit Produksi",99999,'Aset Takberwujud'!$Y171+'Aset Takberwujud'!$T171*12-1))),'Aset Takberwujud'!$AQ171/'Aset Takberwujud'!$AG171,0)))</f>
        <v/>
      </c>
      <c r="G376" s="22" t="str">
        <f>IF($B376="","",IF(N('Aset Takberwujud'!$AG171)=0,0,IF(AND((YEAR(G$211)*12+MONTH(G$211))&gt;='Aset Takberwujud'!$Y171,(YEAR(G$211)*12+MONTH(G$211))&lt;=MIN('Aset Takberwujud'!$Z171,IF('Aset Takberwujud'!$S171="Unit Produksi",99999,'Aset Takberwujud'!$Y171+'Aset Takberwujud'!$T171*12-1))),'Aset Takberwujud'!$AQ171/'Aset Takberwujud'!$AG171,0)))</f>
        <v/>
      </c>
      <c r="H376" s="22" t="str">
        <f>IF($B376="","",IF(N('Aset Takberwujud'!$AG171)=0,0,IF(AND((YEAR(H$211)*12+MONTH(H$211))&gt;='Aset Takberwujud'!$Y171,(YEAR(H$211)*12+MONTH(H$211))&lt;=MIN('Aset Takberwujud'!$Z171,IF('Aset Takberwujud'!$S171="Unit Produksi",99999,'Aset Takberwujud'!$Y171+'Aset Takberwujud'!$T171*12-1))),'Aset Takberwujud'!$AQ171/'Aset Takberwujud'!$AG171,0)))</f>
        <v/>
      </c>
      <c r="I376" s="22" t="str">
        <f>IF($B376="","",IF(N('Aset Takberwujud'!$AG171)=0,0,IF(AND((YEAR(I$211)*12+MONTH(I$211))&gt;='Aset Takberwujud'!$Y171,(YEAR(I$211)*12+MONTH(I$211))&lt;=MIN('Aset Takberwujud'!$Z171,IF('Aset Takberwujud'!$S171="Unit Produksi",99999,'Aset Takberwujud'!$Y171+'Aset Takberwujud'!$T171*12-1))),'Aset Takberwujud'!$AQ171/'Aset Takberwujud'!$AG171,0)))</f>
        <v/>
      </c>
      <c r="J376" s="22" t="str">
        <f>IF($B376="","",IF(N('Aset Takberwujud'!$AG171)=0,0,IF(AND((YEAR(J$211)*12+MONTH(J$211))&gt;='Aset Takberwujud'!$Y171,(YEAR(J$211)*12+MONTH(J$211))&lt;=MIN('Aset Takberwujud'!$Z171,IF('Aset Takberwujud'!$S171="Unit Produksi",99999,'Aset Takberwujud'!$Y171+'Aset Takberwujud'!$T171*12-1))),'Aset Takberwujud'!$AQ171/'Aset Takberwujud'!$AG171,0)))</f>
        <v/>
      </c>
      <c r="K376" s="22" t="str">
        <f>IF($B376="","",IF(N('Aset Takberwujud'!$AG171)=0,0,IF(AND((YEAR(K$211)*12+MONTH(K$211))&gt;='Aset Takberwujud'!$Y171,(YEAR(K$211)*12+MONTH(K$211))&lt;=MIN('Aset Takberwujud'!$Z171,IF('Aset Takberwujud'!$S171="Unit Produksi",99999,'Aset Takberwujud'!$Y171+'Aset Takberwujud'!$T171*12-1))),'Aset Takberwujud'!$AQ171/'Aset Takberwujud'!$AG171,0)))</f>
        <v/>
      </c>
      <c r="L376" s="22" t="str">
        <f>IF($B376="","",IF(N('Aset Takberwujud'!$AG171)=0,0,IF(AND((YEAR(L$211)*12+MONTH(L$211))&gt;='Aset Takberwujud'!$Y171,(YEAR(L$211)*12+MONTH(L$211))&lt;=MIN('Aset Takberwujud'!$Z171,IF('Aset Takberwujud'!$S171="Unit Produksi",99999,'Aset Takberwujud'!$Y171+'Aset Takberwujud'!$T171*12-1))),'Aset Takberwujud'!$AQ171/'Aset Takberwujud'!$AG171,0)))</f>
        <v/>
      </c>
      <c r="M376" s="22" t="str">
        <f>IF($B376="","",IF(N('Aset Takberwujud'!$AG171)=0,0,IF(AND((YEAR(M$211)*12+MONTH(M$211))&gt;='Aset Takberwujud'!$Y171,(YEAR(M$211)*12+MONTH(M$211))&lt;=MIN('Aset Takberwujud'!$Z171,IF('Aset Takberwujud'!$S171="Unit Produksi",99999,'Aset Takberwujud'!$Y171+'Aset Takberwujud'!$T171*12-1))),'Aset Takberwujud'!$AQ171/'Aset Takberwujud'!$AG171,0)))</f>
        <v/>
      </c>
      <c r="N376" s="22" t="str">
        <f>IF($B376="","",IF(N('Aset Takberwujud'!$AG171)=0,0,IF(AND((YEAR(N$211)*12+MONTH(N$211))&gt;='Aset Takberwujud'!$Y171,(YEAR(N$211)*12+MONTH(N$211))&lt;=MIN('Aset Takberwujud'!$Z171,IF('Aset Takberwujud'!$S171="Unit Produksi",99999,'Aset Takberwujud'!$Y171+'Aset Takberwujud'!$T171*12-1))),'Aset Takberwujud'!$AQ171/'Aset Takberwujud'!$AG171,0)))</f>
        <v/>
      </c>
      <c r="O376" s="22" t="str">
        <f>IF($B376="","",IF(N('Aset Takberwujud'!$AG171)=0,0,IF(AND((YEAR(O$211)*12+MONTH(O$211))&gt;='Aset Takberwujud'!$Y171,(YEAR(O$211)*12+MONTH(O$211))&lt;=MIN('Aset Takberwujud'!$Z171,IF('Aset Takberwujud'!$S171="Unit Produksi",99999,'Aset Takberwujud'!$Y171+'Aset Takberwujud'!$T171*12-1))),'Aset Takberwujud'!$AQ171/'Aset Takberwujud'!$AG171,0)))</f>
        <v/>
      </c>
      <c r="P376" s="22" t="str">
        <f>IF($B376="","",IF(N('Aset Takberwujud'!$AG171)=0,0,IF(AND((YEAR(P$211)*12+MONTH(P$211))&gt;='Aset Takberwujud'!$Y171,(YEAR(P$211)*12+MONTH(P$211))&lt;=MIN('Aset Takberwujud'!$Z171,IF('Aset Takberwujud'!$S171="Unit Produksi",99999,'Aset Takberwujud'!$Y171+'Aset Takberwujud'!$T171*12-1))),'Aset Takberwujud'!$AQ171/'Aset Takberwujud'!$AG171,0)))</f>
        <v/>
      </c>
      <c r="Q376" s="22" t="str">
        <f>IF($B376="","",SUM(E376:P376))</f>
        <v/>
      </c>
      <c r="R376" s="22" t="str">
        <f>IF($B376="","",'Aset Takberwujud'!AQ171)</f>
        <v/>
      </c>
      <c r="S376" s="22" t="str">
        <f>IF($B376="","",ROUND(Q376-R376,0))</f>
        <v/>
      </c>
    </row>
    <row r="377" spans="1:19" x14ac:dyDescent="0.25">
      <c r="A377" t="str">
        <f>IF('Aset Takberwujud'!$B172="","",'Aset Takberwujud'!A172)</f>
        <v/>
      </c>
      <c r="B377" t="str">
        <f>IF('Aset Takberwujud'!$B172="","",'Aset Takberwujud'!B172)</f>
        <v/>
      </c>
      <c r="C377" t="str">
        <f>IF('Aset Takberwujud'!$B172="","",'Aset Takberwujud'!C172)</f>
        <v/>
      </c>
      <c r="D377" t="str">
        <f>IF('Aset Takberwujud'!$B172="","",'Aset Takberwujud'!D172)</f>
        <v/>
      </c>
      <c r="E377" s="22" t="str">
        <f>IF($B377="","",IF(N('Aset Takberwujud'!$AG172)=0,0,IF(AND((YEAR(E$211)*12+MONTH(E$211))&gt;='Aset Takberwujud'!$Y172,(YEAR(E$211)*12+MONTH(E$211))&lt;=MIN('Aset Takberwujud'!$Z172,IF('Aset Takberwujud'!$S172="Unit Produksi",99999,'Aset Takberwujud'!$Y172+'Aset Takberwujud'!$T172*12-1))),'Aset Takberwujud'!$AQ172/'Aset Takberwujud'!$AG172,0)))</f>
        <v/>
      </c>
      <c r="F377" s="22" t="str">
        <f>IF($B377="","",IF(N('Aset Takberwujud'!$AG172)=0,0,IF(AND((YEAR(F$211)*12+MONTH(F$211))&gt;='Aset Takberwujud'!$Y172,(YEAR(F$211)*12+MONTH(F$211))&lt;=MIN('Aset Takberwujud'!$Z172,IF('Aset Takberwujud'!$S172="Unit Produksi",99999,'Aset Takberwujud'!$Y172+'Aset Takberwujud'!$T172*12-1))),'Aset Takberwujud'!$AQ172/'Aset Takberwujud'!$AG172,0)))</f>
        <v/>
      </c>
      <c r="G377" s="22" t="str">
        <f>IF($B377="","",IF(N('Aset Takberwujud'!$AG172)=0,0,IF(AND((YEAR(G$211)*12+MONTH(G$211))&gt;='Aset Takberwujud'!$Y172,(YEAR(G$211)*12+MONTH(G$211))&lt;=MIN('Aset Takberwujud'!$Z172,IF('Aset Takberwujud'!$S172="Unit Produksi",99999,'Aset Takberwujud'!$Y172+'Aset Takberwujud'!$T172*12-1))),'Aset Takberwujud'!$AQ172/'Aset Takberwujud'!$AG172,0)))</f>
        <v/>
      </c>
      <c r="H377" s="22" t="str">
        <f>IF($B377="","",IF(N('Aset Takberwujud'!$AG172)=0,0,IF(AND((YEAR(H$211)*12+MONTH(H$211))&gt;='Aset Takberwujud'!$Y172,(YEAR(H$211)*12+MONTH(H$211))&lt;=MIN('Aset Takberwujud'!$Z172,IF('Aset Takberwujud'!$S172="Unit Produksi",99999,'Aset Takberwujud'!$Y172+'Aset Takberwujud'!$T172*12-1))),'Aset Takberwujud'!$AQ172/'Aset Takberwujud'!$AG172,0)))</f>
        <v/>
      </c>
      <c r="I377" s="22" t="str">
        <f>IF($B377="","",IF(N('Aset Takberwujud'!$AG172)=0,0,IF(AND((YEAR(I$211)*12+MONTH(I$211))&gt;='Aset Takberwujud'!$Y172,(YEAR(I$211)*12+MONTH(I$211))&lt;=MIN('Aset Takberwujud'!$Z172,IF('Aset Takberwujud'!$S172="Unit Produksi",99999,'Aset Takberwujud'!$Y172+'Aset Takberwujud'!$T172*12-1))),'Aset Takberwujud'!$AQ172/'Aset Takberwujud'!$AG172,0)))</f>
        <v/>
      </c>
      <c r="J377" s="22" t="str">
        <f>IF($B377="","",IF(N('Aset Takberwujud'!$AG172)=0,0,IF(AND((YEAR(J$211)*12+MONTH(J$211))&gt;='Aset Takberwujud'!$Y172,(YEAR(J$211)*12+MONTH(J$211))&lt;=MIN('Aset Takberwujud'!$Z172,IF('Aset Takberwujud'!$S172="Unit Produksi",99999,'Aset Takberwujud'!$Y172+'Aset Takberwujud'!$T172*12-1))),'Aset Takberwujud'!$AQ172/'Aset Takberwujud'!$AG172,0)))</f>
        <v/>
      </c>
      <c r="K377" s="22" t="str">
        <f>IF($B377="","",IF(N('Aset Takberwujud'!$AG172)=0,0,IF(AND((YEAR(K$211)*12+MONTH(K$211))&gt;='Aset Takberwujud'!$Y172,(YEAR(K$211)*12+MONTH(K$211))&lt;=MIN('Aset Takberwujud'!$Z172,IF('Aset Takberwujud'!$S172="Unit Produksi",99999,'Aset Takberwujud'!$Y172+'Aset Takberwujud'!$T172*12-1))),'Aset Takberwujud'!$AQ172/'Aset Takberwujud'!$AG172,0)))</f>
        <v/>
      </c>
      <c r="L377" s="22" t="str">
        <f>IF($B377="","",IF(N('Aset Takberwujud'!$AG172)=0,0,IF(AND((YEAR(L$211)*12+MONTH(L$211))&gt;='Aset Takberwujud'!$Y172,(YEAR(L$211)*12+MONTH(L$211))&lt;=MIN('Aset Takberwujud'!$Z172,IF('Aset Takberwujud'!$S172="Unit Produksi",99999,'Aset Takberwujud'!$Y172+'Aset Takberwujud'!$T172*12-1))),'Aset Takberwujud'!$AQ172/'Aset Takberwujud'!$AG172,0)))</f>
        <v/>
      </c>
      <c r="M377" s="22" t="str">
        <f>IF($B377="","",IF(N('Aset Takberwujud'!$AG172)=0,0,IF(AND((YEAR(M$211)*12+MONTH(M$211))&gt;='Aset Takberwujud'!$Y172,(YEAR(M$211)*12+MONTH(M$211))&lt;=MIN('Aset Takberwujud'!$Z172,IF('Aset Takberwujud'!$S172="Unit Produksi",99999,'Aset Takberwujud'!$Y172+'Aset Takberwujud'!$T172*12-1))),'Aset Takberwujud'!$AQ172/'Aset Takberwujud'!$AG172,0)))</f>
        <v/>
      </c>
      <c r="N377" s="22" t="str">
        <f>IF($B377="","",IF(N('Aset Takberwujud'!$AG172)=0,0,IF(AND((YEAR(N$211)*12+MONTH(N$211))&gt;='Aset Takberwujud'!$Y172,(YEAR(N$211)*12+MONTH(N$211))&lt;=MIN('Aset Takberwujud'!$Z172,IF('Aset Takberwujud'!$S172="Unit Produksi",99999,'Aset Takberwujud'!$Y172+'Aset Takberwujud'!$T172*12-1))),'Aset Takberwujud'!$AQ172/'Aset Takberwujud'!$AG172,0)))</f>
        <v/>
      </c>
      <c r="O377" s="22" t="str">
        <f>IF($B377="","",IF(N('Aset Takberwujud'!$AG172)=0,0,IF(AND((YEAR(O$211)*12+MONTH(O$211))&gt;='Aset Takberwujud'!$Y172,(YEAR(O$211)*12+MONTH(O$211))&lt;=MIN('Aset Takberwujud'!$Z172,IF('Aset Takberwujud'!$S172="Unit Produksi",99999,'Aset Takberwujud'!$Y172+'Aset Takberwujud'!$T172*12-1))),'Aset Takberwujud'!$AQ172/'Aset Takberwujud'!$AG172,0)))</f>
        <v/>
      </c>
      <c r="P377" s="22" t="str">
        <f>IF($B377="","",IF(N('Aset Takberwujud'!$AG172)=0,0,IF(AND((YEAR(P$211)*12+MONTH(P$211))&gt;='Aset Takberwujud'!$Y172,(YEAR(P$211)*12+MONTH(P$211))&lt;=MIN('Aset Takberwujud'!$Z172,IF('Aset Takberwujud'!$S172="Unit Produksi",99999,'Aset Takberwujud'!$Y172+'Aset Takberwujud'!$T172*12-1))),'Aset Takberwujud'!$AQ172/'Aset Takberwujud'!$AG172,0)))</f>
        <v/>
      </c>
      <c r="Q377" s="22" t="str">
        <f>IF($B377="","",SUM(E377:P377))</f>
        <v/>
      </c>
      <c r="R377" s="22" t="str">
        <f>IF($B377="","",'Aset Takberwujud'!AQ172)</f>
        <v/>
      </c>
      <c r="S377" s="22" t="str">
        <f>IF($B377="","",ROUND(Q377-R377,0))</f>
        <v/>
      </c>
    </row>
    <row r="378" spans="1:19" x14ac:dyDescent="0.25">
      <c r="A378" t="str">
        <f>IF('Aset Takberwujud'!$B173="","",'Aset Takberwujud'!A173)</f>
        <v/>
      </c>
      <c r="B378" t="str">
        <f>IF('Aset Takberwujud'!$B173="","",'Aset Takberwujud'!B173)</f>
        <v/>
      </c>
      <c r="C378" t="str">
        <f>IF('Aset Takberwujud'!$B173="","",'Aset Takberwujud'!C173)</f>
        <v/>
      </c>
      <c r="D378" t="str">
        <f>IF('Aset Takberwujud'!$B173="","",'Aset Takberwujud'!D173)</f>
        <v/>
      </c>
      <c r="E378" s="22" t="str">
        <f>IF($B378="","",IF(N('Aset Takberwujud'!$AG173)=0,0,IF(AND((YEAR(E$211)*12+MONTH(E$211))&gt;='Aset Takberwujud'!$Y173,(YEAR(E$211)*12+MONTH(E$211))&lt;=MIN('Aset Takberwujud'!$Z173,IF('Aset Takberwujud'!$S173="Unit Produksi",99999,'Aset Takberwujud'!$Y173+'Aset Takberwujud'!$T173*12-1))),'Aset Takberwujud'!$AQ173/'Aset Takberwujud'!$AG173,0)))</f>
        <v/>
      </c>
      <c r="F378" s="22" t="str">
        <f>IF($B378="","",IF(N('Aset Takberwujud'!$AG173)=0,0,IF(AND((YEAR(F$211)*12+MONTH(F$211))&gt;='Aset Takberwujud'!$Y173,(YEAR(F$211)*12+MONTH(F$211))&lt;=MIN('Aset Takberwujud'!$Z173,IF('Aset Takberwujud'!$S173="Unit Produksi",99999,'Aset Takberwujud'!$Y173+'Aset Takberwujud'!$T173*12-1))),'Aset Takberwujud'!$AQ173/'Aset Takberwujud'!$AG173,0)))</f>
        <v/>
      </c>
      <c r="G378" s="22" t="str">
        <f>IF($B378="","",IF(N('Aset Takberwujud'!$AG173)=0,0,IF(AND((YEAR(G$211)*12+MONTH(G$211))&gt;='Aset Takberwujud'!$Y173,(YEAR(G$211)*12+MONTH(G$211))&lt;=MIN('Aset Takberwujud'!$Z173,IF('Aset Takberwujud'!$S173="Unit Produksi",99999,'Aset Takberwujud'!$Y173+'Aset Takberwujud'!$T173*12-1))),'Aset Takberwujud'!$AQ173/'Aset Takberwujud'!$AG173,0)))</f>
        <v/>
      </c>
      <c r="H378" s="22" t="str">
        <f>IF($B378="","",IF(N('Aset Takberwujud'!$AG173)=0,0,IF(AND((YEAR(H$211)*12+MONTH(H$211))&gt;='Aset Takberwujud'!$Y173,(YEAR(H$211)*12+MONTH(H$211))&lt;=MIN('Aset Takberwujud'!$Z173,IF('Aset Takberwujud'!$S173="Unit Produksi",99999,'Aset Takberwujud'!$Y173+'Aset Takberwujud'!$T173*12-1))),'Aset Takberwujud'!$AQ173/'Aset Takberwujud'!$AG173,0)))</f>
        <v/>
      </c>
      <c r="I378" s="22" t="str">
        <f>IF($B378="","",IF(N('Aset Takberwujud'!$AG173)=0,0,IF(AND((YEAR(I$211)*12+MONTH(I$211))&gt;='Aset Takberwujud'!$Y173,(YEAR(I$211)*12+MONTH(I$211))&lt;=MIN('Aset Takberwujud'!$Z173,IF('Aset Takberwujud'!$S173="Unit Produksi",99999,'Aset Takberwujud'!$Y173+'Aset Takberwujud'!$T173*12-1))),'Aset Takberwujud'!$AQ173/'Aset Takberwujud'!$AG173,0)))</f>
        <v/>
      </c>
      <c r="J378" s="22" t="str">
        <f>IF($B378="","",IF(N('Aset Takberwujud'!$AG173)=0,0,IF(AND((YEAR(J$211)*12+MONTH(J$211))&gt;='Aset Takberwujud'!$Y173,(YEAR(J$211)*12+MONTH(J$211))&lt;=MIN('Aset Takberwujud'!$Z173,IF('Aset Takberwujud'!$S173="Unit Produksi",99999,'Aset Takberwujud'!$Y173+'Aset Takberwujud'!$T173*12-1))),'Aset Takberwujud'!$AQ173/'Aset Takberwujud'!$AG173,0)))</f>
        <v/>
      </c>
      <c r="K378" s="22" t="str">
        <f>IF($B378="","",IF(N('Aset Takberwujud'!$AG173)=0,0,IF(AND((YEAR(K$211)*12+MONTH(K$211))&gt;='Aset Takberwujud'!$Y173,(YEAR(K$211)*12+MONTH(K$211))&lt;=MIN('Aset Takberwujud'!$Z173,IF('Aset Takberwujud'!$S173="Unit Produksi",99999,'Aset Takberwujud'!$Y173+'Aset Takberwujud'!$T173*12-1))),'Aset Takberwujud'!$AQ173/'Aset Takberwujud'!$AG173,0)))</f>
        <v/>
      </c>
      <c r="L378" s="22" t="str">
        <f>IF($B378="","",IF(N('Aset Takberwujud'!$AG173)=0,0,IF(AND((YEAR(L$211)*12+MONTH(L$211))&gt;='Aset Takberwujud'!$Y173,(YEAR(L$211)*12+MONTH(L$211))&lt;=MIN('Aset Takberwujud'!$Z173,IF('Aset Takberwujud'!$S173="Unit Produksi",99999,'Aset Takberwujud'!$Y173+'Aset Takberwujud'!$T173*12-1))),'Aset Takberwujud'!$AQ173/'Aset Takberwujud'!$AG173,0)))</f>
        <v/>
      </c>
      <c r="M378" s="22" t="str">
        <f>IF($B378="","",IF(N('Aset Takberwujud'!$AG173)=0,0,IF(AND((YEAR(M$211)*12+MONTH(M$211))&gt;='Aset Takberwujud'!$Y173,(YEAR(M$211)*12+MONTH(M$211))&lt;=MIN('Aset Takberwujud'!$Z173,IF('Aset Takberwujud'!$S173="Unit Produksi",99999,'Aset Takberwujud'!$Y173+'Aset Takberwujud'!$T173*12-1))),'Aset Takberwujud'!$AQ173/'Aset Takberwujud'!$AG173,0)))</f>
        <v/>
      </c>
      <c r="N378" s="22" t="str">
        <f>IF($B378="","",IF(N('Aset Takberwujud'!$AG173)=0,0,IF(AND((YEAR(N$211)*12+MONTH(N$211))&gt;='Aset Takberwujud'!$Y173,(YEAR(N$211)*12+MONTH(N$211))&lt;=MIN('Aset Takberwujud'!$Z173,IF('Aset Takberwujud'!$S173="Unit Produksi",99999,'Aset Takberwujud'!$Y173+'Aset Takberwujud'!$T173*12-1))),'Aset Takberwujud'!$AQ173/'Aset Takberwujud'!$AG173,0)))</f>
        <v/>
      </c>
      <c r="O378" s="22" t="str">
        <f>IF($B378="","",IF(N('Aset Takberwujud'!$AG173)=0,0,IF(AND((YEAR(O$211)*12+MONTH(O$211))&gt;='Aset Takberwujud'!$Y173,(YEAR(O$211)*12+MONTH(O$211))&lt;=MIN('Aset Takberwujud'!$Z173,IF('Aset Takberwujud'!$S173="Unit Produksi",99999,'Aset Takberwujud'!$Y173+'Aset Takberwujud'!$T173*12-1))),'Aset Takberwujud'!$AQ173/'Aset Takberwujud'!$AG173,0)))</f>
        <v/>
      </c>
      <c r="P378" s="22" t="str">
        <f>IF($B378="","",IF(N('Aset Takberwujud'!$AG173)=0,0,IF(AND((YEAR(P$211)*12+MONTH(P$211))&gt;='Aset Takberwujud'!$Y173,(YEAR(P$211)*12+MONTH(P$211))&lt;=MIN('Aset Takberwujud'!$Z173,IF('Aset Takberwujud'!$S173="Unit Produksi",99999,'Aset Takberwujud'!$Y173+'Aset Takberwujud'!$T173*12-1))),'Aset Takberwujud'!$AQ173/'Aset Takberwujud'!$AG173,0)))</f>
        <v/>
      </c>
      <c r="Q378" s="22" t="str">
        <f>IF($B378="","",SUM(E378:P378))</f>
        <v/>
      </c>
      <c r="R378" s="22" t="str">
        <f>IF($B378="","",'Aset Takberwujud'!AQ173)</f>
        <v/>
      </c>
      <c r="S378" s="22" t="str">
        <f>IF($B378="","",ROUND(Q378-R378,0))</f>
        <v/>
      </c>
    </row>
    <row r="379" spans="1:19" x14ac:dyDescent="0.25">
      <c r="A379" t="str">
        <f>IF('Aset Takberwujud'!$B174="","",'Aset Takberwujud'!A174)</f>
        <v/>
      </c>
      <c r="B379" t="str">
        <f>IF('Aset Takberwujud'!$B174="","",'Aset Takberwujud'!B174)</f>
        <v/>
      </c>
      <c r="C379" t="str">
        <f>IF('Aset Takberwujud'!$B174="","",'Aset Takberwujud'!C174)</f>
        <v/>
      </c>
      <c r="D379" t="str">
        <f>IF('Aset Takberwujud'!$B174="","",'Aset Takberwujud'!D174)</f>
        <v/>
      </c>
      <c r="E379" s="22" t="str">
        <f>IF($B379="","",IF(N('Aset Takberwujud'!$AG174)=0,0,IF(AND((YEAR(E$211)*12+MONTH(E$211))&gt;='Aset Takberwujud'!$Y174,(YEAR(E$211)*12+MONTH(E$211))&lt;=MIN('Aset Takberwujud'!$Z174,IF('Aset Takberwujud'!$S174="Unit Produksi",99999,'Aset Takberwujud'!$Y174+'Aset Takberwujud'!$T174*12-1))),'Aset Takberwujud'!$AQ174/'Aset Takberwujud'!$AG174,0)))</f>
        <v/>
      </c>
      <c r="F379" s="22" t="str">
        <f>IF($B379="","",IF(N('Aset Takberwujud'!$AG174)=0,0,IF(AND((YEAR(F$211)*12+MONTH(F$211))&gt;='Aset Takberwujud'!$Y174,(YEAR(F$211)*12+MONTH(F$211))&lt;=MIN('Aset Takberwujud'!$Z174,IF('Aset Takberwujud'!$S174="Unit Produksi",99999,'Aset Takberwujud'!$Y174+'Aset Takberwujud'!$T174*12-1))),'Aset Takberwujud'!$AQ174/'Aset Takberwujud'!$AG174,0)))</f>
        <v/>
      </c>
      <c r="G379" s="22" t="str">
        <f>IF($B379="","",IF(N('Aset Takberwujud'!$AG174)=0,0,IF(AND((YEAR(G$211)*12+MONTH(G$211))&gt;='Aset Takberwujud'!$Y174,(YEAR(G$211)*12+MONTH(G$211))&lt;=MIN('Aset Takberwujud'!$Z174,IF('Aset Takberwujud'!$S174="Unit Produksi",99999,'Aset Takberwujud'!$Y174+'Aset Takberwujud'!$T174*12-1))),'Aset Takberwujud'!$AQ174/'Aset Takberwujud'!$AG174,0)))</f>
        <v/>
      </c>
      <c r="H379" s="22" t="str">
        <f>IF($B379="","",IF(N('Aset Takberwujud'!$AG174)=0,0,IF(AND((YEAR(H$211)*12+MONTH(H$211))&gt;='Aset Takberwujud'!$Y174,(YEAR(H$211)*12+MONTH(H$211))&lt;=MIN('Aset Takberwujud'!$Z174,IF('Aset Takberwujud'!$S174="Unit Produksi",99999,'Aset Takberwujud'!$Y174+'Aset Takberwujud'!$T174*12-1))),'Aset Takberwujud'!$AQ174/'Aset Takberwujud'!$AG174,0)))</f>
        <v/>
      </c>
      <c r="I379" s="22" t="str">
        <f>IF($B379="","",IF(N('Aset Takberwujud'!$AG174)=0,0,IF(AND((YEAR(I$211)*12+MONTH(I$211))&gt;='Aset Takberwujud'!$Y174,(YEAR(I$211)*12+MONTH(I$211))&lt;=MIN('Aset Takberwujud'!$Z174,IF('Aset Takberwujud'!$S174="Unit Produksi",99999,'Aset Takberwujud'!$Y174+'Aset Takberwujud'!$T174*12-1))),'Aset Takberwujud'!$AQ174/'Aset Takberwujud'!$AG174,0)))</f>
        <v/>
      </c>
      <c r="J379" s="22" t="str">
        <f>IF($B379="","",IF(N('Aset Takberwujud'!$AG174)=0,0,IF(AND((YEAR(J$211)*12+MONTH(J$211))&gt;='Aset Takberwujud'!$Y174,(YEAR(J$211)*12+MONTH(J$211))&lt;=MIN('Aset Takberwujud'!$Z174,IF('Aset Takberwujud'!$S174="Unit Produksi",99999,'Aset Takberwujud'!$Y174+'Aset Takberwujud'!$T174*12-1))),'Aset Takberwujud'!$AQ174/'Aset Takberwujud'!$AG174,0)))</f>
        <v/>
      </c>
      <c r="K379" s="22" t="str">
        <f>IF($B379="","",IF(N('Aset Takberwujud'!$AG174)=0,0,IF(AND((YEAR(K$211)*12+MONTH(K$211))&gt;='Aset Takberwujud'!$Y174,(YEAR(K$211)*12+MONTH(K$211))&lt;=MIN('Aset Takberwujud'!$Z174,IF('Aset Takberwujud'!$S174="Unit Produksi",99999,'Aset Takberwujud'!$Y174+'Aset Takberwujud'!$T174*12-1))),'Aset Takberwujud'!$AQ174/'Aset Takberwujud'!$AG174,0)))</f>
        <v/>
      </c>
      <c r="L379" s="22" t="str">
        <f>IF($B379="","",IF(N('Aset Takberwujud'!$AG174)=0,0,IF(AND((YEAR(L$211)*12+MONTH(L$211))&gt;='Aset Takberwujud'!$Y174,(YEAR(L$211)*12+MONTH(L$211))&lt;=MIN('Aset Takberwujud'!$Z174,IF('Aset Takberwujud'!$S174="Unit Produksi",99999,'Aset Takberwujud'!$Y174+'Aset Takberwujud'!$T174*12-1))),'Aset Takberwujud'!$AQ174/'Aset Takberwujud'!$AG174,0)))</f>
        <v/>
      </c>
      <c r="M379" s="22" t="str">
        <f>IF($B379="","",IF(N('Aset Takberwujud'!$AG174)=0,0,IF(AND((YEAR(M$211)*12+MONTH(M$211))&gt;='Aset Takberwujud'!$Y174,(YEAR(M$211)*12+MONTH(M$211))&lt;=MIN('Aset Takberwujud'!$Z174,IF('Aset Takberwujud'!$S174="Unit Produksi",99999,'Aset Takberwujud'!$Y174+'Aset Takberwujud'!$T174*12-1))),'Aset Takberwujud'!$AQ174/'Aset Takberwujud'!$AG174,0)))</f>
        <v/>
      </c>
      <c r="N379" s="22" t="str">
        <f>IF($B379="","",IF(N('Aset Takberwujud'!$AG174)=0,0,IF(AND((YEAR(N$211)*12+MONTH(N$211))&gt;='Aset Takberwujud'!$Y174,(YEAR(N$211)*12+MONTH(N$211))&lt;=MIN('Aset Takberwujud'!$Z174,IF('Aset Takberwujud'!$S174="Unit Produksi",99999,'Aset Takberwujud'!$Y174+'Aset Takberwujud'!$T174*12-1))),'Aset Takberwujud'!$AQ174/'Aset Takberwujud'!$AG174,0)))</f>
        <v/>
      </c>
      <c r="O379" s="22" t="str">
        <f>IF($B379="","",IF(N('Aset Takberwujud'!$AG174)=0,0,IF(AND((YEAR(O$211)*12+MONTH(O$211))&gt;='Aset Takberwujud'!$Y174,(YEAR(O$211)*12+MONTH(O$211))&lt;=MIN('Aset Takberwujud'!$Z174,IF('Aset Takberwujud'!$S174="Unit Produksi",99999,'Aset Takberwujud'!$Y174+'Aset Takberwujud'!$T174*12-1))),'Aset Takberwujud'!$AQ174/'Aset Takberwujud'!$AG174,0)))</f>
        <v/>
      </c>
      <c r="P379" s="22" t="str">
        <f>IF($B379="","",IF(N('Aset Takberwujud'!$AG174)=0,0,IF(AND((YEAR(P$211)*12+MONTH(P$211))&gt;='Aset Takberwujud'!$Y174,(YEAR(P$211)*12+MONTH(P$211))&lt;=MIN('Aset Takberwujud'!$Z174,IF('Aset Takberwujud'!$S174="Unit Produksi",99999,'Aset Takberwujud'!$Y174+'Aset Takberwujud'!$T174*12-1))),'Aset Takberwujud'!$AQ174/'Aset Takberwujud'!$AG174,0)))</f>
        <v/>
      </c>
      <c r="Q379" s="22" t="str">
        <f>IF($B379="","",SUM(E379:P379))</f>
        <v/>
      </c>
      <c r="R379" s="22" t="str">
        <f>IF($B379="","",'Aset Takberwujud'!AQ174)</f>
        <v/>
      </c>
      <c r="S379" s="22" t="str">
        <f>IF($B379="","",ROUND(Q379-R379,0))</f>
        <v/>
      </c>
    </row>
    <row r="380" spans="1:19" x14ac:dyDescent="0.25">
      <c r="A380" t="str">
        <f>IF('Aset Takberwujud'!$B175="","",'Aset Takberwujud'!A175)</f>
        <v/>
      </c>
      <c r="B380" t="str">
        <f>IF('Aset Takberwujud'!$B175="","",'Aset Takberwujud'!B175)</f>
        <v/>
      </c>
      <c r="C380" t="str">
        <f>IF('Aset Takberwujud'!$B175="","",'Aset Takberwujud'!C175)</f>
        <v/>
      </c>
      <c r="D380" t="str">
        <f>IF('Aset Takberwujud'!$B175="","",'Aset Takberwujud'!D175)</f>
        <v/>
      </c>
      <c r="E380" s="22" t="str">
        <f>IF($B380="","",IF(N('Aset Takberwujud'!$AG175)=0,0,IF(AND((YEAR(E$211)*12+MONTH(E$211))&gt;='Aset Takberwujud'!$Y175,(YEAR(E$211)*12+MONTH(E$211))&lt;=MIN('Aset Takberwujud'!$Z175,IF('Aset Takberwujud'!$S175="Unit Produksi",99999,'Aset Takberwujud'!$Y175+'Aset Takberwujud'!$T175*12-1))),'Aset Takberwujud'!$AQ175/'Aset Takberwujud'!$AG175,0)))</f>
        <v/>
      </c>
      <c r="F380" s="22" t="str">
        <f>IF($B380="","",IF(N('Aset Takberwujud'!$AG175)=0,0,IF(AND((YEAR(F$211)*12+MONTH(F$211))&gt;='Aset Takberwujud'!$Y175,(YEAR(F$211)*12+MONTH(F$211))&lt;=MIN('Aset Takberwujud'!$Z175,IF('Aset Takberwujud'!$S175="Unit Produksi",99999,'Aset Takberwujud'!$Y175+'Aset Takberwujud'!$T175*12-1))),'Aset Takberwujud'!$AQ175/'Aset Takberwujud'!$AG175,0)))</f>
        <v/>
      </c>
      <c r="G380" s="22" t="str">
        <f>IF($B380="","",IF(N('Aset Takberwujud'!$AG175)=0,0,IF(AND((YEAR(G$211)*12+MONTH(G$211))&gt;='Aset Takberwujud'!$Y175,(YEAR(G$211)*12+MONTH(G$211))&lt;=MIN('Aset Takberwujud'!$Z175,IF('Aset Takberwujud'!$S175="Unit Produksi",99999,'Aset Takberwujud'!$Y175+'Aset Takberwujud'!$T175*12-1))),'Aset Takberwujud'!$AQ175/'Aset Takberwujud'!$AG175,0)))</f>
        <v/>
      </c>
      <c r="H380" s="22" t="str">
        <f>IF($B380="","",IF(N('Aset Takberwujud'!$AG175)=0,0,IF(AND((YEAR(H$211)*12+MONTH(H$211))&gt;='Aset Takberwujud'!$Y175,(YEAR(H$211)*12+MONTH(H$211))&lt;=MIN('Aset Takberwujud'!$Z175,IF('Aset Takberwujud'!$S175="Unit Produksi",99999,'Aset Takberwujud'!$Y175+'Aset Takberwujud'!$T175*12-1))),'Aset Takberwujud'!$AQ175/'Aset Takberwujud'!$AG175,0)))</f>
        <v/>
      </c>
      <c r="I380" s="22" t="str">
        <f>IF($B380="","",IF(N('Aset Takberwujud'!$AG175)=0,0,IF(AND((YEAR(I$211)*12+MONTH(I$211))&gt;='Aset Takberwujud'!$Y175,(YEAR(I$211)*12+MONTH(I$211))&lt;=MIN('Aset Takberwujud'!$Z175,IF('Aset Takberwujud'!$S175="Unit Produksi",99999,'Aset Takberwujud'!$Y175+'Aset Takberwujud'!$T175*12-1))),'Aset Takberwujud'!$AQ175/'Aset Takberwujud'!$AG175,0)))</f>
        <v/>
      </c>
      <c r="J380" s="22" t="str">
        <f>IF($B380="","",IF(N('Aset Takberwujud'!$AG175)=0,0,IF(AND((YEAR(J$211)*12+MONTH(J$211))&gt;='Aset Takberwujud'!$Y175,(YEAR(J$211)*12+MONTH(J$211))&lt;=MIN('Aset Takberwujud'!$Z175,IF('Aset Takberwujud'!$S175="Unit Produksi",99999,'Aset Takberwujud'!$Y175+'Aset Takberwujud'!$T175*12-1))),'Aset Takberwujud'!$AQ175/'Aset Takberwujud'!$AG175,0)))</f>
        <v/>
      </c>
      <c r="K380" s="22" t="str">
        <f>IF($B380="","",IF(N('Aset Takberwujud'!$AG175)=0,0,IF(AND((YEAR(K$211)*12+MONTH(K$211))&gt;='Aset Takberwujud'!$Y175,(YEAR(K$211)*12+MONTH(K$211))&lt;=MIN('Aset Takberwujud'!$Z175,IF('Aset Takberwujud'!$S175="Unit Produksi",99999,'Aset Takberwujud'!$Y175+'Aset Takberwujud'!$T175*12-1))),'Aset Takberwujud'!$AQ175/'Aset Takberwujud'!$AG175,0)))</f>
        <v/>
      </c>
      <c r="L380" s="22" t="str">
        <f>IF($B380="","",IF(N('Aset Takberwujud'!$AG175)=0,0,IF(AND((YEAR(L$211)*12+MONTH(L$211))&gt;='Aset Takberwujud'!$Y175,(YEAR(L$211)*12+MONTH(L$211))&lt;=MIN('Aset Takberwujud'!$Z175,IF('Aset Takberwujud'!$S175="Unit Produksi",99999,'Aset Takberwujud'!$Y175+'Aset Takberwujud'!$T175*12-1))),'Aset Takberwujud'!$AQ175/'Aset Takberwujud'!$AG175,0)))</f>
        <v/>
      </c>
      <c r="M380" s="22" t="str">
        <f>IF($B380="","",IF(N('Aset Takberwujud'!$AG175)=0,0,IF(AND((YEAR(M$211)*12+MONTH(M$211))&gt;='Aset Takberwujud'!$Y175,(YEAR(M$211)*12+MONTH(M$211))&lt;=MIN('Aset Takberwujud'!$Z175,IF('Aset Takberwujud'!$S175="Unit Produksi",99999,'Aset Takberwujud'!$Y175+'Aset Takberwujud'!$T175*12-1))),'Aset Takberwujud'!$AQ175/'Aset Takberwujud'!$AG175,0)))</f>
        <v/>
      </c>
      <c r="N380" s="22" t="str">
        <f>IF($B380="","",IF(N('Aset Takberwujud'!$AG175)=0,0,IF(AND((YEAR(N$211)*12+MONTH(N$211))&gt;='Aset Takberwujud'!$Y175,(YEAR(N$211)*12+MONTH(N$211))&lt;=MIN('Aset Takberwujud'!$Z175,IF('Aset Takberwujud'!$S175="Unit Produksi",99999,'Aset Takberwujud'!$Y175+'Aset Takberwujud'!$T175*12-1))),'Aset Takberwujud'!$AQ175/'Aset Takberwujud'!$AG175,0)))</f>
        <v/>
      </c>
      <c r="O380" s="22" t="str">
        <f>IF($B380="","",IF(N('Aset Takberwujud'!$AG175)=0,0,IF(AND((YEAR(O$211)*12+MONTH(O$211))&gt;='Aset Takberwujud'!$Y175,(YEAR(O$211)*12+MONTH(O$211))&lt;=MIN('Aset Takberwujud'!$Z175,IF('Aset Takberwujud'!$S175="Unit Produksi",99999,'Aset Takberwujud'!$Y175+'Aset Takberwujud'!$T175*12-1))),'Aset Takberwujud'!$AQ175/'Aset Takberwujud'!$AG175,0)))</f>
        <v/>
      </c>
      <c r="P380" s="22" t="str">
        <f>IF($B380="","",IF(N('Aset Takberwujud'!$AG175)=0,0,IF(AND((YEAR(P$211)*12+MONTH(P$211))&gt;='Aset Takberwujud'!$Y175,(YEAR(P$211)*12+MONTH(P$211))&lt;=MIN('Aset Takberwujud'!$Z175,IF('Aset Takberwujud'!$S175="Unit Produksi",99999,'Aset Takberwujud'!$Y175+'Aset Takberwujud'!$T175*12-1))),'Aset Takberwujud'!$AQ175/'Aset Takberwujud'!$AG175,0)))</f>
        <v/>
      </c>
      <c r="Q380" s="22" t="str">
        <f>IF($B380="","",SUM(E380:P380))</f>
        <v/>
      </c>
      <c r="R380" s="22" t="str">
        <f>IF($B380="","",'Aset Takberwujud'!AQ175)</f>
        <v/>
      </c>
      <c r="S380" s="22" t="str">
        <f>IF($B380="","",ROUND(Q380-R380,0))</f>
        <v/>
      </c>
    </row>
    <row r="381" spans="1:19" x14ac:dyDescent="0.25">
      <c r="A381" t="str">
        <f>IF('Aset Takberwujud'!$B176="","",'Aset Takberwujud'!A176)</f>
        <v/>
      </c>
      <c r="B381" t="str">
        <f>IF('Aset Takberwujud'!$B176="","",'Aset Takberwujud'!B176)</f>
        <v/>
      </c>
      <c r="C381" t="str">
        <f>IF('Aset Takberwujud'!$B176="","",'Aset Takberwujud'!C176)</f>
        <v/>
      </c>
      <c r="D381" t="str">
        <f>IF('Aset Takberwujud'!$B176="","",'Aset Takberwujud'!D176)</f>
        <v/>
      </c>
      <c r="E381" s="22" t="str">
        <f>IF($B381="","",IF(N('Aset Takberwujud'!$AG176)=0,0,IF(AND((YEAR(E$211)*12+MONTH(E$211))&gt;='Aset Takberwujud'!$Y176,(YEAR(E$211)*12+MONTH(E$211))&lt;=MIN('Aset Takberwujud'!$Z176,IF('Aset Takberwujud'!$S176="Unit Produksi",99999,'Aset Takberwujud'!$Y176+'Aset Takberwujud'!$T176*12-1))),'Aset Takberwujud'!$AQ176/'Aset Takberwujud'!$AG176,0)))</f>
        <v/>
      </c>
      <c r="F381" s="22" t="str">
        <f>IF($B381="","",IF(N('Aset Takberwujud'!$AG176)=0,0,IF(AND((YEAR(F$211)*12+MONTH(F$211))&gt;='Aset Takberwujud'!$Y176,(YEAR(F$211)*12+MONTH(F$211))&lt;=MIN('Aset Takberwujud'!$Z176,IF('Aset Takberwujud'!$S176="Unit Produksi",99999,'Aset Takberwujud'!$Y176+'Aset Takberwujud'!$T176*12-1))),'Aset Takberwujud'!$AQ176/'Aset Takberwujud'!$AG176,0)))</f>
        <v/>
      </c>
      <c r="G381" s="22" t="str">
        <f>IF($B381="","",IF(N('Aset Takberwujud'!$AG176)=0,0,IF(AND((YEAR(G$211)*12+MONTH(G$211))&gt;='Aset Takberwujud'!$Y176,(YEAR(G$211)*12+MONTH(G$211))&lt;=MIN('Aset Takberwujud'!$Z176,IF('Aset Takberwujud'!$S176="Unit Produksi",99999,'Aset Takberwujud'!$Y176+'Aset Takberwujud'!$T176*12-1))),'Aset Takberwujud'!$AQ176/'Aset Takberwujud'!$AG176,0)))</f>
        <v/>
      </c>
      <c r="H381" s="22" t="str">
        <f>IF($B381="","",IF(N('Aset Takberwujud'!$AG176)=0,0,IF(AND((YEAR(H$211)*12+MONTH(H$211))&gt;='Aset Takberwujud'!$Y176,(YEAR(H$211)*12+MONTH(H$211))&lt;=MIN('Aset Takberwujud'!$Z176,IF('Aset Takberwujud'!$S176="Unit Produksi",99999,'Aset Takberwujud'!$Y176+'Aset Takberwujud'!$T176*12-1))),'Aset Takberwujud'!$AQ176/'Aset Takberwujud'!$AG176,0)))</f>
        <v/>
      </c>
      <c r="I381" s="22" t="str">
        <f>IF($B381="","",IF(N('Aset Takberwujud'!$AG176)=0,0,IF(AND((YEAR(I$211)*12+MONTH(I$211))&gt;='Aset Takberwujud'!$Y176,(YEAR(I$211)*12+MONTH(I$211))&lt;=MIN('Aset Takberwujud'!$Z176,IF('Aset Takberwujud'!$S176="Unit Produksi",99999,'Aset Takberwujud'!$Y176+'Aset Takberwujud'!$T176*12-1))),'Aset Takberwujud'!$AQ176/'Aset Takberwujud'!$AG176,0)))</f>
        <v/>
      </c>
      <c r="J381" s="22" t="str">
        <f>IF($B381="","",IF(N('Aset Takberwujud'!$AG176)=0,0,IF(AND((YEAR(J$211)*12+MONTH(J$211))&gt;='Aset Takberwujud'!$Y176,(YEAR(J$211)*12+MONTH(J$211))&lt;=MIN('Aset Takberwujud'!$Z176,IF('Aset Takberwujud'!$S176="Unit Produksi",99999,'Aset Takberwujud'!$Y176+'Aset Takberwujud'!$T176*12-1))),'Aset Takberwujud'!$AQ176/'Aset Takberwujud'!$AG176,0)))</f>
        <v/>
      </c>
      <c r="K381" s="22" t="str">
        <f>IF($B381="","",IF(N('Aset Takberwujud'!$AG176)=0,0,IF(AND((YEAR(K$211)*12+MONTH(K$211))&gt;='Aset Takberwujud'!$Y176,(YEAR(K$211)*12+MONTH(K$211))&lt;=MIN('Aset Takberwujud'!$Z176,IF('Aset Takberwujud'!$S176="Unit Produksi",99999,'Aset Takberwujud'!$Y176+'Aset Takberwujud'!$T176*12-1))),'Aset Takberwujud'!$AQ176/'Aset Takberwujud'!$AG176,0)))</f>
        <v/>
      </c>
      <c r="L381" s="22" t="str">
        <f>IF($B381="","",IF(N('Aset Takberwujud'!$AG176)=0,0,IF(AND((YEAR(L$211)*12+MONTH(L$211))&gt;='Aset Takberwujud'!$Y176,(YEAR(L$211)*12+MONTH(L$211))&lt;=MIN('Aset Takberwujud'!$Z176,IF('Aset Takberwujud'!$S176="Unit Produksi",99999,'Aset Takberwujud'!$Y176+'Aset Takberwujud'!$T176*12-1))),'Aset Takberwujud'!$AQ176/'Aset Takberwujud'!$AG176,0)))</f>
        <v/>
      </c>
      <c r="M381" s="22" t="str">
        <f>IF($B381="","",IF(N('Aset Takberwujud'!$AG176)=0,0,IF(AND((YEAR(M$211)*12+MONTH(M$211))&gt;='Aset Takberwujud'!$Y176,(YEAR(M$211)*12+MONTH(M$211))&lt;=MIN('Aset Takberwujud'!$Z176,IF('Aset Takberwujud'!$S176="Unit Produksi",99999,'Aset Takberwujud'!$Y176+'Aset Takberwujud'!$T176*12-1))),'Aset Takberwujud'!$AQ176/'Aset Takberwujud'!$AG176,0)))</f>
        <v/>
      </c>
      <c r="N381" s="22" t="str">
        <f>IF($B381="","",IF(N('Aset Takberwujud'!$AG176)=0,0,IF(AND((YEAR(N$211)*12+MONTH(N$211))&gt;='Aset Takberwujud'!$Y176,(YEAR(N$211)*12+MONTH(N$211))&lt;=MIN('Aset Takberwujud'!$Z176,IF('Aset Takberwujud'!$S176="Unit Produksi",99999,'Aset Takberwujud'!$Y176+'Aset Takberwujud'!$T176*12-1))),'Aset Takberwujud'!$AQ176/'Aset Takberwujud'!$AG176,0)))</f>
        <v/>
      </c>
      <c r="O381" s="22" t="str">
        <f>IF($B381="","",IF(N('Aset Takberwujud'!$AG176)=0,0,IF(AND((YEAR(O$211)*12+MONTH(O$211))&gt;='Aset Takberwujud'!$Y176,(YEAR(O$211)*12+MONTH(O$211))&lt;=MIN('Aset Takberwujud'!$Z176,IF('Aset Takberwujud'!$S176="Unit Produksi",99999,'Aset Takberwujud'!$Y176+'Aset Takberwujud'!$T176*12-1))),'Aset Takberwujud'!$AQ176/'Aset Takberwujud'!$AG176,0)))</f>
        <v/>
      </c>
      <c r="P381" s="22" t="str">
        <f>IF($B381="","",IF(N('Aset Takberwujud'!$AG176)=0,0,IF(AND((YEAR(P$211)*12+MONTH(P$211))&gt;='Aset Takberwujud'!$Y176,(YEAR(P$211)*12+MONTH(P$211))&lt;=MIN('Aset Takberwujud'!$Z176,IF('Aset Takberwujud'!$S176="Unit Produksi",99999,'Aset Takberwujud'!$Y176+'Aset Takberwujud'!$T176*12-1))),'Aset Takberwujud'!$AQ176/'Aset Takberwujud'!$AG176,0)))</f>
        <v/>
      </c>
      <c r="Q381" s="22" t="str">
        <f>IF($B381="","",SUM(E381:P381))</f>
        <v/>
      </c>
      <c r="R381" s="22" t="str">
        <f>IF($B381="","",'Aset Takberwujud'!AQ176)</f>
        <v/>
      </c>
      <c r="S381" s="22" t="str">
        <f>IF($B381="","",ROUND(Q381-R381,0))</f>
        <v/>
      </c>
    </row>
    <row r="382" spans="1:19" x14ac:dyDescent="0.25">
      <c r="A382" t="str">
        <f>IF('Aset Takberwujud'!$B177="","",'Aset Takberwujud'!A177)</f>
        <v/>
      </c>
      <c r="B382" t="str">
        <f>IF('Aset Takberwujud'!$B177="","",'Aset Takberwujud'!B177)</f>
        <v/>
      </c>
      <c r="C382" t="str">
        <f>IF('Aset Takberwujud'!$B177="","",'Aset Takberwujud'!C177)</f>
        <v/>
      </c>
      <c r="D382" t="str">
        <f>IF('Aset Takberwujud'!$B177="","",'Aset Takberwujud'!D177)</f>
        <v/>
      </c>
      <c r="E382" s="22" t="str">
        <f>IF($B382="","",IF(N('Aset Takberwujud'!$AG177)=0,0,IF(AND((YEAR(E$211)*12+MONTH(E$211))&gt;='Aset Takberwujud'!$Y177,(YEAR(E$211)*12+MONTH(E$211))&lt;=MIN('Aset Takberwujud'!$Z177,IF('Aset Takberwujud'!$S177="Unit Produksi",99999,'Aset Takberwujud'!$Y177+'Aset Takberwujud'!$T177*12-1))),'Aset Takberwujud'!$AQ177/'Aset Takberwujud'!$AG177,0)))</f>
        <v/>
      </c>
      <c r="F382" s="22" t="str">
        <f>IF($B382="","",IF(N('Aset Takberwujud'!$AG177)=0,0,IF(AND((YEAR(F$211)*12+MONTH(F$211))&gt;='Aset Takberwujud'!$Y177,(YEAR(F$211)*12+MONTH(F$211))&lt;=MIN('Aset Takberwujud'!$Z177,IF('Aset Takberwujud'!$S177="Unit Produksi",99999,'Aset Takberwujud'!$Y177+'Aset Takberwujud'!$T177*12-1))),'Aset Takberwujud'!$AQ177/'Aset Takberwujud'!$AG177,0)))</f>
        <v/>
      </c>
      <c r="G382" s="22" t="str">
        <f>IF($B382="","",IF(N('Aset Takberwujud'!$AG177)=0,0,IF(AND((YEAR(G$211)*12+MONTH(G$211))&gt;='Aset Takberwujud'!$Y177,(YEAR(G$211)*12+MONTH(G$211))&lt;=MIN('Aset Takberwujud'!$Z177,IF('Aset Takberwujud'!$S177="Unit Produksi",99999,'Aset Takberwujud'!$Y177+'Aset Takberwujud'!$T177*12-1))),'Aset Takberwujud'!$AQ177/'Aset Takberwujud'!$AG177,0)))</f>
        <v/>
      </c>
      <c r="H382" s="22" t="str">
        <f>IF($B382="","",IF(N('Aset Takberwujud'!$AG177)=0,0,IF(AND((YEAR(H$211)*12+MONTH(H$211))&gt;='Aset Takberwujud'!$Y177,(YEAR(H$211)*12+MONTH(H$211))&lt;=MIN('Aset Takberwujud'!$Z177,IF('Aset Takberwujud'!$S177="Unit Produksi",99999,'Aset Takberwujud'!$Y177+'Aset Takberwujud'!$T177*12-1))),'Aset Takberwujud'!$AQ177/'Aset Takberwujud'!$AG177,0)))</f>
        <v/>
      </c>
      <c r="I382" s="22" t="str">
        <f>IF($B382="","",IF(N('Aset Takberwujud'!$AG177)=0,0,IF(AND((YEAR(I$211)*12+MONTH(I$211))&gt;='Aset Takberwujud'!$Y177,(YEAR(I$211)*12+MONTH(I$211))&lt;=MIN('Aset Takberwujud'!$Z177,IF('Aset Takberwujud'!$S177="Unit Produksi",99999,'Aset Takberwujud'!$Y177+'Aset Takberwujud'!$T177*12-1))),'Aset Takberwujud'!$AQ177/'Aset Takberwujud'!$AG177,0)))</f>
        <v/>
      </c>
      <c r="J382" s="22" t="str">
        <f>IF($B382="","",IF(N('Aset Takberwujud'!$AG177)=0,0,IF(AND((YEAR(J$211)*12+MONTH(J$211))&gt;='Aset Takberwujud'!$Y177,(YEAR(J$211)*12+MONTH(J$211))&lt;=MIN('Aset Takberwujud'!$Z177,IF('Aset Takberwujud'!$S177="Unit Produksi",99999,'Aset Takberwujud'!$Y177+'Aset Takberwujud'!$T177*12-1))),'Aset Takberwujud'!$AQ177/'Aset Takberwujud'!$AG177,0)))</f>
        <v/>
      </c>
      <c r="K382" s="22" t="str">
        <f>IF($B382="","",IF(N('Aset Takberwujud'!$AG177)=0,0,IF(AND((YEAR(K$211)*12+MONTH(K$211))&gt;='Aset Takberwujud'!$Y177,(YEAR(K$211)*12+MONTH(K$211))&lt;=MIN('Aset Takberwujud'!$Z177,IF('Aset Takberwujud'!$S177="Unit Produksi",99999,'Aset Takberwujud'!$Y177+'Aset Takberwujud'!$T177*12-1))),'Aset Takberwujud'!$AQ177/'Aset Takberwujud'!$AG177,0)))</f>
        <v/>
      </c>
      <c r="L382" s="22" t="str">
        <f>IF($B382="","",IF(N('Aset Takberwujud'!$AG177)=0,0,IF(AND((YEAR(L$211)*12+MONTH(L$211))&gt;='Aset Takberwujud'!$Y177,(YEAR(L$211)*12+MONTH(L$211))&lt;=MIN('Aset Takberwujud'!$Z177,IF('Aset Takberwujud'!$S177="Unit Produksi",99999,'Aset Takberwujud'!$Y177+'Aset Takberwujud'!$T177*12-1))),'Aset Takberwujud'!$AQ177/'Aset Takberwujud'!$AG177,0)))</f>
        <v/>
      </c>
      <c r="M382" s="22" t="str">
        <f>IF($B382="","",IF(N('Aset Takberwujud'!$AG177)=0,0,IF(AND((YEAR(M$211)*12+MONTH(M$211))&gt;='Aset Takberwujud'!$Y177,(YEAR(M$211)*12+MONTH(M$211))&lt;=MIN('Aset Takberwujud'!$Z177,IF('Aset Takberwujud'!$S177="Unit Produksi",99999,'Aset Takberwujud'!$Y177+'Aset Takberwujud'!$T177*12-1))),'Aset Takberwujud'!$AQ177/'Aset Takberwujud'!$AG177,0)))</f>
        <v/>
      </c>
      <c r="N382" s="22" t="str">
        <f>IF($B382="","",IF(N('Aset Takberwujud'!$AG177)=0,0,IF(AND((YEAR(N$211)*12+MONTH(N$211))&gt;='Aset Takberwujud'!$Y177,(YEAR(N$211)*12+MONTH(N$211))&lt;=MIN('Aset Takberwujud'!$Z177,IF('Aset Takberwujud'!$S177="Unit Produksi",99999,'Aset Takberwujud'!$Y177+'Aset Takberwujud'!$T177*12-1))),'Aset Takberwujud'!$AQ177/'Aset Takberwujud'!$AG177,0)))</f>
        <v/>
      </c>
      <c r="O382" s="22" t="str">
        <f>IF($B382="","",IF(N('Aset Takberwujud'!$AG177)=0,0,IF(AND((YEAR(O$211)*12+MONTH(O$211))&gt;='Aset Takberwujud'!$Y177,(YEAR(O$211)*12+MONTH(O$211))&lt;=MIN('Aset Takberwujud'!$Z177,IF('Aset Takberwujud'!$S177="Unit Produksi",99999,'Aset Takberwujud'!$Y177+'Aset Takberwujud'!$T177*12-1))),'Aset Takberwujud'!$AQ177/'Aset Takberwujud'!$AG177,0)))</f>
        <v/>
      </c>
      <c r="P382" s="22" t="str">
        <f>IF($B382="","",IF(N('Aset Takberwujud'!$AG177)=0,0,IF(AND((YEAR(P$211)*12+MONTH(P$211))&gt;='Aset Takberwujud'!$Y177,(YEAR(P$211)*12+MONTH(P$211))&lt;=MIN('Aset Takberwujud'!$Z177,IF('Aset Takberwujud'!$S177="Unit Produksi",99999,'Aset Takberwujud'!$Y177+'Aset Takberwujud'!$T177*12-1))),'Aset Takberwujud'!$AQ177/'Aset Takberwujud'!$AG177,0)))</f>
        <v/>
      </c>
      <c r="Q382" s="22" t="str">
        <f>IF($B382="","",SUM(E382:P382))</f>
        <v/>
      </c>
      <c r="R382" s="22" t="str">
        <f>IF($B382="","",'Aset Takberwujud'!AQ177)</f>
        <v/>
      </c>
      <c r="S382" s="22" t="str">
        <f>IF($B382="","",ROUND(Q382-R382,0))</f>
        <v/>
      </c>
    </row>
    <row r="383" spans="1:19" x14ac:dyDescent="0.25">
      <c r="A383" t="str">
        <f>IF('Aset Takberwujud'!$B178="","",'Aset Takberwujud'!A178)</f>
        <v/>
      </c>
      <c r="B383" t="str">
        <f>IF('Aset Takberwujud'!$B178="","",'Aset Takberwujud'!B178)</f>
        <v/>
      </c>
      <c r="C383" t="str">
        <f>IF('Aset Takberwujud'!$B178="","",'Aset Takberwujud'!C178)</f>
        <v/>
      </c>
      <c r="D383" t="str">
        <f>IF('Aset Takberwujud'!$B178="","",'Aset Takberwujud'!D178)</f>
        <v/>
      </c>
      <c r="E383" s="22" t="str">
        <f>IF($B383="","",IF(N('Aset Takberwujud'!$AG178)=0,0,IF(AND((YEAR(E$211)*12+MONTH(E$211))&gt;='Aset Takberwujud'!$Y178,(YEAR(E$211)*12+MONTH(E$211))&lt;=MIN('Aset Takberwujud'!$Z178,IF('Aset Takberwujud'!$S178="Unit Produksi",99999,'Aset Takberwujud'!$Y178+'Aset Takberwujud'!$T178*12-1))),'Aset Takberwujud'!$AQ178/'Aset Takberwujud'!$AG178,0)))</f>
        <v/>
      </c>
      <c r="F383" s="22" t="str">
        <f>IF($B383="","",IF(N('Aset Takberwujud'!$AG178)=0,0,IF(AND((YEAR(F$211)*12+MONTH(F$211))&gt;='Aset Takberwujud'!$Y178,(YEAR(F$211)*12+MONTH(F$211))&lt;=MIN('Aset Takberwujud'!$Z178,IF('Aset Takberwujud'!$S178="Unit Produksi",99999,'Aset Takberwujud'!$Y178+'Aset Takberwujud'!$T178*12-1))),'Aset Takberwujud'!$AQ178/'Aset Takberwujud'!$AG178,0)))</f>
        <v/>
      </c>
      <c r="G383" s="22" t="str">
        <f>IF($B383="","",IF(N('Aset Takberwujud'!$AG178)=0,0,IF(AND((YEAR(G$211)*12+MONTH(G$211))&gt;='Aset Takberwujud'!$Y178,(YEAR(G$211)*12+MONTH(G$211))&lt;=MIN('Aset Takberwujud'!$Z178,IF('Aset Takberwujud'!$S178="Unit Produksi",99999,'Aset Takberwujud'!$Y178+'Aset Takberwujud'!$T178*12-1))),'Aset Takberwujud'!$AQ178/'Aset Takberwujud'!$AG178,0)))</f>
        <v/>
      </c>
      <c r="H383" s="22" t="str">
        <f>IF($B383="","",IF(N('Aset Takberwujud'!$AG178)=0,0,IF(AND((YEAR(H$211)*12+MONTH(H$211))&gt;='Aset Takberwujud'!$Y178,(YEAR(H$211)*12+MONTH(H$211))&lt;=MIN('Aset Takberwujud'!$Z178,IF('Aset Takberwujud'!$S178="Unit Produksi",99999,'Aset Takberwujud'!$Y178+'Aset Takberwujud'!$T178*12-1))),'Aset Takberwujud'!$AQ178/'Aset Takberwujud'!$AG178,0)))</f>
        <v/>
      </c>
      <c r="I383" s="22" t="str">
        <f>IF($B383="","",IF(N('Aset Takberwujud'!$AG178)=0,0,IF(AND((YEAR(I$211)*12+MONTH(I$211))&gt;='Aset Takberwujud'!$Y178,(YEAR(I$211)*12+MONTH(I$211))&lt;=MIN('Aset Takberwujud'!$Z178,IF('Aset Takberwujud'!$S178="Unit Produksi",99999,'Aset Takberwujud'!$Y178+'Aset Takberwujud'!$T178*12-1))),'Aset Takberwujud'!$AQ178/'Aset Takberwujud'!$AG178,0)))</f>
        <v/>
      </c>
      <c r="J383" s="22" t="str">
        <f>IF($B383="","",IF(N('Aset Takberwujud'!$AG178)=0,0,IF(AND((YEAR(J$211)*12+MONTH(J$211))&gt;='Aset Takberwujud'!$Y178,(YEAR(J$211)*12+MONTH(J$211))&lt;=MIN('Aset Takberwujud'!$Z178,IF('Aset Takberwujud'!$S178="Unit Produksi",99999,'Aset Takberwujud'!$Y178+'Aset Takberwujud'!$T178*12-1))),'Aset Takberwujud'!$AQ178/'Aset Takberwujud'!$AG178,0)))</f>
        <v/>
      </c>
      <c r="K383" s="22" t="str">
        <f>IF($B383="","",IF(N('Aset Takberwujud'!$AG178)=0,0,IF(AND((YEAR(K$211)*12+MONTH(K$211))&gt;='Aset Takberwujud'!$Y178,(YEAR(K$211)*12+MONTH(K$211))&lt;=MIN('Aset Takberwujud'!$Z178,IF('Aset Takberwujud'!$S178="Unit Produksi",99999,'Aset Takberwujud'!$Y178+'Aset Takberwujud'!$T178*12-1))),'Aset Takberwujud'!$AQ178/'Aset Takberwujud'!$AG178,0)))</f>
        <v/>
      </c>
      <c r="L383" s="22" t="str">
        <f>IF($B383="","",IF(N('Aset Takberwujud'!$AG178)=0,0,IF(AND((YEAR(L$211)*12+MONTH(L$211))&gt;='Aset Takberwujud'!$Y178,(YEAR(L$211)*12+MONTH(L$211))&lt;=MIN('Aset Takberwujud'!$Z178,IF('Aset Takberwujud'!$S178="Unit Produksi",99999,'Aset Takberwujud'!$Y178+'Aset Takberwujud'!$T178*12-1))),'Aset Takberwujud'!$AQ178/'Aset Takberwujud'!$AG178,0)))</f>
        <v/>
      </c>
      <c r="M383" s="22" t="str">
        <f>IF($B383="","",IF(N('Aset Takberwujud'!$AG178)=0,0,IF(AND((YEAR(M$211)*12+MONTH(M$211))&gt;='Aset Takberwujud'!$Y178,(YEAR(M$211)*12+MONTH(M$211))&lt;=MIN('Aset Takberwujud'!$Z178,IF('Aset Takberwujud'!$S178="Unit Produksi",99999,'Aset Takberwujud'!$Y178+'Aset Takberwujud'!$T178*12-1))),'Aset Takberwujud'!$AQ178/'Aset Takberwujud'!$AG178,0)))</f>
        <v/>
      </c>
      <c r="N383" s="22" t="str">
        <f>IF($B383="","",IF(N('Aset Takberwujud'!$AG178)=0,0,IF(AND((YEAR(N$211)*12+MONTH(N$211))&gt;='Aset Takberwujud'!$Y178,(YEAR(N$211)*12+MONTH(N$211))&lt;=MIN('Aset Takberwujud'!$Z178,IF('Aset Takberwujud'!$S178="Unit Produksi",99999,'Aset Takberwujud'!$Y178+'Aset Takberwujud'!$T178*12-1))),'Aset Takberwujud'!$AQ178/'Aset Takberwujud'!$AG178,0)))</f>
        <v/>
      </c>
      <c r="O383" s="22" t="str">
        <f>IF($B383="","",IF(N('Aset Takberwujud'!$AG178)=0,0,IF(AND((YEAR(O$211)*12+MONTH(O$211))&gt;='Aset Takberwujud'!$Y178,(YEAR(O$211)*12+MONTH(O$211))&lt;=MIN('Aset Takberwujud'!$Z178,IF('Aset Takberwujud'!$S178="Unit Produksi",99999,'Aset Takberwujud'!$Y178+'Aset Takberwujud'!$T178*12-1))),'Aset Takberwujud'!$AQ178/'Aset Takberwujud'!$AG178,0)))</f>
        <v/>
      </c>
      <c r="P383" s="22" t="str">
        <f>IF($B383="","",IF(N('Aset Takberwujud'!$AG178)=0,0,IF(AND((YEAR(P$211)*12+MONTH(P$211))&gt;='Aset Takberwujud'!$Y178,(YEAR(P$211)*12+MONTH(P$211))&lt;=MIN('Aset Takberwujud'!$Z178,IF('Aset Takberwujud'!$S178="Unit Produksi",99999,'Aset Takberwujud'!$Y178+'Aset Takberwujud'!$T178*12-1))),'Aset Takberwujud'!$AQ178/'Aset Takberwujud'!$AG178,0)))</f>
        <v/>
      </c>
      <c r="Q383" s="22" t="str">
        <f>IF($B383="","",SUM(E383:P383))</f>
        <v/>
      </c>
      <c r="R383" s="22" t="str">
        <f>IF($B383="","",'Aset Takberwujud'!AQ178)</f>
        <v/>
      </c>
      <c r="S383" s="22" t="str">
        <f>IF($B383="","",ROUND(Q383-R383,0))</f>
        <v/>
      </c>
    </row>
    <row r="384" spans="1:19" x14ac:dyDescent="0.25">
      <c r="A384" t="str">
        <f>IF('Aset Takberwujud'!$B179="","",'Aset Takberwujud'!A179)</f>
        <v/>
      </c>
      <c r="B384" t="str">
        <f>IF('Aset Takberwujud'!$B179="","",'Aset Takberwujud'!B179)</f>
        <v/>
      </c>
      <c r="C384" t="str">
        <f>IF('Aset Takberwujud'!$B179="","",'Aset Takberwujud'!C179)</f>
        <v/>
      </c>
      <c r="D384" t="str">
        <f>IF('Aset Takberwujud'!$B179="","",'Aset Takberwujud'!D179)</f>
        <v/>
      </c>
      <c r="E384" s="22" t="str">
        <f>IF($B384="","",IF(N('Aset Takberwujud'!$AG179)=0,0,IF(AND((YEAR(E$211)*12+MONTH(E$211))&gt;='Aset Takberwujud'!$Y179,(YEAR(E$211)*12+MONTH(E$211))&lt;=MIN('Aset Takberwujud'!$Z179,IF('Aset Takberwujud'!$S179="Unit Produksi",99999,'Aset Takberwujud'!$Y179+'Aset Takberwujud'!$T179*12-1))),'Aset Takberwujud'!$AQ179/'Aset Takberwujud'!$AG179,0)))</f>
        <v/>
      </c>
      <c r="F384" s="22" t="str">
        <f>IF($B384="","",IF(N('Aset Takberwujud'!$AG179)=0,0,IF(AND((YEAR(F$211)*12+MONTH(F$211))&gt;='Aset Takberwujud'!$Y179,(YEAR(F$211)*12+MONTH(F$211))&lt;=MIN('Aset Takberwujud'!$Z179,IF('Aset Takberwujud'!$S179="Unit Produksi",99999,'Aset Takberwujud'!$Y179+'Aset Takberwujud'!$T179*12-1))),'Aset Takberwujud'!$AQ179/'Aset Takberwujud'!$AG179,0)))</f>
        <v/>
      </c>
      <c r="G384" s="22" t="str">
        <f>IF($B384="","",IF(N('Aset Takberwujud'!$AG179)=0,0,IF(AND((YEAR(G$211)*12+MONTH(G$211))&gt;='Aset Takberwujud'!$Y179,(YEAR(G$211)*12+MONTH(G$211))&lt;=MIN('Aset Takberwujud'!$Z179,IF('Aset Takberwujud'!$S179="Unit Produksi",99999,'Aset Takberwujud'!$Y179+'Aset Takberwujud'!$T179*12-1))),'Aset Takberwujud'!$AQ179/'Aset Takberwujud'!$AG179,0)))</f>
        <v/>
      </c>
      <c r="H384" s="22" t="str">
        <f>IF($B384="","",IF(N('Aset Takberwujud'!$AG179)=0,0,IF(AND((YEAR(H$211)*12+MONTH(H$211))&gt;='Aset Takberwujud'!$Y179,(YEAR(H$211)*12+MONTH(H$211))&lt;=MIN('Aset Takberwujud'!$Z179,IF('Aset Takberwujud'!$S179="Unit Produksi",99999,'Aset Takberwujud'!$Y179+'Aset Takberwujud'!$T179*12-1))),'Aset Takberwujud'!$AQ179/'Aset Takberwujud'!$AG179,0)))</f>
        <v/>
      </c>
      <c r="I384" s="22" t="str">
        <f>IF($B384="","",IF(N('Aset Takberwujud'!$AG179)=0,0,IF(AND((YEAR(I$211)*12+MONTH(I$211))&gt;='Aset Takberwujud'!$Y179,(YEAR(I$211)*12+MONTH(I$211))&lt;=MIN('Aset Takberwujud'!$Z179,IF('Aset Takberwujud'!$S179="Unit Produksi",99999,'Aset Takberwujud'!$Y179+'Aset Takberwujud'!$T179*12-1))),'Aset Takberwujud'!$AQ179/'Aset Takberwujud'!$AG179,0)))</f>
        <v/>
      </c>
      <c r="J384" s="22" t="str">
        <f>IF($B384="","",IF(N('Aset Takberwujud'!$AG179)=0,0,IF(AND((YEAR(J$211)*12+MONTH(J$211))&gt;='Aset Takberwujud'!$Y179,(YEAR(J$211)*12+MONTH(J$211))&lt;=MIN('Aset Takberwujud'!$Z179,IF('Aset Takberwujud'!$S179="Unit Produksi",99999,'Aset Takberwujud'!$Y179+'Aset Takberwujud'!$T179*12-1))),'Aset Takberwujud'!$AQ179/'Aset Takberwujud'!$AG179,0)))</f>
        <v/>
      </c>
      <c r="K384" s="22" t="str">
        <f>IF($B384="","",IF(N('Aset Takberwujud'!$AG179)=0,0,IF(AND((YEAR(K$211)*12+MONTH(K$211))&gt;='Aset Takberwujud'!$Y179,(YEAR(K$211)*12+MONTH(K$211))&lt;=MIN('Aset Takberwujud'!$Z179,IF('Aset Takberwujud'!$S179="Unit Produksi",99999,'Aset Takberwujud'!$Y179+'Aset Takberwujud'!$T179*12-1))),'Aset Takberwujud'!$AQ179/'Aset Takberwujud'!$AG179,0)))</f>
        <v/>
      </c>
      <c r="L384" s="22" t="str">
        <f>IF($B384="","",IF(N('Aset Takberwujud'!$AG179)=0,0,IF(AND((YEAR(L$211)*12+MONTH(L$211))&gt;='Aset Takberwujud'!$Y179,(YEAR(L$211)*12+MONTH(L$211))&lt;=MIN('Aset Takberwujud'!$Z179,IF('Aset Takberwujud'!$S179="Unit Produksi",99999,'Aset Takberwujud'!$Y179+'Aset Takberwujud'!$T179*12-1))),'Aset Takberwujud'!$AQ179/'Aset Takberwujud'!$AG179,0)))</f>
        <v/>
      </c>
      <c r="M384" s="22" t="str">
        <f>IF($B384="","",IF(N('Aset Takberwujud'!$AG179)=0,0,IF(AND((YEAR(M$211)*12+MONTH(M$211))&gt;='Aset Takberwujud'!$Y179,(YEAR(M$211)*12+MONTH(M$211))&lt;=MIN('Aset Takberwujud'!$Z179,IF('Aset Takberwujud'!$S179="Unit Produksi",99999,'Aset Takberwujud'!$Y179+'Aset Takberwujud'!$T179*12-1))),'Aset Takberwujud'!$AQ179/'Aset Takberwujud'!$AG179,0)))</f>
        <v/>
      </c>
      <c r="N384" s="22" t="str">
        <f>IF($B384="","",IF(N('Aset Takberwujud'!$AG179)=0,0,IF(AND((YEAR(N$211)*12+MONTH(N$211))&gt;='Aset Takberwujud'!$Y179,(YEAR(N$211)*12+MONTH(N$211))&lt;=MIN('Aset Takberwujud'!$Z179,IF('Aset Takberwujud'!$S179="Unit Produksi",99999,'Aset Takberwujud'!$Y179+'Aset Takberwujud'!$T179*12-1))),'Aset Takberwujud'!$AQ179/'Aset Takberwujud'!$AG179,0)))</f>
        <v/>
      </c>
      <c r="O384" s="22" t="str">
        <f>IF($B384="","",IF(N('Aset Takberwujud'!$AG179)=0,0,IF(AND((YEAR(O$211)*12+MONTH(O$211))&gt;='Aset Takberwujud'!$Y179,(YEAR(O$211)*12+MONTH(O$211))&lt;=MIN('Aset Takberwujud'!$Z179,IF('Aset Takberwujud'!$S179="Unit Produksi",99999,'Aset Takberwujud'!$Y179+'Aset Takberwujud'!$T179*12-1))),'Aset Takberwujud'!$AQ179/'Aset Takberwujud'!$AG179,0)))</f>
        <v/>
      </c>
      <c r="P384" s="22" t="str">
        <f>IF($B384="","",IF(N('Aset Takberwujud'!$AG179)=0,0,IF(AND((YEAR(P$211)*12+MONTH(P$211))&gt;='Aset Takberwujud'!$Y179,(YEAR(P$211)*12+MONTH(P$211))&lt;=MIN('Aset Takberwujud'!$Z179,IF('Aset Takberwujud'!$S179="Unit Produksi",99999,'Aset Takberwujud'!$Y179+'Aset Takberwujud'!$T179*12-1))),'Aset Takberwujud'!$AQ179/'Aset Takberwujud'!$AG179,0)))</f>
        <v/>
      </c>
      <c r="Q384" s="22" t="str">
        <f>IF($B384="","",SUM(E384:P384))</f>
        <v/>
      </c>
      <c r="R384" s="22" t="str">
        <f>IF($B384="","",'Aset Takberwujud'!AQ179)</f>
        <v/>
      </c>
      <c r="S384" s="22" t="str">
        <f>IF($B384="","",ROUND(Q384-R384,0))</f>
        <v/>
      </c>
    </row>
    <row r="385" spans="1:19" x14ac:dyDescent="0.25">
      <c r="A385" t="str">
        <f>IF('Aset Takberwujud'!$B180="","",'Aset Takberwujud'!A180)</f>
        <v/>
      </c>
      <c r="B385" t="str">
        <f>IF('Aset Takberwujud'!$B180="","",'Aset Takberwujud'!B180)</f>
        <v/>
      </c>
      <c r="C385" t="str">
        <f>IF('Aset Takberwujud'!$B180="","",'Aset Takberwujud'!C180)</f>
        <v/>
      </c>
      <c r="D385" t="str">
        <f>IF('Aset Takberwujud'!$B180="","",'Aset Takberwujud'!D180)</f>
        <v/>
      </c>
      <c r="E385" s="22" t="str">
        <f>IF($B385="","",IF(N('Aset Takberwujud'!$AG180)=0,0,IF(AND((YEAR(E$211)*12+MONTH(E$211))&gt;='Aset Takberwujud'!$Y180,(YEAR(E$211)*12+MONTH(E$211))&lt;=MIN('Aset Takberwujud'!$Z180,IF('Aset Takberwujud'!$S180="Unit Produksi",99999,'Aset Takberwujud'!$Y180+'Aset Takberwujud'!$T180*12-1))),'Aset Takberwujud'!$AQ180/'Aset Takberwujud'!$AG180,0)))</f>
        <v/>
      </c>
      <c r="F385" s="22" t="str">
        <f>IF($B385="","",IF(N('Aset Takberwujud'!$AG180)=0,0,IF(AND((YEAR(F$211)*12+MONTH(F$211))&gt;='Aset Takberwujud'!$Y180,(YEAR(F$211)*12+MONTH(F$211))&lt;=MIN('Aset Takberwujud'!$Z180,IF('Aset Takberwujud'!$S180="Unit Produksi",99999,'Aset Takberwujud'!$Y180+'Aset Takberwujud'!$T180*12-1))),'Aset Takberwujud'!$AQ180/'Aset Takberwujud'!$AG180,0)))</f>
        <v/>
      </c>
      <c r="G385" s="22" t="str">
        <f>IF($B385="","",IF(N('Aset Takberwujud'!$AG180)=0,0,IF(AND((YEAR(G$211)*12+MONTH(G$211))&gt;='Aset Takberwujud'!$Y180,(YEAR(G$211)*12+MONTH(G$211))&lt;=MIN('Aset Takberwujud'!$Z180,IF('Aset Takberwujud'!$S180="Unit Produksi",99999,'Aset Takberwujud'!$Y180+'Aset Takberwujud'!$T180*12-1))),'Aset Takberwujud'!$AQ180/'Aset Takberwujud'!$AG180,0)))</f>
        <v/>
      </c>
      <c r="H385" s="22" t="str">
        <f>IF($B385="","",IF(N('Aset Takberwujud'!$AG180)=0,0,IF(AND((YEAR(H$211)*12+MONTH(H$211))&gt;='Aset Takberwujud'!$Y180,(YEAR(H$211)*12+MONTH(H$211))&lt;=MIN('Aset Takberwujud'!$Z180,IF('Aset Takberwujud'!$S180="Unit Produksi",99999,'Aset Takberwujud'!$Y180+'Aset Takberwujud'!$T180*12-1))),'Aset Takberwujud'!$AQ180/'Aset Takberwujud'!$AG180,0)))</f>
        <v/>
      </c>
      <c r="I385" s="22" t="str">
        <f>IF($B385="","",IF(N('Aset Takberwujud'!$AG180)=0,0,IF(AND((YEAR(I$211)*12+MONTH(I$211))&gt;='Aset Takberwujud'!$Y180,(YEAR(I$211)*12+MONTH(I$211))&lt;=MIN('Aset Takberwujud'!$Z180,IF('Aset Takberwujud'!$S180="Unit Produksi",99999,'Aset Takberwujud'!$Y180+'Aset Takberwujud'!$T180*12-1))),'Aset Takberwujud'!$AQ180/'Aset Takberwujud'!$AG180,0)))</f>
        <v/>
      </c>
      <c r="J385" s="22" t="str">
        <f>IF($B385="","",IF(N('Aset Takberwujud'!$AG180)=0,0,IF(AND((YEAR(J$211)*12+MONTH(J$211))&gt;='Aset Takberwujud'!$Y180,(YEAR(J$211)*12+MONTH(J$211))&lt;=MIN('Aset Takberwujud'!$Z180,IF('Aset Takberwujud'!$S180="Unit Produksi",99999,'Aset Takberwujud'!$Y180+'Aset Takberwujud'!$T180*12-1))),'Aset Takberwujud'!$AQ180/'Aset Takberwujud'!$AG180,0)))</f>
        <v/>
      </c>
      <c r="K385" s="22" t="str">
        <f>IF($B385="","",IF(N('Aset Takberwujud'!$AG180)=0,0,IF(AND((YEAR(K$211)*12+MONTH(K$211))&gt;='Aset Takberwujud'!$Y180,(YEAR(K$211)*12+MONTH(K$211))&lt;=MIN('Aset Takberwujud'!$Z180,IF('Aset Takberwujud'!$S180="Unit Produksi",99999,'Aset Takberwujud'!$Y180+'Aset Takberwujud'!$T180*12-1))),'Aset Takberwujud'!$AQ180/'Aset Takberwujud'!$AG180,0)))</f>
        <v/>
      </c>
      <c r="L385" s="22" t="str">
        <f>IF($B385="","",IF(N('Aset Takberwujud'!$AG180)=0,0,IF(AND((YEAR(L$211)*12+MONTH(L$211))&gt;='Aset Takberwujud'!$Y180,(YEAR(L$211)*12+MONTH(L$211))&lt;=MIN('Aset Takberwujud'!$Z180,IF('Aset Takberwujud'!$S180="Unit Produksi",99999,'Aset Takberwujud'!$Y180+'Aset Takberwujud'!$T180*12-1))),'Aset Takberwujud'!$AQ180/'Aset Takberwujud'!$AG180,0)))</f>
        <v/>
      </c>
      <c r="M385" s="22" t="str">
        <f>IF($B385="","",IF(N('Aset Takberwujud'!$AG180)=0,0,IF(AND((YEAR(M$211)*12+MONTH(M$211))&gt;='Aset Takberwujud'!$Y180,(YEAR(M$211)*12+MONTH(M$211))&lt;=MIN('Aset Takberwujud'!$Z180,IF('Aset Takberwujud'!$S180="Unit Produksi",99999,'Aset Takberwujud'!$Y180+'Aset Takberwujud'!$T180*12-1))),'Aset Takberwujud'!$AQ180/'Aset Takberwujud'!$AG180,0)))</f>
        <v/>
      </c>
      <c r="N385" s="22" t="str">
        <f>IF($B385="","",IF(N('Aset Takberwujud'!$AG180)=0,0,IF(AND((YEAR(N$211)*12+MONTH(N$211))&gt;='Aset Takberwujud'!$Y180,(YEAR(N$211)*12+MONTH(N$211))&lt;=MIN('Aset Takberwujud'!$Z180,IF('Aset Takberwujud'!$S180="Unit Produksi",99999,'Aset Takberwujud'!$Y180+'Aset Takberwujud'!$T180*12-1))),'Aset Takberwujud'!$AQ180/'Aset Takberwujud'!$AG180,0)))</f>
        <v/>
      </c>
      <c r="O385" s="22" t="str">
        <f>IF($B385="","",IF(N('Aset Takberwujud'!$AG180)=0,0,IF(AND((YEAR(O$211)*12+MONTH(O$211))&gt;='Aset Takberwujud'!$Y180,(YEAR(O$211)*12+MONTH(O$211))&lt;=MIN('Aset Takberwujud'!$Z180,IF('Aset Takberwujud'!$S180="Unit Produksi",99999,'Aset Takberwujud'!$Y180+'Aset Takberwujud'!$T180*12-1))),'Aset Takberwujud'!$AQ180/'Aset Takberwujud'!$AG180,0)))</f>
        <v/>
      </c>
      <c r="P385" s="22" t="str">
        <f>IF($B385="","",IF(N('Aset Takberwujud'!$AG180)=0,0,IF(AND((YEAR(P$211)*12+MONTH(P$211))&gt;='Aset Takberwujud'!$Y180,(YEAR(P$211)*12+MONTH(P$211))&lt;=MIN('Aset Takberwujud'!$Z180,IF('Aset Takberwujud'!$S180="Unit Produksi",99999,'Aset Takberwujud'!$Y180+'Aset Takberwujud'!$T180*12-1))),'Aset Takberwujud'!$AQ180/'Aset Takberwujud'!$AG180,0)))</f>
        <v/>
      </c>
      <c r="Q385" s="22" t="str">
        <f>IF($B385="","",SUM(E385:P385))</f>
        <v/>
      </c>
      <c r="R385" s="22" t="str">
        <f>IF($B385="","",'Aset Takberwujud'!AQ180)</f>
        <v/>
      </c>
      <c r="S385" s="22" t="str">
        <f>IF($B385="","",ROUND(Q385-R385,0))</f>
        <v/>
      </c>
    </row>
    <row r="386" spans="1:19" x14ac:dyDescent="0.25">
      <c r="A386" t="str">
        <f>IF('Aset Takberwujud'!$B181="","",'Aset Takberwujud'!A181)</f>
        <v/>
      </c>
      <c r="B386" t="str">
        <f>IF('Aset Takberwujud'!$B181="","",'Aset Takberwujud'!B181)</f>
        <v/>
      </c>
      <c r="C386" t="str">
        <f>IF('Aset Takberwujud'!$B181="","",'Aset Takberwujud'!C181)</f>
        <v/>
      </c>
      <c r="D386" t="str">
        <f>IF('Aset Takberwujud'!$B181="","",'Aset Takberwujud'!D181)</f>
        <v/>
      </c>
      <c r="E386" s="22" t="str">
        <f>IF($B386="","",IF(N('Aset Takberwujud'!$AG181)=0,0,IF(AND((YEAR(E$211)*12+MONTH(E$211))&gt;='Aset Takberwujud'!$Y181,(YEAR(E$211)*12+MONTH(E$211))&lt;=MIN('Aset Takberwujud'!$Z181,IF('Aset Takberwujud'!$S181="Unit Produksi",99999,'Aset Takberwujud'!$Y181+'Aset Takberwujud'!$T181*12-1))),'Aset Takberwujud'!$AQ181/'Aset Takberwujud'!$AG181,0)))</f>
        <v/>
      </c>
      <c r="F386" s="22" t="str">
        <f>IF($B386="","",IF(N('Aset Takberwujud'!$AG181)=0,0,IF(AND((YEAR(F$211)*12+MONTH(F$211))&gt;='Aset Takberwujud'!$Y181,(YEAR(F$211)*12+MONTH(F$211))&lt;=MIN('Aset Takberwujud'!$Z181,IF('Aset Takberwujud'!$S181="Unit Produksi",99999,'Aset Takberwujud'!$Y181+'Aset Takberwujud'!$T181*12-1))),'Aset Takberwujud'!$AQ181/'Aset Takberwujud'!$AG181,0)))</f>
        <v/>
      </c>
      <c r="G386" s="22" t="str">
        <f>IF($B386="","",IF(N('Aset Takberwujud'!$AG181)=0,0,IF(AND((YEAR(G$211)*12+MONTH(G$211))&gt;='Aset Takberwujud'!$Y181,(YEAR(G$211)*12+MONTH(G$211))&lt;=MIN('Aset Takberwujud'!$Z181,IF('Aset Takberwujud'!$S181="Unit Produksi",99999,'Aset Takberwujud'!$Y181+'Aset Takberwujud'!$T181*12-1))),'Aset Takberwujud'!$AQ181/'Aset Takberwujud'!$AG181,0)))</f>
        <v/>
      </c>
      <c r="H386" s="22" t="str">
        <f>IF($B386="","",IF(N('Aset Takberwujud'!$AG181)=0,0,IF(AND((YEAR(H$211)*12+MONTH(H$211))&gt;='Aset Takberwujud'!$Y181,(YEAR(H$211)*12+MONTH(H$211))&lt;=MIN('Aset Takberwujud'!$Z181,IF('Aset Takberwujud'!$S181="Unit Produksi",99999,'Aset Takberwujud'!$Y181+'Aset Takberwujud'!$T181*12-1))),'Aset Takberwujud'!$AQ181/'Aset Takberwujud'!$AG181,0)))</f>
        <v/>
      </c>
      <c r="I386" s="22" t="str">
        <f>IF($B386="","",IF(N('Aset Takberwujud'!$AG181)=0,0,IF(AND((YEAR(I$211)*12+MONTH(I$211))&gt;='Aset Takberwujud'!$Y181,(YEAR(I$211)*12+MONTH(I$211))&lt;=MIN('Aset Takberwujud'!$Z181,IF('Aset Takberwujud'!$S181="Unit Produksi",99999,'Aset Takberwujud'!$Y181+'Aset Takberwujud'!$T181*12-1))),'Aset Takberwujud'!$AQ181/'Aset Takberwujud'!$AG181,0)))</f>
        <v/>
      </c>
      <c r="J386" s="22" t="str">
        <f>IF($B386="","",IF(N('Aset Takberwujud'!$AG181)=0,0,IF(AND((YEAR(J$211)*12+MONTH(J$211))&gt;='Aset Takberwujud'!$Y181,(YEAR(J$211)*12+MONTH(J$211))&lt;=MIN('Aset Takberwujud'!$Z181,IF('Aset Takberwujud'!$S181="Unit Produksi",99999,'Aset Takberwujud'!$Y181+'Aset Takberwujud'!$T181*12-1))),'Aset Takberwujud'!$AQ181/'Aset Takberwujud'!$AG181,0)))</f>
        <v/>
      </c>
      <c r="K386" s="22" t="str">
        <f>IF($B386="","",IF(N('Aset Takberwujud'!$AG181)=0,0,IF(AND((YEAR(K$211)*12+MONTH(K$211))&gt;='Aset Takberwujud'!$Y181,(YEAR(K$211)*12+MONTH(K$211))&lt;=MIN('Aset Takberwujud'!$Z181,IF('Aset Takberwujud'!$S181="Unit Produksi",99999,'Aset Takberwujud'!$Y181+'Aset Takberwujud'!$T181*12-1))),'Aset Takberwujud'!$AQ181/'Aset Takberwujud'!$AG181,0)))</f>
        <v/>
      </c>
      <c r="L386" s="22" t="str">
        <f>IF($B386="","",IF(N('Aset Takberwujud'!$AG181)=0,0,IF(AND((YEAR(L$211)*12+MONTH(L$211))&gt;='Aset Takberwujud'!$Y181,(YEAR(L$211)*12+MONTH(L$211))&lt;=MIN('Aset Takberwujud'!$Z181,IF('Aset Takberwujud'!$S181="Unit Produksi",99999,'Aset Takberwujud'!$Y181+'Aset Takberwujud'!$T181*12-1))),'Aset Takberwujud'!$AQ181/'Aset Takberwujud'!$AG181,0)))</f>
        <v/>
      </c>
      <c r="M386" s="22" t="str">
        <f>IF($B386="","",IF(N('Aset Takberwujud'!$AG181)=0,0,IF(AND((YEAR(M$211)*12+MONTH(M$211))&gt;='Aset Takberwujud'!$Y181,(YEAR(M$211)*12+MONTH(M$211))&lt;=MIN('Aset Takberwujud'!$Z181,IF('Aset Takberwujud'!$S181="Unit Produksi",99999,'Aset Takberwujud'!$Y181+'Aset Takberwujud'!$T181*12-1))),'Aset Takberwujud'!$AQ181/'Aset Takberwujud'!$AG181,0)))</f>
        <v/>
      </c>
      <c r="N386" s="22" t="str">
        <f>IF($B386="","",IF(N('Aset Takberwujud'!$AG181)=0,0,IF(AND((YEAR(N$211)*12+MONTH(N$211))&gt;='Aset Takberwujud'!$Y181,(YEAR(N$211)*12+MONTH(N$211))&lt;=MIN('Aset Takberwujud'!$Z181,IF('Aset Takberwujud'!$S181="Unit Produksi",99999,'Aset Takberwujud'!$Y181+'Aset Takberwujud'!$T181*12-1))),'Aset Takberwujud'!$AQ181/'Aset Takberwujud'!$AG181,0)))</f>
        <v/>
      </c>
      <c r="O386" s="22" t="str">
        <f>IF($B386="","",IF(N('Aset Takberwujud'!$AG181)=0,0,IF(AND((YEAR(O$211)*12+MONTH(O$211))&gt;='Aset Takberwujud'!$Y181,(YEAR(O$211)*12+MONTH(O$211))&lt;=MIN('Aset Takberwujud'!$Z181,IF('Aset Takberwujud'!$S181="Unit Produksi",99999,'Aset Takberwujud'!$Y181+'Aset Takberwujud'!$T181*12-1))),'Aset Takberwujud'!$AQ181/'Aset Takberwujud'!$AG181,0)))</f>
        <v/>
      </c>
      <c r="P386" s="22" t="str">
        <f>IF($B386="","",IF(N('Aset Takberwujud'!$AG181)=0,0,IF(AND((YEAR(P$211)*12+MONTH(P$211))&gt;='Aset Takberwujud'!$Y181,(YEAR(P$211)*12+MONTH(P$211))&lt;=MIN('Aset Takberwujud'!$Z181,IF('Aset Takberwujud'!$S181="Unit Produksi",99999,'Aset Takberwujud'!$Y181+'Aset Takberwujud'!$T181*12-1))),'Aset Takberwujud'!$AQ181/'Aset Takberwujud'!$AG181,0)))</f>
        <v/>
      </c>
      <c r="Q386" s="22" t="str">
        <f>IF($B386="","",SUM(E386:P386))</f>
        <v/>
      </c>
      <c r="R386" s="22" t="str">
        <f>IF($B386="","",'Aset Takberwujud'!AQ181)</f>
        <v/>
      </c>
      <c r="S386" s="22" t="str">
        <f>IF($B386="","",ROUND(Q386-R386,0))</f>
        <v/>
      </c>
    </row>
    <row r="387" spans="1:19" x14ac:dyDescent="0.25">
      <c r="A387" t="str">
        <f>IF('Aset Takberwujud'!$B182="","",'Aset Takberwujud'!A182)</f>
        <v/>
      </c>
      <c r="B387" t="str">
        <f>IF('Aset Takberwujud'!$B182="","",'Aset Takberwujud'!B182)</f>
        <v/>
      </c>
      <c r="C387" t="str">
        <f>IF('Aset Takberwujud'!$B182="","",'Aset Takberwujud'!C182)</f>
        <v/>
      </c>
      <c r="D387" t="str">
        <f>IF('Aset Takberwujud'!$B182="","",'Aset Takberwujud'!D182)</f>
        <v/>
      </c>
      <c r="E387" s="22" t="str">
        <f>IF($B387="","",IF(N('Aset Takberwujud'!$AG182)=0,0,IF(AND((YEAR(E$211)*12+MONTH(E$211))&gt;='Aset Takberwujud'!$Y182,(YEAR(E$211)*12+MONTH(E$211))&lt;=MIN('Aset Takberwujud'!$Z182,IF('Aset Takberwujud'!$S182="Unit Produksi",99999,'Aset Takberwujud'!$Y182+'Aset Takberwujud'!$T182*12-1))),'Aset Takberwujud'!$AQ182/'Aset Takberwujud'!$AG182,0)))</f>
        <v/>
      </c>
      <c r="F387" s="22" t="str">
        <f>IF($B387="","",IF(N('Aset Takberwujud'!$AG182)=0,0,IF(AND((YEAR(F$211)*12+MONTH(F$211))&gt;='Aset Takberwujud'!$Y182,(YEAR(F$211)*12+MONTH(F$211))&lt;=MIN('Aset Takberwujud'!$Z182,IF('Aset Takberwujud'!$S182="Unit Produksi",99999,'Aset Takberwujud'!$Y182+'Aset Takberwujud'!$T182*12-1))),'Aset Takberwujud'!$AQ182/'Aset Takberwujud'!$AG182,0)))</f>
        <v/>
      </c>
      <c r="G387" s="22" t="str">
        <f>IF($B387="","",IF(N('Aset Takberwujud'!$AG182)=0,0,IF(AND((YEAR(G$211)*12+MONTH(G$211))&gt;='Aset Takberwujud'!$Y182,(YEAR(G$211)*12+MONTH(G$211))&lt;=MIN('Aset Takberwujud'!$Z182,IF('Aset Takberwujud'!$S182="Unit Produksi",99999,'Aset Takberwujud'!$Y182+'Aset Takberwujud'!$T182*12-1))),'Aset Takberwujud'!$AQ182/'Aset Takberwujud'!$AG182,0)))</f>
        <v/>
      </c>
      <c r="H387" s="22" t="str">
        <f>IF($B387="","",IF(N('Aset Takberwujud'!$AG182)=0,0,IF(AND((YEAR(H$211)*12+MONTH(H$211))&gt;='Aset Takberwujud'!$Y182,(YEAR(H$211)*12+MONTH(H$211))&lt;=MIN('Aset Takberwujud'!$Z182,IF('Aset Takberwujud'!$S182="Unit Produksi",99999,'Aset Takberwujud'!$Y182+'Aset Takberwujud'!$T182*12-1))),'Aset Takberwujud'!$AQ182/'Aset Takberwujud'!$AG182,0)))</f>
        <v/>
      </c>
      <c r="I387" s="22" t="str">
        <f>IF($B387="","",IF(N('Aset Takberwujud'!$AG182)=0,0,IF(AND((YEAR(I$211)*12+MONTH(I$211))&gt;='Aset Takberwujud'!$Y182,(YEAR(I$211)*12+MONTH(I$211))&lt;=MIN('Aset Takberwujud'!$Z182,IF('Aset Takberwujud'!$S182="Unit Produksi",99999,'Aset Takberwujud'!$Y182+'Aset Takberwujud'!$T182*12-1))),'Aset Takberwujud'!$AQ182/'Aset Takberwujud'!$AG182,0)))</f>
        <v/>
      </c>
      <c r="J387" s="22" t="str">
        <f>IF($B387="","",IF(N('Aset Takberwujud'!$AG182)=0,0,IF(AND((YEAR(J$211)*12+MONTH(J$211))&gt;='Aset Takberwujud'!$Y182,(YEAR(J$211)*12+MONTH(J$211))&lt;=MIN('Aset Takberwujud'!$Z182,IF('Aset Takberwujud'!$S182="Unit Produksi",99999,'Aset Takberwujud'!$Y182+'Aset Takberwujud'!$T182*12-1))),'Aset Takberwujud'!$AQ182/'Aset Takberwujud'!$AG182,0)))</f>
        <v/>
      </c>
      <c r="K387" s="22" t="str">
        <f>IF($B387="","",IF(N('Aset Takberwujud'!$AG182)=0,0,IF(AND((YEAR(K$211)*12+MONTH(K$211))&gt;='Aset Takberwujud'!$Y182,(YEAR(K$211)*12+MONTH(K$211))&lt;=MIN('Aset Takberwujud'!$Z182,IF('Aset Takberwujud'!$S182="Unit Produksi",99999,'Aset Takberwujud'!$Y182+'Aset Takberwujud'!$T182*12-1))),'Aset Takberwujud'!$AQ182/'Aset Takberwujud'!$AG182,0)))</f>
        <v/>
      </c>
      <c r="L387" s="22" t="str">
        <f>IF($B387="","",IF(N('Aset Takberwujud'!$AG182)=0,0,IF(AND((YEAR(L$211)*12+MONTH(L$211))&gt;='Aset Takberwujud'!$Y182,(YEAR(L$211)*12+MONTH(L$211))&lt;=MIN('Aset Takberwujud'!$Z182,IF('Aset Takberwujud'!$S182="Unit Produksi",99999,'Aset Takberwujud'!$Y182+'Aset Takberwujud'!$T182*12-1))),'Aset Takberwujud'!$AQ182/'Aset Takberwujud'!$AG182,0)))</f>
        <v/>
      </c>
      <c r="M387" s="22" t="str">
        <f>IF($B387="","",IF(N('Aset Takberwujud'!$AG182)=0,0,IF(AND((YEAR(M$211)*12+MONTH(M$211))&gt;='Aset Takberwujud'!$Y182,(YEAR(M$211)*12+MONTH(M$211))&lt;=MIN('Aset Takberwujud'!$Z182,IF('Aset Takberwujud'!$S182="Unit Produksi",99999,'Aset Takberwujud'!$Y182+'Aset Takberwujud'!$T182*12-1))),'Aset Takberwujud'!$AQ182/'Aset Takberwujud'!$AG182,0)))</f>
        <v/>
      </c>
      <c r="N387" s="22" t="str">
        <f>IF($B387="","",IF(N('Aset Takberwujud'!$AG182)=0,0,IF(AND((YEAR(N$211)*12+MONTH(N$211))&gt;='Aset Takberwujud'!$Y182,(YEAR(N$211)*12+MONTH(N$211))&lt;=MIN('Aset Takberwujud'!$Z182,IF('Aset Takberwujud'!$S182="Unit Produksi",99999,'Aset Takberwujud'!$Y182+'Aset Takberwujud'!$T182*12-1))),'Aset Takberwujud'!$AQ182/'Aset Takberwujud'!$AG182,0)))</f>
        <v/>
      </c>
      <c r="O387" s="22" t="str">
        <f>IF($B387="","",IF(N('Aset Takberwujud'!$AG182)=0,0,IF(AND((YEAR(O$211)*12+MONTH(O$211))&gt;='Aset Takberwujud'!$Y182,(YEAR(O$211)*12+MONTH(O$211))&lt;=MIN('Aset Takberwujud'!$Z182,IF('Aset Takberwujud'!$S182="Unit Produksi",99999,'Aset Takberwujud'!$Y182+'Aset Takberwujud'!$T182*12-1))),'Aset Takberwujud'!$AQ182/'Aset Takberwujud'!$AG182,0)))</f>
        <v/>
      </c>
      <c r="P387" s="22" t="str">
        <f>IF($B387="","",IF(N('Aset Takberwujud'!$AG182)=0,0,IF(AND((YEAR(P$211)*12+MONTH(P$211))&gt;='Aset Takberwujud'!$Y182,(YEAR(P$211)*12+MONTH(P$211))&lt;=MIN('Aset Takberwujud'!$Z182,IF('Aset Takberwujud'!$S182="Unit Produksi",99999,'Aset Takberwujud'!$Y182+'Aset Takberwujud'!$T182*12-1))),'Aset Takberwujud'!$AQ182/'Aset Takberwujud'!$AG182,0)))</f>
        <v/>
      </c>
      <c r="Q387" s="22" t="str">
        <f>IF($B387="","",SUM(E387:P387))</f>
        <v/>
      </c>
      <c r="R387" s="22" t="str">
        <f>IF($B387="","",'Aset Takberwujud'!AQ182)</f>
        <v/>
      </c>
      <c r="S387" s="22" t="str">
        <f>IF($B387="","",ROUND(Q387-R387,0))</f>
        <v/>
      </c>
    </row>
    <row r="388" spans="1:19" x14ac:dyDescent="0.25">
      <c r="A388" t="str">
        <f>IF('Aset Takberwujud'!$B183="","",'Aset Takberwujud'!A183)</f>
        <v/>
      </c>
      <c r="B388" t="str">
        <f>IF('Aset Takberwujud'!$B183="","",'Aset Takberwujud'!B183)</f>
        <v/>
      </c>
      <c r="C388" t="str">
        <f>IF('Aset Takberwujud'!$B183="","",'Aset Takberwujud'!C183)</f>
        <v/>
      </c>
      <c r="D388" t="str">
        <f>IF('Aset Takberwujud'!$B183="","",'Aset Takberwujud'!D183)</f>
        <v/>
      </c>
      <c r="E388" s="22" t="str">
        <f>IF($B388="","",IF(N('Aset Takberwujud'!$AG183)=0,0,IF(AND((YEAR(E$211)*12+MONTH(E$211))&gt;='Aset Takberwujud'!$Y183,(YEAR(E$211)*12+MONTH(E$211))&lt;=MIN('Aset Takberwujud'!$Z183,IF('Aset Takberwujud'!$S183="Unit Produksi",99999,'Aset Takberwujud'!$Y183+'Aset Takberwujud'!$T183*12-1))),'Aset Takberwujud'!$AQ183/'Aset Takberwujud'!$AG183,0)))</f>
        <v/>
      </c>
      <c r="F388" s="22" t="str">
        <f>IF($B388="","",IF(N('Aset Takberwujud'!$AG183)=0,0,IF(AND((YEAR(F$211)*12+MONTH(F$211))&gt;='Aset Takberwujud'!$Y183,(YEAR(F$211)*12+MONTH(F$211))&lt;=MIN('Aset Takberwujud'!$Z183,IF('Aset Takberwujud'!$S183="Unit Produksi",99999,'Aset Takberwujud'!$Y183+'Aset Takberwujud'!$T183*12-1))),'Aset Takberwujud'!$AQ183/'Aset Takberwujud'!$AG183,0)))</f>
        <v/>
      </c>
      <c r="G388" s="22" t="str">
        <f>IF($B388="","",IF(N('Aset Takberwujud'!$AG183)=0,0,IF(AND((YEAR(G$211)*12+MONTH(G$211))&gt;='Aset Takberwujud'!$Y183,(YEAR(G$211)*12+MONTH(G$211))&lt;=MIN('Aset Takberwujud'!$Z183,IF('Aset Takberwujud'!$S183="Unit Produksi",99999,'Aset Takberwujud'!$Y183+'Aset Takberwujud'!$T183*12-1))),'Aset Takberwujud'!$AQ183/'Aset Takberwujud'!$AG183,0)))</f>
        <v/>
      </c>
      <c r="H388" s="22" t="str">
        <f>IF($B388="","",IF(N('Aset Takberwujud'!$AG183)=0,0,IF(AND((YEAR(H$211)*12+MONTH(H$211))&gt;='Aset Takberwujud'!$Y183,(YEAR(H$211)*12+MONTH(H$211))&lt;=MIN('Aset Takberwujud'!$Z183,IF('Aset Takberwujud'!$S183="Unit Produksi",99999,'Aset Takberwujud'!$Y183+'Aset Takberwujud'!$T183*12-1))),'Aset Takberwujud'!$AQ183/'Aset Takberwujud'!$AG183,0)))</f>
        <v/>
      </c>
      <c r="I388" s="22" t="str">
        <f>IF($B388="","",IF(N('Aset Takberwujud'!$AG183)=0,0,IF(AND((YEAR(I$211)*12+MONTH(I$211))&gt;='Aset Takberwujud'!$Y183,(YEAR(I$211)*12+MONTH(I$211))&lt;=MIN('Aset Takberwujud'!$Z183,IF('Aset Takberwujud'!$S183="Unit Produksi",99999,'Aset Takberwujud'!$Y183+'Aset Takberwujud'!$T183*12-1))),'Aset Takberwujud'!$AQ183/'Aset Takberwujud'!$AG183,0)))</f>
        <v/>
      </c>
      <c r="J388" s="22" t="str">
        <f>IF($B388="","",IF(N('Aset Takberwujud'!$AG183)=0,0,IF(AND((YEAR(J$211)*12+MONTH(J$211))&gt;='Aset Takberwujud'!$Y183,(YEAR(J$211)*12+MONTH(J$211))&lt;=MIN('Aset Takberwujud'!$Z183,IF('Aset Takberwujud'!$S183="Unit Produksi",99999,'Aset Takberwujud'!$Y183+'Aset Takberwujud'!$T183*12-1))),'Aset Takberwujud'!$AQ183/'Aset Takberwujud'!$AG183,0)))</f>
        <v/>
      </c>
      <c r="K388" s="22" t="str">
        <f>IF($B388="","",IF(N('Aset Takberwujud'!$AG183)=0,0,IF(AND((YEAR(K$211)*12+MONTH(K$211))&gt;='Aset Takberwujud'!$Y183,(YEAR(K$211)*12+MONTH(K$211))&lt;=MIN('Aset Takberwujud'!$Z183,IF('Aset Takberwujud'!$S183="Unit Produksi",99999,'Aset Takberwujud'!$Y183+'Aset Takberwujud'!$T183*12-1))),'Aset Takberwujud'!$AQ183/'Aset Takberwujud'!$AG183,0)))</f>
        <v/>
      </c>
      <c r="L388" s="22" t="str">
        <f>IF($B388="","",IF(N('Aset Takberwujud'!$AG183)=0,0,IF(AND((YEAR(L$211)*12+MONTH(L$211))&gt;='Aset Takberwujud'!$Y183,(YEAR(L$211)*12+MONTH(L$211))&lt;=MIN('Aset Takberwujud'!$Z183,IF('Aset Takberwujud'!$S183="Unit Produksi",99999,'Aset Takberwujud'!$Y183+'Aset Takberwujud'!$T183*12-1))),'Aset Takberwujud'!$AQ183/'Aset Takberwujud'!$AG183,0)))</f>
        <v/>
      </c>
      <c r="M388" s="22" t="str">
        <f>IF($B388="","",IF(N('Aset Takberwujud'!$AG183)=0,0,IF(AND((YEAR(M$211)*12+MONTH(M$211))&gt;='Aset Takberwujud'!$Y183,(YEAR(M$211)*12+MONTH(M$211))&lt;=MIN('Aset Takberwujud'!$Z183,IF('Aset Takberwujud'!$S183="Unit Produksi",99999,'Aset Takberwujud'!$Y183+'Aset Takberwujud'!$T183*12-1))),'Aset Takberwujud'!$AQ183/'Aset Takberwujud'!$AG183,0)))</f>
        <v/>
      </c>
      <c r="N388" s="22" t="str">
        <f>IF($B388="","",IF(N('Aset Takberwujud'!$AG183)=0,0,IF(AND((YEAR(N$211)*12+MONTH(N$211))&gt;='Aset Takberwujud'!$Y183,(YEAR(N$211)*12+MONTH(N$211))&lt;=MIN('Aset Takberwujud'!$Z183,IF('Aset Takberwujud'!$S183="Unit Produksi",99999,'Aset Takberwujud'!$Y183+'Aset Takberwujud'!$T183*12-1))),'Aset Takberwujud'!$AQ183/'Aset Takberwujud'!$AG183,0)))</f>
        <v/>
      </c>
      <c r="O388" s="22" t="str">
        <f>IF($B388="","",IF(N('Aset Takberwujud'!$AG183)=0,0,IF(AND((YEAR(O$211)*12+MONTH(O$211))&gt;='Aset Takberwujud'!$Y183,(YEAR(O$211)*12+MONTH(O$211))&lt;=MIN('Aset Takberwujud'!$Z183,IF('Aset Takberwujud'!$S183="Unit Produksi",99999,'Aset Takberwujud'!$Y183+'Aset Takberwujud'!$T183*12-1))),'Aset Takberwujud'!$AQ183/'Aset Takberwujud'!$AG183,0)))</f>
        <v/>
      </c>
      <c r="P388" s="22" t="str">
        <f>IF($B388="","",IF(N('Aset Takberwujud'!$AG183)=0,0,IF(AND((YEAR(P$211)*12+MONTH(P$211))&gt;='Aset Takberwujud'!$Y183,(YEAR(P$211)*12+MONTH(P$211))&lt;=MIN('Aset Takberwujud'!$Z183,IF('Aset Takberwujud'!$S183="Unit Produksi",99999,'Aset Takberwujud'!$Y183+'Aset Takberwujud'!$T183*12-1))),'Aset Takberwujud'!$AQ183/'Aset Takberwujud'!$AG183,0)))</f>
        <v/>
      </c>
      <c r="Q388" s="22" t="str">
        <f>IF($B388="","",SUM(E388:P388))</f>
        <v/>
      </c>
      <c r="R388" s="22" t="str">
        <f>IF($B388="","",'Aset Takberwujud'!AQ183)</f>
        <v/>
      </c>
      <c r="S388" s="22" t="str">
        <f>IF($B388="","",ROUND(Q388-R388,0))</f>
        <v/>
      </c>
    </row>
    <row r="389" spans="1:19" x14ac:dyDescent="0.25">
      <c r="A389" t="str">
        <f>IF('Aset Takberwujud'!$B184="","",'Aset Takberwujud'!A184)</f>
        <v/>
      </c>
      <c r="B389" t="str">
        <f>IF('Aset Takberwujud'!$B184="","",'Aset Takberwujud'!B184)</f>
        <v/>
      </c>
      <c r="C389" t="str">
        <f>IF('Aset Takberwujud'!$B184="","",'Aset Takberwujud'!C184)</f>
        <v/>
      </c>
      <c r="D389" t="str">
        <f>IF('Aset Takberwujud'!$B184="","",'Aset Takberwujud'!D184)</f>
        <v/>
      </c>
      <c r="E389" s="22" t="str">
        <f>IF($B389="","",IF(N('Aset Takberwujud'!$AG184)=0,0,IF(AND((YEAR(E$211)*12+MONTH(E$211))&gt;='Aset Takberwujud'!$Y184,(YEAR(E$211)*12+MONTH(E$211))&lt;=MIN('Aset Takberwujud'!$Z184,IF('Aset Takberwujud'!$S184="Unit Produksi",99999,'Aset Takberwujud'!$Y184+'Aset Takberwujud'!$T184*12-1))),'Aset Takberwujud'!$AQ184/'Aset Takberwujud'!$AG184,0)))</f>
        <v/>
      </c>
      <c r="F389" s="22" t="str">
        <f>IF($B389="","",IF(N('Aset Takberwujud'!$AG184)=0,0,IF(AND((YEAR(F$211)*12+MONTH(F$211))&gt;='Aset Takberwujud'!$Y184,(YEAR(F$211)*12+MONTH(F$211))&lt;=MIN('Aset Takberwujud'!$Z184,IF('Aset Takberwujud'!$S184="Unit Produksi",99999,'Aset Takberwujud'!$Y184+'Aset Takberwujud'!$T184*12-1))),'Aset Takberwujud'!$AQ184/'Aset Takberwujud'!$AG184,0)))</f>
        <v/>
      </c>
      <c r="G389" s="22" t="str">
        <f>IF($B389="","",IF(N('Aset Takberwujud'!$AG184)=0,0,IF(AND((YEAR(G$211)*12+MONTH(G$211))&gt;='Aset Takberwujud'!$Y184,(YEAR(G$211)*12+MONTH(G$211))&lt;=MIN('Aset Takberwujud'!$Z184,IF('Aset Takberwujud'!$S184="Unit Produksi",99999,'Aset Takberwujud'!$Y184+'Aset Takberwujud'!$T184*12-1))),'Aset Takberwujud'!$AQ184/'Aset Takberwujud'!$AG184,0)))</f>
        <v/>
      </c>
      <c r="H389" s="22" t="str">
        <f>IF($B389="","",IF(N('Aset Takberwujud'!$AG184)=0,0,IF(AND((YEAR(H$211)*12+MONTH(H$211))&gt;='Aset Takberwujud'!$Y184,(YEAR(H$211)*12+MONTH(H$211))&lt;=MIN('Aset Takberwujud'!$Z184,IF('Aset Takberwujud'!$S184="Unit Produksi",99999,'Aset Takberwujud'!$Y184+'Aset Takberwujud'!$T184*12-1))),'Aset Takberwujud'!$AQ184/'Aset Takberwujud'!$AG184,0)))</f>
        <v/>
      </c>
      <c r="I389" s="22" t="str">
        <f>IF($B389="","",IF(N('Aset Takberwujud'!$AG184)=0,0,IF(AND((YEAR(I$211)*12+MONTH(I$211))&gt;='Aset Takberwujud'!$Y184,(YEAR(I$211)*12+MONTH(I$211))&lt;=MIN('Aset Takberwujud'!$Z184,IF('Aset Takberwujud'!$S184="Unit Produksi",99999,'Aset Takberwujud'!$Y184+'Aset Takberwujud'!$T184*12-1))),'Aset Takberwujud'!$AQ184/'Aset Takberwujud'!$AG184,0)))</f>
        <v/>
      </c>
      <c r="J389" s="22" t="str">
        <f>IF($B389="","",IF(N('Aset Takberwujud'!$AG184)=0,0,IF(AND((YEAR(J$211)*12+MONTH(J$211))&gt;='Aset Takberwujud'!$Y184,(YEAR(J$211)*12+MONTH(J$211))&lt;=MIN('Aset Takberwujud'!$Z184,IF('Aset Takberwujud'!$S184="Unit Produksi",99999,'Aset Takberwujud'!$Y184+'Aset Takberwujud'!$T184*12-1))),'Aset Takberwujud'!$AQ184/'Aset Takberwujud'!$AG184,0)))</f>
        <v/>
      </c>
      <c r="K389" s="22" t="str">
        <f>IF($B389="","",IF(N('Aset Takberwujud'!$AG184)=0,0,IF(AND((YEAR(K$211)*12+MONTH(K$211))&gt;='Aset Takberwujud'!$Y184,(YEAR(K$211)*12+MONTH(K$211))&lt;=MIN('Aset Takberwujud'!$Z184,IF('Aset Takberwujud'!$S184="Unit Produksi",99999,'Aset Takberwujud'!$Y184+'Aset Takberwujud'!$T184*12-1))),'Aset Takberwujud'!$AQ184/'Aset Takberwujud'!$AG184,0)))</f>
        <v/>
      </c>
      <c r="L389" s="22" t="str">
        <f>IF($B389="","",IF(N('Aset Takberwujud'!$AG184)=0,0,IF(AND((YEAR(L$211)*12+MONTH(L$211))&gt;='Aset Takberwujud'!$Y184,(YEAR(L$211)*12+MONTH(L$211))&lt;=MIN('Aset Takberwujud'!$Z184,IF('Aset Takberwujud'!$S184="Unit Produksi",99999,'Aset Takberwujud'!$Y184+'Aset Takberwujud'!$T184*12-1))),'Aset Takberwujud'!$AQ184/'Aset Takberwujud'!$AG184,0)))</f>
        <v/>
      </c>
      <c r="M389" s="22" t="str">
        <f>IF($B389="","",IF(N('Aset Takberwujud'!$AG184)=0,0,IF(AND((YEAR(M$211)*12+MONTH(M$211))&gt;='Aset Takberwujud'!$Y184,(YEAR(M$211)*12+MONTH(M$211))&lt;=MIN('Aset Takberwujud'!$Z184,IF('Aset Takberwujud'!$S184="Unit Produksi",99999,'Aset Takberwujud'!$Y184+'Aset Takberwujud'!$T184*12-1))),'Aset Takberwujud'!$AQ184/'Aset Takberwujud'!$AG184,0)))</f>
        <v/>
      </c>
      <c r="N389" s="22" t="str">
        <f>IF($B389="","",IF(N('Aset Takberwujud'!$AG184)=0,0,IF(AND((YEAR(N$211)*12+MONTH(N$211))&gt;='Aset Takberwujud'!$Y184,(YEAR(N$211)*12+MONTH(N$211))&lt;=MIN('Aset Takberwujud'!$Z184,IF('Aset Takberwujud'!$S184="Unit Produksi",99999,'Aset Takberwujud'!$Y184+'Aset Takberwujud'!$T184*12-1))),'Aset Takberwujud'!$AQ184/'Aset Takberwujud'!$AG184,0)))</f>
        <v/>
      </c>
      <c r="O389" s="22" t="str">
        <f>IF($B389="","",IF(N('Aset Takberwujud'!$AG184)=0,0,IF(AND((YEAR(O$211)*12+MONTH(O$211))&gt;='Aset Takberwujud'!$Y184,(YEAR(O$211)*12+MONTH(O$211))&lt;=MIN('Aset Takberwujud'!$Z184,IF('Aset Takberwujud'!$S184="Unit Produksi",99999,'Aset Takberwujud'!$Y184+'Aset Takberwujud'!$T184*12-1))),'Aset Takberwujud'!$AQ184/'Aset Takberwujud'!$AG184,0)))</f>
        <v/>
      </c>
      <c r="P389" s="22" t="str">
        <f>IF($B389="","",IF(N('Aset Takberwujud'!$AG184)=0,0,IF(AND((YEAR(P$211)*12+MONTH(P$211))&gt;='Aset Takberwujud'!$Y184,(YEAR(P$211)*12+MONTH(P$211))&lt;=MIN('Aset Takberwujud'!$Z184,IF('Aset Takberwujud'!$S184="Unit Produksi",99999,'Aset Takberwujud'!$Y184+'Aset Takberwujud'!$T184*12-1))),'Aset Takberwujud'!$AQ184/'Aset Takberwujud'!$AG184,0)))</f>
        <v/>
      </c>
      <c r="Q389" s="22" t="str">
        <f>IF($B389="","",SUM(E389:P389))</f>
        <v/>
      </c>
      <c r="R389" s="22" t="str">
        <f>IF($B389="","",'Aset Takberwujud'!AQ184)</f>
        <v/>
      </c>
      <c r="S389" s="22" t="str">
        <f>IF($B389="","",ROUND(Q389-R389,0))</f>
        <v/>
      </c>
    </row>
    <row r="390" spans="1:19" x14ac:dyDescent="0.25">
      <c r="A390" t="str">
        <f>IF('Aset Takberwujud'!$B185="","",'Aset Takberwujud'!A185)</f>
        <v/>
      </c>
      <c r="B390" t="str">
        <f>IF('Aset Takberwujud'!$B185="","",'Aset Takberwujud'!B185)</f>
        <v/>
      </c>
      <c r="C390" t="str">
        <f>IF('Aset Takberwujud'!$B185="","",'Aset Takberwujud'!C185)</f>
        <v/>
      </c>
      <c r="D390" t="str">
        <f>IF('Aset Takberwujud'!$B185="","",'Aset Takberwujud'!D185)</f>
        <v/>
      </c>
      <c r="E390" s="22" t="str">
        <f>IF($B390="","",IF(N('Aset Takberwujud'!$AG185)=0,0,IF(AND((YEAR(E$211)*12+MONTH(E$211))&gt;='Aset Takberwujud'!$Y185,(YEAR(E$211)*12+MONTH(E$211))&lt;=MIN('Aset Takberwujud'!$Z185,IF('Aset Takberwujud'!$S185="Unit Produksi",99999,'Aset Takberwujud'!$Y185+'Aset Takberwujud'!$T185*12-1))),'Aset Takberwujud'!$AQ185/'Aset Takberwujud'!$AG185,0)))</f>
        <v/>
      </c>
      <c r="F390" s="22" t="str">
        <f>IF($B390="","",IF(N('Aset Takberwujud'!$AG185)=0,0,IF(AND((YEAR(F$211)*12+MONTH(F$211))&gt;='Aset Takberwujud'!$Y185,(YEAR(F$211)*12+MONTH(F$211))&lt;=MIN('Aset Takberwujud'!$Z185,IF('Aset Takberwujud'!$S185="Unit Produksi",99999,'Aset Takberwujud'!$Y185+'Aset Takberwujud'!$T185*12-1))),'Aset Takberwujud'!$AQ185/'Aset Takberwujud'!$AG185,0)))</f>
        <v/>
      </c>
      <c r="G390" s="22" t="str">
        <f>IF($B390="","",IF(N('Aset Takberwujud'!$AG185)=0,0,IF(AND((YEAR(G$211)*12+MONTH(G$211))&gt;='Aset Takberwujud'!$Y185,(YEAR(G$211)*12+MONTH(G$211))&lt;=MIN('Aset Takberwujud'!$Z185,IF('Aset Takberwujud'!$S185="Unit Produksi",99999,'Aset Takberwujud'!$Y185+'Aset Takberwujud'!$T185*12-1))),'Aset Takberwujud'!$AQ185/'Aset Takberwujud'!$AG185,0)))</f>
        <v/>
      </c>
      <c r="H390" s="22" t="str">
        <f>IF($B390="","",IF(N('Aset Takberwujud'!$AG185)=0,0,IF(AND((YEAR(H$211)*12+MONTH(H$211))&gt;='Aset Takberwujud'!$Y185,(YEAR(H$211)*12+MONTH(H$211))&lt;=MIN('Aset Takberwujud'!$Z185,IF('Aset Takberwujud'!$S185="Unit Produksi",99999,'Aset Takberwujud'!$Y185+'Aset Takberwujud'!$T185*12-1))),'Aset Takberwujud'!$AQ185/'Aset Takberwujud'!$AG185,0)))</f>
        <v/>
      </c>
      <c r="I390" s="22" t="str">
        <f>IF($B390="","",IF(N('Aset Takberwujud'!$AG185)=0,0,IF(AND((YEAR(I$211)*12+MONTH(I$211))&gt;='Aset Takberwujud'!$Y185,(YEAR(I$211)*12+MONTH(I$211))&lt;=MIN('Aset Takberwujud'!$Z185,IF('Aset Takberwujud'!$S185="Unit Produksi",99999,'Aset Takberwujud'!$Y185+'Aset Takberwujud'!$T185*12-1))),'Aset Takberwujud'!$AQ185/'Aset Takberwujud'!$AG185,0)))</f>
        <v/>
      </c>
      <c r="J390" s="22" t="str">
        <f>IF($B390="","",IF(N('Aset Takberwujud'!$AG185)=0,0,IF(AND((YEAR(J$211)*12+MONTH(J$211))&gt;='Aset Takberwujud'!$Y185,(YEAR(J$211)*12+MONTH(J$211))&lt;=MIN('Aset Takberwujud'!$Z185,IF('Aset Takberwujud'!$S185="Unit Produksi",99999,'Aset Takberwujud'!$Y185+'Aset Takberwujud'!$T185*12-1))),'Aset Takberwujud'!$AQ185/'Aset Takberwujud'!$AG185,0)))</f>
        <v/>
      </c>
      <c r="K390" s="22" t="str">
        <f>IF($B390="","",IF(N('Aset Takberwujud'!$AG185)=0,0,IF(AND((YEAR(K$211)*12+MONTH(K$211))&gt;='Aset Takberwujud'!$Y185,(YEAR(K$211)*12+MONTH(K$211))&lt;=MIN('Aset Takberwujud'!$Z185,IF('Aset Takberwujud'!$S185="Unit Produksi",99999,'Aset Takberwujud'!$Y185+'Aset Takberwujud'!$T185*12-1))),'Aset Takberwujud'!$AQ185/'Aset Takberwujud'!$AG185,0)))</f>
        <v/>
      </c>
      <c r="L390" s="22" t="str">
        <f>IF($B390="","",IF(N('Aset Takberwujud'!$AG185)=0,0,IF(AND((YEAR(L$211)*12+MONTH(L$211))&gt;='Aset Takberwujud'!$Y185,(YEAR(L$211)*12+MONTH(L$211))&lt;=MIN('Aset Takberwujud'!$Z185,IF('Aset Takberwujud'!$S185="Unit Produksi",99999,'Aset Takberwujud'!$Y185+'Aset Takberwujud'!$T185*12-1))),'Aset Takberwujud'!$AQ185/'Aset Takberwujud'!$AG185,0)))</f>
        <v/>
      </c>
      <c r="M390" s="22" t="str">
        <f>IF($B390="","",IF(N('Aset Takberwujud'!$AG185)=0,0,IF(AND((YEAR(M$211)*12+MONTH(M$211))&gt;='Aset Takberwujud'!$Y185,(YEAR(M$211)*12+MONTH(M$211))&lt;=MIN('Aset Takberwujud'!$Z185,IF('Aset Takberwujud'!$S185="Unit Produksi",99999,'Aset Takberwujud'!$Y185+'Aset Takberwujud'!$T185*12-1))),'Aset Takberwujud'!$AQ185/'Aset Takberwujud'!$AG185,0)))</f>
        <v/>
      </c>
      <c r="N390" s="22" t="str">
        <f>IF($B390="","",IF(N('Aset Takberwujud'!$AG185)=0,0,IF(AND((YEAR(N$211)*12+MONTH(N$211))&gt;='Aset Takberwujud'!$Y185,(YEAR(N$211)*12+MONTH(N$211))&lt;=MIN('Aset Takberwujud'!$Z185,IF('Aset Takberwujud'!$S185="Unit Produksi",99999,'Aset Takberwujud'!$Y185+'Aset Takberwujud'!$T185*12-1))),'Aset Takberwujud'!$AQ185/'Aset Takberwujud'!$AG185,0)))</f>
        <v/>
      </c>
      <c r="O390" s="22" t="str">
        <f>IF($B390="","",IF(N('Aset Takberwujud'!$AG185)=0,0,IF(AND((YEAR(O$211)*12+MONTH(O$211))&gt;='Aset Takberwujud'!$Y185,(YEAR(O$211)*12+MONTH(O$211))&lt;=MIN('Aset Takberwujud'!$Z185,IF('Aset Takberwujud'!$S185="Unit Produksi",99999,'Aset Takberwujud'!$Y185+'Aset Takberwujud'!$T185*12-1))),'Aset Takberwujud'!$AQ185/'Aset Takberwujud'!$AG185,0)))</f>
        <v/>
      </c>
      <c r="P390" s="22" t="str">
        <f>IF($B390="","",IF(N('Aset Takberwujud'!$AG185)=0,0,IF(AND((YEAR(P$211)*12+MONTH(P$211))&gt;='Aset Takberwujud'!$Y185,(YEAR(P$211)*12+MONTH(P$211))&lt;=MIN('Aset Takberwujud'!$Z185,IF('Aset Takberwujud'!$S185="Unit Produksi",99999,'Aset Takberwujud'!$Y185+'Aset Takberwujud'!$T185*12-1))),'Aset Takberwujud'!$AQ185/'Aset Takberwujud'!$AG185,0)))</f>
        <v/>
      </c>
      <c r="Q390" s="22" t="str">
        <f>IF($B390="","",SUM(E390:P390))</f>
        <v/>
      </c>
      <c r="R390" s="22" t="str">
        <f>IF($B390="","",'Aset Takberwujud'!AQ185)</f>
        <v/>
      </c>
      <c r="S390" s="22" t="str">
        <f>IF($B390="","",ROUND(Q390-R390,0))</f>
        <v/>
      </c>
    </row>
    <row r="391" spans="1:19" x14ac:dyDescent="0.25">
      <c r="A391" t="str">
        <f>IF('Aset Takberwujud'!$B186="","",'Aset Takberwujud'!A186)</f>
        <v/>
      </c>
      <c r="B391" t="str">
        <f>IF('Aset Takberwujud'!$B186="","",'Aset Takberwujud'!B186)</f>
        <v/>
      </c>
      <c r="C391" t="str">
        <f>IF('Aset Takberwujud'!$B186="","",'Aset Takberwujud'!C186)</f>
        <v/>
      </c>
      <c r="D391" t="str">
        <f>IF('Aset Takberwujud'!$B186="","",'Aset Takberwujud'!D186)</f>
        <v/>
      </c>
      <c r="E391" s="22" t="str">
        <f>IF($B391="","",IF(N('Aset Takberwujud'!$AG186)=0,0,IF(AND((YEAR(E$211)*12+MONTH(E$211))&gt;='Aset Takberwujud'!$Y186,(YEAR(E$211)*12+MONTH(E$211))&lt;=MIN('Aset Takberwujud'!$Z186,IF('Aset Takberwujud'!$S186="Unit Produksi",99999,'Aset Takberwujud'!$Y186+'Aset Takberwujud'!$T186*12-1))),'Aset Takberwujud'!$AQ186/'Aset Takberwujud'!$AG186,0)))</f>
        <v/>
      </c>
      <c r="F391" s="22" t="str">
        <f>IF($B391="","",IF(N('Aset Takberwujud'!$AG186)=0,0,IF(AND((YEAR(F$211)*12+MONTH(F$211))&gt;='Aset Takberwujud'!$Y186,(YEAR(F$211)*12+MONTH(F$211))&lt;=MIN('Aset Takberwujud'!$Z186,IF('Aset Takberwujud'!$S186="Unit Produksi",99999,'Aset Takberwujud'!$Y186+'Aset Takberwujud'!$T186*12-1))),'Aset Takberwujud'!$AQ186/'Aset Takberwujud'!$AG186,0)))</f>
        <v/>
      </c>
      <c r="G391" s="22" t="str">
        <f>IF($B391="","",IF(N('Aset Takberwujud'!$AG186)=0,0,IF(AND((YEAR(G$211)*12+MONTH(G$211))&gt;='Aset Takberwujud'!$Y186,(YEAR(G$211)*12+MONTH(G$211))&lt;=MIN('Aset Takberwujud'!$Z186,IF('Aset Takberwujud'!$S186="Unit Produksi",99999,'Aset Takberwujud'!$Y186+'Aset Takberwujud'!$T186*12-1))),'Aset Takberwujud'!$AQ186/'Aset Takberwujud'!$AG186,0)))</f>
        <v/>
      </c>
      <c r="H391" s="22" t="str">
        <f>IF($B391="","",IF(N('Aset Takberwujud'!$AG186)=0,0,IF(AND((YEAR(H$211)*12+MONTH(H$211))&gt;='Aset Takberwujud'!$Y186,(YEAR(H$211)*12+MONTH(H$211))&lt;=MIN('Aset Takberwujud'!$Z186,IF('Aset Takberwujud'!$S186="Unit Produksi",99999,'Aset Takberwujud'!$Y186+'Aset Takberwujud'!$T186*12-1))),'Aset Takberwujud'!$AQ186/'Aset Takberwujud'!$AG186,0)))</f>
        <v/>
      </c>
      <c r="I391" s="22" t="str">
        <f>IF($B391="","",IF(N('Aset Takberwujud'!$AG186)=0,0,IF(AND((YEAR(I$211)*12+MONTH(I$211))&gt;='Aset Takberwujud'!$Y186,(YEAR(I$211)*12+MONTH(I$211))&lt;=MIN('Aset Takberwujud'!$Z186,IF('Aset Takberwujud'!$S186="Unit Produksi",99999,'Aset Takberwujud'!$Y186+'Aset Takberwujud'!$T186*12-1))),'Aset Takberwujud'!$AQ186/'Aset Takberwujud'!$AG186,0)))</f>
        <v/>
      </c>
      <c r="J391" s="22" t="str">
        <f>IF($B391="","",IF(N('Aset Takberwujud'!$AG186)=0,0,IF(AND((YEAR(J$211)*12+MONTH(J$211))&gt;='Aset Takberwujud'!$Y186,(YEAR(J$211)*12+MONTH(J$211))&lt;=MIN('Aset Takberwujud'!$Z186,IF('Aset Takberwujud'!$S186="Unit Produksi",99999,'Aset Takberwujud'!$Y186+'Aset Takberwujud'!$T186*12-1))),'Aset Takberwujud'!$AQ186/'Aset Takberwujud'!$AG186,0)))</f>
        <v/>
      </c>
      <c r="K391" s="22" t="str">
        <f>IF($B391="","",IF(N('Aset Takberwujud'!$AG186)=0,0,IF(AND((YEAR(K$211)*12+MONTH(K$211))&gt;='Aset Takberwujud'!$Y186,(YEAR(K$211)*12+MONTH(K$211))&lt;=MIN('Aset Takberwujud'!$Z186,IF('Aset Takberwujud'!$S186="Unit Produksi",99999,'Aset Takberwujud'!$Y186+'Aset Takberwujud'!$T186*12-1))),'Aset Takberwujud'!$AQ186/'Aset Takberwujud'!$AG186,0)))</f>
        <v/>
      </c>
      <c r="L391" s="22" t="str">
        <f>IF($B391="","",IF(N('Aset Takberwujud'!$AG186)=0,0,IF(AND((YEAR(L$211)*12+MONTH(L$211))&gt;='Aset Takberwujud'!$Y186,(YEAR(L$211)*12+MONTH(L$211))&lt;=MIN('Aset Takberwujud'!$Z186,IF('Aset Takberwujud'!$S186="Unit Produksi",99999,'Aset Takberwujud'!$Y186+'Aset Takberwujud'!$T186*12-1))),'Aset Takberwujud'!$AQ186/'Aset Takberwujud'!$AG186,0)))</f>
        <v/>
      </c>
      <c r="M391" s="22" t="str">
        <f>IF($B391="","",IF(N('Aset Takberwujud'!$AG186)=0,0,IF(AND((YEAR(M$211)*12+MONTH(M$211))&gt;='Aset Takberwujud'!$Y186,(YEAR(M$211)*12+MONTH(M$211))&lt;=MIN('Aset Takberwujud'!$Z186,IF('Aset Takberwujud'!$S186="Unit Produksi",99999,'Aset Takberwujud'!$Y186+'Aset Takberwujud'!$T186*12-1))),'Aset Takberwujud'!$AQ186/'Aset Takberwujud'!$AG186,0)))</f>
        <v/>
      </c>
      <c r="N391" s="22" t="str">
        <f>IF($B391="","",IF(N('Aset Takberwujud'!$AG186)=0,0,IF(AND((YEAR(N$211)*12+MONTH(N$211))&gt;='Aset Takberwujud'!$Y186,(YEAR(N$211)*12+MONTH(N$211))&lt;=MIN('Aset Takberwujud'!$Z186,IF('Aset Takberwujud'!$S186="Unit Produksi",99999,'Aset Takberwujud'!$Y186+'Aset Takberwujud'!$T186*12-1))),'Aset Takberwujud'!$AQ186/'Aset Takberwujud'!$AG186,0)))</f>
        <v/>
      </c>
      <c r="O391" s="22" t="str">
        <f>IF($B391="","",IF(N('Aset Takberwujud'!$AG186)=0,0,IF(AND((YEAR(O$211)*12+MONTH(O$211))&gt;='Aset Takberwujud'!$Y186,(YEAR(O$211)*12+MONTH(O$211))&lt;=MIN('Aset Takberwujud'!$Z186,IF('Aset Takberwujud'!$S186="Unit Produksi",99999,'Aset Takberwujud'!$Y186+'Aset Takberwujud'!$T186*12-1))),'Aset Takberwujud'!$AQ186/'Aset Takberwujud'!$AG186,0)))</f>
        <v/>
      </c>
      <c r="P391" s="22" t="str">
        <f>IF($B391="","",IF(N('Aset Takberwujud'!$AG186)=0,0,IF(AND((YEAR(P$211)*12+MONTH(P$211))&gt;='Aset Takberwujud'!$Y186,(YEAR(P$211)*12+MONTH(P$211))&lt;=MIN('Aset Takberwujud'!$Z186,IF('Aset Takberwujud'!$S186="Unit Produksi",99999,'Aset Takberwujud'!$Y186+'Aset Takberwujud'!$T186*12-1))),'Aset Takberwujud'!$AQ186/'Aset Takberwujud'!$AG186,0)))</f>
        <v/>
      </c>
      <c r="Q391" s="22" t="str">
        <f>IF($B391="","",SUM(E391:P391))</f>
        <v/>
      </c>
      <c r="R391" s="22" t="str">
        <f>IF($B391="","",'Aset Takberwujud'!AQ186)</f>
        <v/>
      </c>
      <c r="S391" s="22" t="str">
        <f>IF($B391="","",ROUND(Q391-R391,0))</f>
        <v/>
      </c>
    </row>
    <row r="392" spans="1:19" x14ac:dyDescent="0.25">
      <c r="A392" t="str">
        <f>IF('Aset Takberwujud'!$B187="","",'Aset Takberwujud'!A187)</f>
        <v/>
      </c>
      <c r="B392" t="str">
        <f>IF('Aset Takberwujud'!$B187="","",'Aset Takberwujud'!B187)</f>
        <v/>
      </c>
      <c r="C392" t="str">
        <f>IF('Aset Takberwujud'!$B187="","",'Aset Takberwujud'!C187)</f>
        <v/>
      </c>
      <c r="D392" t="str">
        <f>IF('Aset Takberwujud'!$B187="","",'Aset Takberwujud'!D187)</f>
        <v/>
      </c>
      <c r="E392" s="22" t="str">
        <f>IF($B392="","",IF(N('Aset Takberwujud'!$AG187)=0,0,IF(AND((YEAR(E$211)*12+MONTH(E$211))&gt;='Aset Takberwujud'!$Y187,(YEAR(E$211)*12+MONTH(E$211))&lt;=MIN('Aset Takberwujud'!$Z187,IF('Aset Takberwujud'!$S187="Unit Produksi",99999,'Aset Takberwujud'!$Y187+'Aset Takberwujud'!$T187*12-1))),'Aset Takberwujud'!$AQ187/'Aset Takberwujud'!$AG187,0)))</f>
        <v/>
      </c>
      <c r="F392" s="22" t="str">
        <f>IF($B392="","",IF(N('Aset Takberwujud'!$AG187)=0,0,IF(AND((YEAR(F$211)*12+MONTH(F$211))&gt;='Aset Takberwujud'!$Y187,(YEAR(F$211)*12+MONTH(F$211))&lt;=MIN('Aset Takberwujud'!$Z187,IF('Aset Takberwujud'!$S187="Unit Produksi",99999,'Aset Takberwujud'!$Y187+'Aset Takberwujud'!$T187*12-1))),'Aset Takberwujud'!$AQ187/'Aset Takberwujud'!$AG187,0)))</f>
        <v/>
      </c>
      <c r="G392" s="22" t="str">
        <f>IF($B392="","",IF(N('Aset Takberwujud'!$AG187)=0,0,IF(AND((YEAR(G$211)*12+MONTH(G$211))&gt;='Aset Takberwujud'!$Y187,(YEAR(G$211)*12+MONTH(G$211))&lt;=MIN('Aset Takberwujud'!$Z187,IF('Aset Takberwujud'!$S187="Unit Produksi",99999,'Aset Takberwujud'!$Y187+'Aset Takberwujud'!$T187*12-1))),'Aset Takberwujud'!$AQ187/'Aset Takberwujud'!$AG187,0)))</f>
        <v/>
      </c>
      <c r="H392" s="22" t="str">
        <f>IF($B392="","",IF(N('Aset Takberwujud'!$AG187)=0,0,IF(AND((YEAR(H$211)*12+MONTH(H$211))&gt;='Aset Takberwujud'!$Y187,(YEAR(H$211)*12+MONTH(H$211))&lt;=MIN('Aset Takberwujud'!$Z187,IF('Aset Takberwujud'!$S187="Unit Produksi",99999,'Aset Takberwujud'!$Y187+'Aset Takberwujud'!$T187*12-1))),'Aset Takberwujud'!$AQ187/'Aset Takberwujud'!$AG187,0)))</f>
        <v/>
      </c>
      <c r="I392" s="22" t="str">
        <f>IF($B392="","",IF(N('Aset Takberwujud'!$AG187)=0,0,IF(AND((YEAR(I$211)*12+MONTH(I$211))&gt;='Aset Takberwujud'!$Y187,(YEAR(I$211)*12+MONTH(I$211))&lt;=MIN('Aset Takberwujud'!$Z187,IF('Aset Takberwujud'!$S187="Unit Produksi",99999,'Aset Takberwujud'!$Y187+'Aset Takberwujud'!$T187*12-1))),'Aset Takberwujud'!$AQ187/'Aset Takberwujud'!$AG187,0)))</f>
        <v/>
      </c>
      <c r="J392" s="22" t="str">
        <f>IF($B392="","",IF(N('Aset Takberwujud'!$AG187)=0,0,IF(AND((YEAR(J$211)*12+MONTH(J$211))&gt;='Aset Takberwujud'!$Y187,(YEAR(J$211)*12+MONTH(J$211))&lt;=MIN('Aset Takberwujud'!$Z187,IF('Aset Takberwujud'!$S187="Unit Produksi",99999,'Aset Takberwujud'!$Y187+'Aset Takberwujud'!$T187*12-1))),'Aset Takberwujud'!$AQ187/'Aset Takberwujud'!$AG187,0)))</f>
        <v/>
      </c>
      <c r="K392" s="22" t="str">
        <f>IF($B392="","",IF(N('Aset Takberwujud'!$AG187)=0,0,IF(AND((YEAR(K$211)*12+MONTH(K$211))&gt;='Aset Takberwujud'!$Y187,(YEAR(K$211)*12+MONTH(K$211))&lt;=MIN('Aset Takberwujud'!$Z187,IF('Aset Takberwujud'!$S187="Unit Produksi",99999,'Aset Takberwujud'!$Y187+'Aset Takberwujud'!$T187*12-1))),'Aset Takberwujud'!$AQ187/'Aset Takberwujud'!$AG187,0)))</f>
        <v/>
      </c>
      <c r="L392" s="22" t="str">
        <f>IF($B392="","",IF(N('Aset Takberwujud'!$AG187)=0,0,IF(AND((YEAR(L$211)*12+MONTH(L$211))&gt;='Aset Takberwujud'!$Y187,(YEAR(L$211)*12+MONTH(L$211))&lt;=MIN('Aset Takberwujud'!$Z187,IF('Aset Takberwujud'!$S187="Unit Produksi",99999,'Aset Takberwujud'!$Y187+'Aset Takberwujud'!$T187*12-1))),'Aset Takberwujud'!$AQ187/'Aset Takberwujud'!$AG187,0)))</f>
        <v/>
      </c>
      <c r="M392" s="22" t="str">
        <f>IF($B392="","",IF(N('Aset Takberwujud'!$AG187)=0,0,IF(AND((YEAR(M$211)*12+MONTH(M$211))&gt;='Aset Takberwujud'!$Y187,(YEAR(M$211)*12+MONTH(M$211))&lt;=MIN('Aset Takberwujud'!$Z187,IF('Aset Takberwujud'!$S187="Unit Produksi",99999,'Aset Takberwujud'!$Y187+'Aset Takberwujud'!$T187*12-1))),'Aset Takberwujud'!$AQ187/'Aset Takberwujud'!$AG187,0)))</f>
        <v/>
      </c>
      <c r="N392" s="22" t="str">
        <f>IF($B392="","",IF(N('Aset Takberwujud'!$AG187)=0,0,IF(AND((YEAR(N$211)*12+MONTH(N$211))&gt;='Aset Takberwujud'!$Y187,(YEAR(N$211)*12+MONTH(N$211))&lt;=MIN('Aset Takberwujud'!$Z187,IF('Aset Takberwujud'!$S187="Unit Produksi",99999,'Aset Takberwujud'!$Y187+'Aset Takberwujud'!$T187*12-1))),'Aset Takberwujud'!$AQ187/'Aset Takberwujud'!$AG187,0)))</f>
        <v/>
      </c>
      <c r="O392" s="22" t="str">
        <f>IF($B392="","",IF(N('Aset Takberwujud'!$AG187)=0,0,IF(AND((YEAR(O$211)*12+MONTH(O$211))&gt;='Aset Takberwujud'!$Y187,(YEAR(O$211)*12+MONTH(O$211))&lt;=MIN('Aset Takberwujud'!$Z187,IF('Aset Takberwujud'!$S187="Unit Produksi",99999,'Aset Takberwujud'!$Y187+'Aset Takberwujud'!$T187*12-1))),'Aset Takberwujud'!$AQ187/'Aset Takberwujud'!$AG187,0)))</f>
        <v/>
      </c>
      <c r="P392" s="22" t="str">
        <f>IF($B392="","",IF(N('Aset Takberwujud'!$AG187)=0,0,IF(AND((YEAR(P$211)*12+MONTH(P$211))&gt;='Aset Takberwujud'!$Y187,(YEAR(P$211)*12+MONTH(P$211))&lt;=MIN('Aset Takberwujud'!$Z187,IF('Aset Takberwujud'!$S187="Unit Produksi",99999,'Aset Takberwujud'!$Y187+'Aset Takberwujud'!$T187*12-1))),'Aset Takberwujud'!$AQ187/'Aset Takberwujud'!$AG187,0)))</f>
        <v/>
      </c>
      <c r="Q392" s="22" t="str">
        <f>IF($B392="","",SUM(E392:P392))</f>
        <v/>
      </c>
      <c r="R392" s="22" t="str">
        <f>IF($B392="","",'Aset Takberwujud'!AQ187)</f>
        <v/>
      </c>
      <c r="S392" s="22" t="str">
        <f>IF($B392="","",ROUND(Q392-R392,0))</f>
        <v/>
      </c>
    </row>
    <row r="393" spans="1:19" x14ac:dyDescent="0.25">
      <c r="A393" t="str">
        <f>IF('Aset Takberwujud'!$B188="","",'Aset Takberwujud'!A188)</f>
        <v/>
      </c>
      <c r="B393" t="str">
        <f>IF('Aset Takberwujud'!$B188="","",'Aset Takberwujud'!B188)</f>
        <v/>
      </c>
      <c r="C393" t="str">
        <f>IF('Aset Takberwujud'!$B188="","",'Aset Takberwujud'!C188)</f>
        <v/>
      </c>
      <c r="D393" t="str">
        <f>IF('Aset Takberwujud'!$B188="","",'Aset Takberwujud'!D188)</f>
        <v/>
      </c>
      <c r="E393" s="22" t="str">
        <f>IF($B393="","",IF(N('Aset Takberwujud'!$AG188)=0,0,IF(AND((YEAR(E$211)*12+MONTH(E$211))&gt;='Aset Takberwujud'!$Y188,(YEAR(E$211)*12+MONTH(E$211))&lt;=MIN('Aset Takberwujud'!$Z188,IF('Aset Takberwujud'!$S188="Unit Produksi",99999,'Aset Takberwujud'!$Y188+'Aset Takberwujud'!$T188*12-1))),'Aset Takberwujud'!$AQ188/'Aset Takberwujud'!$AG188,0)))</f>
        <v/>
      </c>
      <c r="F393" s="22" t="str">
        <f>IF($B393="","",IF(N('Aset Takberwujud'!$AG188)=0,0,IF(AND((YEAR(F$211)*12+MONTH(F$211))&gt;='Aset Takberwujud'!$Y188,(YEAR(F$211)*12+MONTH(F$211))&lt;=MIN('Aset Takberwujud'!$Z188,IF('Aset Takberwujud'!$S188="Unit Produksi",99999,'Aset Takberwujud'!$Y188+'Aset Takberwujud'!$T188*12-1))),'Aset Takberwujud'!$AQ188/'Aset Takberwujud'!$AG188,0)))</f>
        <v/>
      </c>
      <c r="G393" s="22" t="str">
        <f>IF($B393="","",IF(N('Aset Takberwujud'!$AG188)=0,0,IF(AND((YEAR(G$211)*12+MONTH(G$211))&gt;='Aset Takberwujud'!$Y188,(YEAR(G$211)*12+MONTH(G$211))&lt;=MIN('Aset Takberwujud'!$Z188,IF('Aset Takberwujud'!$S188="Unit Produksi",99999,'Aset Takberwujud'!$Y188+'Aset Takberwujud'!$T188*12-1))),'Aset Takberwujud'!$AQ188/'Aset Takberwujud'!$AG188,0)))</f>
        <v/>
      </c>
      <c r="H393" s="22" t="str">
        <f>IF($B393="","",IF(N('Aset Takberwujud'!$AG188)=0,0,IF(AND((YEAR(H$211)*12+MONTH(H$211))&gt;='Aset Takberwujud'!$Y188,(YEAR(H$211)*12+MONTH(H$211))&lt;=MIN('Aset Takberwujud'!$Z188,IF('Aset Takberwujud'!$S188="Unit Produksi",99999,'Aset Takberwujud'!$Y188+'Aset Takberwujud'!$T188*12-1))),'Aset Takberwujud'!$AQ188/'Aset Takberwujud'!$AG188,0)))</f>
        <v/>
      </c>
      <c r="I393" s="22" t="str">
        <f>IF($B393="","",IF(N('Aset Takberwujud'!$AG188)=0,0,IF(AND((YEAR(I$211)*12+MONTH(I$211))&gt;='Aset Takberwujud'!$Y188,(YEAR(I$211)*12+MONTH(I$211))&lt;=MIN('Aset Takberwujud'!$Z188,IF('Aset Takberwujud'!$S188="Unit Produksi",99999,'Aset Takberwujud'!$Y188+'Aset Takberwujud'!$T188*12-1))),'Aset Takberwujud'!$AQ188/'Aset Takberwujud'!$AG188,0)))</f>
        <v/>
      </c>
      <c r="J393" s="22" t="str">
        <f>IF($B393="","",IF(N('Aset Takberwujud'!$AG188)=0,0,IF(AND((YEAR(J$211)*12+MONTH(J$211))&gt;='Aset Takberwujud'!$Y188,(YEAR(J$211)*12+MONTH(J$211))&lt;=MIN('Aset Takberwujud'!$Z188,IF('Aset Takberwujud'!$S188="Unit Produksi",99999,'Aset Takberwujud'!$Y188+'Aset Takberwujud'!$T188*12-1))),'Aset Takberwujud'!$AQ188/'Aset Takberwujud'!$AG188,0)))</f>
        <v/>
      </c>
      <c r="K393" s="22" t="str">
        <f>IF($B393="","",IF(N('Aset Takberwujud'!$AG188)=0,0,IF(AND((YEAR(K$211)*12+MONTH(K$211))&gt;='Aset Takberwujud'!$Y188,(YEAR(K$211)*12+MONTH(K$211))&lt;=MIN('Aset Takberwujud'!$Z188,IF('Aset Takberwujud'!$S188="Unit Produksi",99999,'Aset Takberwujud'!$Y188+'Aset Takberwujud'!$T188*12-1))),'Aset Takberwujud'!$AQ188/'Aset Takberwujud'!$AG188,0)))</f>
        <v/>
      </c>
      <c r="L393" s="22" t="str">
        <f>IF($B393="","",IF(N('Aset Takberwujud'!$AG188)=0,0,IF(AND((YEAR(L$211)*12+MONTH(L$211))&gt;='Aset Takberwujud'!$Y188,(YEAR(L$211)*12+MONTH(L$211))&lt;=MIN('Aset Takberwujud'!$Z188,IF('Aset Takberwujud'!$S188="Unit Produksi",99999,'Aset Takberwujud'!$Y188+'Aset Takberwujud'!$T188*12-1))),'Aset Takberwujud'!$AQ188/'Aset Takberwujud'!$AG188,0)))</f>
        <v/>
      </c>
      <c r="M393" s="22" t="str">
        <f>IF($B393="","",IF(N('Aset Takberwujud'!$AG188)=0,0,IF(AND((YEAR(M$211)*12+MONTH(M$211))&gt;='Aset Takberwujud'!$Y188,(YEAR(M$211)*12+MONTH(M$211))&lt;=MIN('Aset Takberwujud'!$Z188,IF('Aset Takberwujud'!$S188="Unit Produksi",99999,'Aset Takberwujud'!$Y188+'Aset Takberwujud'!$T188*12-1))),'Aset Takberwujud'!$AQ188/'Aset Takberwujud'!$AG188,0)))</f>
        <v/>
      </c>
      <c r="N393" s="22" t="str">
        <f>IF($B393="","",IF(N('Aset Takberwujud'!$AG188)=0,0,IF(AND((YEAR(N$211)*12+MONTH(N$211))&gt;='Aset Takberwujud'!$Y188,(YEAR(N$211)*12+MONTH(N$211))&lt;=MIN('Aset Takberwujud'!$Z188,IF('Aset Takberwujud'!$S188="Unit Produksi",99999,'Aset Takberwujud'!$Y188+'Aset Takberwujud'!$T188*12-1))),'Aset Takberwujud'!$AQ188/'Aset Takberwujud'!$AG188,0)))</f>
        <v/>
      </c>
      <c r="O393" s="22" t="str">
        <f>IF($B393="","",IF(N('Aset Takberwujud'!$AG188)=0,0,IF(AND((YEAR(O$211)*12+MONTH(O$211))&gt;='Aset Takberwujud'!$Y188,(YEAR(O$211)*12+MONTH(O$211))&lt;=MIN('Aset Takberwujud'!$Z188,IF('Aset Takberwujud'!$S188="Unit Produksi",99999,'Aset Takberwujud'!$Y188+'Aset Takberwujud'!$T188*12-1))),'Aset Takberwujud'!$AQ188/'Aset Takberwujud'!$AG188,0)))</f>
        <v/>
      </c>
      <c r="P393" s="22" t="str">
        <f>IF($B393="","",IF(N('Aset Takberwujud'!$AG188)=0,0,IF(AND((YEAR(P$211)*12+MONTH(P$211))&gt;='Aset Takberwujud'!$Y188,(YEAR(P$211)*12+MONTH(P$211))&lt;=MIN('Aset Takberwujud'!$Z188,IF('Aset Takberwujud'!$S188="Unit Produksi",99999,'Aset Takberwujud'!$Y188+'Aset Takberwujud'!$T188*12-1))),'Aset Takberwujud'!$AQ188/'Aset Takberwujud'!$AG188,0)))</f>
        <v/>
      </c>
      <c r="Q393" s="22" t="str">
        <f>IF($B393="","",SUM(E393:P393))</f>
        <v/>
      </c>
      <c r="R393" s="22" t="str">
        <f>IF($B393="","",'Aset Takberwujud'!AQ188)</f>
        <v/>
      </c>
      <c r="S393" s="22" t="str">
        <f>IF($B393="","",ROUND(Q393-R393,0))</f>
        <v/>
      </c>
    </row>
    <row r="394" spans="1:19" x14ac:dyDescent="0.25">
      <c r="A394" t="str">
        <f>IF('Aset Takberwujud'!$B189="","",'Aset Takberwujud'!A189)</f>
        <v/>
      </c>
      <c r="B394" t="str">
        <f>IF('Aset Takberwujud'!$B189="","",'Aset Takberwujud'!B189)</f>
        <v/>
      </c>
      <c r="C394" t="str">
        <f>IF('Aset Takberwujud'!$B189="","",'Aset Takberwujud'!C189)</f>
        <v/>
      </c>
      <c r="D394" t="str">
        <f>IF('Aset Takberwujud'!$B189="","",'Aset Takberwujud'!D189)</f>
        <v/>
      </c>
      <c r="E394" s="22" t="str">
        <f>IF($B394="","",IF(N('Aset Takberwujud'!$AG189)=0,0,IF(AND((YEAR(E$211)*12+MONTH(E$211))&gt;='Aset Takberwujud'!$Y189,(YEAR(E$211)*12+MONTH(E$211))&lt;=MIN('Aset Takberwujud'!$Z189,IF('Aset Takberwujud'!$S189="Unit Produksi",99999,'Aset Takberwujud'!$Y189+'Aset Takberwujud'!$T189*12-1))),'Aset Takberwujud'!$AQ189/'Aset Takberwujud'!$AG189,0)))</f>
        <v/>
      </c>
      <c r="F394" s="22" t="str">
        <f>IF($B394="","",IF(N('Aset Takberwujud'!$AG189)=0,0,IF(AND((YEAR(F$211)*12+MONTH(F$211))&gt;='Aset Takberwujud'!$Y189,(YEAR(F$211)*12+MONTH(F$211))&lt;=MIN('Aset Takberwujud'!$Z189,IF('Aset Takberwujud'!$S189="Unit Produksi",99999,'Aset Takberwujud'!$Y189+'Aset Takberwujud'!$T189*12-1))),'Aset Takberwujud'!$AQ189/'Aset Takberwujud'!$AG189,0)))</f>
        <v/>
      </c>
      <c r="G394" s="22" t="str">
        <f>IF($B394="","",IF(N('Aset Takberwujud'!$AG189)=0,0,IF(AND((YEAR(G$211)*12+MONTH(G$211))&gt;='Aset Takberwujud'!$Y189,(YEAR(G$211)*12+MONTH(G$211))&lt;=MIN('Aset Takberwujud'!$Z189,IF('Aset Takberwujud'!$S189="Unit Produksi",99999,'Aset Takberwujud'!$Y189+'Aset Takberwujud'!$T189*12-1))),'Aset Takberwujud'!$AQ189/'Aset Takberwujud'!$AG189,0)))</f>
        <v/>
      </c>
      <c r="H394" s="22" t="str">
        <f>IF($B394="","",IF(N('Aset Takberwujud'!$AG189)=0,0,IF(AND((YEAR(H$211)*12+MONTH(H$211))&gt;='Aset Takberwujud'!$Y189,(YEAR(H$211)*12+MONTH(H$211))&lt;=MIN('Aset Takberwujud'!$Z189,IF('Aset Takberwujud'!$S189="Unit Produksi",99999,'Aset Takberwujud'!$Y189+'Aset Takberwujud'!$T189*12-1))),'Aset Takberwujud'!$AQ189/'Aset Takberwujud'!$AG189,0)))</f>
        <v/>
      </c>
      <c r="I394" s="22" t="str">
        <f>IF($B394="","",IF(N('Aset Takberwujud'!$AG189)=0,0,IF(AND((YEAR(I$211)*12+MONTH(I$211))&gt;='Aset Takberwujud'!$Y189,(YEAR(I$211)*12+MONTH(I$211))&lt;=MIN('Aset Takberwujud'!$Z189,IF('Aset Takberwujud'!$S189="Unit Produksi",99999,'Aset Takberwujud'!$Y189+'Aset Takberwujud'!$T189*12-1))),'Aset Takberwujud'!$AQ189/'Aset Takberwujud'!$AG189,0)))</f>
        <v/>
      </c>
      <c r="J394" s="22" t="str">
        <f>IF($B394="","",IF(N('Aset Takberwujud'!$AG189)=0,0,IF(AND((YEAR(J$211)*12+MONTH(J$211))&gt;='Aset Takberwujud'!$Y189,(YEAR(J$211)*12+MONTH(J$211))&lt;=MIN('Aset Takberwujud'!$Z189,IF('Aset Takberwujud'!$S189="Unit Produksi",99999,'Aset Takberwujud'!$Y189+'Aset Takberwujud'!$T189*12-1))),'Aset Takberwujud'!$AQ189/'Aset Takberwujud'!$AG189,0)))</f>
        <v/>
      </c>
      <c r="K394" s="22" t="str">
        <f>IF($B394="","",IF(N('Aset Takberwujud'!$AG189)=0,0,IF(AND((YEAR(K$211)*12+MONTH(K$211))&gt;='Aset Takberwujud'!$Y189,(YEAR(K$211)*12+MONTH(K$211))&lt;=MIN('Aset Takberwujud'!$Z189,IF('Aset Takberwujud'!$S189="Unit Produksi",99999,'Aset Takberwujud'!$Y189+'Aset Takberwujud'!$T189*12-1))),'Aset Takberwujud'!$AQ189/'Aset Takberwujud'!$AG189,0)))</f>
        <v/>
      </c>
      <c r="L394" s="22" t="str">
        <f>IF($B394="","",IF(N('Aset Takberwujud'!$AG189)=0,0,IF(AND((YEAR(L$211)*12+MONTH(L$211))&gt;='Aset Takberwujud'!$Y189,(YEAR(L$211)*12+MONTH(L$211))&lt;=MIN('Aset Takberwujud'!$Z189,IF('Aset Takberwujud'!$S189="Unit Produksi",99999,'Aset Takberwujud'!$Y189+'Aset Takberwujud'!$T189*12-1))),'Aset Takberwujud'!$AQ189/'Aset Takberwujud'!$AG189,0)))</f>
        <v/>
      </c>
      <c r="M394" s="22" t="str">
        <f>IF($B394="","",IF(N('Aset Takberwujud'!$AG189)=0,0,IF(AND((YEAR(M$211)*12+MONTH(M$211))&gt;='Aset Takberwujud'!$Y189,(YEAR(M$211)*12+MONTH(M$211))&lt;=MIN('Aset Takberwujud'!$Z189,IF('Aset Takberwujud'!$S189="Unit Produksi",99999,'Aset Takberwujud'!$Y189+'Aset Takberwujud'!$T189*12-1))),'Aset Takberwujud'!$AQ189/'Aset Takberwujud'!$AG189,0)))</f>
        <v/>
      </c>
      <c r="N394" s="22" t="str">
        <f>IF($B394="","",IF(N('Aset Takberwujud'!$AG189)=0,0,IF(AND((YEAR(N$211)*12+MONTH(N$211))&gt;='Aset Takberwujud'!$Y189,(YEAR(N$211)*12+MONTH(N$211))&lt;=MIN('Aset Takberwujud'!$Z189,IF('Aset Takberwujud'!$S189="Unit Produksi",99999,'Aset Takberwujud'!$Y189+'Aset Takberwujud'!$T189*12-1))),'Aset Takberwujud'!$AQ189/'Aset Takberwujud'!$AG189,0)))</f>
        <v/>
      </c>
      <c r="O394" s="22" t="str">
        <f>IF($B394="","",IF(N('Aset Takberwujud'!$AG189)=0,0,IF(AND((YEAR(O$211)*12+MONTH(O$211))&gt;='Aset Takberwujud'!$Y189,(YEAR(O$211)*12+MONTH(O$211))&lt;=MIN('Aset Takberwujud'!$Z189,IF('Aset Takberwujud'!$S189="Unit Produksi",99999,'Aset Takberwujud'!$Y189+'Aset Takberwujud'!$T189*12-1))),'Aset Takberwujud'!$AQ189/'Aset Takberwujud'!$AG189,0)))</f>
        <v/>
      </c>
      <c r="P394" s="22" t="str">
        <f>IF($B394="","",IF(N('Aset Takberwujud'!$AG189)=0,0,IF(AND((YEAR(P$211)*12+MONTH(P$211))&gt;='Aset Takberwujud'!$Y189,(YEAR(P$211)*12+MONTH(P$211))&lt;=MIN('Aset Takberwujud'!$Z189,IF('Aset Takberwujud'!$S189="Unit Produksi",99999,'Aset Takberwujud'!$Y189+'Aset Takberwujud'!$T189*12-1))),'Aset Takberwujud'!$AQ189/'Aset Takberwujud'!$AG189,0)))</f>
        <v/>
      </c>
      <c r="Q394" s="22" t="str">
        <f>IF($B394="","",SUM(E394:P394))</f>
        <v/>
      </c>
      <c r="R394" s="22" t="str">
        <f>IF($B394="","",'Aset Takberwujud'!AQ189)</f>
        <v/>
      </c>
      <c r="S394" s="22" t="str">
        <f>IF($B394="","",ROUND(Q394-R394,0))</f>
        <v/>
      </c>
    </row>
    <row r="395" spans="1:19" x14ac:dyDescent="0.25">
      <c r="A395" t="str">
        <f>IF('Aset Takberwujud'!$B190="","",'Aset Takberwujud'!A190)</f>
        <v/>
      </c>
      <c r="B395" t="str">
        <f>IF('Aset Takberwujud'!$B190="","",'Aset Takberwujud'!B190)</f>
        <v/>
      </c>
      <c r="C395" t="str">
        <f>IF('Aset Takberwujud'!$B190="","",'Aset Takberwujud'!C190)</f>
        <v/>
      </c>
      <c r="D395" t="str">
        <f>IF('Aset Takberwujud'!$B190="","",'Aset Takberwujud'!D190)</f>
        <v/>
      </c>
      <c r="E395" s="22" t="str">
        <f>IF($B395="","",IF(N('Aset Takberwujud'!$AG190)=0,0,IF(AND((YEAR(E$211)*12+MONTH(E$211))&gt;='Aset Takberwujud'!$Y190,(YEAR(E$211)*12+MONTH(E$211))&lt;=MIN('Aset Takberwujud'!$Z190,IF('Aset Takberwujud'!$S190="Unit Produksi",99999,'Aset Takberwujud'!$Y190+'Aset Takberwujud'!$T190*12-1))),'Aset Takberwujud'!$AQ190/'Aset Takberwujud'!$AG190,0)))</f>
        <v/>
      </c>
      <c r="F395" s="22" t="str">
        <f>IF($B395="","",IF(N('Aset Takberwujud'!$AG190)=0,0,IF(AND((YEAR(F$211)*12+MONTH(F$211))&gt;='Aset Takberwujud'!$Y190,(YEAR(F$211)*12+MONTH(F$211))&lt;=MIN('Aset Takberwujud'!$Z190,IF('Aset Takberwujud'!$S190="Unit Produksi",99999,'Aset Takberwujud'!$Y190+'Aset Takberwujud'!$T190*12-1))),'Aset Takberwujud'!$AQ190/'Aset Takberwujud'!$AG190,0)))</f>
        <v/>
      </c>
      <c r="G395" s="22" t="str">
        <f>IF($B395="","",IF(N('Aset Takberwujud'!$AG190)=0,0,IF(AND((YEAR(G$211)*12+MONTH(G$211))&gt;='Aset Takberwujud'!$Y190,(YEAR(G$211)*12+MONTH(G$211))&lt;=MIN('Aset Takberwujud'!$Z190,IF('Aset Takberwujud'!$S190="Unit Produksi",99999,'Aset Takberwujud'!$Y190+'Aset Takberwujud'!$T190*12-1))),'Aset Takberwujud'!$AQ190/'Aset Takberwujud'!$AG190,0)))</f>
        <v/>
      </c>
      <c r="H395" s="22" t="str">
        <f>IF($B395="","",IF(N('Aset Takberwujud'!$AG190)=0,0,IF(AND((YEAR(H$211)*12+MONTH(H$211))&gt;='Aset Takberwujud'!$Y190,(YEAR(H$211)*12+MONTH(H$211))&lt;=MIN('Aset Takberwujud'!$Z190,IF('Aset Takberwujud'!$S190="Unit Produksi",99999,'Aset Takberwujud'!$Y190+'Aset Takberwujud'!$T190*12-1))),'Aset Takberwujud'!$AQ190/'Aset Takberwujud'!$AG190,0)))</f>
        <v/>
      </c>
      <c r="I395" s="22" t="str">
        <f>IF($B395="","",IF(N('Aset Takberwujud'!$AG190)=0,0,IF(AND((YEAR(I$211)*12+MONTH(I$211))&gt;='Aset Takberwujud'!$Y190,(YEAR(I$211)*12+MONTH(I$211))&lt;=MIN('Aset Takberwujud'!$Z190,IF('Aset Takberwujud'!$S190="Unit Produksi",99999,'Aset Takberwujud'!$Y190+'Aset Takberwujud'!$T190*12-1))),'Aset Takberwujud'!$AQ190/'Aset Takberwujud'!$AG190,0)))</f>
        <v/>
      </c>
      <c r="J395" s="22" t="str">
        <f>IF($B395="","",IF(N('Aset Takberwujud'!$AG190)=0,0,IF(AND((YEAR(J$211)*12+MONTH(J$211))&gt;='Aset Takberwujud'!$Y190,(YEAR(J$211)*12+MONTH(J$211))&lt;=MIN('Aset Takberwujud'!$Z190,IF('Aset Takberwujud'!$S190="Unit Produksi",99999,'Aset Takberwujud'!$Y190+'Aset Takberwujud'!$T190*12-1))),'Aset Takberwujud'!$AQ190/'Aset Takberwujud'!$AG190,0)))</f>
        <v/>
      </c>
      <c r="K395" s="22" t="str">
        <f>IF($B395="","",IF(N('Aset Takberwujud'!$AG190)=0,0,IF(AND((YEAR(K$211)*12+MONTH(K$211))&gt;='Aset Takberwujud'!$Y190,(YEAR(K$211)*12+MONTH(K$211))&lt;=MIN('Aset Takberwujud'!$Z190,IF('Aset Takberwujud'!$S190="Unit Produksi",99999,'Aset Takberwujud'!$Y190+'Aset Takberwujud'!$T190*12-1))),'Aset Takberwujud'!$AQ190/'Aset Takberwujud'!$AG190,0)))</f>
        <v/>
      </c>
      <c r="L395" s="22" t="str">
        <f>IF($B395="","",IF(N('Aset Takberwujud'!$AG190)=0,0,IF(AND((YEAR(L$211)*12+MONTH(L$211))&gt;='Aset Takberwujud'!$Y190,(YEAR(L$211)*12+MONTH(L$211))&lt;=MIN('Aset Takberwujud'!$Z190,IF('Aset Takberwujud'!$S190="Unit Produksi",99999,'Aset Takberwujud'!$Y190+'Aset Takberwujud'!$T190*12-1))),'Aset Takberwujud'!$AQ190/'Aset Takberwujud'!$AG190,0)))</f>
        <v/>
      </c>
      <c r="M395" s="22" t="str">
        <f>IF($B395="","",IF(N('Aset Takberwujud'!$AG190)=0,0,IF(AND((YEAR(M$211)*12+MONTH(M$211))&gt;='Aset Takberwujud'!$Y190,(YEAR(M$211)*12+MONTH(M$211))&lt;=MIN('Aset Takberwujud'!$Z190,IF('Aset Takberwujud'!$S190="Unit Produksi",99999,'Aset Takberwujud'!$Y190+'Aset Takberwujud'!$T190*12-1))),'Aset Takberwujud'!$AQ190/'Aset Takberwujud'!$AG190,0)))</f>
        <v/>
      </c>
      <c r="N395" s="22" t="str">
        <f>IF($B395="","",IF(N('Aset Takberwujud'!$AG190)=0,0,IF(AND((YEAR(N$211)*12+MONTH(N$211))&gt;='Aset Takberwujud'!$Y190,(YEAR(N$211)*12+MONTH(N$211))&lt;=MIN('Aset Takberwujud'!$Z190,IF('Aset Takberwujud'!$S190="Unit Produksi",99999,'Aset Takberwujud'!$Y190+'Aset Takberwujud'!$T190*12-1))),'Aset Takberwujud'!$AQ190/'Aset Takberwujud'!$AG190,0)))</f>
        <v/>
      </c>
      <c r="O395" s="22" t="str">
        <f>IF($B395="","",IF(N('Aset Takberwujud'!$AG190)=0,0,IF(AND((YEAR(O$211)*12+MONTH(O$211))&gt;='Aset Takberwujud'!$Y190,(YEAR(O$211)*12+MONTH(O$211))&lt;=MIN('Aset Takberwujud'!$Z190,IF('Aset Takberwujud'!$S190="Unit Produksi",99999,'Aset Takberwujud'!$Y190+'Aset Takberwujud'!$T190*12-1))),'Aset Takberwujud'!$AQ190/'Aset Takberwujud'!$AG190,0)))</f>
        <v/>
      </c>
      <c r="P395" s="22" t="str">
        <f>IF($B395="","",IF(N('Aset Takberwujud'!$AG190)=0,0,IF(AND((YEAR(P$211)*12+MONTH(P$211))&gt;='Aset Takberwujud'!$Y190,(YEAR(P$211)*12+MONTH(P$211))&lt;=MIN('Aset Takberwujud'!$Z190,IF('Aset Takberwujud'!$S190="Unit Produksi",99999,'Aset Takberwujud'!$Y190+'Aset Takberwujud'!$T190*12-1))),'Aset Takberwujud'!$AQ190/'Aset Takberwujud'!$AG190,0)))</f>
        <v/>
      </c>
      <c r="Q395" s="22" t="str">
        <f>IF($B395="","",SUM(E395:P395))</f>
        <v/>
      </c>
      <c r="R395" s="22" t="str">
        <f>IF($B395="","",'Aset Takberwujud'!AQ190)</f>
        <v/>
      </c>
      <c r="S395" s="22" t="str">
        <f>IF($B395="","",ROUND(Q395-R395,0))</f>
        <v/>
      </c>
    </row>
    <row r="396" spans="1:19" x14ac:dyDescent="0.25">
      <c r="A396" t="str">
        <f>IF('Aset Takberwujud'!$B191="","",'Aset Takberwujud'!A191)</f>
        <v/>
      </c>
      <c r="B396" t="str">
        <f>IF('Aset Takberwujud'!$B191="","",'Aset Takberwujud'!B191)</f>
        <v/>
      </c>
      <c r="C396" t="str">
        <f>IF('Aset Takberwujud'!$B191="","",'Aset Takberwujud'!C191)</f>
        <v/>
      </c>
      <c r="D396" t="str">
        <f>IF('Aset Takberwujud'!$B191="","",'Aset Takberwujud'!D191)</f>
        <v/>
      </c>
      <c r="E396" s="22" t="str">
        <f>IF($B396="","",IF(N('Aset Takberwujud'!$AG191)=0,0,IF(AND((YEAR(E$211)*12+MONTH(E$211))&gt;='Aset Takberwujud'!$Y191,(YEAR(E$211)*12+MONTH(E$211))&lt;=MIN('Aset Takberwujud'!$Z191,IF('Aset Takberwujud'!$S191="Unit Produksi",99999,'Aset Takberwujud'!$Y191+'Aset Takberwujud'!$T191*12-1))),'Aset Takberwujud'!$AQ191/'Aset Takberwujud'!$AG191,0)))</f>
        <v/>
      </c>
      <c r="F396" s="22" t="str">
        <f>IF($B396="","",IF(N('Aset Takberwujud'!$AG191)=0,0,IF(AND((YEAR(F$211)*12+MONTH(F$211))&gt;='Aset Takberwujud'!$Y191,(YEAR(F$211)*12+MONTH(F$211))&lt;=MIN('Aset Takberwujud'!$Z191,IF('Aset Takberwujud'!$S191="Unit Produksi",99999,'Aset Takberwujud'!$Y191+'Aset Takberwujud'!$T191*12-1))),'Aset Takberwujud'!$AQ191/'Aset Takberwujud'!$AG191,0)))</f>
        <v/>
      </c>
      <c r="G396" s="22" t="str">
        <f>IF($B396="","",IF(N('Aset Takberwujud'!$AG191)=0,0,IF(AND((YEAR(G$211)*12+MONTH(G$211))&gt;='Aset Takberwujud'!$Y191,(YEAR(G$211)*12+MONTH(G$211))&lt;=MIN('Aset Takberwujud'!$Z191,IF('Aset Takberwujud'!$S191="Unit Produksi",99999,'Aset Takberwujud'!$Y191+'Aset Takberwujud'!$T191*12-1))),'Aset Takberwujud'!$AQ191/'Aset Takberwujud'!$AG191,0)))</f>
        <v/>
      </c>
      <c r="H396" s="22" t="str">
        <f>IF($B396="","",IF(N('Aset Takberwujud'!$AG191)=0,0,IF(AND((YEAR(H$211)*12+MONTH(H$211))&gt;='Aset Takberwujud'!$Y191,(YEAR(H$211)*12+MONTH(H$211))&lt;=MIN('Aset Takberwujud'!$Z191,IF('Aset Takberwujud'!$S191="Unit Produksi",99999,'Aset Takberwujud'!$Y191+'Aset Takberwujud'!$T191*12-1))),'Aset Takberwujud'!$AQ191/'Aset Takberwujud'!$AG191,0)))</f>
        <v/>
      </c>
      <c r="I396" s="22" t="str">
        <f>IF($B396="","",IF(N('Aset Takberwujud'!$AG191)=0,0,IF(AND((YEAR(I$211)*12+MONTH(I$211))&gt;='Aset Takberwujud'!$Y191,(YEAR(I$211)*12+MONTH(I$211))&lt;=MIN('Aset Takberwujud'!$Z191,IF('Aset Takberwujud'!$S191="Unit Produksi",99999,'Aset Takberwujud'!$Y191+'Aset Takberwujud'!$T191*12-1))),'Aset Takberwujud'!$AQ191/'Aset Takberwujud'!$AG191,0)))</f>
        <v/>
      </c>
      <c r="J396" s="22" t="str">
        <f>IF($B396="","",IF(N('Aset Takberwujud'!$AG191)=0,0,IF(AND((YEAR(J$211)*12+MONTH(J$211))&gt;='Aset Takberwujud'!$Y191,(YEAR(J$211)*12+MONTH(J$211))&lt;=MIN('Aset Takberwujud'!$Z191,IF('Aset Takberwujud'!$S191="Unit Produksi",99999,'Aset Takberwujud'!$Y191+'Aset Takberwujud'!$T191*12-1))),'Aset Takberwujud'!$AQ191/'Aset Takberwujud'!$AG191,0)))</f>
        <v/>
      </c>
      <c r="K396" s="22" t="str">
        <f>IF($B396="","",IF(N('Aset Takberwujud'!$AG191)=0,0,IF(AND((YEAR(K$211)*12+MONTH(K$211))&gt;='Aset Takberwujud'!$Y191,(YEAR(K$211)*12+MONTH(K$211))&lt;=MIN('Aset Takberwujud'!$Z191,IF('Aset Takberwujud'!$S191="Unit Produksi",99999,'Aset Takberwujud'!$Y191+'Aset Takberwujud'!$T191*12-1))),'Aset Takberwujud'!$AQ191/'Aset Takberwujud'!$AG191,0)))</f>
        <v/>
      </c>
      <c r="L396" s="22" t="str">
        <f>IF($B396="","",IF(N('Aset Takberwujud'!$AG191)=0,0,IF(AND((YEAR(L$211)*12+MONTH(L$211))&gt;='Aset Takberwujud'!$Y191,(YEAR(L$211)*12+MONTH(L$211))&lt;=MIN('Aset Takberwujud'!$Z191,IF('Aset Takberwujud'!$S191="Unit Produksi",99999,'Aset Takberwujud'!$Y191+'Aset Takberwujud'!$T191*12-1))),'Aset Takberwujud'!$AQ191/'Aset Takberwujud'!$AG191,0)))</f>
        <v/>
      </c>
      <c r="M396" s="22" t="str">
        <f>IF($B396="","",IF(N('Aset Takberwujud'!$AG191)=0,0,IF(AND((YEAR(M$211)*12+MONTH(M$211))&gt;='Aset Takberwujud'!$Y191,(YEAR(M$211)*12+MONTH(M$211))&lt;=MIN('Aset Takberwujud'!$Z191,IF('Aset Takberwujud'!$S191="Unit Produksi",99999,'Aset Takberwujud'!$Y191+'Aset Takberwujud'!$T191*12-1))),'Aset Takberwujud'!$AQ191/'Aset Takberwujud'!$AG191,0)))</f>
        <v/>
      </c>
      <c r="N396" s="22" t="str">
        <f>IF($B396="","",IF(N('Aset Takberwujud'!$AG191)=0,0,IF(AND((YEAR(N$211)*12+MONTH(N$211))&gt;='Aset Takberwujud'!$Y191,(YEAR(N$211)*12+MONTH(N$211))&lt;=MIN('Aset Takberwujud'!$Z191,IF('Aset Takberwujud'!$S191="Unit Produksi",99999,'Aset Takberwujud'!$Y191+'Aset Takberwujud'!$T191*12-1))),'Aset Takberwujud'!$AQ191/'Aset Takberwujud'!$AG191,0)))</f>
        <v/>
      </c>
      <c r="O396" s="22" t="str">
        <f>IF($B396="","",IF(N('Aset Takberwujud'!$AG191)=0,0,IF(AND((YEAR(O$211)*12+MONTH(O$211))&gt;='Aset Takberwujud'!$Y191,(YEAR(O$211)*12+MONTH(O$211))&lt;=MIN('Aset Takberwujud'!$Z191,IF('Aset Takberwujud'!$S191="Unit Produksi",99999,'Aset Takberwujud'!$Y191+'Aset Takberwujud'!$T191*12-1))),'Aset Takberwujud'!$AQ191/'Aset Takberwujud'!$AG191,0)))</f>
        <v/>
      </c>
      <c r="P396" s="22" t="str">
        <f>IF($B396="","",IF(N('Aset Takberwujud'!$AG191)=0,0,IF(AND((YEAR(P$211)*12+MONTH(P$211))&gt;='Aset Takberwujud'!$Y191,(YEAR(P$211)*12+MONTH(P$211))&lt;=MIN('Aset Takberwujud'!$Z191,IF('Aset Takberwujud'!$S191="Unit Produksi",99999,'Aset Takberwujud'!$Y191+'Aset Takberwujud'!$T191*12-1))),'Aset Takberwujud'!$AQ191/'Aset Takberwujud'!$AG191,0)))</f>
        <v/>
      </c>
      <c r="Q396" s="22" t="str">
        <f>IF($B396="","",SUM(E396:P396))</f>
        <v/>
      </c>
      <c r="R396" s="22" t="str">
        <f>IF($B396="","",'Aset Takberwujud'!AQ191)</f>
        <v/>
      </c>
      <c r="S396" s="22" t="str">
        <f>IF($B396="","",ROUND(Q396-R396,0))</f>
        <v/>
      </c>
    </row>
    <row r="397" spans="1:19" x14ac:dyDescent="0.25">
      <c r="A397" t="str">
        <f>IF('Aset Takberwujud'!$B192="","",'Aset Takberwujud'!A192)</f>
        <v/>
      </c>
      <c r="B397" t="str">
        <f>IF('Aset Takberwujud'!$B192="","",'Aset Takberwujud'!B192)</f>
        <v/>
      </c>
      <c r="C397" t="str">
        <f>IF('Aset Takberwujud'!$B192="","",'Aset Takberwujud'!C192)</f>
        <v/>
      </c>
      <c r="D397" t="str">
        <f>IF('Aset Takberwujud'!$B192="","",'Aset Takberwujud'!D192)</f>
        <v/>
      </c>
      <c r="E397" s="22" t="str">
        <f>IF($B397="","",IF(N('Aset Takberwujud'!$AG192)=0,0,IF(AND((YEAR(E$211)*12+MONTH(E$211))&gt;='Aset Takberwujud'!$Y192,(YEAR(E$211)*12+MONTH(E$211))&lt;=MIN('Aset Takberwujud'!$Z192,IF('Aset Takberwujud'!$S192="Unit Produksi",99999,'Aset Takberwujud'!$Y192+'Aset Takberwujud'!$T192*12-1))),'Aset Takberwujud'!$AQ192/'Aset Takberwujud'!$AG192,0)))</f>
        <v/>
      </c>
      <c r="F397" s="22" t="str">
        <f>IF($B397="","",IF(N('Aset Takberwujud'!$AG192)=0,0,IF(AND((YEAR(F$211)*12+MONTH(F$211))&gt;='Aset Takberwujud'!$Y192,(YEAR(F$211)*12+MONTH(F$211))&lt;=MIN('Aset Takberwujud'!$Z192,IF('Aset Takberwujud'!$S192="Unit Produksi",99999,'Aset Takberwujud'!$Y192+'Aset Takberwujud'!$T192*12-1))),'Aset Takberwujud'!$AQ192/'Aset Takberwujud'!$AG192,0)))</f>
        <v/>
      </c>
      <c r="G397" s="22" t="str">
        <f>IF($B397="","",IF(N('Aset Takberwujud'!$AG192)=0,0,IF(AND((YEAR(G$211)*12+MONTH(G$211))&gt;='Aset Takberwujud'!$Y192,(YEAR(G$211)*12+MONTH(G$211))&lt;=MIN('Aset Takberwujud'!$Z192,IF('Aset Takberwujud'!$S192="Unit Produksi",99999,'Aset Takberwujud'!$Y192+'Aset Takberwujud'!$T192*12-1))),'Aset Takberwujud'!$AQ192/'Aset Takberwujud'!$AG192,0)))</f>
        <v/>
      </c>
      <c r="H397" s="22" t="str">
        <f>IF($B397="","",IF(N('Aset Takberwujud'!$AG192)=0,0,IF(AND((YEAR(H$211)*12+MONTH(H$211))&gt;='Aset Takberwujud'!$Y192,(YEAR(H$211)*12+MONTH(H$211))&lt;=MIN('Aset Takberwujud'!$Z192,IF('Aset Takberwujud'!$S192="Unit Produksi",99999,'Aset Takberwujud'!$Y192+'Aset Takberwujud'!$T192*12-1))),'Aset Takberwujud'!$AQ192/'Aset Takberwujud'!$AG192,0)))</f>
        <v/>
      </c>
      <c r="I397" s="22" t="str">
        <f>IF($B397="","",IF(N('Aset Takberwujud'!$AG192)=0,0,IF(AND((YEAR(I$211)*12+MONTH(I$211))&gt;='Aset Takberwujud'!$Y192,(YEAR(I$211)*12+MONTH(I$211))&lt;=MIN('Aset Takberwujud'!$Z192,IF('Aset Takberwujud'!$S192="Unit Produksi",99999,'Aset Takberwujud'!$Y192+'Aset Takberwujud'!$T192*12-1))),'Aset Takberwujud'!$AQ192/'Aset Takberwujud'!$AG192,0)))</f>
        <v/>
      </c>
      <c r="J397" s="22" t="str">
        <f>IF($B397="","",IF(N('Aset Takberwujud'!$AG192)=0,0,IF(AND((YEAR(J$211)*12+MONTH(J$211))&gt;='Aset Takberwujud'!$Y192,(YEAR(J$211)*12+MONTH(J$211))&lt;=MIN('Aset Takberwujud'!$Z192,IF('Aset Takberwujud'!$S192="Unit Produksi",99999,'Aset Takberwujud'!$Y192+'Aset Takberwujud'!$T192*12-1))),'Aset Takberwujud'!$AQ192/'Aset Takberwujud'!$AG192,0)))</f>
        <v/>
      </c>
      <c r="K397" s="22" t="str">
        <f>IF($B397="","",IF(N('Aset Takberwujud'!$AG192)=0,0,IF(AND((YEAR(K$211)*12+MONTH(K$211))&gt;='Aset Takberwujud'!$Y192,(YEAR(K$211)*12+MONTH(K$211))&lt;=MIN('Aset Takberwujud'!$Z192,IF('Aset Takberwujud'!$S192="Unit Produksi",99999,'Aset Takberwujud'!$Y192+'Aset Takberwujud'!$T192*12-1))),'Aset Takberwujud'!$AQ192/'Aset Takberwujud'!$AG192,0)))</f>
        <v/>
      </c>
      <c r="L397" s="22" t="str">
        <f>IF($B397="","",IF(N('Aset Takberwujud'!$AG192)=0,0,IF(AND((YEAR(L$211)*12+MONTH(L$211))&gt;='Aset Takberwujud'!$Y192,(YEAR(L$211)*12+MONTH(L$211))&lt;=MIN('Aset Takberwujud'!$Z192,IF('Aset Takberwujud'!$S192="Unit Produksi",99999,'Aset Takberwujud'!$Y192+'Aset Takberwujud'!$T192*12-1))),'Aset Takberwujud'!$AQ192/'Aset Takberwujud'!$AG192,0)))</f>
        <v/>
      </c>
      <c r="M397" s="22" t="str">
        <f>IF($B397="","",IF(N('Aset Takberwujud'!$AG192)=0,0,IF(AND((YEAR(M$211)*12+MONTH(M$211))&gt;='Aset Takberwujud'!$Y192,(YEAR(M$211)*12+MONTH(M$211))&lt;=MIN('Aset Takberwujud'!$Z192,IF('Aset Takberwujud'!$S192="Unit Produksi",99999,'Aset Takberwujud'!$Y192+'Aset Takberwujud'!$T192*12-1))),'Aset Takberwujud'!$AQ192/'Aset Takberwujud'!$AG192,0)))</f>
        <v/>
      </c>
      <c r="N397" s="22" t="str">
        <f>IF($B397="","",IF(N('Aset Takberwujud'!$AG192)=0,0,IF(AND((YEAR(N$211)*12+MONTH(N$211))&gt;='Aset Takberwujud'!$Y192,(YEAR(N$211)*12+MONTH(N$211))&lt;=MIN('Aset Takberwujud'!$Z192,IF('Aset Takberwujud'!$S192="Unit Produksi",99999,'Aset Takberwujud'!$Y192+'Aset Takberwujud'!$T192*12-1))),'Aset Takberwujud'!$AQ192/'Aset Takberwujud'!$AG192,0)))</f>
        <v/>
      </c>
      <c r="O397" s="22" t="str">
        <f>IF($B397="","",IF(N('Aset Takberwujud'!$AG192)=0,0,IF(AND((YEAR(O$211)*12+MONTH(O$211))&gt;='Aset Takberwujud'!$Y192,(YEAR(O$211)*12+MONTH(O$211))&lt;=MIN('Aset Takberwujud'!$Z192,IF('Aset Takberwujud'!$S192="Unit Produksi",99999,'Aset Takberwujud'!$Y192+'Aset Takberwujud'!$T192*12-1))),'Aset Takberwujud'!$AQ192/'Aset Takberwujud'!$AG192,0)))</f>
        <v/>
      </c>
      <c r="P397" s="22" t="str">
        <f>IF($B397="","",IF(N('Aset Takberwujud'!$AG192)=0,0,IF(AND((YEAR(P$211)*12+MONTH(P$211))&gt;='Aset Takberwujud'!$Y192,(YEAR(P$211)*12+MONTH(P$211))&lt;=MIN('Aset Takberwujud'!$Z192,IF('Aset Takberwujud'!$S192="Unit Produksi",99999,'Aset Takberwujud'!$Y192+'Aset Takberwujud'!$T192*12-1))),'Aset Takberwujud'!$AQ192/'Aset Takberwujud'!$AG192,0)))</f>
        <v/>
      </c>
      <c r="Q397" s="22" t="str">
        <f>IF($B397="","",SUM(E397:P397))</f>
        <v/>
      </c>
      <c r="R397" s="22" t="str">
        <f>IF($B397="","",'Aset Takberwujud'!AQ192)</f>
        <v/>
      </c>
      <c r="S397" s="22" t="str">
        <f>IF($B397="","",ROUND(Q397-R397,0))</f>
        <v/>
      </c>
    </row>
    <row r="398" spans="1:19" x14ac:dyDescent="0.25">
      <c r="A398" t="str">
        <f>IF('Aset Takberwujud'!$B193="","",'Aset Takberwujud'!A193)</f>
        <v/>
      </c>
      <c r="B398" t="str">
        <f>IF('Aset Takberwujud'!$B193="","",'Aset Takberwujud'!B193)</f>
        <v/>
      </c>
      <c r="C398" t="str">
        <f>IF('Aset Takberwujud'!$B193="","",'Aset Takberwujud'!C193)</f>
        <v/>
      </c>
      <c r="D398" t="str">
        <f>IF('Aset Takberwujud'!$B193="","",'Aset Takberwujud'!D193)</f>
        <v/>
      </c>
      <c r="E398" s="22" t="str">
        <f>IF($B398="","",IF(N('Aset Takberwujud'!$AG193)=0,0,IF(AND((YEAR(E$211)*12+MONTH(E$211))&gt;='Aset Takberwujud'!$Y193,(YEAR(E$211)*12+MONTH(E$211))&lt;=MIN('Aset Takberwujud'!$Z193,IF('Aset Takberwujud'!$S193="Unit Produksi",99999,'Aset Takberwujud'!$Y193+'Aset Takberwujud'!$T193*12-1))),'Aset Takberwujud'!$AQ193/'Aset Takberwujud'!$AG193,0)))</f>
        <v/>
      </c>
      <c r="F398" s="22" t="str">
        <f>IF($B398="","",IF(N('Aset Takberwujud'!$AG193)=0,0,IF(AND((YEAR(F$211)*12+MONTH(F$211))&gt;='Aset Takberwujud'!$Y193,(YEAR(F$211)*12+MONTH(F$211))&lt;=MIN('Aset Takberwujud'!$Z193,IF('Aset Takberwujud'!$S193="Unit Produksi",99999,'Aset Takberwujud'!$Y193+'Aset Takberwujud'!$T193*12-1))),'Aset Takberwujud'!$AQ193/'Aset Takberwujud'!$AG193,0)))</f>
        <v/>
      </c>
      <c r="G398" s="22" t="str">
        <f>IF($B398="","",IF(N('Aset Takberwujud'!$AG193)=0,0,IF(AND((YEAR(G$211)*12+MONTH(G$211))&gt;='Aset Takberwujud'!$Y193,(YEAR(G$211)*12+MONTH(G$211))&lt;=MIN('Aset Takberwujud'!$Z193,IF('Aset Takberwujud'!$S193="Unit Produksi",99999,'Aset Takberwujud'!$Y193+'Aset Takberwujud'!$T193*12-1))),'Aset Takberwujud'!$AQ193/'Aset Takberwujud'!$AG193,0)))</f>
        <v/>
      </c>
      <c r="H398" s="22" t="str">
        <f>IF($B398="","",IF(N('Aset Takberwujud'!$AG193)=0,0,IF(AND((YEAR(H$211)*12+MONTH(H$211))&gt;='Aset Takberwujud'!$Y193,(YEAR(H$211)*12+MONTH(H$211))&lt;=MIN('Aset Takberwujud'!$Z193,IF('Aset Takberwujud'!$S193="Unit Produksi",99999,'Aset Takberwujud'!$Y193+'Aset Takberwujud'!$T193*12-1))),'Aset Takberwujud'!$AQ193/'Aset Takberwujud'!$AG193,0)))</f>
        <v/>
      </c>
      <c r="I398" s="22" t="str">
        <f>IF($B398="","",IF(N('Aset Takberwujud'!$AG193)=0,0,IF(AND((YEAR(I$211)*12+MONTH(I$211))&gt;='Aset Takberwujud'!$Y193,(YEAR(I$211)*12+MONTH(I$211))&lt;=MIN('Aset Takberwujud'!$Z193,IF('Aset Takberwujud'!$S193="Unit Produksi",99999,'Aset Takberwujud'!$Y193+'Aset Takberwujud'!$T193*12-1))),'Aset Takberwujud'!$AQ193/'Aset Takberwujud'!$AG193,0)))</f>
        <v/>
      </c>
      <c r="J398" s="22" t="str">
        <f>IF($B398="","",IF(N('Aset Takberwujud'!$AG193)=0,0,IF(AND((YEAR(J$211)*12+MONTH(J$211))&gt;='Aset Takberwujud'!$Y193,(YEAR(J$211)*12+MONTH(J$211))&lt;=MIN('Aset Takberwujud'!$Z193,IF('Aset Takberwujud'!$S193="Unit Produksi",99999,'Aset Takberwujud'!$Y193+'Aset Takberwujud'!$T193*12-1))),'Aset Takberwujud'!$AQ193/'Aset Takberwujud'!$AG193,0)))</f>
        <v/>
      </c>
      <c r="K398" s="22" t="str">
        <f>IF($B398="","",IF(N('Aset Takberwujud'!$AG193)=0,0,IF(AND((YEAR(K$211)*12+MONTH(K$211))&gt;='Aset Takberwujud'!$Y193,(YEAR(K$211)*12+MONTH(K$211))&lt;=MIN('Aset Takberwujud'!$Z193,IF('Aset Takberwujud'!$S193="Unit Produksi",99999,'Aset Takberwujud'!$Y193+'Aset Takberwujud'!$T193*12-1))),'Aset Takberwujud'!$AQ193/'Aset Takberwujud'!$AG193,0)))</f>
        <v/>
      </c>
      <c r="L398" s="22" t="str">
        <f>IF($B398="","",IF(N('Aset Takberwujud'!$AG193)=0,0,IF(AND((YEAR(L$211)*12+MONTH(L$211))&gt;='Aset Takberwujud'!$Y193,(YEAR(L$211)*12+MONTH(L$211))&lt;=MIN('Aset Takberwujud'!$Z193,IF('Aset Takberwujud'!$S193="Unit Produksi",99999,'Aset Takberwujud'!$Y193+'Aset Takberwujud'!$T193*12-1))),'Aset Takberwujud'!$AQ193/'Aset Takberwujud'!$AG193,0)))</f>
        <v/>
      </c>
      <c r="M398" s="22" t="str">
        <f>IF($B398="","",IF(N('Aset Takberwujud'!$AG193)=0,0,IF(AND((YEAR(M$211)*12+MONTH(M$211))&gt;='Aset Takberwujud'!$Y193,(YEAR(M$211)*12+MONTH(M$211))&lt;=MIN('Aset Takberwujud'!$Z193,IF('Aset Takberwujud'!$S193="Unit Produksi",99999,'Aset Takberwujud'!$Y193+'Aset Takberwujud'!$T193*12-1))),'Aset Takberwujud'!$AQ193/'Aset Takberwujud'!$AG193,0)))</f>
        <v/>
      </c>
      <c r="N398" s="22" t="str">
        <f>IF($B398="","",IF(N('Aset Takberwujud'!$AG193)=0,0,IF(AND((YEAR(N$211)*12+MONTH(N$211))&gt;='Aset Takberwujud'!$Y193,(YEAR(N$211)*12+MONTH(N$211))&lt;=MIN('Aset Takberwujud'!$Z193,IF('Aset Takberwujud'!$S193="Unit Produksi",99999,'Aset Takberwujud'!$Y193+'Aset Takberwujud'!$T193*12-1))),'Aset Takberwujud'!$AQ193/'Aset Takberwujud'!$AG193,0)))</f>
        <v/>
      </c>
      <c r="O398" s="22" t="str">
        <f>IF($B398="","",IF(N('Aset Takberwujud'!$AG193)=0,0,IF(AND((YEAR(O$211)*12+MONTH(O$211))&gt;='Aset Takberwujud'!$Y193,(YEAR(O$211)*12+MONTH(O$211))&lt;=MIN('Aset Takberwujud'!$Z193,IF('Aset Takberwujud'!$S193="Unit Produksi",99999,'Aset Takberwujud'!$Y193+'Aset Takberwujud'!$T193*12-1))),'Aset Takberwujud'!$AQ193/'Aset Takberwujud'!$AG193,0)))</f>
        <v/>
      </c>
      <c r="P398" s="22" t="str">
        <f>IF($B398="","",IF(N('Aset Takberwujud'!$AG193)=0,0,IF(AND((YEAR(P$211)*12+MONTH(P$211))&gt;='Aset Takberwujud'!$Y193,(YEAR(P$211)*12+MONTH(P$211))&lt;=MIN('Aset Takberwujud'!$Z193,IF('Aset Takberwujud'!$S193="Unit Produksi",99999,'Aset Takberwujud'!$Y193+'Aset Takberwujud'!$T193*12-1))),'Aset Takberwujud'!$AQ193/'Aset Takberwujud'!$AG193,0)))</f>
        <v/>
      </c>
      <c r="Q398" s="22" t="str">
        <f>IF($B398="","",SUM(E398:P398))</f>
        <v/>
      </c>
      <c r="R398" s="22" t="str">
        <f>IF($B398="","",'Aset Takberwujud'!AQ193)</f>
        <v/>
      </c>
      <c r="S398" s="22" t="str">
        <f>IF($B398="","",ROUND(Q398-R398,0))</f>
        <v/>
      </c>
    </row>
    <row r="399" spans="1:19" x14ac:dyDescent="0.25">
      <c r="A399" t="str">
        <f>IF('Aset Takberwujud'!$B194="","",'Aset Takberwujud'!A194)</f>
        <v/>
      </c>
      <c r="B399" t="str">
        <f>IF('Aset Takberwujud'!$B194="","",'Aset Takberwujud'!B194)</f>
        <v/>
      </c>
      <c r="C399" t="str">
        <f>IF('Aset Takberwujud'!$B194="","",'Aset Takberwujud'!C194)</f>
        <v/>
      </c>
      <c r="D399" t="str">
        <f>IF('Aset Takberwujud'!$B194="","",'Aset Takberwujud'!D194)</f>
        <v/>
      </c>
      <c r="E399" s="22" t="str">
        <f>IF($B399="","",IF(N('Aset Takberwujud'!$AG194)=0,0,IF(AND((YEAR(E$211)*12+MONTH(E$211))&gt;='Aset Takberwujud'!$Y194,(YEAR(E$211)*12+MONTH(E$211))&lt;=MIN('Aset Takberwujud'!$Z194,IF('Aset Takberwujud'!$S194="Unit Produksi",99999,'Aset Takberwujud'!$Y194+'Aset Takberwujud'!$T194*12-1))),'Aset Takberwujud'!$AQ194/'Aset Takberwujud'!$AG194,0)))</f>
        <v/>
      </c>
      <c r="F399" s="22" t="str">
        <f>IF($B399="","",IF(N('Aset Takberwujud'!$AG194)=0,0,IF(AND((YEAR(F$211)*12+MONTH(F$211))&gt;='Aset Takberwujud'!$Y194,(YEAR(F$211)*12+MONTH(F$211))&lt;=MIN('Aset Takberwujud'!$Z194,IF('Aset Takberwujud'!$S194="Unit Produksi",99999,'Aset Takberwujud'!$Y194+'Aset Takberwujud'!$T194*12-1))),'Aset Takberwujud'!$AQ194/'Aset Takberwujud'!$AG194,0)))</f>
        <v/>
      </c>
      <c r="G399" s="22" t="str">
        <f>IF($B399="","",IF(N('Aset Takberwujud'!$AG194)=0,0,IF(AND((YEAR(G$211)*12+MONTH(G$211))&gt;='Aset Takberwujud'!$Y194,(YEAR(G$211)*12+MONTH(G$211))&lt;=MIN('Aset Takberwujud'!$Z194,IF('Aset Takberwujud'!$S194="Unit Produksi",99999,'Aset Takberwujud'!$Y194+'Aset Takberwujud'!$T194*12-1))),'Aset Takberwujud'!$AQ194/'Aset Takberwujud'!$AG194,0)))</f>
        <v/>
      </c>
      <c r="H399" s="22" t="str">
        <f>IF($B399="","",IF(N('Aset Takberwujud'!$AG194)=0,0,IF(AND((YEAR(H$211)*12+MONTH(H$211))&gt;='Aset Takberwujud'!$Y194,(YEAR(H$211)*12+MONTH(H$211))&lt;=MIN('Aset Takberwujud'!$Z194,IF('Aset Takberwujud'!$S194="Unit Produksi",99999,'Aset Takberwujud'!$Y194+'Aset Takberwujud'!$T194*12-1))),'Aset Takberwujud'!$AQ194/'Aset Takberwujud'!$AG194,0)))</f>
        <v/>
      </c>
      <c r="I399" s="22" t="str">
        <f>IF($B399="","",IF(N('Aset Takberwujud'!$AG194)=0,0,IF(AND((YEAR(I$211)*12+MONTH(I$211))&gt;='Aset Takberwujud'!$Y194,(YEAR(I$211)*12+MONTH(I$211))&lt;=MIN('Aset Takberwujud'!$Z194,IF('Aset Takberwujud'!$S194="Unit Produksi",99999,'Aset Takberwujud'!$Y194+'Aset Takberwujud'!$T194*12-1))),'Aset Takberwujud'!$AQ194/'Aset Takberwujud'!$AG194,0)))</f>
        <v/>
      </c>
      <c r="J399" s="22" t="str">
        <f>IF($B399="","",IF(N('Aset Takberwujud'!$AG194)=0,0,IF(AND((YEAR(J$211)*12+MONTH(J$211))&gt;='Aset Takberwujud'!$Y194,(YEAR(J$211)*12+MONTH(J$211))&lt;=MIN('Aset Takberwujud'!$Z194,IF('Aset Takberwujud'!$S194="Unit Produksi",99999,'Aset Takberwujud'!$Y194+'Aset Takberwujud'!$T194*12-1))),'Aset Takberwujud'!$AQ194/'Aset Takberwujud'!$AG194,0)))</f>
        <v/>
      </c>
      <c r="K399" s="22" t="str">
        <f>IF($B399="","",IF(N('Aset Takberwujud'!$AG194)=0,0,IF(AND((YEAR(K$211)*12+MONTH(K$211))&gt;='Aset Takberwujud'!$Y194,(YEAR(K$211)*12+MONTH(K$211))&lt;=MIN('Aset Takberwujud'!$Z194,IF('Aset Takberwujud'!$S194="Unit Produksi",99999,'Aset Takberwujud'!$Y194+'Aset Takberwujud'!$T194*12-1))),'Aset Takberwujud'!$AQ194/'Aset Takberwujud'!$AG194,0)))</f>
        <v/>
      </c>
      <c r="L399" s="22" t="str">
        <f>IF($B399="","",IF(N('Aset Takberwujud'!$AG194)=0,0,IF(AND((YEAR(L$211)*12+MONTH(L$211))&gt;='Aset Takberwujud'!$Y194,(YEAR(L$211)*12+MONTH(L$211))&lt;=MIN('Aset Takberwujud'!$Z194,IF('Aset Takberwujud'!$S194="Unit Produksi",99999,'Aset Takberwujud'!$Y194+'Aset Takberwujud'!$T194*12-1))),'Aset Takberwujud'!$AQ194/'Aset Takberwujud'!$AG194,0)))</f>
        <v/>
      </c>
      <c r="M399" s="22" t="str">
        <f>IF($B399="","",IF(N('Aset Takberwujud'!$AG194)=0,0,IF(AND((YEAR(M$211)*12+MONTH(M$211))&gt;='Aset Takberwujud'!$Y194,(YEAR(M$211)*12+MONTH(M$211))&lt;=MIN('Aset Takberwujud'!$Z194,IF('Aset Takberwujud'!$S194="Unit Produksi",99999,'Aset Takberwujud'!$Y194+'Aset Takberwujud'!$T194*12-1))),'Aset Takberwujud'!$AQ194/'Aset Takberwujud'!$AG194,0)))</f>
        <v/>
      </c>
      <c r="N399" s="22" t="str">
        <f>IF($B399="","",IF(N('Aset Takberwujud'!$AG194)=0,0,IF(AND((YEAR(N$211)*12+MONTH(N$211))&gt;='Aset Takberwujud'!$Y194,(YEAR(N$211)*12+MONTH(N$211))&lt;=MIN('Aset Takberwujud'!$Z194,IF('Aset Takberwujud'!$S194="Unit Produksi",99999,'Aset Takberwujud'!$Y194+'Aset Takberwujud'!$T194*12-1))),'Aset Takberwujud'!$AQ194/'Aset Takberwujud'!$AG194,0)))</f>
        <v/>
      </c>
      <c r="O399" s="22" t="str">
        <f>IF($B399="","",IF(N('Aset Takberwujud'!$AG194)=0,0,IF(AND((YEAR(O$211)*12+MONTH(O$211))&gt;='Aset Takberwujud'!$Y194,(YEAR(O$211)*12+MONTH(O$211))&lt;=MIN('Aset Takberwujud'!$Z194,IF('Aset Takberwujud'!$S194="Unit Produksi",99999,'Aset Takberwujud'!$Y194+'Aset Takberwujud'!$T194*12-1))),'Aset Takberwujud'!$AQ194/'Aset Takberwujud'!$AG194,0)))</f>
        <v/>
      </c>
      <c r="P399" s="22" t="str">
        <f>IF($B399="","",IF(N('Aset Takberwujud'!$AG194)=0,0,IF(AND((YEAR(P$211)*12+MONTH(P$211))&gt;='Aset Takberwujud'!$Y194,(YEAR(P$211)*12+MONTH(P$211))&lt;=MIN('Aset Takberwujud'!$Z194,IF('Aset Takberwujud'!$S194="Unit Produksi",99999,'Aset Takberwujud'!$Y194+'Aset Takberwujud'!$T194*12-1))),'Aset Takberwujud'!$AQ194/'Aset Takberwujud'!$AG194,0)))</f>
        <v/>
      </c>
      <c r="Q399" s="22" t="str">
        <f>IF($B399="","",SUM(E399:P399))</f>
        <v/>
      </c>
      <c r="R399" s="22" t="str">
        <f>IF($B399="","",'Aset Takberwujud'!AQ194)</f>
        <v/>
      </c>
      <c r="S399" s="22" t="str">
        <f>IF($B399="","",ROUND(Q399-R399,0))</f>
        <v/>
      </c>
    </row>
    <row r="400" spans="1:19" x14ac:dyDescent="0.25">
      <c r="A400" t="str">
        <f>IF('Aset Takberwujud'!$B195="","",'Aset Takberwujud'!A195)</f>
        <v/>
      </c>
      <c r="B400" t="str">
        <f>IF('Aset Takberwujud'!$B195="","",'Aset Takberwujud'!B195)</f>
        <v/>
      </c>
      <c r="C400" t="str">
        <f>IF('Aset Takberwujud'!$B195="","",'Aset Takberwujud'!C195)</f>
        <v/>
      </c>
      <c r="D400" t="str">
        <f>IF('Aset Takberwujud'!$B195="","",'Aset Takberwujud'!D195)</f>
        <v/>
      </c>
      <c r="E400" s="22" t="str">
        <f>IF($B400="","",IF(N('Aset Takberwujud'!$AG195)=0,0,IF(AND((YEAR(E$211)*12+MONTH(E$211))&gt;='Aset Takberwujud'!$Y195,(YEAR(E$211)*12+MONTH(E$211))&lt;=MIN('Aset Takberwujud'!$Z195,IF('Aset Takberwujud'!$S195="Unit Produksi",99999,'Aset Takberwujud'!$Y195+'Aset Takberwujud'!$T195*12-1))),'Aset Takberwujud'!$AQ195/'Aset Takberwujud'!$AG195,0)))</f>
        <v/>
      </c>
      <c r="F400" s="22" t="str">
        <f>IF($B400="","",IF(N('Aset Takberwujud'!$AG195)=0,0,IF(AND((YEAR(F$211)*12+MONTH(F$211))&gt;='Aset Takberwujud'!$Y195,(YEAR(F$211)*12+MONTH(F$211))&lt;=MIN('Aset Takberwujud'!$Z195,IF('Aset Takberwujud'!$S195="Unit Produksi",99999,'Aset Takberwujud'!$Y195+'Aset Takberwujud'!$T195*12-1))),'Aset Takberwujud'!$AQ195/'Aset Takberwujud'!$AG195,0)))</f>
        <v/>
      </c>
      <c r="G400" s="22" t="str">
        <f>IF($B400="","",IF(N('Aset Takberwujud'!$AG195)=0,0,IF(AND((YEAR(G$211)*12+MONTH(G$211))&gt;='Aset Takberwujud'!$Y195,(YEAR(G$211)*12+MONTH(G$211))&lt;=MIN('Aset Takberwujud'!$Z195,IF('Aset Takberwujud'!$S195="Unit Produksi",99999,'Aset Takberwujud'!$Y195+'Aset Takberwujud'!$T195*12-1))),'Aset Takberwujud'!$AQ195/'Aset Takberwujud'!$AG195,0)))</f>
        <v/>
      </c>
      <c r="H400" s="22" t="str">
        <f>IF($B400="","",IF(N('Aset Takberwujud'!$AG195)=0,0,IF(AND((YEAR(H$211)*12+MONTH(H$211))&gt;='Aset Takberwujud'!$Y195,(YEAR(H$211)*12+MONTH(H$211))&lt;=MIN('Aset Takberwujud'!$Z195,IF('Aset Takberwujud'!$S195="Unit Produksi",99999,'Aset Takberwujud'!$Y195+'Aset Takberwujud'!$T195*12-1))),'Aset Takberwujud'!$AQ195/'Aset Takberwujud'!$AG195,0)))</f>
        <v/>
      </c>
      <c r="I400" s="22" t="str">
        <f>IF($B400="","",IF(N('Aset Takberwujud'!$AG195)=0,0,IF(AND((YEAR(I$211)*12+MONTH(I$211))&gt;='Aset Takberwujud'!$Y195,(YEAR(I$211)*12+MONTH(I$211))&lt;=MIN('Aset Takberwujud'!$Z195,IF('Aset Takberwujud'!$S195="Unit Produksi",99999,'Aset Takberwujud'!$Y195+'Aset Takberwujud'!$T195*12-1))),'Aset Takberwujud'!$AQ195/'Aset Takberwujud'!$AG195,0)))</f>
        <v/>
      </c>
      <c r="J400" s="22" t="str">
        <f>IF($B400="","",IF(N('Aset Takberwujud'!$AG195)=0,0,IF(AND((YEAR(J$211)*12+MONTH(J$211))&gt;='Aset Takberwujud'!$Y195,(YEAR(J$211)*12+MONTH(J$211))&lt;=MIN('Aset Takberwujud'!$Z195,IF('Aset Takberwujud'!$S195="Unit Produksi",99999,'Aset Takberwujud'!$Y195+'Aset Takberwujud'!$T195*12-1))),'Aset Takberwujud'!$AQ195/'Aset Takberwujud'!$AG195,0)))</f>
        <v/>
      </c>
      <c r="K400" s="22" t="str">
        <f>IF($B400="","",IF(N('Aset Takberwujud'!$AG195)=0,0,IF(AND((YEAR(K$211)*12+MONTH(K$211))&gt;='Aset Takberwujud'!$Y195,(YEAR(K$211)*12+MONTH(K$211))&lt;=MIN('Aset Takberwujud'!$Z195,IF('Aset Takberwujud'!$S195="Unit Produksi",99999,'Aset Takberwujud'!$Y195+'Aset Takberwujud'!$T195*12-1))),'Aset Takberwujud'!$AQ195/'Aset Takberwujud'!$AG195,0)))</f>
        <v/>
      </c>
      <c r="L400" s="22" t="str">
        <f>IF($B400="","",IF(N('Aset Takberwujud'!$AG195)=0,0,IF(AND((YEAR(L$211)*12+MONTH(L$211))&gt;='Aset Takberwujud'!$Y195,(YEAR(L$211)*12+MONTH(L$211))&lt;=MIN('Aset Takberwujud'!$Z195,IF('Aset Takberwujud'!$S195="Unit Produksi",99999,'Aset Takberwujud'!$Y195+'Aset Takberwujud'!$T195*12-1))),'Aset Takberwujud'!$AQ195/'Aset Takberwujud'!$AG195,0)))</f>
        <v/>
      </c>
      <c r="M400" s="22" t="str">
        <f>IF($B400="","",IF(N('Aset Takberwujud'!$AG195)=0,0,IF(AND((YEAR(M$211)*12+MONTH(M$211))&gt;='Aset Takberwujud'!$Y195,(YEAR(M$211)*12+MONTH(M$211))&lt;=MIN('Aset Takberwujud'!$Z195,IF('Aset Takberwujud'!$S195="Unit Produksi",99999,'Aset Takberwujud'!$Y195+'Aset Takberwujud'!$T195*12-1))),'Aset Takberwujud'!$AQ195/'Aset Takberwujud'!$AG195,0)))</f>
        <v/>
      </c>
      <c r="N400" s="22" t="str">
        <f>IF($B400="","",IF(N('Aset Takberwujud'!$AG195)=0,0,IF(AND((YEAR(N$211)*12+MONTH(N$211))&gt;='Aset Takberwujud'!$Y195,(YEAR(N$211)*12+MONTH(N$211))&lt;=MIN('Aset Takberwujud'!$Z195,IF('Aset Takberwujud'!$S195="Unit Produksi",99999,'Aset Takberwujud'!$Y195+'Aset Takberwujud'!$T195*12-1))),'Aset Takberwujud'!$AQ195/'Aset Takberwujud'!$AG195,0)))</f>
        <v/>
      </c>
      <c r="O400" s="22" t="str">
        <f>IF($B400="","",IF(N('Aset Takberwujud'!$AG195)=0,0,IF(AND((YEAR(O$211)*12+MONTH(O$211))&gt;='Aset Takberwujud'!$Y195,(YEAR(O$211)*12+MONTH(O$211))&lt;=MIN('Aset Takberwujud'!$Z195,IF('Aset Takberwujud'!$S195="Unit Produksi",99999,'Aset Takberwujud'!$Y195+'Aset Takberwujud'!$T195*12-1))),'Aset Takberwujud'!$AQ195/'Aset Takberwujud'!$AG195,0)))</f>
        <v/>
      </c>
      <c r="P400" s="22" t="str">
        <f>IF($B400="","",IF(N('Aset Takberwujud'!$AG195)=0,0,IF(AND((YEAR(P$211)*12+MONTH(P$211))&gt;='Aset Takberwujud'!$Y195,(YEAR(P$211)*12+MONTH(P$211))&lt;=MIN('Aset Takberwujud'!$Z195,IF('Aset Takberwujud'!$S195="Unit Produksi",99999,'Aset Takberwujud'!$Y195+'Aset Takberwujud'!$T195*12-1))),'Aset Takberwujud'!$AQ195/'Aset Takberwujud'!$AG195,0)))</f>
        <v/>
      </c>
      <c r="Q400" s="22" t="str">
        <f>IF($B400="","",SUM(E400:P400))</f>
        <v/>
      </c>
      <c r="R400" s="22" t="str">
        <f>IF($B400="","",'Aset Takberwujud'!AQ195)</f>
        <v/>
      </c>
      <c r="S400" s="22" t="str">
        <f>IF($B400="","",ROUND(Q400-R400,0))</f>
        <v/>
      </c>
    </row>
    <row r="401" spans="1:19" x14ac:dyDescent="0.25">
      <c r="A401" t="str">
        <f>IF('Aset Takberwujud'!$B196="","",'Aset Takberwujud'!A196)</f>
        <v/>
      </c>
      <c r="B401" t="str">
        <f>IF('Aset Takberwujud'!$B196="","",'Aset Takberwujud'!B196)</f>
        <v/>
      </c>
      <c r="C401" t="str">
        <f>IF('Aset Takberwujud'!$B196="","",'Aset Takberwujud'!C196)</f>
        <v/>
      </c>
      <c r="D401" t="str">
        <f>IF('Aset Takberwujud'!$B196="","",'Aset Takberwujud'!D196)</f>
        <v/>
      </c>
      <c r="E401" s="22" t="str">
        <f>IF($B401="","",IF(N('Aset Takberwujud'!$AG196)=0,0,IF(AND((YEAR(E$211)*12+MONTH(E$211))&gt;='Aset Takberwujud'!$Y196,(YEAR(E$211)*12+MONTH(E$211))&lt;=MIN('Aset Takberwujud'!$Z196,IF('Aset Takberwujud'!$S196="Unit Produksi",99999,'Aset Takberwujud'!$Y196+'Aset Takberwujud'!$T196*12-1))),'Aset Takberwujud'!$AQ196/'Aset Takberwujud'!$AG196,0)))</f>
        <v/>
      </c>
      <c r="F401" s="22" t="str">
        <f>IF($B401="","",IF(N('Aset Takberwujud'!$AG196)=0,0,IF(AND((YEAR(F$211)*12+MONTH(F$211))&gt;='Aset Takberwujud'!$Y196,(YEAR(F$211)*12+MONTH(F$211))&lt;=MIN('Aset Takberwujud'!$Z196,IF('Aset Takberwujud'!$S196="Unit Produksi",99999,'Aset Takberwujud'!$Y196+'Aset Takberwujud'!$T196*12-1))),'Aset Takberwujud'!$AQ196/'Aset Takberwujud'!$AG196,0)))</f>
        <v/>
      </c>
      <c r="G401" s="22" t="str">
        <f>IF($B401="","",IF(N('Aset Takberwujud'!$AG196)=0,0,IF(AND((YEAR(G$211)*12+MONTH(G$211))&gt;='Aset Takberwujud'!$Y196,(YEAR(G$211)*12+MONTH(G$211))&lt;=MIN('Aset Takberwujud'!$Z196,IF('Aset Takberwujud'!$S196="Unit Produksi",99999,'Aset Takberwujud'!$Y196+'Aset Takberwujud'!$T196*12-1))),'Aset Takberwujud'!$AQ196/'Aset Takberwujud'!$AG196,0)))</f>
        <v/>
      </c>
      <c r="H401" s="22" t="str">
        <f>IF($B401="","",IF(N('Aset Takberwujud'!$AG196)=0,0,IF(AND((YEAR(H$211)*12+MONTH(H$211))&gt;='Aset Takberwujud'!$Y196,(YEAR(H$211)*12+MONTH(H$211))&lt;=MIN('Aset Takberwujud'!$Z196,IF('Aset Takberwujud'!$S196="Unit Produksi",99999,'Aset Takberwujud'!$Y196+'Aset Takberwujud'!$T196*12-1))),'Aset Takberwujud'!$AQ196/'Aset Takberwujud'!$AG196,0)))</f>
        <v/>
      </c>
      <c r="I401" s="22" t="str">
        <f>IF($B401="","",IF(N('Aset Takberwujud'!$AG196)=0,0,IF(AND((YEAR(I$211)*12+MONTH(I$211))&gt;='Aset Takberwujud'!$Y196,(YEAR(I$211)*12+MONTH(I$211))&lt;=MIN('Aset Takberwujud'!$Z196,IF('Aset Takberwujud'!$S196="Unit Produksi",99999,'Aset Takberwujud'!$Y196+'Aset Takberwujud'!$T196*12-1))),'Aset Takberwujud'!$AQ196/'Aset Takberwujud'!$AG196,0)))</f>
        <v/>
      </c>
      <c r="J401" s="22" t="str">
        <f>IF($B401="","",IF(N('Aset Takberwujud'!$AG196)=0,0,IF(AND((YEAR(J$211)*12+MONTH(J$211))&gt;='Aset Takberwujud'!$Y196,(YEAR(J$211)*12+MONTH(J$211))&lt;=MIN('Aset Takberwujud'!$Z196,IF('Aset Takberwujud'!$S196="Unit Produksi",99999,'Aset Takberwujud'!$Y196+'Aset Takberwujud'!$T196*12-1))),'Aset Takberwujud'!$AQ196/'Aset Takberwujud'!$AG196,0)))</f>
        <v/>
      </c>
      <c r="K401" s="22" t="str">
        <f>IF($B401="","",IF(N('Aset Takberwujud'!$AG196)=0,0,IF(AND((YEAR(K$211)*12+MONTH(K$211))&gt;='Aset Takberwujud'!$Y196,(YEAR(K$211)*12+MONTH(K$211))&lt;=MIN('Aset Takberwujud'!$Z196,IF('Aset Takberwujud'!$S196="Unit Produksi",99999,'Aset Takberwujud'!$Y196+'Aset Takberwujud'!$T196*12-1))),'Aset Takberwujud'!$AQ196/'Aset Takberwujud'!$AG196,0)))</f>
        <v/>
      </c>
      <c r="L401" s="22" t="str">
        <f>IF($B401="","",IF(N('Aset Takberwujud'!$AG196)=0,0,IF(AND((YEAR(L$211)*12+MONTH(L$211))&gt;='Aset Takberwujud'!$Y196,(YEAR(L$211)*12+MONTH(L$211))&lt;=MIN('Aset Takberwujud'!$Z196,IF('Aset Takberwujud'!$S196="Unit Produksi",99999,'Aset Takberwujud'!$Y196+'Aset Takberwujud'!$T196*12-1))),'Aset Takberwujud'!$AQ196/'Aset Takberwujud'!$AG196,0)))</f>
        <v/>
      </c>
      <c r="M401" s="22" t="str">
        <f>IF($B401="","",IF(N('Aset Takberwujud'!$AG196)=0,0,IF(AND((YEAR(M$211)*12+MONTH(M$211))&gt;='Aset Takberwujud'!$Y196,(YEAR(M$211)*12+MONTH(M$211))&lt;=MIN('Aset Takberwujud'!$Z196,IF('Aset Takberwujud'!$S196="Unit Produksi",99999,'Aset Takberwujud'!$Y196+'Aset Takberwujud'!$T196*12-1))),'Aset Takberwujud'!$AQ196/'Aset Takberwujud'!$AG196,0)))</f>
        <v/>
      </c>
      <c r="N401" s="22" t="str">
        <f>IF($B401="","",IF(N('Aset Takberwujud'!$AG196)=0,0,IF(AND((YEAR(N$211)*12+MONTH(N$211))&gt;='Aset Takberwujud'!$Y196,(YEAR(N$211)*12+MONTH(N$211))&lt;=MIN('Aset Takberwujud'!$Z196,IF('Aset Takberwujud'!$S196="Unit Produksi",99999,'Aset Takberwujud'!$Y196+'Aset Takberwujud'!$T196*12-1))),'Aset Takberwujud'!$AQ196/'Aset Takberwujud'!$AG196,0)))</f>
        <v/>
      </c>
      <c r="O401" s="22" t="str">
        <f>IF($B401="","",IF(N('Aset Takberwujud'!$AG196)=0,0,IF(AND((YEAR(O$211)*12+MONTH(O$211))&gt;='Aset Takberwujud'!$Y196,(YEAR(O$211)*12+MONTH(O$211))&lt;=MIN('Aset Takberwujud'!$Z196,IF('Aset Takberwujud'!$S196="Unit Produksi",99999,'Aset Takberwujud'!$Y196+'Aset Takberwujud'!$T196*12-1))),'Aset Takberwujud'!$AQ196/'Aset Takberwujud'!$AG196,0)))</f>
        <v/>
      </c>
      <c r="P401" s="22" t="str">
        <f>IF($B401="","",IF(N('Aset Takberwujud'!$AG196)=0,0,IF(AND((YEAR(P$211)*12+MONTH(P$211))&gt;='Aset Takberwujud'!$Y196,(YEAR(P$211)*12+MONTH(P$211))&lt;=MIN('Aset Takberwujud'!$Z196,IF('Aset Takberwujud'!$S196="Unit Produksi",99999,'Aset Takberwujud'!$Y196+'Aset Takberwujud'!$T196*12-1))),'Aset Takberwujud'!$AQ196/'Aset Takberwujud'!$AG196,0)))</f>
        <v/>
      </c>
      <c r="Q401" s="22" t="str">
        <f>IF($B401="","",SUM(E401:P401))</f>
        <v/>
      </c>
      <c r="R401" s="22" t="str">
        <f>IF($B401="","",'Aset Takberwujud'!AQ196)</f>
        <v/>
      </c>
      <c r="S401" s="22" t="str">
        <f>IF($B401="","",ROUND(Q401-R401,0))</f>
        <v/>
      </c>
    </row>
    <row r="402" spans="1:19" x14ac:dyDescent="0.25">
      <c r="A402" t="str">
        <f>IF('Aset Takberwujud'!$B197="","",'Aset Takberwujud'!A197)</f>
        <v/>
      </c>
      <c r="B402" t="str">
        <f>IF('Aset Takberwujud'!$B197="","",'Aset Takberwujud'!B197)</f>
        <v/>
      </c>
      <c r="C402" t="str">
        <f>IF('Aset Takberwujud'!$B197="","",'Aset Takberwujud'!C197)</f>
        <v/>
      </c>
      <c r="D402" t="str">
        <f>IF('Aset Takberwujud'!$B197="","",'Aset Takberwujud'!D197)</f>
        <v/>
      </c>
      <c r="E402" s="22" t="str">
        <f>IF($B402="","",IF(N('Aset Takberwujud'!$AG197)=0,0,IF(AND((YEAR(E$211)*12+MONTH(E$211))&gt;='Aset Takberwujud'!$Y197,(YEAR(E$211)*12+MONTH(E$211))&lt;=MIN('Aset Takberwujud'!$Z197,IF('Aset Takberwujud'!$S197="Unit Produksi",99999,'Aset Takberwujud'!$Y197+'Aset Takberwujud'!$T197*12-1))),'Aset Takberwujud'!$AQ197/'Aset Takberwujud'!$AG197,0)))</f>
        <v/>
      </c>
      <c r="F402" s="22" t="str">
        <f>IF($B402="","",IF(N('Aset Takberwujud'!$AG197)=0,0,IF(AND((YEAR(F$211)*12+MONTH(F$211))&gt;='Aset Takberwujud'!$Y197,(YEAR(F$211)*12+MONTH(F$211))&lt;=MIN('Aset Takberwujud'!$Z197,IF('Aset Takberwujud'!$S197="Unit Produksi",99999,'Aset Takberwujud'!$Y197+'Aset Takberwujud'!$T197*12-1))),'Aset Takberwujud'!$AQ197/'Aset Takberwujud'!$AG197,0)))</f>
        <v/>
      </c>
      <c r="G402" s="22" t="str">
        <f>IF($B402="","",IF(N('Aset Takberwujud'!$AG197)=0,0,IF(AND((YEAR(G$211)*12+MONTH(G$211))&gt;='Aset Takberwujud'!$Y197,(YEAR(G$211)*12+MONTH(G$211))&lt;=MIN('Aset Takberwujud'!$Z197,IF('Aset Takberwujud'!$S197="Unit Produksi",99999,'Aset Takberwujud'!$Y197+'Aset Takberwujud'!$T197*12-1))),'Aset Takberwujud'!$AQ197/'Aset Takberwujud'!$AG197,0)))</f>
        <v/>
      </c>
      <c r="H402" s="22" t="str">
        <f>IF($B402="","",IF(N('Aset Takberwujud'!$AG197)=0,0,IF(AND((YEAR(H$211)*12+MONTH(H$211))&gt;='Aset Takberwujud'!$Y197,(YEAR(H$211)*12+MONTH(H$211))&lt;=MIN('Aset Takberwujud'!$Z197,IF('Aset Takberwujud'!$S197="Unit Produksi",99999,'Aset Takberwujud'!$Y197+'Aset Takberwujud'!$T197*12-1))),'Aset Takberwujud'!$AQ197/'Aset Takberwujud'!$AG197,0)))</f>
        <v/>
      </c>
      <c r="I402" s="22" t="str">
        <f>IF($B402="","",IF(N('Aset Takberwujud'!$AG197)=0,0,IF(AND((YEAR(I$211)*12+MONTH(I$211))&gt;='Aset Takberwujud'!$Y197,(YEAR(I$211)*12+MONTH(I$211))&lt;=MIN('Aset Takberwujud'!$Z197,IF('Aset Takberwujud'!$S197="Unit Produksi",99999,'Aset Takberwujud'!$Y197+'Aset Takberwujud'!$T197*12-1))),'Aset Takberwujud'!$AQ197/'Aset Takberwujud'!$AG197,0)))</f>
        <v/>
      </c>
      <c r="J402" s="22" t="str">
        <f>IF($B402="","",IF(N('Aset Takberwujud'!$AG197)=0,0,IF(AND((YEAR(J$211)*12+MONTH(J$211))&gt;='Aset Takberwujud'!$Y197,(YEAR(J$211)*12+MONTH(J$211))&lt;=MIN('Aset Takberwujud'!$Z197,IF('Aset Takberwujud'!$S197="Unit Produksi",99999,'Aset Takberwujud'!$Y197+'Aset Takberwujud'!$T197*12-1))),'Aset Takberwujud'!$AQ197/'Aset Takberwujud'!$AG197,0)))</f>
        <v/>
      </c>
      <c r="K402" s="22" t="str">
        <f>IF($B402="","",IF(N('Aset Takberwujud'!$AG197)=0,0,IF(AND((YEAR(K$211)*12+MONTH(K$211))&gt;='Aset Takberwujud'!$Y197,(YEAR(K$211)*12+MONTH(K$211))&lt;=MIN('Aset Takberwujud'!$Z197,IF('Aset Takberwujud'!$S197="Unit Produksi",99999,'Aset Takberwujud'!$Y197+'Aset Takberwujud'!$T197*12-1))),'Aset Takberwujud'!$AQ197/'Aset Takberwujud'!$AG197,0)))</f>
        <v/>
      </c>
      <c r="L402" s="22" t="str">
        <f>IF($B402="","",IF(N('Aset Takberwujud'!$AG197)=0,0,IF(AND((YEAR(L$211)*12+MONTH(L$211))&gt;='Aset Takberwujud'!$Y197,(YEAR(L$211)*12+MONTH(L$211))&lt;=MIN('Aset Takberwujud'!$Z197,IF('Aset Takberwujud'!$S197="Unit Produksi",99999,'Aset Takberwujud'!$Y197+'Aset Takberwujud'!$T197*12-1))),'Aset Takberwujud'!$AQ197/'Aset Takberwujud'!$AG197,0)))</f>
        <v/>
      </c>
      <c r="M402" s="22" t="str">
        <f>IF($B402="","",IF(N('Aset Takberwujud'!$AG197)=0,0,IF(AND((YEAR(M$211)*12+MONTH(M$211))&gt;='Aset Takberwujud'!$Y197,(YEAR(M$211)*12+MONTH(M$211))&lt;=MIN('Aset Takberwujud'!$Z197,IF('Aset Takberwujud'!$S197="Unit Produksi",99999,'Aset Takberwujud'!$Y197+'Aset Takberwujud'!$T197*12-1))),'Aset Takberwujud'!$AQ197/'Aset Takberwujud'!$AG197,0)))</f>
        <v/>
      </c>
      <c r="N402" s="22" t="str">
        <f>IF($B402="","",IF(N('Aset Takberwujud'!$AG197)=0,0,IF(AND((YEAR(N$211)*12+MONTH(N$211))&gt;='Aset Takberwujud'!$Y197,(YEAR(N$211)*12+MONTH(N$211))&lt;=MIN('Aset Takberwujud'!$Z197,IF('Aset Takberwujud'!$S197="Unit Produksi",99999,'Aset Takberwujud'!$Y197+'Aset Takberwujud'!$T197*12-1))),'Aset Takberwujud'!$AQ197/'Aset Takberwujud'!$AG197,0)))</f>
        <v/>
      </c>
      <c r="O402" s="22" t="str">
        <f>IF($B402="","",IF(N('Aset Takberwujud'!$AG197)=0,0,IF(AND((YEAR(O$211)*12+MONTH(O$211))&gt;='Aset Takberwujud'!$Y197,(YEAR(O$211)*12+MONTH(O$211))&lt;=MIN('Aset Takberwujud'!$Z197,IF('Aset Takberwujud'!$S197="Unit Produksi",99999,'Aset Takberwujud'!$Y197+'Aset Takberwujud'!$T197*12-1))),'Aset Takberwujud'!$AQ197/'Aset Takberwujud'!$AG197,0)))</f>
        <v/>
      </c>
      <c r="P402" s="22" t="str">
        <f>IF($B402="","",IF(N('Aset Takberwujud'!$AG197)=0,0,IF(AND((YEAR(P$211)*12+MONTH(P$211))&gt;='Aset Takberwujud'!$Y197,(YEAR(P$211)*12+MONTH(P$211))&lt;=MIN('Aset Takberwujud'!$Z197,IF('Aset Takberwujud'!$S197="Unit Produksi",99999,'Aset Takberwujud'!$Y197+'Aset Takberwujud'!$T197*12-1))),'Aset Takberwujud'!$AQ197/'Aset Takberwujud'!$AG197,0)))</f>
        <v/>
      </c>
      <c r="Q402" s="22" t="str">
        <f>IF($B402="","",SUM(E402:P402))</f>
        <v/>
      </c>
      <c r="R402" s="22" t="str">
        <f>IF($B402="","",'Aset Takberwujud'!AQ197)</f>
        <v/>
      </c>
      <c r="S402" s="22" t="str">
        <f>IF($B402="","",ROUND(Q402-R402,0))</f>
        <v/>
      </c>
    </row>
    <row r="403" spans="1:19" x14ac:dyDescent="0.25">
      <c r="A403" t="str">
        <f>IF('Aset Takberwujud'!$B198="","",'Aset Takberwujud'!A198)</f>
        <v/>
      </c>
      <c r="B403" t="str">
        <f>IF('Aset Takberwujud'!$B198="","",'Aset Takberwujud'!B198)</f>
        <v/>
      </c>
      <c r="C403" t="str">
        <f>IF('Aset Takberwujud'!$B198="","",'Aset Takberwujud'!C198)</f>
        <v/>
      </c>
      <c r="D403" t="str">
        <f>IF('Aset Takberwujud'!$B198="","",'Aset Takberwujud'!D198)</f>
        <v/>
      </c>
      <c r="E403" s="22" t="str">
        <f>IF($B403="","",IF(N('Aset Takberwujud'!$AG198)=0,0,IF(AND((YEAR(E$211)*12+MONTH(E$211))&gt;='Aset Takberwujud'!$Y198,(YEAR(E$211)*12+MONTH(E$211))&lt;=MIN('Aset Takberwujud'!$Z198,IF('Aset Takberwujud'!$S198="Unit Produksi",99999,'Aset Takberwujud'!$Y198+'Aset Takberwujud'!$T198*12-1))),'Aset Takberwujud'!$AQ198/'Aset Takberwujud'!$AG198,0)))</f>
        <v/>
      </c>
      <c r="F403" s="22" t="str">
        <f>IF($B403="","",IF(N('Aset Takberwujud'!$AG198)=0,0,IF(AND((YEAR(F$211)*12+MONTH(F$211))&gt;='Aset Takberwujud'!$Y198,(YEAR(F$211)*12+MONTH(F$211))&lt;=MIN('Aset Takberwujud'!$Z198,IF('Aset Takberwujud'!$S198="Unit Produksi",99999,'Aset Takberwujud'!$Y198+'Aset Takberwujud'!$T198*12-1))),'Aset Takberwujud'!$AQ198/'Aset Takberwujud'!$AG198,0)))</f>
        <v/>
      </c>
      <c r="G403" s="22" t="str">
        <f>IF($B403="","",IF(N('Aset Takberwujud'!$AG198)=0,0,IF(AND((YEAR(G$211)*12+MONTH(G$211))&gt;='Aset Takberwujud'!$Y198,(YEAR(G$211)*12+MONTH(G$211))&lt;=MIN('Aset Takberwujud'!$Z198,IF('Aset Takberwujud'!$S198="Unit Produksi",99999,'Aset Takberwujud'!$Y198+'Aset Takberwujud'!$T198*12-1))),'Aset Takberwujud'!$AQ198/'Aset Takberwujud'!$AG198,0)))</f>
        <v/>
      </c>
      <c r="H403" s="22" t="str">
        <f>IF($B403="","",IF(N('Aset Takberwujud'!$AG198)=0,0,IF(AND((YEAR(H$211)*12+MONTH(H$211))&gt;='Aset Takberwujud'!$Y198,(YEAR(H$211)*12+MONTH(H$211))&lt;=MIN('Aset Takberwujud'!$Z198,IF('Aset Takberwujud'!$S198="Unit Produksi",99999,'Aset Takberwujud'!$Y198+'Aset Takberwujud'!$T198*12-1))),'Aset Takberwujud'!$AQ198/'Aset Takberwujud'!$AG198,0)))</f>
        <v/>
      </c>
      <c r="I403" s="22" t="str">
        <f>IF($B403="","",IF(N('Aset Takberwujud'!$AG198)=0,0,IF(AND((YEAR(I$211)*12+MONTH(I$211))&gt;='Aset Takberwujud'!$Y198,(YEAR(I$211)*12+MONTH(I$211))&lt;=MIN('Aset Takberwujud'!$Z198,IF('Aset Takberwujud'!$S198="Unit Produksi",99999,'Aset Takberwujud'!$Y198+'Aset Takberwujud'!$T198*12-1))),'Aset Takberwujud'!$AQ198/'Aset Takberwujud'!$AG198,0)))</f>
        <v/>
      </c>
      <c r="J403" s="22" t="str">
        <f>IF($B403="","",IF(N('Aset Takberwujud'!$AG198)=0,0,IF(AND((YEAR(J$211)*12+MONTH(J$211))&gt;='Aset Takberwujud'!$Y198,(YEAR(J$211)*12+MONTH(J$211))&lt;=MIN('Aset Takberwujud'!$Z198,IF('Aset Takberwujud'!$S198="Unit Produksi",99999,'Aset Takberwujud'!$Y198+'Aset Takberwujud'!$T198*12-1))),'Aset Takberwujud'!$AQ198/'Aset Takberwujud'!$AG198,0)))</f>
        <v/>
      </c>
      <c r="K403" s="22" t="str">
        <f>IF($B403="","",IF(N('Aset Takberwujud'!$AG198)=0,0,IF(AND((YEAR(K$211)*12+MONTH(K$211))&gt;='Aset Takberwujud'!$Y198,(YEAR(K$211)*12+MONTH(K$211))&lt;=MIN('Aset Takberwujud'!$Z198,IF('Aset Takberwujud'!$S198="Unit Produksi",99999,'Aset Takberwujud'!$Y198+'Aset Takberwujud'!$T198*12-1))),'Aset Takberwujud'!$AQ198/'Aset Takberwujud'!$AG198,0)))</f>
        <v/>
      </c>
      <c r="L403" s="22" t="str">
        <f>IF($B403="","",IF(N('Aset Takberwujud'!$AG198)=0,0,IF(AND((YEAR(L$211)*12+MONTH(L$211))&gt;='Aset Takberwujud'!$Y198,(YEAR(L$211)*12+MONTH(L$211))&lt;=MIN('Aset Takberwujud'!$Z198,IF('Aset Takberwujud'!$S198="Unit Produksi",99999,'Aset Takberwujud'!$Y198+'Aset Takberwujud'!$T198*12-1))),'Aset Takberwujud'!$AQ198/'Aset Takberwujud'!$AG198,0)))</f>
        <v/>
      </c>
      <c r="M403" s="22" t="str">
        <f>IF($B403="","",IF(N('Aset Takberwujud'!$AG198)=0,0,IF(AND((YEAR(M$211)*12+MONTH(M$211))&gt;='Aset Takberwujud'!$Y198,(YEAR(M$211)*12+MONTH(M$211))&lt;=MIN('Aset Takberwujud'!$Z198,IF('Aset Takberwujud'!$S198="Unit Produksi",99999,'Aset Takberwujud'!$Y198+'Aset Takberwujud'!$T198*12-1))),'Aset Takberwujud'!$AQ198/'Aset Takberwujud'!$AG198,0)))</f>
        <v/>
      </c>
      <c r="N403" s="22" t="str">
        <f>IF($B403="","",IF(N('Aset Takberwujud'!$AG198)=0,0,IF(AND((YEAR(N$211)*12+MONTH(N$211))&gt;='Aset Takberwujud'!$Y198,(YEAR(N$211)*12+MONTH(N$211))&lt;=MIN('Aset Takberwujud'!$Z198,IF('Aset Takberwujud'!$S198="Unit Produksi",99999,'Aset Takberwujud'!$Y198+'Aset Takberwujud'!$T198*12-1))),'Aset Takberwujud'!$AQ198/'Aset Takberwujud'!$AG198,0)))</f>
        <v/>
      </c>
      <c r="O403" s="22" t="str">
        <f>IF($B403="","",IF(N('Aset Takberwujud'!$AG198)=0,0,IF(AND((YEAR(O$211)*12+MONTH(O$211))&gt;='Aset Takberwujud'!$Y198,(YEAR(O$211)*12+MONTH(O$211))&lt;=MIN('Aset Takberwujud'!$Z198,IF('Aset Takberwujud'!$S198="Unit Produksi",99999,'Aset Takberwujud'!$Y198+'Aset Takberwujud'!$T198*12-1))),'Aset Takberwujud'!$AQ198/'Aset Takberwujud'!$AG198,0)))</f>
        <v/>
      </c>
      <c r="P403" s="22" t="str">
        <f>IF($B403="","",IF(N('Aset Takberwujud'!$AG198)=0,0,IF(AND((YEAR(P$211)*12+MONTH(P$211))&gt;='Aset Takberwujud'!$Y198,(YEAR(P$211)*12+MONTH(P$211))&lt;=MIN('Aset Takberwujud'!$Z198,IF('Aset Takberwujud'!$S198="Unit Produksi",99999,'Aset Takberwujud'!$Y198+'Aset Takberwujud'!$T198*12-1))),'Aset Takberwujud'!$AQ198/'Aset Takberwujud'!$AG198,0)))</f>
        <v/>
      </c>
      <c r="Q403" s="22" t="str">
        <f>IF($B403="","",SUM(E403:P403))</f>
        <v/>
      </c>
      <c r="R403" s="22" t="str">
        <f>IF($B403="","",'Aset Takberwujud'!AQ198)</f>
        <v/>
      </c>
      <c r="S403" s="22" t="str">
        <f>IF($B403="","",ROUND(Q403-R403,0))</f>
        <v/>
      </c>
    </row>
    <row r="404" spans="1:19" x14ac:dyDescent="0.25">
      <c r="A404" t="str">
        <f>IF('Aset Takberwujud'!$B199="","",'Aset Takberwujud'!A199)</f>
        <v/>
      </c>
      <c r="B404" t="str">
        <f>IF('Aset Takberwujud'!$B199="","",'Aset Takberwujud'!B199)</f>
        <v/>
      </c>
      <c r="C404" t="str">
        <f>IF('Aset Takberwujud'!$B199="","",'Aset Takberwujud'!C199)</f>
        <v/>
      </c>
      <c r="D404" t="str">
        <f>IF('Aset Takberwujud'!$B199="","",'Aset Takberwujud'!D199)</f>
        <v/>
      </c>
      <c r="E404" s="22" t="str">
        <f>IF($B404="","",IF(N('Aset Takberwujud'!$AG199)=0,0,IF(AND((YEAR(E$211)*12+MONTH(E$211))&gt;='Aset Takberwujud'!$Y199,(YEAR(E$211)*12+MONTH(E$211))&lt;=MIN('Aset Takberwujud'!$Z199,IF('Aset Takberwujud'!$S199="Unit Produksi",99999,'Aset Takberwujud'!$Y199+'Aset Takberwujud'!$T199*12-1))),'Aset Takberwujud'!$AQ199/'Aset Takberwujud'!$AG199,0)))</f>
        <v/>
      </c>
      <c r="F404" s="22" t="str">
        <f>IF($B404="","",IF(N('Aset Takberwujud'!$AG199)=0,0,IF(AND((YEAR(F$211)*12+MONTH(F$211))&gt;='Aset Takberwujud'!$Y199,(YEAR(F$211)*12+MONTH(F$211))&lt;=MIN('Aset Takberwujud'!$Z199,IF('Aset Takberwujud'!$S199="Unit Produksi",99999,'Aset Takberwujud'!$Y199+'Aset Takberwujud'!$T199*12-1))),'Aset Takberwujud'!$AQ199/'Aset Takberwujud'!$AG199,0)))</f>
        <v/>
      </c>
      <c r="G404" s="22" t="str">
        <f>IF($B404="","",IF(N('Aset Takberwujud'!$AG199)=0,0,IF(AND((YEAR(G$211)*12+MONTH(G$211))&gt;='Aset Takberwujud'!$Y199,(YEAR(G$211)*12+MONTH(G$211))&lt;=MIN('Aset Takberwujud'!$Z199,IF('Aset Takberwujud'!$S199="Unit Produksi",99999,'Aset Takberwujud'!$Y199+'Aset Takberwujud'!$T199*12-1))),'Aset Takberwujud'!$AQ199/'Aset Takberwujud'!$AG199,0)))</f>
        <v/>
      </c>
      <c r="H404" s="22" t="str">
        <f>IF($B404="","",IF(N('Aset Takberwujud'!$AG199)=0,0,IF(AND((YEAR(H$211)*12+MONTH(H$211))&gt;='Aset Takberwujud'!$Y199,(YEAR(H$211)*12+MONTH(H$211))&lt;=MIN('Aset Takberwujud'!$Z199,IF('Aset Takberwujud'!$S199="Unit Produksi",99999,'Aset Takberwujud'!$Y199+'Aset Takberwujud'!$T199*12-1))),'Aset Takberwujud'!$AQ199/'Aset Takberwujud'!$AG199,0)))</f>
        <v/>
      </c>
      <c r="I404" s="22" t="str">
        <f>IF($B404="","",IF(N('Aset Takberwujud'!$AG199)=0,0,IF(AND((YEAR(I$211)*12+MONTH(I$211))&gt;='Aset Takberwujud'!$Y199,(YEAR(I$211)*12+MONTH(I$211))&lt;=MIN('Aset Takberwujud'!$Z199,IF('Aset Takberwujud'!$S199="Unit Produksi",99999,'Aset Takberwujud'!$Y199+'Aset Takberwujud'!$T199*12-1))),'Aset Takberwujud'!$AQ199/'Aset Takberwujud'!$AG199,0)))</f>
        <v/>
      </c>
      <c r="J404" s="22" t="str">
        <f>IF($B404="","",IF(N('Aset Takberwujud'!$AG199)=0,0,IF(AND((YEAR(J$211)*12+MONTH(J$211))&gt;='Aset Takberwujud'!$Y199,(YEAR(J$211)*12+MONTH(J$211))&lt;=MIN('Aset Takberwujud'!$Z199,IF('Aset Takberwujud'!$S199="Unit Produksi",99999,'Aset Takberwujud'!$Y199+'Aset Takberwujud'!$T199*12-1))),'Aset Takberwujud'!$AQ199/'Aset Takberwujud'!$AG199,0)))</f>
        <v/>
      </c>
      <c r="K404" s="22" t="str">
        <f>IF($B404="","",IF(N('Aset Takberwujud'!$AG199)=0,0,IF(AND((YEAR(K$211)*12+MONTH(K$211))&gt;='Aset Takberwujud'!$Y199,(YEAR(K$211)*12+MONTH(K$211))&lt;=MIN('Aset Takberwujud'!$Z199,IF('Aset Takberwujud'!$S199="Unit Produksi",99999,'Aset Takberwujud'!$Y199+'Aset Takberwujud'!$T199*12-1))),'Aset Takberwujud'!$AQ199/'Aset Takberwujud'!$AG199,0)))</f>
        <v/>
      </c>
      <c r="L404" s="22" t="str">
        <f>IF($B404="","",IF(N('Aset Takberwujud'!$AG199)=0,0,IF(AND((YEAR(L$211)*12+MONTH(L$211))&gt;='Aset Takberwujud'!$Y199,(YEAR(L$211)*12+MONTH(L$211))&lt;=MIN('Aset Takberwujud'!$Z199,IF('Aset Takberwujud'!$S199="Unit Produksi",99999,'Aset Takberwujud'!$Y199+'Aset Takberwujud'!$T199*12-1))),'Aset Takberwujud'!$AQ199/'Aset Takberwujud'!$AG199,0)))</f>
        <v/>
      </c>
      <c r="M404" s="22" t="str">
        <f>IF($B404="","",IF(N('Aset Takberwujud'!$AG199)=0,0,IF(AND((YEAR(M$211)*12+MONTH(M$211))&gt;='Aset Takberwujud'!$Y199,(YEAR(M$211)*12+MONTH(M$211))&lt;=MIN('Aset Takberwujud'!$Z199,IF('Aset Takberwujud'!$S199="Unit Produksi",99999,'Aset Takberwujud'!$Y199+'Aset Takberwujud'!$T199*12-1))),'Aset Takberwujud'!$AQ199/'Aset Takberwujud'!$AG199,0)))</f>
        <v/>
      </c>
      <c r="N404" s="22" t="str">
        <f>IF($B404="","",IF(N('Aset Takberwujud'!$AG199)=0,0,IF(AND((YEAR(N$211)*12+MONTH(N$211))&gt;='Aset Takberwujud'!$Y199,(YEAR(N$211)*12+MONTH(N$211))&lt;=MIN('Aset Takberwujud'!$Z199,IF('Aset Takberwujud'!$S199="Unit Produksi",99999,'Aset Takberwujud'!$Y199+'Aset Takberwujud'!$T199*12-1))),'Aset Takberwujud'!$AQ199/'Aset Takberwujud'!$AG199,0)))</f>
        <v/>
      </c>
      <c r="O404" s="22" t="str">
        <f>IF($B404="","",IF(N('Aset Takberwujud'!$AG199)=0,0,IF(AND((YEAR(O$211)*12+MONTH(O$211))&gt;='Aset Takberwujud'!$Y199,(YEAR(O$211)*12+MONTH(O$211))&lt;=MIN('Aset Takberwujud'!$Z199,IF('Aset Takberwujud'!$S199="Unit Produksi",99999,'Aset Takberwujud'!$Y199+'Aset Takberwujud'!$T199*12-1))),'Aset Takberwujud'!$AQ199/'Aset Takberwujud'!$AG199,0)))</f>
        <v/>
      </c>
      <c r="P404" s="22" t="str">
        <f>IF($B404="","",IF(N('Aset Takberwujud'!$AG199)=0,0,IF(AND((YEAR(P$211)*12+MONTH(P$211))&gt;='Aset Takberwujud'!$Y199,(YEAR(P$211)*12+MONTH(P$211))&lt;=MIN('Aset Takberwujud'!$Z199,IF('Aset Takberwujud'!$S199="Unit Produksi",99999,'Aset Takberwujud'!$Y199+'Aset Takberwujud'!$T199*12-1))),'Aset Takberwujud'!$AQ199/'Aset Takberwujud'!$AG199,0)))</f>
        <v/>
      </c>
      <c r="Q404" s="22" t="str">
        <f>IF($B404="","",SUM(E404:P404))</f>
        <v/>
      </c>
      <c r="R404" s="22" t="str">
        <f>IF($B404="","",'Aset Takberwujud'!AQ199)</f>
        <v/>
      </c>
      <c r="S404" s="22" t="str">
        <f>IF($B404="","",ROUND(Q404-R404,0))</f>
        <v/>
      </c>
    </row>
    <row r="405" spans="1:19" x14ac:dyDescent="0.25">
      <c r="A405" t="str">
        <f>IF('Aset Takberwujud'!$B200="","",'Aset Takberwujud'!A200)</f>
        <v/>
      </c>
      <c r="B405" t="str">
        <f>IF('Aset Takberwujud'!$B200="","",'Aset Takberwujud'!B200)</f>
        <v/>
      </c>
      <c r="C405" t="str">
        <f>IF('Aset Takberwujud'!$B200="","",'Aset Takberwujud'!C200)</f>
        <v/>
      </c>
      <c r="D405" t="str">
        <f>IF('Aset Takberwujud'!$B200="","",'Aset Takberwujud'!D200)</f>
        <v/>
      </c>
      <c r="E405" s="22" t="str">
        <f>IF($B405="","",IF(N('Aset Takberwujud'!$AG200)=0,0,IF(AND((YEAR(E$211)*12+MONTH(E$211))&gt;='Aset Takberwujud'!$Y200,(YEAR(E$211)*12+MONTH(E$211))&lt;=MIN('Aset Takberwujud'!$Z200,IF('Aset Takberwujud'!$S200="Unit Produksi",99999,'Aset Takberwujud'!$Y200+'Aset Takberwujud'!$T200*12-1))),'Aset Takberwujud'!$AQ200/'Aset Takberwujud'!$AG200,0)))</f>
        <v/>
      </c>
      <c r="F405" s="22" t="str">
        <f>IF($B405="","",IF(N('Aset Takberwujud'!$AG200)=0,0,IF(AND((YEAR(F$211)*12+MONTH(F$211))&gt;='Aset Takberwujud'!$Y200,(YEAR(F$211)*12+MONTH(F$211))&lt;=MIN('Aset Takberwujud'!$Z200,IF('Aset Takberwujud'!$S200="Unit Produksi",99999,'Aset Takberwujud'!$Y200+'Aset Takberwujud'!$T200*12-1))),'Aset Takberwujud'!$AQ200/'Aset Takberwujud'!$AG200,0)))</f>
        <v/>
      </c>
      <c r="G405" s="22" t="str">
        <f>IF($B405="","",IF(N('Aset Takberwujud'!$AG200)=0,0,IF(AND((YEAR(G$211)*12+MONTH(G$211))&gt;='Aset Takberwujud'!$Y200,(YEAR(G$211)*12+MONTH(G$211))&lt;=MIN('Aset Takberwujud'!$Z200,IF('Aset Takberwujud'!$S200="Unit Produksi",99999,'Aset Takberwujud'!$Y200+'Aset Takberwujud'!$T200*12-1))),'Aset Takberwujud'!$AQ200/'Aset Takberwujud'!$AG200,0)))</f>
        <v/>
      </c>
      <c r="H405" s="22" t="str">
        <f>IF($B405="","",IF(N('Aset Takberwujud'!$AG200)=0,0,IF(AND((YEAR(H$211)*12+MONTH(H$211))&gt;='Aset Takberwujud'!$Y200,(YEAR(H$211)*12+MONTH(H$211))&lt;=MIN('Aset Takberwujud'!$Z200,IF('Aset Takberwujud'!$S200="Unit Produksi",99999,'Aset Takberwujud'!$Y200+'Aset Takberwujud'!$T200*12-1))),'Aset Takberwujud'!$AQ200/'Aset Takberwujud'!$AG200,0)))</f>
        <v/>
      </c>
      <c r="I405" s="22" t="str">
        <f>IF($B405="","",IF(N('Aset Takberwujud'!$AG200)=0,0,IF(AND((YEAR(I$211)*12+MONTH(I$211))&gt;='Aset Takberwujud'!$Y200,(YEAR(I$211)*12+MONTH(I$211))&lt;=MIN('Aset Takberwujud'!$Z200,IF('Aset Takberwujud'!$S200="Unit Produksi",99999,'Aset Takberwujud'!$Y200+'Aset Takberwujud'!$T200*12-1))),'Aset Takberwujud'!$AQ200/'Aset Takberwujud'!$AG200,0)))</f>
        <v/>
      </c>
      <c r="J405" s="22" t="str">
        <f>IF($B405="","",IF(N('Aset Takberwujud'!$AG200)=0,0,IF(AND((YEAR(J$211)*12+MONTH(J$211))&gt;='Aset Takberwujud'!$Y200,(YEAR(J$211)*12+MONTH(J$211))&lt;=MIN('Aset Takberwujud'!$Z200,IF('Aset Takberwujud'!$S200="Unit Produksi",99999,'Aset Takberwujud'!$Y200+'Aset Takberwujud'!$T200*12-1))),'Aset Takberwujud'!$AQ200/'Aset Takberwujud'!$AG200,0)))</f>
        <v/>
      </c>
      <c r="K405" s="22" t="str">
        <f>IF($B405="","",IF(N('Aset Takberwujud'!$AG200)=0,0,IF(AND((YEAR(K$211)*12+MONTH(K$211))&gt;='Aset Takberwujud'!$Y200,(YEAR(K$211)*12+MONTH(K$211))&lt;=MIN('Aset Takberwujud'!$Z200,IF('Aset Takberwujud'!$S200="Unit Produksi",99999,'Aset Takberwujud'!$Y200+'Aset Takberwujud'!$T200*12-1))),'Aset Takberwujud'!$AQ200/'Aset Takberwujud'!$AG200,0)))</f>
        <v/>
      </c>
      <c r="L405" s="22" t="str">
        <f>IF($B405="","",IF(N('Aset Takberwujud'!$AG200)=0,0,IF(AND((YEAR(L$211)*12+MONTH(L$211))&gt;='Aset Takberwujud'!$Y200,(YEAR(L$211)*12+MONTH(L$211))&lt;=MIN('Aset Takberwujud'!$Z200,IF('Aset Takberwujud'!$S200="Unit Produksi",99999,'Aset Takberwujud'!$Y200+'Aset Takberwujud'!$T200*12-1))),'Aset Takberwujud'!$AQ200/'Aset Takberwujud'!$AG200,0)))</f>
        <v/>
      </c>
      <c r="M405" s="22" t="str">
        <f>IF($B405="","",IF(N('Aset Takberwujud'!$AG200)=0,0,IF(AND((YEAR(M$211)*12+MONTH(M$211))&gt;='Aset Takberwujud'!$Y200,(YEAR(M$211)*12+MONTH(M$211))&lt;=MIN('Aset Takberwujud'!$Z200,IF('Aset Takberwujud'!$S200="Unit Produksi",99999,'Aset Takberwujud'!$Y200+'Aset Takberwujud'!$T200*12-1))),'Aset Takberwujud'!$AQ200/'Aset Takberwujud'!$AG200,0)))</f>
        <v/>
      </c>
      <c r="N405" s="22" t="str">
        <f>IF($B405="","",IF(N('Aset Takberwujud'!$AG200)=0,0,IF(AND((YEAR(N$211)*12+MONTH(N$211))&gt;='Aset Takberwujud'!$Y200,(YEAR(N$211)*12+MONTH(N$211))&lt;=MIN('Aset Takberwujud'!$Z200,IF('Aset Takberwujud'!$S200="Unit Produksi",99999,'Aset Takberwujud'!$Y200+'Aset Takberwujud'!$T200*12-1))),'Aset Takberwujud'!$AQ200/'Aset Takberwujud'!$AG200,0)))</f>
        <v/>
      </c>
      <c r="O405" s="22" t="str">
        <f>IF($B405="","",IF(N('Aset Takberwujud'!$AG200)=0,0,IF(AND((YEAR(O$211)*12+MONTH(O$211))&gt;='Aset Takberwujud'!$Y200,(YEAR(O$211)*12+MONTH(O$211))&lt;=MIN('Aset Takberwujud'!$Z200,IF('Aset Takberwujud'!$S200="Unit Produksi",99999,'Aset Takberwujud'!$Y200+'Aset Takberwujud'!$T200*12-1))),'Aset Takberwujud'!$AQ200/'Aset Takberwujud'!$AG200,0)))</f>
        <v/>
      </c>
      <c r="P405" s="22" t="str">
        <f>IF($B405="","",IF(N('Aset Takberwujud'!$AG200)=0,0,IF(AND((YEAR(P$211)*12+MONTH(P$211))&gt;='Aset Takberwujud'!$Y200,(YEAR(P$211)*12+MONTH(P$211))&lt;=MIN('Aset Takberwujud'!$Z200,IF('Aset Takberwujud'!$S200="Unit Produksi",99999,'Aset Takberwujud'!$Y200+'Aset Takberwujud'!$T200*12-1))),'Aset Takberwujud'!$AQ200/'Aset Takberwujud'!$AG200,0)))</f>
        <v/>
      </c>
      <c r="Q405" s="22" t="str">
        <f>IF($B405="","",SUM(E405:P405))</f>
        <v/>
      </c>
      <c r="R405" s="22" t="str">
        <f>IF($B405="","",'Aset Takberwujud'!AQ200)</f>
        <v/>
      </c>
      <c r="S405" s="22" t="str">
        <f>IF($B405="","",ROUND(Q405-R405,0))</f>
        <v/>
      </c>
    </row>
    <row r="406" spans="1:19" x14ac:dyDescent="0.25">
      <c r="A406" t="str">
        <f>IF('Aset Takberwujud'!$B201="","",'Aset Takberwujud'!A201)</f>
        <v/>
      </c>
      <c r="B406" t="str">
        <f>IF('Aset Takberwujud'!$B201="","",'Aset Takberwujud'!B201)</f>
        <v/>
      </c>
      <c r="C406" t="str">
        <f>IF('Aset Takberwujud'!$B201="","",'Aset Takberwujud'!C201)</f>
        <v/>
      </c>
      <c r="D406" t="str">
        <f>IF('Aset Takberwujud'!$B201="","",'Aset Takberwujud'!D201)</f>
        <v/>
      </c>
      <c r="E406" s="22" t="str">
        <f>IF($B406="","",IF(N('Aset Takberwujud'!$AG201)=0,0,IF(AND((YEAR(E$211)*12+MONTH(E$211))&gt;='Aset Takberwujud'!$Y201,(YEAR(E$211)*12+MONTH(E$211))&lt;=MIN('Aset Takberwujud'!$Z201,IF('Aset Takberwujud'!$S201="Unit Produksi",99999,'Aset Takberwujud'!$Y201+'Aset Takberwujud'!$T201*12-1))),'Aset Takberwujud'!$AQ201/'Aset Takberwujud'!$AG201,0)))</f>
        <v/>
      </c>
      <c r="F406" s="22" t="str">
        <f>IF($B406="","",IF(N('Aset Takberwujud'!$AG201)=0,0,IF(AND((YEAR(F$211)*12+MONTH(F$211))&gt;='Aset Takberwujud'!$Y201,(YEAR(F$211)*12+MONTH(F$211))&lt;=MIN('Aset Takberwujud'!$Z201,IF('Aset Takberwujud'!$S201="Unit Produksi",99999,'Aset Takberwujud'!$Y201+'Aset Takberwujud'!$T201*12-1))),'Aset Takberwujud'!$AQ201/'Aset Takberwujud'!$AG201,0)))</f>
        <v/>
      </c>
      <c r="G406" s="22" t="str">
        <f>IF($B406="","",IF(N('Aset Takberwujud'!$AG201)=0,0,IF(AND((YEAR(G$211)*12+MONTH(G$211))&gt;='Aset Takberwujud'!$Y201,(YEAR(G$211)*12+MONTH(G$211))&lt;=MIN('Aset Takberwujud'!$Z201,IF('Aset Takberwujud'!$S201="Unit Produksi",99999,'Aset Takberwujud'!$Y201+'Aset Takberwujud'!$T201*12-1))),'Aset Takberwujud'!$AQ201/'Aset Takberwujud'!$AG201,0)))</f>
        <v/>
      </c>
      <c r="H406" s="22" t="str">
        <f>IF($B406="","",IF(N('Aset Takberwujud'!$AG201)=0,0,IF(AND((YEAR(H$211)*12+MONTH(H$211))&gt;='Aset Takberwujud'!$Y201,(YEAR(H$211)*12+MONTH(H$211))&lt;=MIN('Aset Takberwujud'!$Z201,IF('Aset Takberwujud'!$S201="Unit Produksi",99999,'Aset Takberwujud'!$Y201+'Aset Takberwujud'!$T201*12-1))),'Aset Takberwujud'!$AQ201/'Aset Takberwujud'!$AG201,0)))</f>
        <v/>
      </c>
      <c r="I406" s="22" t="str">
        <f>IF($B406="","",IF(N('Aset Takberwujud'!$AG201)=0,0,IF(AND((YEAR(I$211)*12+MONTH(I$211))&gt;='Aset Takberwujud'!$Y201,(YEAR(I$211)*12+MONTH(I$211))&lt;=MIN('Aset Takberwujud'!$Z201,IF('Aset Takberwujud'!$S201="Unit Produksi",99999,'Aset Takberwujud'!$Y201+'Aset Takberwujud'!$T201*12-1))),'Aset Takberwujud'!$AQ201/'Aset Takberwujud'!$AG201,0)))</f>
        <v/>
      </c>
      <c r="J406" s="22" t="str">
        <f>IF($B406="","",IF(N('Aset Takberwujud'!$AG201)=0,0,IF(AND((YEAR(J$211)*12+MONTH(J$211))&gt;='Aset Takberwujud'!$Y201,(YEAR(J$211)*12+MONTH(J$211))&lt;=MIN('Aset Takberwujud'!$Z201,IF('Aset Takberwujud'!$S201="Unit Produksi",99999,'Aset Takberwujud'!$Y201+'Aset Takberwujud'!$T201*12-1))),'Aset Takberwujud'!$AQ201/'Aset Takberwujud'!$AG201,0)))</f>
        <v/>
      </c>
      <c r="K406" s="22" t="str">
        <f>IF($B406="","",IF(N('Aset Takberwujud'!$AG201)=0,0,IF(AND((YEAR(K$211)*12+MONTH(K$211))&gt;='Aset Takberwujud'!$Y201,(YEAR(K$211)*12+MONTH(K$211))&lt;=MIN('Aset Takberwujud'!$Z201,IF('Aset Takberwujud'!$S201="Unit Produksi",99999,'Aset Takberwujud'!$Y201+'Aset Takberwujud'!$T201*12-1))),'Aset Takberwujud'!$AQ201/'Aset Takberwujud'!$AG201,0)))</f>
        <v/>
      </c>
      <c r="L406" s="22" t="str">
        <f>IF($B406="","",IF(N('Aset Takberwujud'!$AG201)=0,0,IF(AND((YEAR(L$211)*12+MONTH(L$211))&gt;='Aset Takberwujud'!$Y201,(YEAR(L$211)*12+MONTH(L$211))&lt;=MIN('Aset Takberwujud'!$Z201,IF('Aset Takberwujud'!$S201="Unit Produksi",99999,'Aset Takberwujud'!$Y201+'Aset Takberwujud'!$T201*12-1))),'Aset Takberwujud'!$AQ201/'Aset Takberwujud'!$AG201,0)))</f>
        <v/>
      </c>
      <c r="M406" s="22" t="str">
        <f>IF($B406="","",IF(N('Aset Takberwujud'!$AG201)=0,0,IF(AND((YEAR(M$211)*12+MONTH(M$211))&gt;='Aset Takberwujud'!$Y201,(YEAR(M$211)*12+MONTH(M$211))&lt;=MIN('Aset Takberwujud'!$Z201,IF('Aset Takberwujud'!$S201="Unit Produksi",99999,'Aset Takberwujud'!$Y201+'Aset Takberwujud'!$T201*12-1))),'Aset Takberwujud'!$AQ201/'Aset Takberwujud'!$AG201,0)))</f>
        <v/>
      </c>
      <c r="N406" s="22" t="str">
        <f>IF($B406="","",IF(N('Aset Takberwujud'!$AG201)=0,0,IF(AND((YEAR(N$211)*12+MONTH(N$211))&gt;='Aset Takberwujud'!$Y201,(YEAR(N$211)*12+MONTH(N$211))&lt;=MIN('Aset Takberwujud'!$Z201,IF('Aset Takberwujud'!$S201="Unit Produksi",99999,'Aset Takberwujud'!$Y201+'Aset Takberwujud'!$T201*12-1))),'Aset Takberwujud'!$AQ201/'Aset Takberwujud'!$AG201,0)))</f>
        <v/>
      </c>
      <c r="O406" s="22" t="str">
        <f>IF($B406="","",IF(N('Aset Takberwujud'!$AG201)=0,0,IF(AND((YEAR(O$211)*12+MONTH(O$211))&gt;='Aset Takberwujud'!$Y201,(YEAR(O$211)*12+MONTH(O$211))&lt;=MIN('Aset Takberwujud'!$Z201,IF('Aset Takberwujud'!$S201="Unit Produksi",99999,'Aset Takberwujud'!$Y201+'Aset Takberwujud'!$T201*12-1))),'Aset Takberwujud'!$AQ201/'Aset Takberwujud'!$AG201,0)))</f>
        <v/>
      </c>
      <c r="P406" s="22" t="str">
        <f>IF($B406="","",IF(N('Aset Takberwujud'!$AG201)=0,0,IF(AND((YEAR(P$211)*12+MONTH(P$211))&gt;='Aset Takberwujud'!$Y201,(YEAR(P$211)*12+MONTH(P$211))&lt;=MIN('Aset Takberwujud'!$Z201,IF('Aset Takberwujud'!$S201="Unit Produksi",99999,'Aset Takberwujud'!$Y201+'Aset Takberwujud'!$T201*12-1))),'Aset Takberwujud'!$AQ201/'Aset Takberwujud'!$AG201,0)))</f>
        <v/>
      </c>
      <c r="Q406" s="22" t="str">
        <f>IF($B406="","",SUM(E406:P406))</f>
        <v/>
      </c>
      <c r="R406" s="22" t="str">
        <f>IF($B406="","",'Aset Takberwujud'!AQ201)</f>
        <v/>
      </c>
      <c r="S406" s="22" t="str">
        <f>IF($B406="","",ROUND(Q406-R406,0))</f>
        <v/>
      </c>
    </row>
    <row r="407" spans="1:19" x14ac:dyDescent="0.25">
      <c r="A407" t="str">
        <f>IF('Aset Takberwujud'!$B202="","",'Aset Takberwujud'!A202)</f>
        <v/>
      </c>
      <c r="B407" t="str">
        <f>IF('Aset Takberwujud'!$B202="","",'Aset Takberwujud'!B202)</f>
        <v/>
      </c>
      <c r="C407" t="str">
        <f>IF('Aset Takberwujud'!$B202="","",'Aset Takberwujud'!C202)</f>
        <v/>
      </c>
      <c r="D407" t="str">
        <f>IF('Aset Takberwujud'!$B202="","",'Aset Takberwujud'!D202)</f>
        <v/>
      </c>
      <c r="E407" s="22" t="str">
        <f>IF($B407="","",IF(N('Aset Takberwujud'!$AG202)=0,0,IF(AND((YEAR(E$211)*12+MONTH(E$211))&gt;='Aset Takberwujud'!$Y202,(YEAR(E$211)*12+MONTH(E$211))&lt;=MIN('Aset Takberwujud'!$Z202,IF('Aset Takberwujud'!$S202="Unit Produksi",99999,'Aset Takberwujud'!$Y202+'Aset Takberwujud'!$T202*12-1))),'Aset Takberwujud'!$AQ202/'Aset Takberwujud'!$AG202,0)))</f>
        <v/>
      </c>
      <c r="F407" s="22" t="str">
        <f>IF($B407="","",IF(N('Aset Takberwujud'!$AG202)=0,0,IF(AND((YEAR(F$211)*12+MONTH(F$211))&gt;='Aset Takberwujud'!$Y202,(YEAR(F$211)*12+MONTH(F$211))&lt;=MIN('Aset Takberwujud'!$Z202,IF('Aset Takberwujud'!$S202="Unit Produksi",99999,'Aset Takberwujud'!$Y202+'Aset Takberwujud'!$T202*12-1))),'Aset Takberwujud'!$AQ202/'Aset Takberwujud'!$AG202,0)))</f>
        <v/>
      </c>
      <c r="G407" s="22" t="str">
        <f>IF($B407="","",IF(N('Aset Takberwujud'!$AG202)=0,0,IF(AND((YEAR(G$211)*12+MONTH(G$211))&gt;='Aset Takberwujud'!$Y202,(YEAR(G$211)*12+MONTH(G$211))&lt;=MIN('Aset Takberwujud'!$Z202,IF('Aset Takberwujud'!$S202="Unit Produksi",99999,'Aset Takberwujud'!$Y202+'Aset Takberwujud'!$T202*12-1))),'Aset Takberwujud'!$AQ202/'Aset Takberwujud'!$AG202,0)))</f>
        <v/>
      </c>
      <c r="H407" s="22" t="str">
        <f>IF($B407="","",IF(N('Aset Takberwujud'!$AG202)=0,0,IF(AND((YEAR(H$211)*12+MONTH(H$211))&gt;='Aset Takberwujud'!$Y202,(YEAR(H$211)*12+MONTH(H$211))&lt;=MIN('Aset Takberwujud'!$Z202,IF('Aset Takberwujud'!$S202="Unit Produksi",99999,'Aset Takberwujud'!$Y202+'Aset Takberwujud'!$T202*12-1))),'Aset Takberwujud'!$AQ202/'Aset Takberwujud'!$AG202,0)))</f>
        <v/>
      </c>
      <c r="I407" s="22" t="str">
        <f>IF($B407="","",IF(N('Aset Takberwujud'!$AG202)=0,0,IF(AND((YEAR(I$211)*12+MONTH(I$211))&gt;='Aset Takberwujud'!$Y202,(YEAR(I$211)*12+MONTH(I$211))&lt;=MIN('Aset Takberwujud'!$Z202,IF('Aset Takberwujud'!$S202="Unit Produksi",99999,'Aset Takberwujud'!$Y202+'Aset Takberwujud'!$T202*12-1))),'Aset Takberwujud'!$AQ202/'Aset Takberwujud'!$AG202,0)))</f>
        <v/>
      </c>
      <c r="J407" s="22" t="str">
        <f>IF($B407="","",IF(N('Aset Takberwujud'!$AG202)=0,0,IF(AND((YEAR(J$211)*12+MONTH(J$211))&gt;='Aset Takberwujud'!$Y202,(YEAR(J$211)*12+MONTH(J$211))&lt;=MIN('Aset Takberwujud'!$Z202,IF('Aset Takberwujud'!$S202="Unit Produksi",99999,'Aset Takberwujud'!$Y202+'Aset Takberwujud'!$T202*12-1))),'Aset Takberwujud'!$AQ202/'Aset Takberwujud'!$AG202,0)))</f>
        <v/>
      </c>
      <c r="K407" s="22" t="str">
        <f>IF($B407="","",IF(N('Aset Takberwujud'!$AG202)=0,0,IF(AND((YEAR(K$211)*12+MONTH(K$211))&gt;='Aset Takberwujud'!$Y202,(YEAR(K$211)*12+MONTH(K$211))&lt;=MIN('Aset Takberwujud'!$Z202,IF('Aset Takberwujud'!$S202="Unit Produksi",99999,'Aset Takberwujud'!$Y202+'Aset Takberwujud'!$T202*12-1))),'Aset Takberwujud'!$AQ202/'Aset Takberwujud'!$AG202,0)))</f>
        <v/>
      </c>
      <c r="L407" s="22" t="str">
        <f>IF($B407="","",IF(N('Aset Takberwujud'!$AG202)=0,0,IF(AND((YEAR(L$211)*12+MONTH(L$211))&gt;='Aset Takberwujud'!$Y202,(YEAR(L$211)*12+MONTH(L$211))&lt;=MIN('Aset Takberwujud'!$Z202,IF('Aset Takberwujud'!$S202="Unit Produksi",99999,'Aset Takberwujud'!$Y202+'Aset Takberwujud'!$T202*12-1))),'Aset Takberwujud'!$AQ202/'Aset Takberwujud'!$AG202,0)))</f>
        <v/>
      </c>
      <c r="M407" s="22" t="str">
        <f>IF($B407="","",IF(N('Aset Takberwujud'!$AG202)=0,0,IF(AND((YEAR(M$211)*12+MONTH(M$211))&gt;='Aset Takberwujud'!$Y202,(YEAR(M$211)*12+MONTH(M$211))&lt;=MIN('Aset Takberwujud'!$Z202,IF('Aset Takberwujud'!$S202="Unit Produksi",99999,'Aset Takberwujud'!$Y202+'Aset Takberwujud'!$T202*12-1))),'Aset Takberwujud'!$AQ202/'Aset Takberwujud'!$AG202,0)))</f>
        <v/>
      </c>
      <c r="N407" s="22" t="str">
        <f>IF($B407="","",IF(N('Aset Takberwujud'!$AG202)=0,0,IF(AND((YEAR(N$211)*12+MONTH(N$211))&gt;='Aset Takberwujud'!$Y202,(YEAR(N$211)*12+MONTH(N$211))&lt;=MIN('Aset Takberwujud'!$Z202,IF('Aset Takberwujud'!$S202="Unit Produksi",99999,'Aset Takberwujud'!$Y202+'Aset Takberwujud'!$T202*12-1))),'Aset Takberwujud'!$AQ202/'Aset Takberwujud'!$AG202,0)))</f>
        <v/>
      </c>
      <c r="O407" s="22" t="str">
        <f>IF($B407="","",IF(N('Aset Takberwujud'!$AG202)=0,0,IF(AND((YEAR(O$211)*12+MONTH(O$211))&gt;='Aset Takberwujud'!$Y202,(YEAR(O$211)*12+MONTH(O$211))&lt;=MIN('Aset Takberwujud'!$Z202,IF('Aset Takberwujud'!$S202="Unit Produksi",99999,'Aset Takberwujud'!$Y202+'Aset Takberwujud'!$T202*12-1))),'Aset Takberwujud'!$AQ202/'Aset Takberwujud'!$AG202,0)))</f>
        <v/>
      </c>
      <c r="P407" s="22" t="str">
        <f>IF($B407="","",IF(N('Aset Takberwujud'!$AG202)=0,0,IF(AND((YEAR(P$211)*12+MONTH(P$211))&gt;='Aset Takberwujud'!$Y202,(YEAR(P$211)*12+MONTH(P$211))&lt;=MIN('Aset Takberwujud'!$Z202,IF('Aset Takberwujud'!$S202="Unit Produksi",99999,'Aset Takberwujud'!$Y202+'Aset Takberwujud'!$T202*12-1))),'Aset Takberwujud'!$AQ202/'Aset Takberwujud'!$AG202,0)))</f>
        <v/>
      </c>
      <c r="Q407" s="22" t="str">
        <f>IF($B407="","",SUM(E407:P407))</f>
        <v/>
      </c>
      <c r="R407" s="22" t="str">
        <f>IF($B407="","",'Aset Takberwujud'!AQ202)</f>
        <v/>
      </c>
      <c r="S407" s="22" t="str">
        <f>IF($B407="","",ROUND(Q407-R407,0))</f>
        <v/>
      </c>
    </row>
    <row r="408" spans="1:19" x14ac:dyDescent="0.25">
      <c r="A408" t="str">
        <f>IF('Aset Takberwujud'!$B203="","",'Aset Takberwujud'!A203)</f>
        <v/>
      </c>
      <c r="B408" t="str">
        <f>IF('Aset Takberwujud'!$B203="","",'Aset Takberwujud'!B203)</f>
        <v/>
      </c>
      <c r="C408" t="str">
        <f>IF('Aset Takberwujud'!$B203="","",'Aset Takberwujud'!C203)</f>
        <v/>
      </c>
      <c r="D408" t="str">
        <f>IF('Aset Takberwujud'!$B203="","",'Aset Takberwujud'!D203)</f>
        <v/>
      </c>
      <c r="E408" s="22" t="str">
        <f>IF($B408="","",IF(N('Aset Takberwujud'!$AG203)=0,0,IF(AND((YEAR(E$211)*12+MONTH(E$211))&gt;='Aset Takberwujud'!$Y203,(YEAR(E$211)*12+MONTH(E$211))&lt;=MIN('Aset Takberwujud'!$Z203,IF('Aset Takberwujud'!$S203="Unit Produksi",99999,'Aset Takberwujud'!$Y203+'Aset Takberwujud'!$T203*12-1))),'Aset Takberwujud'!$AQ203/'Aset Takberwujud'!$AG203,0)))</f>
        <v/>
      </c>
      <c r="F408" s="22" t="str">
        <f>IF($B408="","",IF(N('Aset Takberwujud'!$AG203)=0,0,IF(AND((YEAR(F$211)*12+MONTH(F$211))&gt;='Aset Takberwujud'!$Y203,(YEAR(F$211)*12+MONTH(F$211))&lt;=MIN('Aset Takberwujud'!$Z203,IF('Aset Takberwujud'!$S203="Unit Produksi",99999,'Aset Takberwujud'!$Y203+'Aset Takberwujud'!$T203*12-1))),'Aset Takberwujud'!$AQ203/'Aset Takberwujud'!$AG203,0)))</f>
        <v/>
      </c>
      <c r="G408" s="22" t="str">
        <f>IF($B408="","",IF(N('Aset Takberwujud'!$AG203)=0,0,IF(AND((YEAR(G$211)*12+MONTH(G$211))&gt;='Aset Takberwujud'!$Y203,(YEAR(G$211)*12+MONTH(G$211))&lt;=MIN('Aset Takberwujud'!$Z203,IF('Aset Takberwujud'!$S203="Unit Produksi",99999,'Aset Takberwujud'!$Y203+'Aset Takberwujud'!$T203*12-1))),'Aset Takberwujud'!$AQ203/'Aset Takberwujud'!$AG203,0)))</f>
        <v/>
      </c>
      <c r="H408" s="22" t="str">
        <f>IF($B408="","",IF(N('Aset Takberwujud'!$AG203)=0,0,IF(AND((YEAR(H$211)*12+MONTH(H$211))&gt;='Aset Takberwujud'!$Y203,(YEAR(H$211)*12+MONTH(H$211))&lt;=MIN('Aset Takberwujud'!$Z203,IF('Aset Takberwujud'!$S203="Unit Produksi",99999,'Aset Takberwujud'!$Y203+'Aset Takberwujud'!$T203*12-1))),'Aset Takberwujud'!$AQ203/'Aset Takberwujud'!$AG203,0)))</f>
        <v/>
      </c>
      <c r="I408" s="22" t="str">
        <f>IF($B408="","",IF(N('Aset Takberwujud'!$AG203)=0,0,IF(AND((YEAR(I$211)*12+MONTH(I$211))&gt;='Aset Takberwujud'!$Y203,(YEAR(I$211)*12+MONTH(I$211))&lt;=MIN('Aset Takberwujud'!$Z203,IF('Aset Takberwujud'!$S203="Unit Produksi",99999,'Aset Takberwujud'!$Y203+'Aset Takberwujud'!$T203*12-1))),'Aset Takberwujud'!$AQ203/'Aset Takberwujud'!$AG203,0)))</f>
        <v/>
      </c>
      <c r="J408" s="22" t="str">
        <f>IF($B408="","",IF(N('Aset Takberwujud'!$AG203)=0,0,IF(AND((YEAR(J$211)*12+MONTH(J$211))&gt;='Aset Takberwujud'!$Y203,(YEAR(J$211)*12+MONTH(J$211))&lt;=MIN('Aset Takberwujud'!$Z203,IF('Aset Takberwujud'!$S203="Unit Produksi",99999,'Aset Takberwujud'!$Y203+'Aset Takberwujud'!$T203*12-1))),'Aset Takberwujud'!$AQ203/'Aset Takberwujud'!$AG203,0)))</f>
        <v/>
      </c>
      <c r="K408" s="22" t="str">
        <f>IF($B408="","",IF(N('Aset Takberwujud'!$AG203)=0,0,IF(AND((YEAR(K$211)*12+MONTH(K$211))&gt;='Aset Takberwujud'!$Y203,(YEAR(K$211)*12+MONTH(K$211))&lt;=MIN('Aset Takberwujud'!$Z203,IF('Aset Takberwujud'!$S203="Unit Produksi",99999,'Aset Takberwujud'!$Y203+'Aset Takberwujud'!$T203*12-1))),'Aset Takberwujud'!$AQ203/'Aset Takberwujud'!$AG203,0)))</f>
        <v/>
      </c>
      <c r="L408" s="22" t="str">
        <f>IF($B408="","",IF(N('Aset Takberwujud'!$AG203)=0,0,IF(AND((YEAR(L$211)*12+MONTH(L$211))&gt;='Aset Takberwujud'!$Y203,(YEAR(L$211)*12+MONTH(L$211))&lt;=MIN('Aset Takberwujud'!$Z203,IF('Aset Takberwujud'!$S203="Unit Produksi",99999,'Aset Takberwujud'!$Y203+'Aset Takberwujud'!$T203*12-1))),'Aset Takberwujud'!$AQ203/'Aset Takberwujud'!$AG203,0)))</f>
        <v/>
      </c>
      <c r="M408" s="22" t="str">
        <f>IF($B408="","",IF(N('Aset Takberwujud'!$AG203)=0,0,IF(AND((YEAR(M$211)*12+MONTH(M$211))&gt;='Aset Takberwujud'!$Y203,(YEAR(M$211)*12+MONTH(M$211))&lt;=MIN('Aset Takberwujud'!$Z203,IF('Aset Takberwujud'!$S203="Unit Produksi",99999,'Aset Takberwujud'!$Y203+'Aset Takberwujud'!$T203*12-1))),'Aset Takberwujud'!$AQ203/'Aset Takberwujud'!$AG203,0)))</f>
        <v/>
      </c>
      <c r="N408" s="22" t="str">
        <f>IF($B408="","",IF(N('Aset Takberwujud'!$AG203)=0,0,IF(AND((YEAR(N$211)*12+MONTH(N$211))&gt;='Aset Takberwujud'!$Y203,(YEAR(N$211)*12+MONTH(N$211))&lt;=MIN('Aset Takberwujud'!$Z203,IF('Aset Takberwujud'!$S203="Unit Produksi",99999,'Aset Takberwujud'!$Y203+'Aset Takberwujud'!$T203*12-1))),'Aset Takberwujud'!$AQ203/'Aset Takberwujud'!$AG203,0)))</f>
        <v/>
      </c>
      <c r="O408" s="22" t="str">
        <f>IF($B408="","",IF(N('Aset Takberwujud'!$AG203)=0,0,IF(AND((YEAR(O$211)*12+MONTH(O$211))&gt;='Aset Takberwujud'!$Y203,(YEAR(O$211)*12+MONTH(O$211))&lt;=MIN('Aset Takberwujud'!$Z203,IF('Aset Takberwujud'!$S203="Unit Produksi",99999,'Aset Takberwujud'!$Y203+'Aset Takberwujud'!$T203*12-1))),'Aset Takberwujud'!$AQ203/'Aset Takberwujud'!$AG203,0)))</f>
        <v/>
      </c>
      <c r="P408" s="22" t="str">
        <f>IF($B408="","",IF(N('Aset Takberwujud'!$AG203)=0,0,IF(AND((YEAR(P$211)*12+MONTH(P$211))&gt;='Aset Takberwujud'!$Y203,(YEAR(P$211)*12+MONTH(P$211))&lt;=MIN('Aset Takberwujud'!$Z203,IF('Aset Takberwujud'!$S203="Unit Produksi",99999,'Aset Takberwujud'!$Y203+'Aset Takberwujud'!$T203*12-1))),'Aset Takberwujud'!$AQ203/'Aset Takberwujud'!$AG203,0)))</f>
        <v/>
      </c>
      <c r="Q408" s="22" t="str">
        <f>IF($B408="","",SUM(E408:P408))</f>
        <v/>
      </c>
      <c r="R408" s="22" t="str">
        <f>IF($B408="","",'Aset Takberwujud'!AQ203)</f>
        <v/>
      </c>
      <c r="S408" s="22" t="str">
        <f>IF($B408="","",ROUND(Q408-R408,0))</f>
        <v/>
      </c>
    </row>
    <row r="409" spans="1:19" x14ac:dyDescent="0.25">
      <c r="A409" t="str">
        <f>IF('Aset Takberwujud'!$B204="","",'Aset Takberwujud'!A204)</f>
        <v/>
      </c>
      <c r="B409" t="str">
        <f>IF('Aset Takberwujud'!$B204="","",'Aset Takberwujud'!B204)</f>
        <v/>
      </c>
      <c r="C409" t="str">
        <f>IF('Aset Takberwujud'!$B204="","",'Aset Takberwujud'!C204)</f>
        <v/>
      </c>
      <c r="D409" t="str">
        <f>IF('Aset Takberwujud'!$B204="","",'Aset Takberwujud'!D204)</f>
        <v/>
      </c>
      <c r="E409" s="22" t="str">
        <f>IF($B409="","",IF(N('Aset Takberwujud'!$AG204)=0,0,IF(AND((YEAR(E$211)*12+MONTH(E$211))&gt;='Aset Takberwujud'!$Y204,(YEAR(E$211)*12+MONTH(E$211))&lt;=MIN('Aset Takberwujud'!$Z204,IF('Aset Takberwujud'!$S204="Unit Produksi",99999,'Aset Takberwujud'!$Y204+'Aset Takberwujud'!$T204*12-1))),'Aset Takberwujud'!$AQ204/'Aset Takberwujud'!$AG204,0)))</f>
        <v/>
      </c>
      <c r="F409" s="22" t="str">
        <f>IF($B409="","",IF(N('Aset Takberwujud'!$AG204)=0,0,IF(AND((YEAR(F$211)*12+MONTH(F$211))&gt;='Aset Takberwujud'!$Y204,(YEAR(F$211)*12+MONTH(F$211))&lt;=MIN('Aset Takberwujud'!$Z204,IF('Aset Takberwujud'!$S204="Unit Produksi",99999,'Aset Takberwujud'!$Y204+'Aset Takberwujud'!$T204*12-1))),'Aset Takberwujud'!$AQ204/'Aset Takberwujud'!$AG204,0)))</f>
        <v/>
      </c>
      <c r="G409" s="22" t="str">
        <f>IF($B409="","",IF(N('Aset Takberwujud'!$AG204)=0,0,IF(AND((YEAR(G$211)*12+MONTH(G$211))&gt;='Aset Takberwujud'!$Y204,(YEAR(G$211)*12+MONTH(G$211))&lt;=MIN('Aset Takberwujud'!$Z204,IF('Aset Takberwujud'!$S204="Unit Produksi",99999,'Aset Takberwujud'!$Y204+'Aset Takberwujud'!$T204*12-1))),'Aset Takberwujud'!$AQ204/'Aset Takberwujud'!$AG204,0)))</f>
        <v/>
      </c>
      <c r="H409" s="22" t="str">
        <f>IF($B409="","",IF(N('Aset Takberwujud'!$AG204)=0,0,IF(AND((YEAR(H$211)*12+MONTH(H$211))&gt;='Aset Takberwujud'!$Y204,(YEAR(H$211)*12+MONTH(H$211))&lt;=MIN('Aset Takberwujud'!$Z204,IF('Aset Takberwujud'!$S204="Unit Produksi",99999,'Aset Takberwujud'!$Y204+'Aset Takberwujud'!$T204*12-1))),'Aset Takberwujud'!$AQ204/'Aset Takberwujud'!$AG204,0)))</f>
        <v/>
      </c>
      <c r="I409" s="22" t="str">
        <f>IF($B409="","",IF(N('Aset Takberwujud'!$AG204)=0,0,IF(AND((YEAR(I$211)*12+MONTH(I$211))&gt;='Aset Takberwujud'!$Y204,(YEAR(I$211)*12+MONTH(I$211))&lt;=MIN('Aset Takberwujud'!$Z204,IF('Aset Takberwujud'!$S204="Unit Produksi",99999,'Aset Takberwujud'!$Y204+'Aset Takberwujud'!$T204*12-1))),'Aset Takberwujud'!$AQ204/'Aset Takberwujud'!$AG204,0)))</f>
        <v/>
      </c>
      <c r="J409" s="22" t="str">
        <f>IF($B409="","",IF(N('Aset Takberwujud'!$AG204)=0,0,IF(AND((YEAR(J$211)*12+MONTH(J$211))&gt;='Aset Takberwujud'!$Y204,(YEAR(J$211)*12+MONTH(J$211))&lt;=MIN('Aset Takberwujud'!$Z204,IF('Aset Takberwujud'!$S204="Unit Produksi",99999,'Aset Takberwujud'!$Y204+'Aset Takberwujud'!$T204*12-1))),'Aset Takberwujud'!$AQ204/'Aset Takberwujud'!$AG204,0)))</f>
        <v/>
      </c>
      <c r="K409" s="22" t="str">
        <f>IF($B409="","",IF(N('Aset Takberwujud'!$AG204)=0,0,IF(AND((YEAR(K$211)*12+MONTH(K$211))&gt;='Aset Takberwujud'!$Y204,(YEAR(K$211)*12+MONTH(K$211))&lt;=MIN('Aset Takberwujud'!$Z204,IF('Aset Takberwujud'!$S204="Unit Produksi",99999,'Aset Takberwujud'!$Y204+'Aset Takberwujud'!$T204*12-1))),'Aset Takberwujud'!$AQ204/'Aset Takberwujud'!$AG204,0)))</f>
        <v/>
      </c>
      <c r="L409" s="22" t="str">
        <f>IF($B409="","",IF(N('Aset Takberwujud'!$AG204)=0,0,IF(AND((YEAR(L$211)*12+MONTH(L$211))&gt;='Aset Takberwujud'!$Y204,(YEAR(L$211)*12+MONTH(L$211))&lt;=MIN('Aset Takberwujud'!$Z204,IF('Aset Takberwujud'!$S204="Unit Produksi",99999,'Aset Takberwujud'!$Y204+'Aset Takberwujud'!$T204*12-1))),'Aset Takberwujud'!$AQ204/'Aset Takberwujud'!$AG204,0)))</f>
        <v/>
      </c>
      <c r="M409" s="22" t="str">
        <f>IF($B409="","",IF(N('Aset Takberwujud'!$AG204)=0,0,IF(AND((YEAR(M$211)*12+MONTH(M$211))&gt;='Aset Takberwujud'!$Y204,(YEAR(M$211)*12+MONTH(M$211))&lt;=MIN('Aset Takberwujud'!$Z204,IF('Aset Takberwujud'!$S204="Unit Produksi",99999,'Aset Takberwujud'!$Y204+'Aset Takberwujud'!$T204*12-1))),'Aset Takberwujud'!$AQ204/'Aset Takberwujud'!$AG204,0)))</f>
        <v/>
      </c>
      <c r="N409" s="22" t="str">
        <f>IF($B409="","",IF(N('Aset Takberwujud'!$AG204)=0,0,IF(AND((YEAR(N$211)*12+MONTH(N$211))&gt;='Aset Takberwujud'!$Y204,(YEAR(N$211)*12+MONTH(N$211))&lt;=MIN('Aset Takberwujud'!$Z204,IF('Aset Takberwujud'!$S204="Unit Produksi",99999,'Aset Takberwujud'!$Y204+'Aset Takberwujud'!$T204*12-1))),'Aset Takberwujud'!$AQ204/'Aset Takberwujud'!$AG204,0)))</f>
        <v/>
      </c>
      <c r="O409" s="22" t="str">
        <f>IF($B409="","",IF(N('Aset Takberwujud'!$AG204)=0,0,IF(AND((YEAR(O$211)*12+MONTH(O$211))&gt;='Aset Takberwujud'!$Y204,(YEAR(O$211)*12+MONTH(O$211))&lt;=MIN('Aset Takberwujud'!$Z204,IF('Aset Takberwujud'!$S204="Unit Produksi",99999,'Aset Takberwujud'!$Y204+'Aset Takberwujud'!$T204*12-1))),'Aset Takberwujud'!$AQ204/'Aset Takberwujud'!$AG204,0)))</f>
        <v/>
      </c>
      <c r="P409" s="22" t="str">
        <f>IF($B409="","",IF(N('Aset Takberwujud'!$AG204)=0,0,IF(AND((YEAR(P$211)*12+MONTH(P$211))&gt;='Aset Takberwujud'!$Y204,(YEAR(P$211)*12+MONTH(P$211))&lt;=MIN('Aset Takberwujud'!$Z204,IF('Aset Takberwujud'!$S204="Unit Produksi",99999,'Aset Takberwujud'!$Y204+'Aset Takberwujud'!$T204*12-1))),'Aset Takberwujud'!$AQ204/'Aset Takberwujud'!$AG204,0)))</f>
        <v/>
      </c>
      <c r="Q409" s="22" t="str">
        <f>IF($B409="","",SUM(E409:P409))</f>
        <v/>
      </c>
      <c r="R409" s="22" t="str">
        <f>IF($B409="","",'Aset Takberwujud'!AQ204)</f>
        <v/>
      </c>
      <c r="S409" s="22" t="str">
        <f>IF($B409="","",ROUND(Q409-R409,0))</f>
        <v/>
      </c>
    </row>
    <row r="410" spans="1:19" x14ac:dyDescent="0.25">
      <c r="A410" t="str">
        <f>IF('Aset Takberwujud'!$B205="","",'Aset Takberwujud'!A205)</f>
        <v/>
      </c>
      <c r="B410" t="str">
        <f>IF('Aset Takberwujud'!$B205="","",'Aset Takberwujud'!B205)</f>
        <v/>
      </c>
      <c r="C410" t="str">
        <f>IF('Aset Takberwujud'!$B205="","",'Aset Takberwujud'!C205)</f>
        <v/>
      </c>
      <c r="D410" t="str">
        <f>IF('Aset Takberwujud'!$B205="","",'Aset Takberwujud'!D205)</f>
        <v/>
      </c>
      <c r="E410" s="22" t="str">
        <f>IF($B410="","",IF(N('Aset Takberwujud'!$AG205)=0,0,IF(AND((YEAR(E$211)*12+MONTH(E$211))&gt;='Aset Takberwujud'!$Y205,(YEAR(E$211)*12+MONTH(E$211))&lt;=MIN('Aset Takberwujud'!$Z205,IF('Aset Takberwujud'!$S205="Unit Produksi",99999,'Aset Takberwujud'!$Y205+'Aset Takberwujud'!$T205*12-1))),'Aset Takberwujud'!$AQ205/'Aset Takberwujud'!$AG205,0)))</f>
        <v/>
      </c>
      <c r="F410" s="22" t="str">
        <f>IF($B410="","",IF(N('Aset Takberwujud'!$AG205)=0,0,IF(AND((YEAR(F$211)*12+MONTH(F$211))&gt;='Aset Takberwujud'!$Y205,(YEAR(F$211)*12+MONTH(F$211))&lt;=MIN('Aset Takberwujud'!$Z205,IF('Aset Takberwujud'!$S205="Unit Produksi",99999,'Aset Takberwujud'!$Y205+'Aset Takberwujud'!$T205*12-1))),'Aset Takberwujud'!$AQ205/'Aset Takberwujud'!$AG205,0)))</f>
        <v/>
      </c>
      <c r="G410" s="22" t="str">
        <f>IF($B410="","",IF(N('Aset Takberwujud'!$AG205)=0,0,IF(AND((YEAR(G$211)*12+MONTH(G$211))&gt;='Aset Takberwujud'!$Y205,(YEAR(G$211)*12+MONTH(G$211))&lt;=MIN('Aset Takberwujud'!$Z205,IF('Aset Takberwujud'!$S205="Unit Produksi",99999,'Aset Takberwujud'!$Y205+'Aset Takberwujud'!$T205*12-1))),'Aset Takberwujud'!$AQ205/'Aset Takberwujud'!$AG205,0)))</f>
        <v/>
      </c>
      <c r="H410" s="22" t="str">
        <f>IF($B410="","",IF(N('Aset Takberwujud'!$AG205)=0,0,IF(AND((YEAR(H$211)*12+MONTH(H$211))&gt;='Aset Takberwujud'!$Y205,(YEAR(H$211)*12+MONTH(H$211))&lt;=MIN('Aset Takberwujud'!$Z205,IF('Aset Takberwujud'!$S205="Unit Produksi",99999,'Aset Takberwujud'!$Y205+'Aset Takberwujud'!$T205*12-1))),'Aset Takberwujud'!$AQ205/'Aset Takberwujud'!$AG205,0)))</f>
        <v/>
      </c>
      <c r="I410" s="22" t="str">
        <f>IF($B410="","",IF(N('Aset Takberwujud'!$AG205)=0,0,IF(AND((YEAR(I$211)*12+MONTH(I$211))&gt;='Aset Takberwujud'!$Y205,(YEAR(I$211)*12+MONTH(I$211))&lt;=MIN('Aset Takberwujud'!$Z205,IF('Aset Takberwujud'!$S205="Unit Produksi",99999,'Aset Takberwujud'!$Y205+'Aset Takberwujud'!$T205*12-1))),'Aset Takberwujud'!$AQ205/'Aset Takberwujud'!$AG205,0)))</f>
        <v/>
      </c>
      <c r="J410" s="22" t="str">
        <f>IF($B410="","",IF(N('Aset Takberwujud'!$AG205)=0,0,IF(AND((YEAR(J$211)*12+MONTH(J$211))&gt;='Aset Takberwujud'!$Y205,(YEAR(J$211)*12+MONTH(J$211))&lt;=MIN('Aset Takberwujud'!$Z205,IF('Aset Takberwujud'!$S205="Unit Produksi",99999,'Aset Takberwujud'!$Y205+'Aset Takberwujud'!$T205*12-1))),'Aset Takberwujud'!$AQ205/'Aset Takberwujud'!$AG205,0)))</f>
        <v/>
      </c>
      <c r="K410" s="22" t="str">
        <f>IF($B410="","",IF(N('Aset Takberwujud'!$AG205)=0,0,IF(AND((YEAR(K$211)*12+MONTH(K$211))&gt;='Aset Takberwujud'!$Y205,(YEAR(K$211)*12+MONTH(K$211))&lt;=MIN('Aset Takberwujud'!$Z205,IF('Aset Takberwujud'!$S205="Unit Produksi",99999,'Aset Takberwujud'!$Y205+'Aset Takberwujud'!$T205*12-1))),'Aset Takberwujud'!$AQ205/'Aset Takberwujud'!$AG205,0)))</f>
        <v/>
      </c>
      <c r="L410" s="22" t="str">
        <f>IF($B410="","",IF(N('Aset Takberwujud'!$AG205)=0,0,IF(AND((YEAR(L$211)*12+MONTH(L$211))&gt;='Aset Takberwujud'!$Y205,(YEAR(L$211)*12+MONTH(L$211))&lt;=MIN('Aset Takberwujud'!$Z205,IF('Aset Takberwujud'!$S205="Unit Produksi",99999,'Aset Takberwujud'!$Y205+'Aset Takberwujud'!$T205*12-1))),'Aset Takberwujud'!$AQ205/'Aset Takberwujud'!$AG205,0)))</f>
        <v/>
      </c>
      <c r="M410" s="22" t="str">
        <f>IF($B410="","",IF(N('Aset Takberwujud'!$AG205)=0,0,IF(AND((YEAR(M$211)*12+MONTH(M$211))&gt;='Aset Takberwujud'!$Y205,(YEAR(M$211)*12+MONTH(M$211))&lt;=MIN('Aset Takberwujud'!$Z205,IF('Aset Takberwujud'!$S205="Unit Produksi",99999,'Aset Takberwujud'!$Y205+'Aset Takberwujud'!$T205*12-1))),'Aset Takberwujud'!$AQ205/'Aset Takberwujud'!$AG205,0)))</f>
        <v/>
      </c>
      <c r="N410" s="22" t="str">
        <f>IF($B410="","",IF(N('Aset Takberwujud'!$AG205)=0,0,IF(AND((YEAR(N$211)*12+MONTH(N$211))&gt;='Aset Takberwujud'!$Y205,(YEAR(N$211)*12+MONTH(N$211))&lt;=MIN('Aset Takberwujud'!$Z205,IF('Aset Takberwujud'!$S205="Unit Produksi",99999,'Aset Takberwujud'!$Y205+'Aset Takberwujud'!$T205*12-1))),'Aset Takberwujud'!$AQ205/'Aset Takberwujud'!$AG205,0)))</f>
        <v/>
      </c>
      <c r="O410" s="22" t="str">
        <f>IF($B410="","",IF(N('Aset Takberwujud'!$AG205)=0,0,IF(AND((YEAR(O$211)*12+MONTH(O$211))&gt;='Aset Takberwujud'!$Y205,(YEAR(O$211)*12+MONTH(O$211))&lt;=MIN('Aset Takberwujud'!$Z205,IF('Aset Takberwujud'!$S205="Unit Produksi",99999,'Aset Takberwujud'!$Y205+'Aset Takberwujud'!$T205*12-1))),'Aset Takberwujud'!$AQ205/'Aset Takberwujud'!$AG205,0)))</f>
        <v/>
      </c>
      <c r="P410" s="22" t="str">
        <f>IF($B410="","",IF(N('Aset Takberwujud'!$AG205)=0,0,IF(AND((YEAR(P$211)*12+MONTH(P$211))&gt;='Aset Takberwujud'!$Y205,(YEAR(P$211)*12+MONTH(P$211))&lt;=MIN('Aset Takberwujud'!$Z205,IF('Aset Takberwujud'!$S205="Unit Produksi",99999,'Aset Takberwujud'!$Y205+'Aset Takberwujud'!$T205*12-1))),'Aset Takberwujud'!$AQ205/'Aset Takberwujud'!$AG205,0)))</f>
        <v/>
      </c>
      <c r="Q410" s="22" t="str">
        <f>IF($B410="","",SUM(E410:P410))</f>
        <v/>
      </c>
      <c r="R410" s="22" t="str">
        <f>IF($B410="","",'Aset Takberwujud'!AQ205)</f>
        <v/>
      </c>
      <c r="S410" s="22" t="str">
        <f>IF($B410="","",ROUND(Q410-R410,0))</f>
        <v/>
      </c>
    </row>
    <row r="411" spans="1:19" x14ac:dyDescent="0.25">
      <c r="A411" t="str">
        <f>IF('Aset Takberwujud'!$B206="","",'Aset Takberwujud'!A206)</f>
        <v/>
      </c>
      <c r="B411" t="str">
        <f>IF('Aset Takberwujud'!$B206="","",'Aset Takberwujud'!B206)</f>
        <v/>
      </c>
      <c r="C411" t="str">
        <f>IF('Aset Takberwujud'!$B206="","",'Aset Takberwujud'!C206)</f>
        <v/>
      </c>
      <c r="D411" t="str">
        <f>IF('Aset Takberwujud'!$B206="","",'Aset Takberwujud'!D206)</f>
        <v/>
      </c>
      <c r="E411" s="22" t="str">
        <f>IF($B411="","",IF(N('Aset Takberwujud'!$AG206)=0,0,IF(AND((YEAR(E$211)*12+MONTH(E$211))&gt;='Aset Takberwujud'!$Y206,(YEAR(E$211)*12+MONTH(E$211))&lt;=MIN('Aset Takberwujud'!$Z206,IF('Aset Takberwujud'!$S206="Unit Produksi",99999,'Aset Takberwujud'!$Y206+'Aset Takberwujud'!$T206*12-1))),'Aset Takberwujud'!$AQ206/'Aset Takberwujud'!$AG206,0)))</f>
        <v/>
      </c>
      <c r="F411" s="22" t="str">
        <f>IF($B411="","",IF(N('Aset Takberwujud'!$AG206)=0,0,IF(AND((YEAR(F$211)*12+MONTH(F$211))&gt;='Aset Takberwujud'!$Y206,(YEAR(F$211)*12+MONTH(F$211))&lt;=MIN('Aset Takberwujud'!$Z206,IF('Aset Takberwujud'!$S206="Unit Produksi",99999,'Aset Takberwujud'!$Y206+'Aset Takberwujud'!$T206*12-1))),'Aset Takberwujud'!$AQ206/'Aset Takberwujud'!$AG206,0)))</f>
        <v/>
      </c>
      <c r="G411" s="22" t="str">
        <f>IF($B411="","",IF(N('Aset Takberwujud'!$AG206)=0,0,IF(AND((YEAR(G$211)*12+MONTH(G$211))&gt;='Aset Takberwujud'!$Y206,(YEAR(G$211)*12+MONTH(G$211))&lt;=MIN('Aset Takberwujud'!$Z206,IF('Aset Takberwujud'!$S206="Unit Produksi",99999,'Aset Takberwujud'!$Y206+'Aset Takberwujud'!$T206*12-1))),'Aset Takberwujud'!$AQ206/'Aset Takberwujud'!$AG206,0)))</f>
        <v/>
      </c>
      <c r="H411" s="22" t="str">
        <f>IF($B411="","",IF(N('Aset Takberwujud'!$AG206)=0,0,IF(AND((YEAR(H$211)*12+MONTH(H$211))&gt;='Aset Takberwujud'!$Y206,(YEAR(H$211)*12+MONTH(H$211))&lt;=MIN('Aset Takberwujud'!$Z206,IF('Aset Takberwujud'!$S206="Unit Produksi",99999,'Aset Takberwujud'!$Y206+'Aset Takberwujud'!$T206*12-1))),'Aset Takberwujud'!$AQ206/'Aset Takberwujud'!$AG206,0)))</f>
        <v/>
      </c>
      <c r="I411" s="22" t="str">
        <f>IF($B411="","",IF(N('Aset Takberwujud'!$AG206)=0,0,IF(AND((YEAR(I$211)*12+MONTH(I$211))&gt;='Aset Takberwujud'!$Y206,(YEAR(I$211)*12+MONTH(I$211))&lt;=MIN('Aset Takberwujud'!$Z206,IF('Aset Takberwujud'!$S206="Unit Produksi",99999,'Aset Takberwujud'!$Y206+'Aset Takberwujud'!$T206*12-1))),'Aset Takberwujud'!$AQ206/'Aset Takberwujud'!$AG206,0)))</f>
        <v/>
      </c>
      <c r="J411" s="22" t="str">
        <f>IF($B411="","",IF(N('Aset Takberwujud'!$AG206)=0,0,IF(AND((YEAR(J$211)*12+MONTH(J$211))&gt;='Aset Takberwujud'!$Y206,(YEAR(J$211)*12+MONTH(J$211))&lt;=MIN('Aset Takberwujud'!$Z206,IF('Aset Takberwujud'!$S206="Unit Produksi",99999,'Aset Takberwujud'!$Y206+'Aset Takberwujud'!$T206*12-1))),'Aset Takberwujud'!$AQ206/'Aset Takberwujud'!$AG206,0)))</f>
        <v/>
      </c>
      <c r="K411" s="22" t="str">
        <f>IF($B411="","",IF(N('Aset Takberwujud'!$AG206)=0,0,IF(AND((YEAR(K$211)*12+MONTH(K$211))&gt;='Aset Takberwujud'!$Y206,(YEAR(K$211)*12+MONTH(K$211))&lt;=MIN('Aset Takberwujud'!$Z206,IF('Aset Takberwujud'!$S206="Unit Produksi",99999,'Aset Takberwujud'!$Y206+'Aset Takberwujud'!$T206*12-1))),'Aset Takberwujud'!$AQ206/'Aset Takberwujud'!$AG206,0)))</f>
        <v/>
      </c>
      <c r="L411" s="22" t="str">
        <f>IF($B411="","",IF(N('Aset Takberwujud'!$AG206)=0,0,IF(AND((YEAR(L$211)*12+MONTH(L$211))&gt;='Aset Takberwujud'!$Y206,(YEAR(L$211)*12+MONTH(L$211))&lt;=MIN('Aset Takberwujud'!$Z206,IF('Aset Takberwujud'!$S206="Unit Produksi",99999,'Aset Takberwujud'!$Y206+'Aset Takberwujud'!$T206*12-1))),'Aset Takberwujud'!$AQ206/'Aset Takberwujud'!$AG206,0)))</f>
        <v/>
      </c>
      <c r="M411" s="22" t="str">
        <f>IF($B411="","",IF(N('Aset Takberwujud'!$AG206)=0,0,IF(AND((YEAR(M$211)*12+MONTH(M$211))&gt;='Aset Takberwujud'!$Y206,(YEAR(M$211)*12+MONTH(M$211))&lt;=MIN('Aset Takberwujud'!$Z206,IF('Aset Takberwujud'!$S206="Unit Produksi",99999,'Aset Takberwujud'!$Y206+'Aset Takberwujud'!$T206*12-1))),'Aset Takberwujud'!$AQ206/'Aset Takberwujud'!$AG206,0)))</f>
        <v/>
      </c>
      <c r="N411" s="22" t="str">
        <f>IF($B411="","",IF(N('Aset Takberwujud'!$AG206)=0,0,IF(AND((YEAR(N$211)*12+MONTH(N$211))&gt;='Aset Takberwujud'!$Y206,(YEAR(N$211)*12+MONTH(N$211))&lt;=MIN('Aset Takberwujud'!$Z206,IF('Aset Takberwujud'!$S206="Unit Produksi",99999,'Aset Takberwujud'!$Y206+'Aset Takberwujud'!$T206*12-1))),'Aset Takberwujud'!$AQ206/'Aset Takberwujud'!$AG206,0)))</f>
        <v/>
      </c>
      <c r="O411" s="22" t="str">
        <f>IF($B411="","",IF(N('Aset Takberwujud'!$AG206)=0,0,IF(AND((YEAR(O$211)*12+MONTH(O$211))&gt;='Aset Takberwujud'!$Y206,(YEAR(O$211)*12+MONTH(O$211))&lt;=MIN('Aset Takberwujud'!$Z206,IF('Aset Takberwujud'!$S206="Unit Produksi",99999,'Aset Takberwujud'!$Y206+'Aset Takberwujud'!$T206*12-1))),'Aset Takberwujud'!$AQ206/'Aset Takberwujud'!$AG206,0)))</f>
        <v/>
      </c>
      <c r="P411" s="22" t="str">
        <f>IF($B411="","",IF(N('Aset Takberwujud'!$AG206)=0,0,IF(AND((YEAR(P$211)*12+MONTH(P$211))&gt;='Aset Takberwujud'!$Y206,(YEAR(P$211)*12+MONTH(P$211))&lt;=MIN('Aset Takberwujud'!$Z206,IF('Aset Takberwujud'!$S206="Unit Produksi",99999,'Aset Takberwujud'!$Y206+'Aset Takberwujud'!$T206*12-1))),'Aset Takberwujud'!$AQ206/'Aset Takberwujud'!$AG206,0)))</f>
        <v/>
      </c>
      <c r="Q411" s="22" t="str">
        <f>IF($B411="","",SUM(E411:P411))</f>
        <v/>
      </c>
      <c r="R411" s="22" t="str">
        <f>IF($B411="","",'Aset Takberwujud'!AQ206)</f>
        <v/>
      </c>
      <c r="S411" s="22" t="str">
        <f>IF($B411="","",ROUND(Q411-R411,0))</f>
        <v/>
      </c>
    </row>
    <row r="412" spans="1:19" x14ac:dyDescent="0.25">
      <c r="A412" s="23"/>
      <c r="B412" s="23" t="s">
        <v>196</v>
      </c>
      <c r="C412" s="23"/>
      <c r="D412" s="23"/>
      <c r="E412" s="24">
        <f>SUBTOTAL(9,E212:E411)</f>
        <v>0</v>
      </c>
      <c r="F412" s="24">
        <f>SUBTOTAL(9,F212:F411)</f>
        <v>0</v>
      </c>
      <c r="G412" s="24">
        <f>SUBTOTAL(9,G212:G411)</f>
        <v>0</v>
      </c>
      <c r="H412" s="24">
        <f>SUBTOTAL(9,H212:H411)</f>
        <v>0</v>
      </c>
      <c r="I412" s="24">
        <f>SUBTOTAL(9,I212:I411)</f>
        <v>0</v>
      </c>
      <c r="J412" s="24">
        <f>SUBTOTAL(9,J212:J411)</f>
        <v>0</v>
      </c>
      <c r="K412" s="24">
        <f>SUBTOTAL(9,K212:K411)</f>
        <v>0</v>
      </c>
      <c r="L412" s="24">
        <f>SUBTOTAL(9,L212:L411)</f>
        <v>0</v>
      </c>
      <c r="M412" s="24">
        <f>SUBTOTAL(9,M212:M411)</f>
        <v>0</v>
      </c>
      <c r="N412" s="24">
        <f>SUBTOTAL(9,N212:N411)</f>
        <v>0</v>
      </c>
      <c r="O412" s="24">
        <f>SUBTOTAL(9,O212:O411)</f>
        <v>0</v>
      </c>
      <c r="P412" s="24">
        <f>SUBTOTAL(9,P212:P411)</f>
        <v>0</v>
      </c>
      <c r="Q412" s="24">
        <f>SUBTOTAL(9,Q212:Q411)</f>
        <v>0</v>
      </c>
      <c r="R412" s="24">
        <f>SUBTOTAL(9,R212:R411)</f>
        <v>0</v>
      </c>
      <c r="S412" s="24">
        <f>SUBTOTAL(9,S212:S411)</f>
        <v>0</v>
      </c>
    </row>
  </sheetData>
  <pageSetup paperSize="9" orientation="landscape" fitToWidth="1" fitToHeight="0"/>
  <headerFooter>
    <oddFooter>&amp;LKAP Sutrisno Hendrawanto Sukardi dan Rekan&amp;R&amp;P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101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52" customWidth="1"/>
    <col min="3" max="4" width="40" customWidth="1"/>
    <col min="5" max="11" width="19" customWidth="1"/>
  </cols>
  <sheetData>
    <row r="1" spans="2:2" x14ac:dyDescent="0.25">
      <c r="B1" s="1" t="s">
        <v>205</v>
      </c>
    </row>
    <row r="2" spans="2:2" x14ac:dyDescent="0.25">
      <c r="B2" s="8" t="str">
        <f>NamaPerusahaan</f>
        <v>Nama Perusahaan</v>
      </c>
    </row>
    <row r="3" spans="2:2" x14ac:dyDescent="0.25">
      <c r="B3" t="str">
        <f>"Periode 1 Januari s.d. 31 Desember "&amp;TahunBuku&amp;"  |  Tarif PPh Badan "&amp;TEXT(TarifPPh,"0%")</f>
        <v>Periode 1 Januari s.d. 31 Desember 2026  |  Tarif PPh Badan 22%</v>
      </c>
    </row>
    <row r="5" spans="2:2" x14ac:dyDescent="0.25">
      <c r="B5" s="12" t="s">
        <v>206</v>
      </c>
    </row>
    <row r="6" spans="2:11" x14ac:dyDescent="0.25">
      <c r="B6" s="13" t="s">
        <v>89</v>
      </c>
      <c r="C6" s="13" t="s">
        <v>207</v>
      </c>
      <c r="D6" s="13" t="s">
        <v>174</v>
      </c>
      <c r="E6" s="13" t="s">
        <v>208</v>
      </c>
      <c r="F6" s="13" t="s">
        <v>209</v>
      </c>
      <c r="G6" s="13" t="s">
        <v>210</v>
      </c>
      <c r="H6" s="13" t="s">
        <v>211</v>
      </c>
      <c r="I6" s="13" t="s">
        <v>212</v>
      </c>
      <c r="J6" s="13" t="s">
        <v>213</v>
      </c>
      <c r="K6" s="13" t="s">
        <v>214</v>
      </c>
    </row>
    <row r="7" spans="2:11" x14ac:dyDescent="0.25">
      <c r="B7" t="str">
        <f>IF(Parameter!B23="","",Parameter!B23)</f>
        <v>Tanah</v>
      </c>
      <c r="C7" s="22">
        <f>IF($B7="","",SUMIFS('Aset Tetap'!AL$7:AL$206,'Aset Tetap'!$D$7:$D$206,$B7))</f>
        <v>0</v>
      </c>
      <c r="D7" s="22">
        <f>IF($B7="","",SUMIFS('Aset Tetap'!AM$7:AM$206,'Aset Tetap'!$D$7:$D$206,$B7))</f>
        <v>0</v>
      </c>
      <c r="E7" s="22">
        <f>IF($B7="","",SUMIFS('Aset Tetap'!AN$7:AN$206,'Aset Tetap'!$D$7:$D$206,$B7))</f>
        <v>0</v>
      </c>
      <c r="F7" s="22">
        <f>IF($B7="","",SUMIFS('Aset Tetap'!AO$7:AO$206,'Aset Tetap'!$D$7:$D$206,$B7))</f>
        <v>0</v>
      </c>
      <c r="G7" s="22">
        <f>IF($B7="","",SUMIFS('Aset Tetap'!AP$7:AP$206,'Aset Tetap'!$D$7:$D$206,$B7))</f>
        <v>0</v>
      </c>
      <c r="H7" s="22">
        <f>IF($B7="","",SUMIFS('Aset Tetap'!AQ$7:AQ$206,'Aset Tetap'!$D$7:$D$206,$B7))</f>
        <v>0</v>
      </c>
      <c r="I7" s="22">
        <f>IF($B7="","",SUMIFS('Aset Tetap'!AR$7:AR$206,'Aset Tetap'!$D$7:$D$206,$B7))</f>
        <v>0</v>
      </c>
      <c r="J7" s="22">
        <f>IF($B7="","",SUMIFS('Aset Tetap'!AS$7:AS$206,'Aset Tetap'!$D$7:$D$206,$B7))</f>
        <v>0</v>
      </c>
      <c r="K7" s="22">
        <f>IF($B7="","",SUMIFS('Aset Tetap'!AT$7:AT$206,'Aset Tetap'!$D$7:$D$206,$B7))</f>
        <v>0</v>
      </c>
    </row>
    <row r="8" spans="2:11" x14ac:dyDescent="0.25">
      <c r="B8" t="str">
        <f>IF(Parameter!B24="","",Parameter!B24)</f>
        <v>Bangunan</v>
      </c>
      <c r="C8" s="22">
        <f>IF($B8="","",SUMIFS('Aset Tetap'!AL$7:AL$206,'Aset Tetap'!$D$7:$D$206,$B8))</f>
        <v>0</v>
      </c>
      <c r="D8" s="22">
        <f>IF($B8="","",SUMIFS('Aset Tetap'!AM$7:AM$206,'Aset Tetap'!$D$7:$D$206,$B8))</f>
        <v>0</v>
      </c>
      <c r="E8" s="22">
        <f>IF($B8="","",SUMIFS('Aset Tetap'!AN$7:AN$206,'Aset Tetap'!$D$7:$D$206,$B8))</f>
        <v>0</v>
      </c>
      <c r="F8" s="22">
        <f>IF($B8="","",SUMIFS('Aset Tetap'!AO$7:AO$206,'Aset Tetap'!$D$7:$D$206,$B8))</f>
        <v>0</v>
      </c>
      <c r="G8" s="22">
        <f>IF($B8="","",SUMIFS('Aset Tetap'!AP$7:AP$206,'Aset Tetap'!$D$7:$D$206,$B8))</f>
        <v>0</v>
      </c>
      <c r="H8" s="22">
        <f>IF($B8="","",SUMIFS('Aset Tetap'!AQ$7:AQ$206,'Aset Tetap'!$D$7:$D$206,$B8))</f>
        <v>0</v>
      </c>
      <c r="I8" s="22">
        <f>IF($B8="","",SUMIFS('Aset Tetap'!AR$7:AR$206,'Aset Tetap'!$D$7:$D$206,$B8))</f>
        <v>0</v>
      </c>
      <c r="J8" s="22">
        <f>IF($B8="","",SUMIFS('Aset Tetap'!AS$7:AS$206,'Aset Tetap'!$D$7:$D$206,$B8))</f>
        <v>0</v>
      </c>
      <c r="K8" s="22">
        <f>IF($B8="","",SUMIFS('Aset Tetap'!AT$7:AT$206,'Aset Tetap'!$D$7:$D$206,$B8))</f>
        <v>0</v>
      </c>
    </row>
    <row r="9" spans="2:11" x14ac:dyDescent="0.25">
      <c r="B9" t="str">
        <f>IF(Parameter!B25="","",Parameter!B25)</f>
        <v>Kendaraan</v>
      </c>
      <c r="C9" s="22">
        <f>IF($B9="","",SUMIFS('Aset Tetap'!AL$7:AL$206,'Aset Tetap'!$D$7:$D$206,$B9))</f>
        <v>0</v>
      </c>
      <c r="D9" s="22">
        <f>IF($B9="","",SUMIFS('Aset Tetap'!AM$7:AM$206,'Aset Tetap'!$D$7:$D$206,$B9))</f>
        <v>0</v>
      </c>
      <c r="E9" s="22">
        <f>IF($B9="","",SUMIFS('Aset Tetap'!AN$7:AN$206,'Aset Tetap'!$D$7:$D$206,$B9))</f>
        <v>0</v>
      </c>
      <c r="F9" s="22">
        <f>IF($B9="","",SUMIFS('Aset Tetap'!AO$7:AO$206,'Aset Tetap'!$D$7:$D$206,$B9))</f>
        <v>0</v>
      </c>
      <c r="G9" s="22">
        <f>IF($B9="","",SUMIFS('Aset Tetap'!AP$7:AP$206,'Aset Tetap'!$D$7:$D$206,$B9))</f>
        <v>0</v>
      </c>
      <c r="H9" s="22">
        <f>IF($B9="","",SUMIFS('Aset Tetap'!AQ$7:AQ$206,'Aset Tetap'!$D$7:$D$206,$B9))</f>
        <v>0</v>
      </c>
      <c r="I9" s="22">
        <f>IF($B9="","",SUMIFS('Aset Tetap'!AR$7:AR$206,'Aset Tetap'!$D$7:$D$206,$B9))</f>
        <v>0</v>
      </c>
      <c r="J9" s="22">
        <f>IF($B9="","",SUMIFS('Aset Tetap'!AS$7:AS$206,'Aset Tetap'!$D$7:$D$206,$B9))</f>
        <v>0</v>
      </c>
      <c r="K9" s="22">
        <f>IF($B9="","",SUMIFS('Aset Tetap'!AT$7:AT$206,'Aset Tetap'!$D$7:$D$206,$B9))</f>
        <v>0</v>
      </c>
    </row>
    <row r="10" spans="2:11" x14ac:dyDescent="0.25">
      <c r="B10" t="str">
        <f>IF(Parameter!B26="","",Parameter!B26)</f>
        <v>Mesin &amp; Peralatan</v>
      </c>
      <c r="C10" s="22">
        <f>IF($B10="","",SUMIFS('Aset Tetap'!AL$7:AL$206,'Aset Tetap'!$D$7:$D$206,$B10))</f>
        <v>0</v>
      </c>
      <c r="D10" s="22">
        <f>IF($B10="","",SUMIFS('Aset Tetap'!AM$7:AM$206,'Aset Tetap'!$D$7:$D$206,$B10))</f>
        <v>0</v>
      </c>
      <c r="E10" s="22">
        <f>IF($B10="","",SUMIFS('Aset Tetap'!AN$7:AN$206,'Aset Tetap'!$D$7:$D$206,$B10))</f>
        <v>0</v>
      </c>
      <c r="F10" s="22">
        <f>IF($B10="","",SUMIFS('Aset Tetap'!AO$7:AO$206,'Aset Tetap'!$D$7:$D$206,$B10))</f>
        <v>0</v>
      </c>
      <c r="G10" s="22">
        <f>IF($B10="","",SUMIFS('Aset Tetap'!AP$7:AP$206,'Aset Tetap'!$D$7:$D$206,$B10))</f>
        <v>0</v>
      </c>
      <c r="H10" s="22">
        <f>IF($B10="","",SUMIFS('Aset Tetap'!AQ$7:AQ$206,'Aset Tetap'!$D$7:$D$206,$B10))</f>
        <v>0</v>
      </c>
      <c r="I10" s="22">
        <f>IF($B10="","",SUMIFS('Aset Tetap'!AR$7:AR$206,'Aset Tetap'!$D$7:$D$206,$B10))</f>
        <v>0</v>
      </c>
      <c r="J10" s="22">
        <f>IF($B10="","",SUMIFS('Aset Tetap'!AS$7:AS$206,'Aset Tetap'!$D$7:$D$206,$B10))</f>
        <v>0</v>
      </c>
      <c r="K10" s="22">
        <f>IF($B10="","",SUMIFS('Aset Tetap'!AT$7:AT$206,'Aset Tetap'!$D$7:$D$206,$B10))</f>
        <v>0</v>
      </c>
    </row>
    <row r="11" spans="2:11" x14ac:dyDescent="0.25">
      <c r="B11" t="str">
        <f>IF(Parameter!B27="","",Parameter!B27)</f>
        <v>Komputer &amp; IT</v>
      </c>
      <c r="C11" s="22">
        <f>IF($B11="","",SUMIFS('Aset Tetap'!AL$7:AL$206,'Aset Tetap'!$D$7:$D$206,$B11))</f>
        <v>0</v>
      </c>
      <c r="D11" s="22">
        <f>IF($B11="","",SUMIFS('Aset Tetap'!AM$7:AM$206,'Aset Tetap'!$D$7:$D$206,$B11))</f>
        <v>0</v>
      </c>
      <c r="E11" s="22">
        <f>IF($B11="","",SUMIFS('Aset Tetap'!AN$7:AN$206,'Aset Tetap'!$D$7:$D$206,$B11))</f>
        <v>0</v>
      </c>
      <c r="F11" s="22">
        <f>IF($B11="","",SUMIFS('Aset Tetap'!AO$7:AO$206,'Aset Tetap'!$D$7:$D$206,$B11))</f>
        <v>0</v>
      </c>
      <c r="G11" s="22">
        <f>IF($B11="","",SUMIFS('Aset Tetap'!AP$7:AP$206,'Aset Tetap'!$D$7:$D$206,$B11))</f>
        <v>0</v>
      </c>
      <c r="H11" s="22">
        <f>IF($B11="","",SUMIFS('Aset Tetap'!AQ$7:AQ$206,'Aset Tetap'!$D$7:$D$206,$B11))</f>
        <v>0</v>
      </c>
      <c r="I11" s="22">
        <f>IF($B11="","",SUMIFS('Aset Tetap'!AR$7:AR$206,'Aset Tetap'!$D$7:$D$206,$B11))</f>
        <v>0</v>
      </c>
      <c r="J11" s="22">
        <f>IF($B11="","",SUMIFS('Aset Tetap'!AS$7:AS$206,'Aset Tetap'!$D$7:$D$206,$B11))</f>
        <v>0</v>
      </c>
      <c r="K11" s="22">
        <f>IF($B11="","",SUMIFS('Aset Tetap'!AT$7:AT$206,'Aset Tetap'!$D$7:$D$206,$B11))</f>
        <v>0</v>
      </c>
    </row>
    <row r="12" spans="2:11" x14ac:dyDescent="0.25">
      <c r="B12" t="str">
        <f>IF(Parameter!B28="","",Parameter!B28)</f>
        <v>Inventaris Kantor</v>
      </c>
      <c r="C12" s="22">
        <f>IF($B12="","",SUMIFS('Aset Tetap'!AL$7:AL$206,'Aset Tetap'!$D$7:$D$206,$B12))</f>
        <v>0</v>
      </c>
      <c r="D12" s="22">
        <f>IF($B12="","",SUMIFS('Aset Tetap'!AM$7:AM$206,'Aset Tetap'!$D$7:$D$206,$B12))</f>
        <v>0</v>
      </c>
      <c r="E12" s="22">
        <f>IF($B12="","",SUMIFS('Aset Tetap'!AN$7:AN$206,'Aset Tetap'!$D$7:$D$206,$B12))</f>
        <v>0</v>
      </c>
      <c r="F12" s="22">
        <f>IF($B12="","",SUMIFS('Aset Tetap'!AO$7:AO$206,'Aset Tetap'!$D$7:$D$206,$B12))</f>
        <v>0</v>
      </c>
      <c r="G12" s="22">
        <f>IF($B12="","",SUMIFS('Aset Tetap'!AP$7:AP$206,'Aset Tetap'!$D$7:$D$206,$B12))</f>
        <v>0</v>
      </c>
      <c r="H12" s="22">
        <f>IF($B12="","",SUMIFS('Aset Tetap'!AQ$7:AQ$206,'Aset Tetap'!$D$7:$D$206,$B12))</f>
        <v>0</v>
      </c>
      <c r="I12" s="22">
        <f>IF($B12="","",SUMIFS('Aset Tetap'!AR$7:AR$206,'Aset Tetap'!$D$7:$D$206,$B12))</f>
        <v>0</v>
      </c>
      <c r="J12" s="22">
        <f>IF($B12="","",SUMIFS('Aset Tetap'!AS$7:AS$206,'Aset Tetap'!$D$7:$D$206,$B12))</f>
        <v>0</v>
      </c>
      <c r="K12" s="22">
        <f>IF($B12="","",SUMIFS('Aset Tetap'!AT$7:AT$206,'Aset Tetap'!$D$7:$D$206,$B12))</f>
        <v>0</v>
      </c>
    </row>
    <row r="13" spans="2:11" x14ac:dyDescent="0.25">
      <c r="B13" t="str">
        <f>IF(Parameter!B29="","",Parameter!B29)</f>
        <v/>
      </c>
      <c r="C13" s="22" t="str">
        <f>IF($B13="","",SUMIFS('Aset Tetap'!AL$7:AL$206,'Aset Tetap'!$D$7:$D$206,$B13))</f>
        <v/>
      </c>
      <c r="D13" s="22" t="str">
        <f>IF($B13="","",SUMIFS('Aset Tetap'!AM$7:AM$206,'Aset Tetap'!$D$7:$D$206,$B13))</f>
        <v/>
      </c>
      <c r="E13" s="22" t="str">
        <f>IF($B13="","",SUMIFS('Aset Tetap'!AN$7:AN$206,'Aset Tetap'!$D$7:$D$206,$B13))</f>
        <v/>
      </c>
      <c r="F13" s="22" t="str">
        <f>IF($B13="","",SUMIFS('Aset Tetap'!AO$7:AO$206,'Aset Tetap'!$D$7:$D$206,$B13))</f>
        <v/>
      </c>
      <c r="G13" s="22" t="str">
        <f>IF($B13="","",SUMIFS('Aset Tetap'!AP$7:AP$206,'Aset Tetap'!$D$7:$D$206,$B13))</f>
        <v/>
      </c>
      <c r="H13" s="22" t="str">
        <f>IF($B13="","",SUMIFS('Aset Tetap'!AQ$7:AQ$206,'Aset Tetap'!$D$7:$D$206,$B13))</f>
        <v/>
      </c>
      <c r="I13" s="22" t="str">
        <f>IF($B13="","",SUMIFS('Aset Tetap'!AR$7:AR$206,'Aset Tetap'!$D$7:$D$206,$B13))</f>
        <v/>
      </c>
      <c r="J13" s="22" t="str">
        <f>IF($B13="","",SUMIFS('Aset Tetap'!AS$7:AS$206,'Aset Tetap'!$D$7:$D$206,$B13))</f>
        <v/>
      </c>
      <c r="K13" s="22" t="str">
        <f>IF($B13="","",SUMIFS('Aset Tetap'!AT$7:AT$206,'Aset Tetap'!$D$7:$D$206,$B13))</f>
        <v/>
      </c>
    </row>
    <row r="14" spans="2:11" x14ac:dyDescent="0.25">
      <c r="B14" t="str">
        <f>IF(Parameter!B30="","",Parameter!B30)</f>
        <v/>
      </c>
      <c r="C14" s="22" t="str">
        <f>IF($B14="","",SUMIFS('Aset Tetap'!AL$7:AL$206,'Aset Tetap'!$D$7:$D$206,$B14))</f>
        <v/>
      </c>
      <c r="D14" s="22" t="str">
        <f>IF($B14="","",SUMIFS('Aset Tetap'!AM$7:AM$206,'Aset Tetap'!$D$7:$D$206,$B14))</f>
        <v/>
      </c>
      <c r="E14" s="22" t="str">
        <f>IF($B14="","",SUMIFS('Aset Tetap'!AN$7:AN$206,'Aset Tetap'!$D$7:$D$206,$B14))</f>
        <v/>
      </c>
      <c r="F14" s="22" t="str">
        <f>IF($B14="","",SUMIFS('Aset Tetap'!AO$7:AO$206,'Aset Tetap'!$D$7:$D$206,$B14))</f>
        <v/>
      </c>
      <c r="G14" s="22" t="str">
        <f>IF($B14="","",SUMIFS('Aset Tetap'!AP$7:AP$206,'Aset Tetap'!$D$7:$D$206,$B14))</f>
        <v/>
      </c>
      <c r="H14" s="22" t="str">
        <f>IF($B14="","",SUMIFS('Aset Tetap'!AQ$7:AQ$206,'Aset Tetap'!$D$7:$D$206,$B14))</f>
        <v/>
      </c>
      <c r="I14" s="22" t="str">
        <f>IF($B14="","",SUMIFS('Aset Tetap'!AR$7:AR$206,'Aset Tetap'!$D$7:$D$206,$B14))</f>
        <v/>
      </c>
      <c r="J14" s="22" t="str">
        <f>IF($B14="","",SUMIFS('Aset Tetap'!AS$7:AS$206,'Aset Tetap'!$D$7:$D$206,$B14))</f>
        <v/>
      </c>
      <c r="K14" s="22" t="str">
        <f>IF($B14="","",SUMIFS('Aset Tetap'!AT$7:AT$206,'Aset Tetap'!$D$7:$D$206,$B14))</f>
        <v/>
      </c>
    </row>
    <row r="15" spans="2:11" x14ac:dyDescent="0.25">
      <c r="B15" t="str">
        <f>IF(Parameter!B31="","",Parameter!B31)</f>
        <v/>
      </c>
      <c r="C15" s="22" t="str">
        <f>IF($B15="","",SUMIFS('Aset Tetap'!AL$7:AL$206,'Aset Tetap'!$D$7:$D$206,$B15))</f>
        <v/>
      </c>
      <c r="D15" s="22" t="str">
        <f>IF($B15="","",SUMIFS('Aset Tetap'!AM$7:AM$206,'Aset Tetap'!$D$7:$D$206,$B15))</f>
        <v/>
      </c>
      <c r="E15" s="22" t="str">
        <f>IF($B15="","",SUMIFS('Aset Tetap'!AN$7:AN$206,'Aset Tetap'!$D$7:$D$206,$B15))</f>
        <v/>
      </c>
      <c r="F15" s="22" t="str">
        <f>IF($B15="","",SUMIFS('Aset Tetap'!AO$7:AO$206,'Aset Tetap'!$D$7:$D$206,$B15))</f>
        <v/>
      </c>
      <c r="G15" s="22" t="str">
        <f>IF($B15="","",SUMIFS('Aset Tetap'!AP$7:AP$206,'Aset Tetap'!$D$7:$D$206,$B15))</f>
        <v/>
      </c>
      <c r="H15" s="22" t="str">
        <f>IF($B15="","",SUMIFS('Aset Tetap'!AQ$7:AQ$206,'Aset Tetap'!$D$7:$D$206,$B15))</f>
        <v/>
      </c>
      <c r="I15" s="22" t="str">
        <f>IF($B15="","",SUMIFS('Aset Tetap'!AR$7:AR$206,'Aset Tetap'!$D$7:$D$206,$B15))</f>
        <v/>
      </c>
      <c r="J15" s="22" t="str">
        <f>IF($B15="","",SUMIFS('Aset Tetap'!AS$7:AS$206,'Aset Tetap'!$D$7:$D$206,$B15))</f>
        <v/>
      </c>
      <c r="K15" s="22" t="str">
        <f>IF($B15="","",SUMIFS('Aset Tetap'!AT$7:AT$206,'Aset Tetap'!$D$7:$D$206,$B15))</f>
        <v/>
      </c>
    </row>
    <row r="16" spans="2:11" x14ac:dyDescent="0.25">
      <c r="B16" t="str">
        <f>IF(Parameter!B32="","",Parameter!B32)</f>
        <v/>
      </c>
      <c r="C16" s="22" t="str">
        <f>IF($B16="","",SUMIFS('Aset Tetap'!AL$7:AL$206,'Aset Tetap'!$D$7:$D$206,$B16))</f>
        <v/>
      </c>
      <c r="D16" s="22" t="str">
        <f>IF($B16="","",SUMIFS('Aset Tetap'!AM$7:AM$206,'Aset Tetap'!$D$7:$D$206,$B16))</f>
        <v/>
      </c>
      <c r="E16" s="22" t="str">
        <f>IF($B16="","",SUMIFS('Aset Tetap'!AN$7:AN$206,'Aset Tetap'!$D$7:$D$206,$B16))</f>
        <v/>
      </c>
      <c r="F16" s="22" t="str">
        <f>IF($B16="","",SUMIFS('Aset Tetap'!AO$7:AO$206,'Aset Tetap'!$D$7:$D$206,$B16))</f>
        <v/>
      </c>
      <c r="G16" s="22" t="str">
        <f>IF($B16="","",SUMIFS('Aset Tetap'!AP$7:AP$206,'Aset Tetap'!$D$7:$D$206,$B16))</f>
        <v/>
      </c>
      <c r="H16" s="22" t="str">
        <f>IF($B16="","",SUMIFS('Aset Tetap'!AQ$7:AQ$206,'Aset Tetap'!$D$7:$D$206,$B16))</f>
        <v/>
      </c>
      <c r="I16" s="22" t="str">
        <f>IF($B16="","",SUMIFS('Aset Tetap'!AR$7:AR$206,'Aset Tetap'!$D$7:$D$206,$B16))</f>
        <v/>
      </c>
      <c r="J16" s="22" t="str">
        <f>IF($B16="","",SUMIFS('Aset Tetap'!AS$7:AS$206,'Aset Tetap'!$D$7:$D$206,$B16))</f>
        <v/>
      </c>
      <c r="K16" s="22" t="str">
        <f>IF($B16="","",SUMIFS('Aset Tetap'!AT$7:AT$206,'Aset Tetap'!$D$7:$D$206,$B16))</f>
        <v/>
      </c>
    </row>
    <row r="17" spans="2:11" x14ac:dyDescent="0.25">
      <c r="B17" s="23" t="s">
        <v>196</v>
      </c>
      <c r="C17" s="24">
        <f>SUM(C7:C16)</f>
        <v>0</v>
      </c>
      <c r="D17" s="24">
        <f>SUM(D7:D16)</f>
        <v>0</v>
      </c>
      <c r="E17" s="24">
        <f>SUM(E7:E16)</f>
        <v>0</v>
      </c>
      <c r="F17" s="24">
        <f>SUM(F7:F16)</f>
        <v>0</v>
      </c>
      <c r="G17" s="24">
        <f>SUM(G7:G16)</f>
        <v>0</v>
      </c>
      <c r="H17" s="24">
        <f>SUM(H7:H16)</f>
        <v>0</v>
      </c>
      <c r="I17" s="24">
        <f>SUM(I7:I16)</f>
        <v>0</v>
      </c>
      <c r="J17" s="24">
        <f>SUM(J7:J16)</f>
        <v>0</v>
      </c>
      <c r="K17" s="24">
        <f>SUM(K7:K16)</f>
        <v>0</v>
      </c>
    </row>
    <row r="19" spans="2:2" x14ac:dyDescent="0.25">
      <c r="B19" s="12" t="s">
        <v>215</v>
      </c>
    </row>
    <row r="20" spans="2:11" x14ac:dyDescent="0.25">
      <c r="B20" s="13" t="s">
        <v>89</v>
      </c>
      <c r="C20" s="13" t="s">
        <v>207</v>
      </c>
      <c r="D20" s="13" t="s">
        <v>174</v>
      </c>
      <c r="E20" s="13" t="s">
        <v>208</v>
      </c>
      <c r="F20" s="13" t="s">
        <v>209</v>
      </c>
      <c r="G20" s="13" t="s">
        <v>216</v>
      </c>
      <c r="H20" s="13" t="s">
        <v>217</v>
      </c>
      <c r="I20" s="13" t="s">
        <v>212</v>
      </c>
      <c r="J20" s="13" t="s">
        <v>218</v>
      </c>
      <c r="K20" s="13" t="s">
        <v>214</v>
      </c>
    </row>
    <row r="21" spans="2:11" x14ac:dyDescent="0.25">
      <c r="B21" t="str">
        <f>IF(Parameter!B33="","",Parameter!B33)</f>
        <v>Perangkat Lunak</v>
      </c>
      <c r="C21" s="22">
        <f>IF($B21="","",SUMIFS('Aset Takberwujud'!AL$7:AL$206,'Aset Takberwujud'!$D$7:$D$206,$B21))</f>
        <v>0</v>
      </c>
      <c r="D21" s="22">
        <f>IF($B21="","",SUMIFS('Aset Takberwujud'!AM$7:AM$206,'Aset Takberwujud'!$D$7:$D$206,$B21))</f>
        <v>0</v>
      </c>
      <c r="E21" s="22">
        <f>IF($B21="","",SUMIFS('Aset Takberwujud'!AN$7:AN$206,'Aset Takberwujud'!$D$7:$D$206,$B21))</f>
        <v>0</v>
      </c>
      <c r="F21" s="22">
        <f>IF($B21="","",SUMIFS('Aset Takberwujud'!AO$7:AO$206,'Aset Takberwujud'!$D$7:$D$206,$B21))</f>
        <v>0</v>
      </c>
      <c r="G21" s="22">
        <f>IF($B21="","",SUMIFS('Aset Takberwujud'!AP$7:AP$206,'Aset Takberwujud'!$D$7:$D$206,$B21))</f>
        <v>0</v>
      </c>
      <c r="H21" s="22">
        <f>IF($B21="","",SUMIFS('Aset Takberwujud'!AQ$7:AQ$206,'Aset Takberwujud'!$D$7:$D$206,$B21))</f>
        <v>0</v>
      </c>
      <c r="I21" s="22">
        <f>IF($B21="","",SUMIFS('Aset Takberwujud'!AR$7:AR$206,'Aset Takberwujud'!$D$7:$D$206,$B21))</f>
        <v>0</v>
      </c>
      <c r="J21" s="22">
        <f>IF($B21="","",SUMIFS('Aset Takberwujud'!AS$7:AS$206,'Aset Takberwujud'!$D$7:$D$206,$B21))</f>
        <v>0</v>
      </c>
      <c r="K21" s="22">
        <f>IF($B21="","",SUMIFS('Aset Takberwujud'!AT$7:AT$206,'Aset Takberwujud'!$D$7:$D$206,$B21))</f>
        <v>0</v>
      </c>
    </row>
    <row r="22" spans="2:11" x14ac:dyDescent="0.25">
      <c r="B22" t="str">
        <f>IF(Parameter!B34="","",Parameter!B34)</f>
        <v>Lisensi &amp; Waralaba</v>
      </c>
      <c r="C22" s="22">
        <f>IF($B22="","",SUMIFS('Aset Takberwujud'!AL$7:AL$206,'Aset Takberwujud'!$D$7:$D$206,$B22))</f>
        <v>0</v>
      </c>
      <c r="D22" s="22">
        <f>IF($B22="","",SUMIFS('Aset Takberwujud'!AM$7:AM$206,'Aset Takberwujud'!$D$7:$D$206,$B22))</f>
        <v>0</v>
      </c>
      <c r="E22" s="22">
        <f>IF($B22="","",SUMIFS('Aset Takberwujud'!AN$7:AN$206,'Aset Takberwujud'!$D$7:$D$206,$B22))</f>
        <v>0</v>
      </c>
      <c r="F22" s="22">
        <f>IF($B22="","",SUMIFS('Aset Takberwujud'!AO$7:AO$206,'Aset Takberwujud'!$D$7:$D$206,$B22))</f>
        <v>0</v>
      </c>
      <c r="G22" s="22">
        <f>IF($B22="","",SUMIFS('Aset Takberwujud'!AP$7:AP$206,'Aset Takberwujud'!$D$7:$D$206,$B22))</f>
        <v>0</v>
      </c>
      <c r="H22" s="22">
        <f>IF($B22="","",SUMIFS('Aset Takberwujud'!AQ$7:AQ$206,'Aset Takberwujud'!$D$7:$D$206,$B22))</f>
        <v>0</v>
      </c>
      <c r="I22" s="22">
        <f>IF($B22="","",SUMIFS('Aset Takberwujud'!AR$7:AR$206,'Aset Takberwujud'!$D$7:$D$206,$B22))</f>
        <v>0</v>
      </c>
      <c r="J22" s="22">
        <f>IF($B22="","",SUMIFS('Aset Takberwujud'!AS$7:AS$206,'Aset Takberwujud'!$D$7:$D$206,$B22))</f>
        <v>0</v>
      </c>
      <c r="K22" s="22">
        <f>IF($B22="","",SUMIFS('Aset Takberwujud'!AT$7:AT$206,'Aset Takberwujud'!$D$7:$D$206,$B22))</f>
        <v>0</v>
      </c>
    </row>
    <row r="23" spans="2:11" x14ac:dyDescent="0.25">
      <c r="B23" t="str">
        <f>IF(Parameter!B35="","",Parameter!B35)</f>
        <v>Hak Paten</v>
      </c>
      <c r="C23" s="22">
        <f>IF($B23="","",SUMIFS('Aset Takberwujud'!AL$7:AL$206,'Aset Takberwujud'!$D$7:$D$206,$B23))</f>
        <v>0</v>
      </c>
      <c r="D23" s="22">
        <f>IF($B23="","",SUMIFS('Aset Takberwujud'!AM$7:AM$206,'Aset Takberwujud'!$D$7:$D$206,$B23))</f>
        <v>0</v>
      </c>
      <c r="E23" s="22">
        <f>IF($B23="","",SUMIFS('Aset Takberwujud'!AN$7:AN$206,'Aset Takberwujud'!$D$7:$D$206,$B23))</f>
        <v>0</v>
      </c>
      <c r="F23" s="22">
        <f>IF($B23="","",SUMIFS('Aset Takberwujud'!AO$7:AO$206,'Aset Takberwujud'!$D$7:$D$206,$B23))</f>
        <v>0</v>
      </c>
      <c r="G23" s="22">
        <f>IF($B23="","",SUMIFS('Aset Takberwujud'!AP$7:AP$206,'Aset Takberwujud'!$D$7:$D$206,$B23))</f>
        <v>0</v>
      </c>
      <c r="H23" s="22">
        <f>IF($B23="","",SUMIFS('Aset Takberwujud'!AQ$7:AQ$206,'Aset Takberwujud'!$D$7:$D$206,$B23))</f>
        <v>0</v>
      </c>
      <c r="I23" s="22">
        <f>IF($B23="","",SUMIFS('Aset Takberwujud'!AR$7:AR$206,'Aset Takberwujud'!$D$7:$D$206,$B23))</f>
        <v>0</v>
      </c>
      <c r="J23" s="22">
        <f>IF($B23="","",SUMIFS('Aset Takberwujud'!AS$7:AS$206,'Aset Takberwujud'!$D$7:$D$206,$B23))</f>
        <v>0</v>
      </c>
      <c r="K23" s="22">
        <f>IF($B23="","",SUMIFS('Aset Takberwujud'!AT$7:AT$206,'Aset Takberwujud'!$D$7:$D$206,$B23))</f>
        <v>0</v>
      </c>
    </row>
    <row r="24" spans="2:11" x14ac:dyDescent="0.25">
      <c r="B24" t="str">
        <f>IF(Parameter!B36="","",Parameter!B36)</f>
        <v>Merek Dagang</v>
      </c>
      <c r="C24" s="22">
        <f>IF($B24="","",SUMIFS('Aset Takberwujud'!AL$7:AL$206,'Aset Takberwujud'!$D$7:$D$206,$B24))</f>
        <v>0</v>
      </c>
      <c r="D24" s="22">
        <f>IF($B24="","",SUMIFS('Aset Takberwujud'!AM$7:AM$206,'Aset Takberwujud'!$D$7:$D$206,$B24))</f>
        <v>0</v>
      </c>
      <c r="E24" s="22">
        <f>IF($B24="","",SUMIFS('Aset Takberwujud'!AN$7:AN$206,'Aset Takberwujud'!$D$7:$D$206,$B24))</f>
        <v>0</v>
      </c>
      <c r="F24" s="22">
        <f>IF($B24="","",SUMIFS('Aset Takberwujud'!AO$7:AO$206,'Aset Takberwujud'!$D$7:$D$206,$B24))</f>
        <v>0</v>
      </c>
      <c r="G24" s="22">
        <f>IF($B24="","",SUMIFS('Aset Takberwujud'!AP$7:AP$206,'Aset Takberwujud'!$D$7:$D$206,$B24))</f>
        <v>0</v>
      </c>
      <c r="H24" s="22">
        <f>IF($B24="","",SUMIFS('Aset Takberwujud'!AQ$7:AQ$206,'Aset Takberwujud'!$D$7:$D$206,$B24))</f>
        <v>0</v>
      </c>
      <c r="I24" s="22">
        <f>IF($B24="","",SUMIFS('Aset Takberwujud'!AR$7:AR$206,'Aset Takberwujud'!$D$7:$D$206,$B24))</f>
        <v>0</v>
      </c>
      <c r="J24" s="22">
        <f>IF($B24="","",SUMIFS('Aset Takberwujud'!AS$7:AS$206,'Aset Takberwujud'!$D$7:$D$206,$B24))</f>
        <v>0</v>
      </c>
      <c r="K24" s="22">
        <f>IF($B24="","",SUMIFS('Aset Takberwujud'!AT$7:AT$206,'Aset Takberwujud'!$D$7:$D$206,$B24))</f>
        <v>0</v>
      </c>
    </row>
    <row r="25" spans="2:11" x14ac:dyDescent="0.25">
      <c r="B25" t="str">
        <f>IF(Parameter!B37="","",Parameter!B37)</f>
        <v>Goodwill</v>
      </c>
      <c r="C25" s="22">
        <f>IF($B25="","",SUMIFS('Aset Takberwujud'!AL$7:AL$206,'Aset Takberwujud'!$D$7:$D$206,$B25))</f>
        <v>0</v>
      </c>
      <c r="D25" s="22">
        <f>IF($B25="","",SUMIFS('Aset Takberwujud'!AM$7:AM$206,'Aset Takberwujud'!$D$7:$D$206,$B25))</f>
        <v>0</v>
      </c>
      <c r="E25" s="22">
        <f>IF($B25="","",SUMIFS('Aset Takberwujud'!AN$7:AN$206,'Aset Takberwujud'!$D$7:$D$206,$B25))</f>
        <v>0</v>
      </c>
      <c r="F25" s="22">
        <f>IF($B25="","",SUMIFS('Aset Takberwujud'!AO$7:AO$206,'Aset Takberwujud'!$D$7:$D$206,$B25))</f>
        <v>0</v>
      </c>
      <c r="G25" s="22">
        <f>IF($B25="","",SUMIFS('Aset Takberwujud'!AP$7:AP$206,'Aset Takberwujud'!$D$7:$D$206,$B25))</f>
        <v>0</v>
      </c>
      <c r="H25" s="22">
        <f>IF($B25="","",SUMIFS('Aset Takberwujud'!AQ$7:AQ$206,'Aset Takberwujud'!$D$7:$D$206,$B25))</f>
        <v>0</v>
      </c>
      <c r="I25" s="22">
        <f>IF($B25="","",SUMIFS('Aset Takberwujud'!AR$7:AR$206,'Aset Takberwujud'!$D$7:$D$206,$B25))</f>
        <v>0</v>
      </c>
      <c r="J25" s="22">
        <f>IF($B25="","",SUMIFS('Aset Takberwujud'!AS$7:AS$206,'Aset Takberwujud'!$D$7:$D$206,$B25))</f>
        <v>0</v>
      </c>
      <c r="K25" s="22">
        <f>IF($B25="","",SUMIFS('Aset Takberwujud'!AT$7:AT$206,'Aset Takberwujud'!$D$7:$D$206,$B25))</f>
        <v>0</v>
      </c>
    </row>
    <row r="26" spans="2:11" x14ac:dyDescent="0.25">
      <c r="B26" t="str">
        <f>IF(Parameter!B38="","",Parameter!B38)</f>
        <v/>
      </c>
      <c r="C26" s="22" t="str">
        <f>IF($B26="","",SUMIFS('Aset Takberwujud'!AL$7:AL$206,'Aset Takberwujud'!$D$7:$D$206,$B26))</f>
        <v/>
      </c>
      <c r="D26" s="22" t="str">
        <f>IF($B26="","",SUMIFS('Aset Takberwujud'!AM$7:AM$206,'Aset Takberwujud'!$D$7:$D$206,$B26))</f>
        <v/>
      </c>
      <c r="E26" s="22" t="str">
        <f>IF($B26="","",SUMIFS('Aset Takberwujud'!AN$7:AN$206,'Aset Takberwujud'!$D$7:$D$206,$B26))</f>
        <v/>
      </c>
      <c r="F26" s="22" t="str">
        <f>IF($B26="","",SUMIFS('Aset Takberwujud'!AO$7:AO$206,'Aset Takberwujud'!$D$7:$D$206,$B26))</f>
        <v/>
      </c>
      <c r="G26" s="22" t="str">
        <f>IF($B26="","",SUMIFS('Aset Takberwujud'!AP$7:AP$206,'Aset Takberwujud'!$D$7:$D$206,$B26))</f>
        <v/>
      </c>
      <c r="H26" s="22" t="str">
        <f>IF($B26="","",SUMIFS('Aset Takberwujud'!AQ$7:AQ$206,'Aset Takberwujud'!$D$7:$D$206,$B26))</f>
        <v/>
      </c>
      <c r="I26" s="22" t="str">
        <f>IF($B26="","",SUMIFS('Aset Takberwujud'!AR$7:AR$206,'Aset Takberwujud'!$D$7:$D$206,$B26))</f>
        <v/>
      </c>
      <c r="J26" s="22" t="str">
        <f>IF($B26="","",SUMIFS('Aset Takberwujud'!AS$7:AS$206,'Aset Takberwujud'!$D$7:$D$206,$B26))</f>
        <v/>
      </c>
      <c r="K26" s="22" t="str">
        <f>IF($B26="","",SUMIFS('Aset Takberwujud'!AT$7:AT$206,'Aset Takberwujud'!$D$7:$D$206,$B26))</f>
        <v/>
      </c>
    </row>
    <row r="27" spans="2:11" x14ac:dyDescent="0.25">
      <c r="B27" t="str">
        <f>IF(Parameter!B39="","",Parameter!B39)</f>
        <v/>
      </c>
      <c r="C27" s="22" t="str">
        <f>IF($B27="","",SUMIFS('Aset Takberwujud'!AL$7:AL$206,'Aset Takberwujud'!$D$7:$D$206,$B27))</f>
        <v/>
      </c>
      <c r="D27" s="22" t="str">
        <f>IF($B27="","",SUMIFS('Aset Takberwujud'!AM$7:AM$206,'Aset Takberwujud'!$D$7:$D$206,$B27))</f>
        <v/>
      </c>
      <c r="E27" s="22" t="str">
        <f>IF($B27="","",SUMIFS('Aset Takberwujud'!AN$7:AN$206,'Aset Takberwujud'!$D$7:$D$206,$B27))</f>
        <v/>
      </c>
      <c r="F27" s="22" t="str">
        <f>IF($B27="","",SUMIFS('Aset Takberwujud'!AO$7:AO$206,'Aset Takberwujud'!$D$7:$D$206,$B27))</f>
        <v/>
      </c>
      <c r="G27" s="22" t="str">
        <f>IF($B27="","",SUMIFS('Aset Takberwujud'!AP$7:AP$206,'Aset Takberwujud'!$D$7:$D$206,$B27))</f>
        <v/>
      </c>
      <c r="H27" s="22" t="str">
        <f>IF($B27="","",SUMIFS('Aset Takberwujud'!AQ$7:AQ$206,'Aset Takberwujud'!$D$7:$D$206,$B27))</f>
        <v/>
      </c>
      <c r="I27" s="22" t="str">
        <f>IF($B27="","",SUMIFS('Aset Takberwujud'!AR$7:AR$206,'Aset Takberwujud'!$D$7:$D$206,$B27))</f>
        <v/>
      </c>
      <c r="J27" s="22" t="str">
        <f>IF($B27="","",SUMIFS('Aset Takberwujud'!AS$7:AS$206,'Aset Takberwujud'!$D$7:$D$206,$B27))</f>
        <v/>
      </c>
      <c r="K27" s="22" t="str">
        <f>IF($B27="","",SUMIFS('Aset Takberwujud'!AT$7:AT$206,'Aset Takberwujud'!$D$7:$D$206,$B27))</f>
        <v/>
      </c>
    </row>
    <row r="28" spans="2:11" x14ac:dyDescent="0.25">
      <c r="B28" t="str">
        <f>IF(Parameter!B40="","",Parameter!B40)</f>
        <v/>
      </c>
      <c r="C28" s="22" t="str">
        <f>IF($B28="","",SUMIFS('Aset Takberwujud'!AL$7:AL$206,'Aset Takberwujud'!$D$7:$D$206,$B28))</f>
        <v/>
      </c>
      <c r="D28" s="22" t="str">
        <f>IF($B28="","",SUMIFS('Aset Takberwujud'!AM$7:AM$206,'Aset Takberwujud'!$D$7:$D$206,$B28))</f>
        <v/>
      </c>
      <c r="E28" s="22" t="str">
        <f>IF($B28="","",SUMIFS('Aset Takberwujud'!AN$7:AN$206,'Aset Takberwujud'!$D$7:$D$206,$B28))</f>
        <v/>
      </c>
      <c r="F28" s="22" t="str">
        <f>IF($B28="","",SUMIFS('Aset Takberwujud'!AO$7:AO$206,'Aset Takberwujud'!$D$7:$D$206,$B28))</f>
        <v/>
      </c>
      <c r="G28" s="22" t="str">
        <f>IF($B28="","",SUMIFS('Aset Takberwujud'!AP$7:AP$206,'Aset Takberwujud'!$D$7:$D$206,$B28))</f>
        <v/>
      </c>
      <c r="H28" s="22" t="str">
        <f>IF($B28="","",SUMIFS('Aset Takberwujud'!AQ$7:AQ$206,'Aset Takberwujud'!$D$7:$D$206,$B28))</f>
        <v/>
      </c>
      <c r="I28" s="22" t="str">
        <f>IF($B28="","",SUMIFS('Aset Takberwujud'!AR$7:AR$206,'Aset Takberwujud'!$D$7:$D$206,$B28))</f>
        <v/>
      </c>
      <c r="J28" s="22" t="str">
        <f>IF($B28="","",SUMIFS('Aset Takberwujud'!AS$7:AS$206,'Aset Takberwujud'!$D$7:$D$206,$B28))</f>
        <v/>
      </c>
      <c r="K28" s="22" t="str">
        <f>IF($B28="","",SUMIFS('Aset Takberwujud'!AT$7:AT$206,'Aset Takberwujud'!$D$7:$D$206,$B28))</f>
        <v/>
      </c>
    </row>
    <row r="29" spans="2:11" x14ac:dyDescent="0.25">
      <c r="B29" t="str">
        <f>IF(Parameter!B41="","",Parameter!B41)</f>
        <v/>
      </c>
      <c r="C29" s="22" t="str">
        <f>IF($B29="","",SUMIFS('Aset Takberwujud'!AL$7:AL$206,'Aset Takberwujud'!$D$7:$D$206,$B29))</f>
        <v/>
      </c>
      <c r="D29" s="22" t="str">
        <f>IF($B29="","",SUMIFS('Aset Takberwujud'!AM$7:AM$206,'Aset Takberwujud'!$D$7:$D$206,$B29))</f>
        <v/>
      </c>
      <c r="E29" s="22" t="str">
        <f>IF($B29="","",SUMIFS('Aset Takberwujud'!AN$7:AN$206,'Aset Takberwujud'!$D$7:$D$206,$B29))</f>
        <v/>
      </c>
      <c r="F29" s="22" t="str">
        <f>IF($B29="","",SUMIFS('Aset Takberwujud'!AO$7:AO$206,'Aset Takberwujud'!$D$7:$D$206,$B29))</f>
        <v/>
      </c>
      <c r="G29" s="22" t="str">
        <f>IF($B29="","",SUMIFS('Aset Takberwujud'!AP$7:AP$206,'Aset Takberwujud'!$D$7:$D$206,$B29))</f>
        <v/>
      </c>
      <c r="H29" s="22" t="str">
        <f>IF($B29="","",SUMIFS('Aset Takberwujud'!AQ$7:AQ$206,'Aset Takberwujud'!$D$7:$D$206,$B29))</f>
        <v/>
      </c>
      <c r="I29" s="22" t="str">
        <f>IF($B29="","",SUMIFS('Aset Takberwujud'!AR$7:AR$206,'Aset Takberwujud'!$D$7:$D$206,$B29))</f>
        <v/>
      </c>
      <c r="J29" s="22" t="str">
        <f>IF($B29="","",SUMIFS('Aset Takberwujud'!AS$7:AS$206,'Aset Takberwujud'!$D$7:$D$206,$B29))</f>
        <v/>
      </c>
      <c r="K29" s="22" t="str">
        <f>IF($B29="","",SUMIFS('Aset Takberwujud'!AT$7:AT$206,'Aset Takberwujud'!$D$7:$D$206,$B29))</f>
        <v/>
      </c>
    </row>
    <row r="30" spans="2:11" x14ac:dyDescent="0.25">
      <c r="B30" t="str">
        <f>IF(Parameter!B42="","",Parameter!B42)</f>
        <v/>
      </c>
      <c r="C30" s="22" t="str">
        <f>IF($B30="","",SUMIFS('Aset Takberwujud'!AL$7:AL$206,'Aset Takberwujud'!$D$7:$D$206,$B30))</f>
        <v/>
      </c>
      <c r="D30" s="22" t="str">
        <f>IF($B30="","",SUMIFS('Aset Takberwujud'!AM$7:AM$206,'Aset Takberwujud'!$D$7:$D$206,$B30))</f>
        <v/>
      </c>
      <c r="E30" s="22" t="str">
        <f>IF($B30="","",SUMIFS('Aset Takberwujud'!AN$7:AN$206,'Aset Takberwujud'!$D$7:$D$206,$B30))</f>
        <v/>
      </c>
      <c r="F30" s="22" t="str">
        <f>IF($B30="","",SUMIFS('Aset Takberwujud'!AO$7:AO$206,'Aset Takberwujud'!$D$7:$D$206,$B30))</f>
        <v/>
      </c>
      <c r="G30" s="22" t="str">
        <f>IF($B30="","",SUMIFS('Aset Takberwujud'!AP$7:AP$206,'Aset Takberwujud'!$D$7:$D$206,$B30))</f>
        <v/>
      </c>
      <c r="H30" s="22" t="str">
        <f>IF($B30="","",SUMIFS('Aset Takberwujud'!AQ$7:AQ$206,'Aset Takberwujud'!$D$7:$D$206,$B30))</f>
        <v/>
      </c>
      <c r="I30" s="22" t="str">
        <f>IF($B30="","",SUMIFS('Aset Takberwujud'!AR$7:AR$206,'Aset Takberwujud'!$D$7:$D$206,$B30))</f>
        <v/>
      </c>
      <c r="J30" s="22" t="str">
        <f>IF($B30="","",SUMIFS('Aset Takberwujud'!AS$7:AS$206,'Aset Takberwujud'!$D$7:$D$206,$B30))</f>
        <v/>
      </c>
      <c r="K30" s="22" t="str">
        <f>IF($B30="","",SUMIFS('Aset Takberwujud'!AT$7:AT$206,'Aset Takberwujud'!$D$7:$D$206,$B30))</f>
        <v/>
      </c>
    </row>
    <row r="31" spans="2:11" x14ac:dyDescent="0.25">
      <c r="B31" s="23" t="s">
        <v>196</v>
      </c>
      <c r="C31" s="24">
        <f>SUM(C21:C30)</f>
        <v>0</v>
      </c>
      <c r="D31" s="24">
        <f>SUM(D21:D30)</f>
        <v>0</v>
      </c>
      <c r="E31" s="24">
        <f>SUM(E21:E30)</f>
        <v>0</v>
      </c>
      <c r="F31" s="24">
        <f>SUM(F21:F30)</f>
        <v>0</v>
      </c>
      <c r="G31" s="24">
        <f>SUM(G21:G30)</f>
        <v>0</v>
      </c>
      <c r="H31" s="24">
        <f>SUM(H21:H30)</f>
        <v>0</v>
      </c>
      <c r="I31" s="24">
        <f>SUM(I21:I30)</f>
        <v>0</v>
      </c>
      <c r="J31" s="24">
        <f>SUM(J21:J30)</f>
        <v>0</v>
      </c>
      <c r="K31" s="24">
        <f>SUM(K21:K30)</f>
        <v>0</v>
      </c>
    </row>
    <row r="33" spans="2:2" x14ac:dyDescent="0.25">
      <c r="B33" s="12" t="s">
        <v>219</v>
      </c>
    </row>
    <row r="34" spans="2:9" x14ac:dyDescent="0.25">
      <c r="B34" s="13" t="s">
        <v>61</v>
      </c>
      <c r="C34" s="13" t="s">
        <v>62</v>
      </c>
      <c r="D34" s="13" t="s">
        <v>209</v>
      </c>
      <c r="E34" s="13" t="s">
        <v>220</v>
      </c>
      <c r="F34" s="13" t="s">
        <v>221</v>
      </c>
      <c r="G34" s="13" t="s">
        <v>222</v>
      </c>
      <c r="H34" s="13" t="s">
        <v>223</v>
      </c>
      <c r="I34" s="13" t="s">
        <v>187</v>
      </c>
    </row>
    <row r="35" spans="2:9" x14ac:dyDescent="0.25">
      <c r="B35" t="str">
        <f>Parameter!B12</f>
        <v>Kelompok 1</v>
      </c>
      <c r="C35" t="s">
        <v>224</v>
      </c>
      <c r="D35" s="22">
        <f>SUMIFS('Aset Tetap'!$AO$7:$AO$206,'Aset Tetap'!$U$7:$U$206,$B35)</f>
        <v>0</v>
      </c>
      <c r="E35" s="22">
        <f>SUMIFS('Aset Tetap'!$AL$7:$AL$206,'Aset Tetap'!$U$7:$U$206,$B35)-SUMIFS('Aset Tetap'!$AV$7:$AV$206,'Aset Tetap'!$U$7:$U$206,$B35)</f>
        <v>0</v>
      </c>
      <c r="F35" s="22">
        <f>SUMIFS('Aset Tetap'!$AW$7:$AW$206,'Aset Tetap'!$U$7:$U$206,$B35,'Aset Tetap'!$W$7:$W$206,"Garis Lurus")</f>
        <v>0</v>
      </c>
      <c r="G35" s="22">
        <f>SUMIFS('Aset Tetap'!$AW$7:$AW$206,'Aset Tetap'!$U$7:$U$206,$B35,'Aset Tetap'!$W$7:$W$206,"Saldo Menurun")</f>
        <v>0</v>
      </c>
      <c r="H35" s="22">
        <f>F35+G35</f>
        <v>0</v>
      </c>
      <c r="I35" s="22">
        <f>SUMIFS('Aset Tetap'!$AZ$7:$AZ$206,'Aset Tetap'!$U$7:$U$206,$B35)</f>
        <v>0</v>
      </c>
    </row>
    <row r="36" spans="2:9" x14ac:dyDescent="0.25">
      <c r="B36" t="str">
        <f>Parameter!B13</f>
        <v>Kelompok 2</v>
      </c>
      <c r="C36" t="s">
        <v>224</v>
      </c>
      <c r="D36" s="22">
        <f>SUMIFS('Aset Tetap'!$AO$7:$AO$206,'Aset Tetap'!$U$7:$U$206,$B36)</f>
        <v>0</v>
      </c>
      <c r="E36" s="22">
        <f>SUMIFS('Aset Tetap'!$AL$7:$AL$206,'Aset Tetap'!$U$7:$U$206,$B36)-SUMIFS('Aset Tetap'!$AV$7:$AV$206,'Aset Tetap'!$U$7:$U$206,$B36)</f>
        <v>0</v>
      </c>
      <c r="F36" s="22">
        <f>SUMIFS('Aset Tetap'!$AW$7:$AW$206,'Aset Tetap'!$U$7:$U$206,$B36,'Aset Tetap'!$W$7:$W$206,"Garis Lurus")</f>
        <v>0</v>
      </c>
      <c r="G36" s="22">
        <f>SUMIFS('Aset Tetap'!$AW$7:$AW$206,'Aset Tetap'!$U$7:$U$206,$B36,'Aset Tetap'!$W$7:$W$206,"Saldo Menurun")</f>
        <v>0</v>
      </c>
      <c r="H36" s="22">
        <f>F36+G36</f>
        <v>0</v>
      </c>
      <c r="I36" s="22">
        <f>SUMIFS('Aset Tetap'!$AZ$7:$AZ$206,'Aset Tetap'!$U$7:$U$206,$B36)</f>
        <v>0</v>
      </c>
    </row>
    <row r="37" spans="2:9" x14ac:dyDescent="0.25">
      <c r="B37" t="str">
        <f>Parameter!B14</f>
        <v>Kelompok 3</v>
      </c>
      <c r="C37" t="s">
        <v>224</v>
      </c>
      <c r="D37" s="22">
        <f>SUMIFS('Aset Tetap'!$AO$7:$AO$206,'Aset Tetap'!$U$7:$U$206,$B37)</f>
        <v>0</v>
      </c>
      <c r="E37" s="22">
        <f>SUMIFS('Aset Tetap'!$AL$7:$AL$206,'Aset Tetap'!$U$7:$U$206,$B37)-SUMIFS('Aset Tetap'!$AV$7:$AV$206,'Aset Tetap'!$U$7:$U$206,$B37)</f>
        <v>0</v>
      </c>
      <c r="F37" s="22">
        <f>SUMIFS('Aset Tetap'!$AW$7:$AW$206,'Aset Tetap'!$U$7:$U$206,$B37,'Aset Tetap'!$W$7:$W$206,"Garis Lurus")</f>
        <v>0</v>
      </c>
      <c r="G37" s="22">
        <f>SUMIFS('Aset Tetap'!$AW$7:$AW$206,'Aset Tetap'!$U$7:$U$206,$B37,'Aset Tetap'!$W$7:$W$206,"Saldo Menurun")</f>
        <v>0</v>
      </c>
      <c r="H37" s="22">
        <f>F37+G37</f>
        <v>0</v>
      </c>
      <c r="I37" s="22">
        <f>SUMIFS('Aset Tetap'!$AZ$7:$AZ$206,'Aset Tetap'!$U$7:$U$206,$B37)</f>
        <v>0</v>
      </c>
    </row>
    <row r="38" spans="2:9" x14ac:dyDescent="0.25">
      <c r="B38" t="str">
        <f>Parameter!B15</f>
        <v>Kelompok 4</v>
      </c>
      <c r="C38" t="s">
        <v>224</v>
      </c>
      <c r="D38" s="22">
        <f>SUMIFS('Aset Tetap'!$AO$7:$AO$206,'Aset Tetap'!$U$7:$U$206,$B38)</f>
        <v>0</v>
      </c>
      <c r="E38" s="22">
        <f>SUMIFS('Aset Tetap'!$AL$7:$AL$206,'Aset Tetap'!$U$7:$U$206,$B38)-SUMIFS('Aset Tetap'!$AV$7:$AV$206,'Aset Tetap'!$U$7:$U$206,$B38)</f>
        <v>0</v>
      </c>
      <c r="F38" s="22">
        <f>SUMIFS('Aset Tetap'!$AW$7:$AW$206,'Aset Tetap'!$U$7:$U$206,$B38,'Aset Tetap'!$W$7:$W$206,"Garis Lurus")</f>
        <v>0</v>
      </c>
      <c r="G38" s="22">
        <f>SUMIFS('Aset Tetap'!$AW$7:$AW$206,'Aset Tetap'!$U$7:$U$206,$B38,'Aset Tetap'!$W$7:$W$206,"Saldo Menurun")</f>
        <v>0</v>
      </c>
      <c r="H38" s="22">
        <f>F38+G38</f>
        <v>0</v>
      </c>
      <c r="I38" s="22">
        <f>SUMIFS('Aset Tetap'!$AZ$7:$AZ$206,'Aset Tetap'!$U$7:$U$206,$B38)</f>
        <v>0</v>
      </c>
    </row>
    <row r="39" spans="2:9" x14ac:dyDescent="0.25">
      <c r="B39" t="str">
        <f>Parameter!B16</f>
        <v>Bangunan Permanen</v>
      </c>
      <c r="C39" t="s">
        <v>224</v>
      </c>
      <c r="D39" s="22">
        <f>SUMIFS('Aset Tetap'!$AO$7:$AO$206,'Aset Tetap'!$U$7:$U$206,$B39)</f>
        <v>0</v>
      </c>
      <c r="E39" s="22">
        <f>SUMIFS('Aset Tetap'!$AL$7:$AL$206,'Aset Tetap'!$U$7:$U$206,$B39)-SUMIFS('Aset Tetap'!$AV$7:$AV$206,'Aset Tetap'!$U$7:$U$206,$B39)</f>
        <v>0</v>
      </c>
      <c r="F39" s="22">
        <f>SUMIFS('Aset Tetap'!$AW$7:$AW$206,'Aset Tetap'!$U$7:$U$206,$B39,'Aset Tetap'!$W$7:$W$206,"Garis Lurus")</f>
        <v>0</v>
      </c>
      <c r="G39" s="22">
        <f>SUMIFS('Aset Tetap'!$AW$7:$AW$206,'Aset Tetap'!$U$7:$U$206,$B39,'Aset Tetap'!$W$7:$W$206,"Saldo Menurun")</f>
        <v>0</v>
      </c>
      <c r="H39" s="22">
        <f>F39+G39</f>
        <v>0</v>
      </c>
      <c r="I39" s="22">
        <f>SUMIFS('Aset Tetap'!$AZ$7:$AZ$206,'Aset Tetap'!$U$7:$U$206,$B39)</f>
        <v>0</v>
      </c>
    </row>
    <row r="40" spans="2:9" x14ac:dyDescent="0.25">
      <c r="B40" t="str">
        <f>Parameter!B17</f>
        <v>Bangunan Tidak Permanen</v>
      </c>
      <c r="C40" t="s">
        <v>224</v>
      </c>
      <c r="D40" s="22">
        <f>SUMIFS('Aset Tetap'!$AO$7:$AO$206,'Aset Tetap'!$U$7:$U$206,$B40)</f>
        <v>0</v>
      </c>
      <c r="E40" s="22">
        <f>SUMIFS('Aset Tetap'!$AL$7:$AL$206,'Aset Tetap'!$U$7:$U$206,$B40)-SUMIFS('Aset Tetap'!$AV$7:$AV$206,'Aset Tetap'!$U$7:$U$206,$B40)</f>
        <v>0</v>
      </c>
      <c r="F40" s="22">
        <f>SUMIFS('Aset Tetap'!$AW$7:$AW$206,'Aset Tetap'!$U$7:$U$206,$B40,'Aset Tetap'!$W$7:$W$206,"Garis Lurus")</f>
        <v>0</v>
      </c>
      <c r="G40" s="22">
        <f>SUMIFS('Aset Tetap'!$AW$7:$AW$206,'Aset Tetap'!$U$7:$U$206,$B40,'Aset Tetap'!$W$7:$W$206,"Saldo Menurun")</f>
        <v>0</v>
      </c>
      <c r="H40" s="22">
        <f>F40+G40</f>
        <v>0</v>
      </c>
      <c r="I40" s="22">
        <f>SUMIFS('Aset Tetap'!$AZ$7:$AZ$206,'Aset Tetap'!$U$7:$U$206,$B40)</f>
        <v>0</v>
      </c>
    </row>
    <row r="41" spans="2:9" x14ac:dyDescent="0.25">
      <c r="B41" t="str">
        <f>Parameter!B18</f>
        <v>Masa Manfaat Sebenarnya</v>
      </c>
      <c r="C41" t="s">
        <v>224</v>
      </c>
      <c r="D41" s="22">
        <f>SUMIFS('Aset Tetap'!$AO$7:$AO$206,'Aset Tetap'!$U$7:$U$206,$B41)</f>
        <v>0</v>
      </c>
      <c r="E41" s="22">
        <f>SUMIFS('Aset Tetap'!$AL$7:$AL$206,'Aset Tetap'!$U$7:$U$206,$B41)-SUMIFS('Aset Tetap'!$AV$7:$AV$206,'Aset Tetap'!$U$7:$U$206,$B41)</f>
        <v>0</v>
      </c>
      <c r="F41" s="22">
        <f>SUMIFS('Aset Tetap'!$AW$7:$AW$206,'Aset Tetap'!$U$7:$U$206,$B41,'Aset Tetap'!$W$7:$W$206,"Garis Lurus")</f>
        <v>0</v>
      </c>
      <c r="G41" s="22">
        <f>SUMIFS('Aset Tetap'!$AW$7:$AW$206,'Aset Tetap'!$U$7:$U$206,$B41,'Aset Tetap'!$W$7:$W$206,"Saldo Menurun")</f>
        <v>0</v>
      </c>
      <c r="H41" s="22">
        <f>F41+G41</f>
        <v>0</v>
      </c>
      <c r="I41" s="22">
        <f>SUMIFS('Aset Tetap'!$AZ$7:$AZ$206,'Aset Tetap'!$U$7:$U$206,$B41)</f>
        <v>0</v>
      </c>
    </row>
    <row r="42" spans="2:9" x14ac:dyDescent="0.25">
      <c r="B42" t="str">
        <f>Parameter!B19</f>
        <v>Tidak Disusutkan</v>
      </c>
      <c r="C42" t="s">
        <v>224</v>
      </c>
      <c r="D42" s="22">
        <f>SUMIFS('Aset Tetap'!$AO$7:$AO$206,'Aset Tetap'!$U$7:$U$206,$B42)</f>
        <v>0</v>
      </c>
      <c r="E42" s="22">
        <f>SUMIFS('Aset Tetap'!$AL$7:$AL$206,'Aset Tetap'!$U$7:$U$206,$B42)-SUMIFS('Aset Tetap'!$AV$7:$AV$206,'Aset Tetap'!$U$7:$U$206,$B42)</f>
        <v>0</v>
      </c>
      <c r="F42" s="22">
        <f>SUMIFS('Aset Tetap'!$AW$7:$AW$206,'Aset Tetap'!$U$7:$U$206,$B42,'Aset Tetap'!$W$7:$W$206,"Garis Lurus")</f>
        <v>0</v>
      </c>
      <c r="G42" s="22">
        <f>SUMIFS('Aset Tetap'!$AW$7:$AW$206,'Aset Tetap'!$U$7:$U$206,$B42,'Aset Tetap'!$W$7:$W$206,"Saldo Menurun")</f>
        <v>0</v>
      </c>
      <c r="H42" s="22">
        <f>F42+G42</f>
        <v>0</v>
      </c>
      <c r="I42" s="22">
        <f>SUMIFS('Aset Tetap'!$AZ$7:$AZ$206,'Aset Tetap'!$U$7:$U$206,$B42)</f>
        <v>0</v>
      </c>
    </row>
    <row r="43" spans="2:9" x14ac:dyDescent="0.25">
      <c r="B43" t="str">
        <f>Parameter!B12</f>
        <v>Kelompok 1</v>
      </c>
      <c r="C43" t="s">
        <v>225</v>
      </c>
      <c r="D43" s="22">
        <f>SUMIFS('Aset Takberwujud'!$AO$7:$AO$206,'Aset Takberwujud'!$U$7:$U$206,$B43)</f>
        <v>0</v>
      </c>
      <c r="E43" s="22">
        <f>SUMIFS('Aset Takberwujud'!$AL$7:$AL$206,'Aset Takberwujud'!$U$7:$U$206,$B43)-SUMIFS('Aset Takberwujud'!$AV$7:$AV$206,'Aset Takberwujud'!$U$7:$U$206,$B43)</f>
        <v>0</v>
      </c>
      <c r="F43" s="22">
        <f>SUMIFS('Aset Takberwujud'!$AW$7:$AW$206,'Aset Takberwujud'!$U$7:$U$206,$B43,'Aset Takberwujud'!$W$7:$W$206,"Garis Lurus")</f>
        <v>0</v>
      </c>
      <c r="G43" s="22">
        <f>SUMIFS('Aset Takberwujud'!$AW$7:$AW$206,'Aset Takberwujud'!$U$7:$U$206,$B43,'Aset Takberwujud'!$W$7:$W$206,"Saldo Menurun")</f>
        <v>0</v>
      </c>
      <c r="H43" s="22">
        <f>F43+G43</f>
        <v>0</v>
      </c>
      <c r="I43" s="22">
        <f>SUMIFS('Aset Takberwujud'!$AZ$7:$AZ$206,'Aset Takberwujud'!$U$7:$U$206,$B43)</f>
        <v>0</v>
      </c>
    </row>
    <row r="44" spans="2:9" x14ac:dyDescent="0.25">
      <c r="B44" t="str">
        <f>Parameter!B13</f>
        <v>Kelompok 2</v>
      </c>
      <c r="C44" t="s">
        <v>225</v>
      </c>
      <c r="D44" s="22">
        <f>SUMIFS('Aset Takberwujud'!$AO$7:$AO$206,'Aset Takberwujud'!$U$7:$U$206,$B44)</f>
        <v>0</v>
      </c>
      <c r="E44" s="22">
        <f>SUMIFS('Aset Takberwujud'!$AL$7:$AL$206,'Aset Takberwujud'!$U$7:$U$206,$B44)-SUMIFS('Aset Takberwujud'!$AV$7:$AV$206,'Aset Takberwujud'!$U$7:$U$206,$B44)</f>
        <v>0</v>
      </c>
      <c r="F44" s="22">
        <f>SUMIFS('Aset Takberwujud'!$AW$7:$AW$206,'Aset Takberwujud'!$U$7:$U$206,$B44,'Aset Takberwujud'!$W$7:$W$206,"Garis Lurus")</f>
        <v>0</v>
      </c>
      <c r="G44" s="22">
        <f>SUMIFS('Aset Takberwujud'!$AW$7:$AW$206,'Aset Takberwujud'!$U$7:$U$206,$B44,'Aset Takberwujud'!$W$7:$W$206,"Saldo Menurun")</f>
        <v>0</v>
      </c>
      <c r="H44" s="22">
        <f>F44+G44</f>
        <v>0</v>
      </c>
      <c r="I44" s="22">
        <f>SUMIFS('Aset Takberwujud'!$AZ$7:$AZ$206,'Aset Takberwujud'!$U$7:$U$206,$B44)</f>
        <v>0</v>
      </c>
    </row>
    <row r="45" spans="2:9" x14ac:dyDescent="0.25">
      <c r="B45" t="str">
        <f>Parameter!B14</f>
        <v>Kelompok 3</v>
      </c>
      <c r="C45" t="s">
        <v>225</v>
      </c>
      <c r="D45" s="22">
        <f>SUMIFS('Aset Takberwujud'!$AO$7:$AO$206,'Aset Takberwujud'!$U$7:$U$206,$B45)</f>
        <v>0</v>
      </c>
      <c r="E45" s="22">
        <f>SUMIFS('Aset Takberwujud'!$AL$7:$AL$206,'Aset Takberwujud'!$U$7:$U$206,$B45)-SUMIFS('Aset Takberwujud'!$AV$7:$AV$206,'Aset Takberwujud'!$U$7:$U$206,$B45)</f>
        <v>0</v>
      </c>
      <c r="F45" s="22">
        <f>SUMIFS('Aset Takberwujud'!$AW$7:$AW$206,'Aset Takberwujud'!$U$7:$U$206,$B45,'Aset Takberwujud'!$W$7:$W$206,"Garis Lurus")</f>
        <v>0</v>
      </c>
      <c r="G45" s="22">
        <f>SUMIFS('Aset Takberwujud'!$AW$7:$AW$206,'Aset Takberwujud'!$U$7:$U$206,$B45,'Aset Takberwujud'!$W$7:$W$206,"Saldo Menurun")</f>
        <v>0</v>
      </c>
      <c r="H45" s="22">
        <f>F45+G45</f>
        <v>0</v>
      </c>
      <c r="I45" s="22">
        <f>SUMIFS('Aset Takberwujud'!$AZ$7:$AZ$206,'Aset Takberwujud'!$U$7:$U$206,$B45)</f>
        <v>0</v>
      </c>
    </row>
    <row r="46" spans="2:9" x14ac:dyDescent="0.25">
      <c r="B46" t="str">
        <f>Parameter!B15</f>
        <v>Kelompok 4</v>
      </c>
      <c r="C46" t="s">
        <v>225</v>
      </c>
      <c r="D46" s="22">
        <f>SUMIFS('Aset Takberwujud'!$AO$7:$AO$206,'Aset Takberwujud'!$U$7:$U$206,$B46)</f>
        <v>0</v>
      </c>
      <c r="E46" s="22">
        <f>SUMIFS('Aset Takberwujud'!$AL$7:$AL$206,'Aset Takberwujud'!$U$7:$U$206,$B46)-SUMIFS('Aset Takberwujud'!$AV$7:$AV$206,'Aset Takberwujud'!$U$7:$U$206,$B46)</f>
        <v>0</v>
      </c>
      <c r="F46" s="22">
        <f>SUMIFS('Aset Takberwujud'!$AW$7:$AW$206,'Aset Takberwujud'!$U$7:$U$206,$B46,'Aset Takberwujud'!$W$7:$W$206,"Garis Lurus")</f>
        <v>0</v>
      </c>
      <c r="G46" s="22">
        <f>SUMIFS('Aset Takberwujud'!$AW$7:$AW$206,'Aset Takberwujud'!$U$7:$U$206,$B46,'Aset Takberwujud'!$W$7:$W$206,"Saldo Menurun")</f>
        <v>0</v>
      </c>
      <c r="H46" s="22">
        <f>F46+G46</f>
        <v>0</v>
      </c>
      <c r="I46" s="22">
        <f>SUMIFS('Aset Takberwujud'!$AZ$7:$AZ$206,'Aset Takberwujud'!$U$7:$U$206,$B46)</f>
        <v>0</v>
      </c>
    </row>
    <row r="47" spans="2:9" x14ac:dyDescent="0.25">
      <c r="B47" t="str">
        <f>Parameter!B16</f>
        <v>Bangunan Permanen</v>
      </c>
      <c r="C47" t="s">
        <v>225</v>
      </c>
      <c r="D47" s="22">
        <f>SUMIFS('Aset Takberwujud'!$AO$7:$AO$206,'Aset Takberwujud'!$U$7:$U$206,$B47)</f>
        <v>0</v>
      </c>
      <c r="E47" s="22">
        <f>SUMIFS('Aset Takberwujud'!$AL$7:$AL$206,'Aset Takberwujud'!$U$7:$U$206,$B47)-SUMIFS('Aset Takberwujud'!$AV$7:$AV$206,'Aset Takberwujud'!$U$7:$U$206,$B47)</f>
        <v>0</v>
      </c>
      <c r="F47" s="22">
        <f>SUMIFS('Aset Takberwujud'!$AW$7:$AW$206,'Aset Takberwujud'!$U$7:$U$206,$B47,'Aset Takberwujud'!$W$7:$W$206,"Garis Lurus")</f>
        <v>0</v>
      </c>
      <c r="G47" s="22">
        <f>SUMIFS('Aset Takberwujud'!$AW$7:$AW$206,'Aset Takberwujud'!$U$7:$U$206,$B47,'Aset Takberwujud'!$W$7:$W$206,"Saldo Menurun")</f>
        <v>0</v>
      </c>
      <c r="H47" s="22">
        <f>F47+G47</f>
        <v>0</v>
      </c>
      <c r="I47" s="22">
        <f>SUMIFS('Aset Takberwujud'!$AZ$7:$AZ$206,'Aset Takberwujud'!$U$7:$U$206,$B47)</f>
        <v>0</v>
      </c>
    </row>
    <row r="48" spans="2:9" x14ac:dyDescent="0.25">
      <c r="B48" t="str">
        <f>Parameter!B17</f>
        <v>Bangunan Tidak Permanen</v>
      </c>
      <c r="C48" t="s">
        <v>225</v>
      </c>
      <c r="D48" s="22">
        <f>SUMIFS('Aset Takberwujud'!$AO$7:$AO$206,'Aset Takberwujud'!$U$7:$U$206,$B48)</f>
        <v>0</v>
      </c>
      <c r="E48" s="22">
        <f>SUMIFS('Aset Takberwujud'!$AL$7:$AL$206,'Aset Takberwujud'!$U$7:$U$206,$B48)-SUMIFS('Aset Takberwujud'!$AV$7:$AV$206,'Aset Takberwujud'!$U$7:$U$206,$B48)</f>
        <v>0</v>
      </c>
      <c r="F48" s="22">
        <f>SUMIFS('Aset Takberwujud'!$AW$7:$AW$206,'Aset Takberwujud'!$U$7:$U$206,$B48,'Aset Takberwujud'!$W$7:$W$206,"Garis Lurus")</f>
        <v>0</v>
      </c>
      <c r="G48" s="22">
        <f>SUMIFS('Aset Takberwujud'!$AW$7:$AW$206,'Aset Takberwujud'!$U$7:$U$206,$B48,'Aset Takberwujud'!$W$7:$W$206,"Saldo Menurun")</f>
        <v>0</v>
      </c>
      <c r="H48" s="22">
        <f>F48+G48</f>
        <v>0</v>
      </c>
      <c r="I48" s="22">
        <f>SUMIFS('Aset Takberwujud'!$AZ$7:$AZ$206,'Aset Takberwujud'!$U$7:$U$206,$B48)</f>
        <v>0</v>
      </c>
    </row>
    <row r="49" spans="2:9" x14ac:dyDescent="0.25">
      <c r="B49" t="str">
        <f>Parameter!B18</f>
        <v>Masa Manfaat Sebenarnya</v>
      </c>
      <c r="C49" t="s">
        <v>225</v>
      </c>
      <c r="D49" s="22">
        <f>SUMIFS('Aset Takberwujud'!$AO$7:$AO$206,'Aset Takberwujud'!$U$7:$U$206,$B49)</f>
        <v>0</v>
      </c>
      <c r="E49" s="22">
        <f>SUMIFS('Aset Takberwujud'!$AL$7:$AL$206,'Aset Takberwujud'!$U$7:$U$206,$B49)-SUMIFS('Aset Takberwujud'!$AV$7:$AV$206,'Aset Takberwujud'!$U$7:$U$206,$B49)</f>
        <v>0</v>
      </c>
      <c r="F49" s="22">
        <f>SUMIFS('Aset Takberwujud'!$AW$7:$AW$206,'Aset Takberwujud'!$U$7:$U$206,$B49,'Aset Takberwujud'!$W$7:$W$206,"Garis Lurus")</f>
        <v>0</v>
      </c>
      <c r="G49" s="22">
        <f>SUMIFS('Aset Takberwujud'!$AW$7:$AW$206,'Aset Takberwujud'!$U$7:$U$206,$B49,'Aset Takberwujud'!$W$7:$W$206,"Saldo Menurun")</f>
        <v>0</v>
      </c>
      <c r="H49" s="22">
        <f>F49+G49</f>
        <v>0</v>
      </c>
      <c r="I49" s="22">
        <f>SUMIFS('Aset Takberwujud'!$AZ$7:$AZ$206,'Aset Takberwujud'!$U$7:$U$206,$B49)</f>
        <v>0</v>
      </c>
    </row>
    <row r="50" spans="2:9" x14ac:dyDescent="0.25">
      <c r="B50" t="str">
        <f>Parameter!B19</f>
        <v>Tidak Disusutkan</v>
      </c>
      <c r="C50" t="s">
        <v>225</v>
      </c>
      <c r="D50" s="22">
        <f>SUMIFS('Aset Takberwujud'!$AO$7:$AO$206,'Aset Takberwujud'!$U$7:$U$206,$B50)</f>
        <v>0</v>
      </c>
      <c r="E50" s="22">
        <f>SUMIFS('Aset Takberwujud'!$AL$7:$AL$206,'Aset Takberwujud'!$U$7:$U$206,$B50)-SUMIFS('Aset Takberwujud'!$AV$7:$AV$206,'Aset Takberwujud'!$U$7:$U$206,$B50)</f>
        <v>0</v>
      </c>
      <c r="F50" s="22">
        <f>SUMIFS('Aset Takberwujud'!$AW$7:$AW$206,'Aset Takberwujud'!$U$7:$U$206,$B50,'Aset Takberwujud'!$W$7:$W$206,"Garis Lurus")</f>
        <v>0</v>
      </c>
      <c r="G50" s="22">
        <f>SUMIFS('Aset Takberwujud'!$AW$7:$AW$206,'Aset Takberwujud'!$U$7:$U$206,$B50,'Aset Takberwujud'!$W$7:$W$206,"Saldo Menurun")</f>
        <v>0</v>
      </c>
      <c r="H50" s="22">
        <f>F50+G50</f>
        <v>0</v>
      </c>
      <c r="I50" s="22">
        <f>SUMIFS('Aset Takberwujud'!$AZ$7:$AZ$206,'Aset Takberwujud'!$U$7:$U$206,$B50)</f>
        <v>0</v>
      </c>
    </row>
    <row r="51" spans="2:9" x14ac:dyDescent="0.25">
      <c r="B51" s="23" t="s">
        <v>196</v>
      </c>
      <c r="C51" s="23"/>
      <c r="D51" s="24">
        <f>SUM(D35:D50)</f>
        <v>0</v>
      </c>
      <c r="E51" s="24">
        <f>SUM(E35:E50)</f>
        <v>0</v>
      </c>
      <c r="F51" s="24">
        <f>SUM(F35:F50)</f>
        <v>0</v>
      </c>
      <c r="G51" s="24">
        <f>SUM(G35:G50)</f>
        <v>0</v>
      </c>
      <c r="H51" s="24">
        <f>SUM(H35:H50)</f>
        <v>0</v>
      </c>
      <c r="I51" s="24">
        <f>SUM(I35:I50)</f>
        <v>0</v>
      </c>
    </row>
    <row r="53" spans="2:2" x14ac:dyDescent="0.25">
      <c r="B53" s="12" t="s">
        <v>226</v>
      </c>
    </row>
    <row r="54" spans="2:5" x14ac:dyDescent="0.25">
      <c r="B54" s="13" t="s">
        <v>227</v>
      </c>
      <c r="C54" s="13" t="s">
        <v>97</v>
      </c>
      <c r="D54" s="13" t="s">
        <v>114</v>
      </c>
      <c r="E54" s="13" t="s">
        <v>228</v>
      </c>
    </row>
    <row r="55" spans="2:5" x14ac:dyDescent="0.25">
      <c r="B55" s="14" t="s">
        <v>229</v>
      </c>
      <c r="C55" s="26">
        <f>'Aset Tetap'!AQ207</f>
        <v>0</v>
      </c>
      <c r="D55" s="26">
        <f>'Aset Takberwujud'!AQ207</f>
        <v>0</v>
      </c>
      <c r="E55" s="26">
        <f>C55+D55</f>
        <v>0</v>
      </c>
    </row>
    <row r="56" spans="2:5" x14ac:dyDescent="0.25">
      <c r="B56" s="14" t="s">
        <v>230</v>
      </c>
      <c r="C56" s="26">
        <f>'Aset Tetap'!AW207</f>
        <v>0</v>
      </c>
      <c r="D56" s="26">
        <f>'Aset Takberwujud'!AW207</f>
        <v>0</v>
      </c>
      <c r="E56" s="26">
        <f>C56+D56</f>
        <v>0</v>
      </c>
    </row>
    <row r="57" spans="2:5" x14ac:dyDescent="0.25">
      <c r="B57" s="14" t="s">
        <v>231</v>
      </c>
      <c r="C57" s="26">
        <f>'Aset Tetap'!BB207</f>
        <v>0</v>
      </c>
      <c r="D57" s="26">
        <f>'Aset Takberwujud'!BB207</f>
        <v>0</v>
      </c>
      <c r="E57" s="26">
        <f>C57+D57</f>
        <v>0</v>
      </c>
    </row>
    <row r="58" spans="2:5" x14ac:dyDescent="0.25">
      <c r="B58" s="14" t="s">
        <v>232</v>
      </c>
      <c r="C58" s="26">
        <f>'Aset Tetap'!AU207</f>
        <v>0</v>
      </c>
      <c r="D58" s="26">
        <f>'Aset Takberwujud'!AU207</f>
        <v>0</v>
      </c>
      <c r="E58" s="26">
        <f>C58+D58</f>
        <v>0</v>
      </c>
    </row>
    <row r="59" spans="2:5" x14ac:dyDescent="0.25">
      <c r="B59" s="14" t="s">
        <v>233</v>
      </c>
      <c r="C59" s="26">
        <f>'Aset Tetap'!BA207</f>
        <v>0</v>
      </c>
      <c r="D59" s="26">
        <f>'Aset Takberwujud'!BA207</f>
        <v>0</v>
      </c>
      <c r="E59" s="26">
        <f>C59+D59</f>
        <v>0</v>
      </c>
    </row>
    <row r="60" spans="2:5" x14ac:dyDescent="0.25">
      <c r="B60" s="14" t="s">
        <v>234</v>
      </c>
      <c r="C60" s="26">
        <f>'Aset Tetap'!BC207</f>
        <v>0</v>
      </c>
      <c r="D60" s="26">
        <f>'Aset Takberwujud'!BC207</f>
        <v>0</v>
      </c>
      <c r="E60" s="26">
        <f>C60+D60</f>
        <v>0</v>
      </c>
    </row>
    <row r="61" spans="2:5" x14ac:dyDescent="0.25">
      <c r="B61" s="27" t="s">
        <v>235</v>
      </c>
      <c r="C61" s="28">
        <f>'Aset Tetap'!BD207</f>
        <v>0</v>
      </c>
      <c r="D61" s="28">
        <f>'Aset Takberwujud'!BD207</f>
        <v>0</v>
      </c>
      <c r="E61" s="28">
        <f>C61+D61</f>
        <v>0</v>
      </c>
    </row>
    <row r="62" spans="2:5" x14ac:dyDescent="0.25">
      <c r="B62" s="14" t="s">
        <v>236</v>
      </c>
      <c r="C62" s="14" t="str">
        <f>IF(C61&gt;0,"Koreksi Positif",IF(C61&lt;0,"Koreksi Negatif","-"))</f>
        <v>-</v>
      </c>
      <c r="D62" s="14" t="str">
        <f>IF(D61&gt;0,"Koreksi Positif",IF(D61&lt;0,"Koreksi Negatif","-"))</f>
        <v>-</v>
      </c>
      <c r="E62" s="14" t="str">
        <f>IF(E61&gt;0,"Koreksi Positif",IF(E61&lt;0,"Koreksi Negatif","-"))</f>
        <v>-</v>
      </c>
    </row>
    <row r="63" spans="2:5" x14ac:dyDescent="0.25">
      <c r="B63" s="14"/>
      <c r="C63" s="14"/>
      <c r="D63" s="14"/>
      <c r="E63" s="14"/>
    </row>
    <row r="64" spans="2:5" x14ac:dyDescent="0.25">
      <c r="B64" s="14" t="s">
        <v>237</v>
      </c>
      <c r="C64" s="26">
        <f>'Aset Tetap'!BE207</f>
        <v>0</v>
      </c>
      <c r="D64" s="26">
        <f>'Aset Takberwujud'!BE207</f>
        <v>0</v>
      </c>
      <c r="E64" s="26">
        <f>C64+D64</f>
        <v>0</v>
      </c>
    </row>
    <row r="65" spans="2:5" x14ac:dyDescent="0.25">
      <c r="B65" s="14" t="s">
        <v>238</v>
      </c>
      <c r="C65" s="26">
        <f>'Aset Tetap'!BF207</f>
        <v>0</v>
      </c>
      <c r="D65" s="26">
        <f>'Aset Takberwujud'!BF207</f>
        <v>0</v>
      </c>
      <c r="E65" s="26">
        <f>C65+D65</f>
        <v>0</v>
      </c>
    </row>
    <row r="66" spans="2:5" x14ac:dyDescent="0.25">
      <c r="B66" s="14" t="s">
        <v>239</v>
      </c>
      <c r="C66" s="26">
        <f>ROUND(C64*TarifPPh,0)</f>
        <v>0</v>
      </c>
      <c r="D66" s="26">
        <f>ROUND(D64*TarifPPh,0)</f>
        <v>0</v>
      </c>
      <c r="E66" s="26">
        <f>C66+D66</f>
        <v>0</v>
      </c>
    </row>
    <row r="67" spans="2:5" x14ac:dyDescent="0.25">
      <c r="B67" s="14" t="s">
        <v>240</v>
      </c>
      <c r="C67" s="26">
        <f>ROUND(C65*TarifPPh,0)</f>
        <v>0</v>
      </c>
      <c r="D67" s="26">
        <f>ROUND(D65*TarifPPh,0)</f>
        <v>0</v>
      </c>
      <c r="E67" s="26">
        <f>C67+D67</f>
        <v>0</v>
      </c>
    </row>
    <row r="68" spans="2:5" x14ac:dyDescent="0.25">
      <c r="B68" s="27" t="s">
        <v>241</v>
      </c>
      <c r="C68" s="28">
        <f>C67-C66</f>
        <v>0</v>
      </c>
      <c r="D68" s="28">
        <f>D67-D66</f>
        <v>0</v>
      </c>
      <c r="E68" s="28">
        <f>C68+D68</f>
        <v>0</v>
      </c>
    </row>
    <row r="69" spans="2:5" x14ac:dyDescent="0.25">
      <c r="B69" s="14" t="s">
        <v>242</v>
      </c>
      <c r="C69" s="14" t="str">
        <f>IF(C67&gt;=0,"Liabilitas Pajak Tangguhan","Aset Pajak Tangguhan")</f>
        <v>Liabilitas Pajak Tangguhan</v>
      </c>
      <c r="D69" s="14" t="str">
        <f>IF(D67&gt;=0,"Liabilitas Pajak Tangguhan","Aset Pajak Tangguhan")</f>
        <v>Liabilitas Pajak Tangguhan</v>
      </c>
      <c r="E69" s="14" t="str">
        <f>IF(E67&gt;=0,"Liabilitas Pajak Tangguhan (neto)","Aset Pajak Tangguhan (neto)")</f>
        <v>Liabilitas Pajak Tangguhan (neto)</v>
      </c>
    </row>
    <row r="71" spans="2:2" x14ac:dyDescent="0.25">
      <c r="B71" s="12" t="s">
        <v>243</v>
      </c>
    </row>
    <row r="72" spans="2:5" x14ac:dyDescent="0.25">
      <c r="B72" s="13" t="s">
        <v>89</v>
      </c>
      <c r="C72" s="13" t="s">
        <v>244</v>
      </c>
      <c r="D72" s="13" t="s">
        <v>245</v>
      </c>
      <c r="E72" s="13" t="s">
        <v>246</v>
      </c>
    </row>
    <row r="73" spans="2:5" x14ac:dyDescent="0.25">
      <c r="B73" s="14" t="str">
        <f>IF(Parameter!B23="","",Parameter!B23)</f>
        <v>Tanah</v>
      </c>
      <c r="C73" s="14" t="str">
        <f>IF($B73="","",Parameter!G23)</f>
        <v>-</v>
      </c>
      <c r="D73" s="14" t="str">
        <f>IF($B73="","",Parameter!H23)</f>
        <v>-</v>
      </c>
      <c r="E73" s="26">
        <f>IF($B73="","",SUMIFS('Aset Tetap'!$AQ$7:$AQ$206,'Aset Tetap'!$D$7:$D$206,$B73)+SUMIFS('Aset Takberwujud'!$AQ$7:$AQ$206,'Aset Takberwujud'!$D$7:$D$206,$B73))</f>
        <v>0</v>
      </c>
    </row>
    <row r="74" spans="2:5" x14ac:dyDescent="0.25">
      <c r="B74" s="14" t="str">
        <f>IF(Parameter!B24="","",Parameter!B24)</f>
        <v>Bangunan</v>
      </c>
      <c r="C74" s="14" t="str">
        <f>IF($B74="","",Parameter!G24)</f>
        <v>Beban Penyusutan - Bangunan</v>
      </c>
      <c r="D74" s="14" t="str">
        <f>IF($B74="","",Parameter!H24)</f>
        <v>Akumulasi Penyusutan - Bangunan</v>
      </c>
      <c r="E74" s="26">
        <f>IF($B74="","",SUMIFS('Aset Tetap'!$AQ$7:$AQ$206,'Aset Tetap'!$D$7:$D$206,$B74)+SUMIFS('Aset Takberwujud'!$AQ$7:$AQ$206,'Aset Takberwujud'!$D$7:$D$206,$B74))</f>
        <v>0</v>
      </c>
    </row>
    <row r="75" spans="2:5" x14ac:dyDescent="0.25">
      <c r="B75" s="14" t="str">
        <f>IF(Parameter!B25="","",Parameter!B25)</f>
        <v>Kendaraan</v>
      </c>
      <c r="C75" s="14" t="str">
        <f>IF($B75="","",Parameter!G25)</f>
        <v>Beban Penyusutan - Kendaraan</v>
      </c>
      <c r="D75" s="14" t="str">
        <f>IF($B75="","",Parameter!H25)</f>
        <v>Akumulasi Penyusutan - Kendaraan</v>
      </c>
      <c r="E75" s="26">
        <f>IF($B75="","",SUMIFS('Aset Tetap'!$AQ$7:$AQ$206,'Aset Tetap'!$D$7:$D$206,$B75)+SUMIFS('Aset Takberwujud'!$AQ$7:$AQ$206,'Aset Takberwujud'!$D$7:$D$206,$B75))</f>
        <v>0</v>
      </c>
    </row>
    <row r="76" spans="2:5" x14ac:dyDescent="0.25">
      <c r="B76" s="14" t="str">
        <f>IF(Parameter!B26="","",Parameter!B26)</f>
        <v>Mesin &amp; Peralatan</v>
      </c>
      <c r="C76" s="14" t="str">
        <f>IF($B76="","",Parameter!G26)</f>
        <v>Beban Penyusutan - Mesin &amp; Peralatan</v>
      </c>
      <c r="D76" s="14" t="str">
        <f>IF($B76="","",Parameter!H26)</f>
        <v>Akumulasi Penyusutan - Mesin &amp; Peralatan</v>
      </c>
      <c r="E76" s="26">
        <f>IF($B76="","",SUMIFS('Aset Tetap'!$AQ$7:$AQ$206,'Aset Tetap'!$D$7:$D$206,$B76)+SUMIFS('Aset Takberwujud'!$AQ$7:$AQ$206,'Aset Takberwujud'!$D$7:$D$206,$B76))</f>
        <v>0</v>
      </c>
    </row>
    <row r="77" spans="2:5" x14ac:dyDescent="0.25">
      <c r="B77" s="14" t="str">
        <f>IF(Parameter!B27="","",Parameter!B27)</f>
        <v>Komputer &amp; IT</v>
      </c>
      <c r="C77" s="14" t="str">
        <f>IF($B77="","",Parameter!G27)</f>
        <v>Beban Penyusutan - Komputer &amp; IT</v>
      </c>
      <c r="D77" s="14" t="str">
        <f>IF($B77="","",Parameter!H27)</f>
        <v>Akumulasi Penyusutan - Komputer &amp; IT</v>
      </c>
      <c r="E77" s="26">
        <f>IF($B77="","",SUMIFS('Aset Tetap'!$AQ$7:$AQ$206,'Aset Tetap'!$D$7:$D$206,$B77)+SUMIFS('Aset Takberwujud'!$AQ$7:$AQ$206,'Aset Takberwujud'!$D$7:$D$206,$B77))</f>
        <v>0</v>
      </c>
    </row>
    <row r="78" spans="2:5" x14ac:dyDescent="0.25">
      <c r="B78" s="14" t="str">
        <f>IF(Parameter!B28="","",Parameter!B28)</f>
        <v>Inventaris Kantor</v>
      </c>
      <c r="C78" s="14" t="str">
        <f>IF($B78="","",Parameter!G28)</f>
        <v>Beban Penyusutan - Inventaris Kantor</v>
      </c>
      <c r="D78" s="14" t="str">
        <f>IF($B78="","",Parameter!H28)</f>
        <v>Akumulasi Penyusutan - Inventaris Kantor</v>
      </c>
      <c r="E78" s="26">
        <f>IF($B78="","",SUMIFS('Aset Tetap'!$AQ$7:$AQ$206,'Aset Tetap'!$D$7:$D$206,$B78)+SUMIFS('Aset Takberwujud'!$AQ$7:$AQ$206,'Aset Takberwujud'!$D$7:$D$206,$B78))</f>
        <v>0</v>
      </c>
    </row>
    <row r="79" spans="2:5" x14ac:dyDescent="0.25">
      <c r="B79" s="14" t="str">
        <f>IF(Parameter!B29="","",Parameter!B29)</f>
        <v/>
      </c>
      <c r="C79" s="14" t="str">
        <f>IF($B79="","",Parameter!G29)</f>
        <v/>
      </c>
      <c r="D79" s="14" t="str">
        <f>IF($B79="","",Parameter!H29)</f>
        <v/>
      </c>
      <c r="E79" s="26" t="str">
        <f>IF($B79="","",SUMIFS('Aset Tetap'!$AQ$7:$AQ$206,'Aset Tetap'!$D$7:$D$206,$B79)+SUMIFS('Aset Takberwujud'!$AQ$7:$AQ$206,'Aset Takberwujud'!$D$7:$D$206,$B79))</f>
        <v/>
      </c>
    </row>
    <row r="80" spans="2:5" x14ac:dyDescent="0.25">
      <c r="B80" s="14" t="str">
        <f>IF(Parameter!B30="","",Parameter!B30)</f>
        <v/>
      </c>
      <c r="C80" s="14" t="str">
        <f>IF($B80="","",Parameter!G30)</f>
        <v/>
      </c>
      <c r="D80" s="14" t="str">
        <f>IF($B80="","",Parameter!H30)</f>
        <v/>
      </c>
      <c r="E80" s="26" t="str">
        <f>IF($B80="","",SUMIFS('Aset Tetap'!$AQ$7:$AQ$206,'Aset Tetap'!$D$7:$D$206,$B80)+SUMIFS('Aset Takberwujud'!$AQ$7:$AQ$206,'Aset Takberwujud'!$D$7:$D$206,$B80))</f>
        <v/>
      </c>
    </row>
    <row r="81" spans="2:5" x14ac:dyDescent="0.25">
      <c r="B81" s="14" t="str">
        <f>IF(Parameter!B31="","",Parameter!B31)</f>
        <v/>
      </c>
      <c r="C81" s="14" t="str">
        <f>IF($B81="","",Parameter!G31)</f>
        <v/>
      </c>
      <c r="D81" s="14" t="str">
        <f>IF($B81="","",Parameter!H31)</f>
        <v/>
      </c>
      <c r="E81" s="26" t="str">
        <f>IF($B81="","",SUMIFS('Aset Tetap'!$AQ$7:$AQ$206,'Aset Tetap'!$D$7:$D$206,$B81)+SUMIFS('Aset Takberwujud'!$AQ$7:$AQ$206,'Aset Takberwujud'!$D$7:$D$206,$B81))</f>
        <v/>
      </c>
    </row>
    <row r="82" spans="2:5" x14ac:dyDescent="0.25">
      <c r="B82" s="14" t="str">
        <f>IF(Parameter!B32="","",Parameter!B32)</f>
        <v/>
      </c>
      <c r="C82" s="14" t="str">
        <f>IF($B82="","",Parameter!G32)</f>
        <v/>
      </c>
      <c r="D82" s="14" t="str">
        <f>IF($B82="","",Parameter!H32)</f>
        <v/>
      </c>
      <c r="E82" s="26" t="str">
        <f>IF($B82="","",SUMIFS('Aset Tetap'!$AQ$7:$AQ$206,'Aset Tetap'!$D$7:$D$206,$B82)+SUMIFS('Aset Takberwujud'!$AQ$7:$AQ$206,'Aset Takberwujud'!$D$7:$D$206,$B82))</f>
        <v/>
      </c>
    </row>
    <row r="83" spans="2:5" x14ac:dyDescent="0.25">
      <c r="B83" s="14" t="str">
        <f>IF(Parameter!B33="","",Parameter!B33)</f>
        <v>Perangkat Lunak</v>
      </c>
      <c r="C83" s="14" t="str">
        <f>IF($B83="","",Parameter!G33)</f>
        <v>Beban Amortisasi - Perangkat Lunak</v>
      </c>
      <c r="D83" s="14" t="str">
        <f>IF($B83="","",Parameter!H33)</f>
        <v>Akumulasi Amortisasi - Perangkat Lunak</v>
      </c>
      <c r="E83" s="26">
        <f>IF($B83="","",SUMIFS('Aset Tetap'!$AQ$7:$AQ$206,'Aset Tetap'!$D$7:$D$206,$B83)+SUMIFS('Aset Takberwujud'!$AQ$7:$AQ$206,'Aset Takberwujud'!$D$7:$D$206,$B83))</f>
        <v>0</v>
      </c>
    </row>
    <row r="84" spans="2:5" x14ac:dyDescent="0.25">
      <c r="B84" s="14" t="str">
        <f>IF(Parameter!B34="","",Parameter!B34)</f>
        <v>Lisensi &amp; Waralaba</v>
      </c>
      <c r="C84" s="14" t="str">
        <f>IF($B84="","",Parameter!G34)</f>
        <v>Beban Amortisasi - Lisensi &amp; Waralaba</v>
      </c>
      <c r="D84" s="14" t="str">
        <f>IF($B84="","",Parameter!H34)</f>
        <v>Akumulasi Amortisasi - Lisensi &amp; Waralaba</v>
      </c>
      <c r="E84" s="26">
        <f>IF($B84="","",SUMIFS('Aset Tetap'!$AQ$7:$AQ$206,'Aset Tetap'!$D$7:$D$206,$B84)+SUMIFS('Aset Takberwujud'!$AQ$7:$AQ$206,'Aset Takberwujud'!$D$7:$D$206,$B84))</f>
        <v>0</v>
      </c>
    </row>
    <row r="85" spans="2:5" x14ac:dyDescent="0.25">
      <c r="B85" s="14" t="str">
        <f>IF(Parameter!B35="","",Parameter!B35)</f>
        <v>Hak Paten</v>
      </c>
      <c r="C85" s="14" t="str">
        <f>IF($B85="","",Parameter!G35)</f>
        <v>Beban Amortisasi - Hak Paten</v>
      </c>
      <c r="D85" s="14" t="str">
        <f>IF($B85="","",Parameter!H35)</f>
        <v>Akumulasi Amortisasi - Hak Paten</v>
      </c>
      <c r="E85" s="26">
        <f>IF($B85="","",SUMIFS('Aset Tetap'!$AQ$7:$AQ$206,'Aset Tetap'!$D$7:$D$206,$B85)+SUMIFS('Aset Takberwujud'!$AQ$7:$AQ$206,'Aset Takberwujud'!$D$7:$D$206,$B85))</f>
        <v>0</v>
      </c>
    </row>
    <row r="86" spans="2:5" x14ac:dyDescent="0.25">
      <c r="B86" s="14" t="str">
        <f>IF(Parameter!B36="","",Parameter!B36)</f>
        <v>Merek Dagang</v>
      </c>
      <c r="C86" s="14" t="str">
        <f>IF($B86="","",Parameter!G36)</f>
        <v>Beban Amortisasi - Merek Dagang</v>
      </c>
      <c r="D86" s="14" t="str">
        <f>IF($B86="","",Parameter!H36)</f>
        <v>Akumulasi Amortisasi - Merek Dagang</v>
      </c>
      <c r="E86" s="26">
        <f>IF($B86="","",SUMIFS('Aset Tetap'!$AQ$7:$AQ$206,'Aset Tetap'!$D$7:$D$206,$B86)+SUMIFS('Aset Takberwujud'!$AQ$7:$AQ$206,'Aset Takberwujud'!$D$7:$D$206,$B86))</f>
        <v>0</v>
      </c>
    </row>
    <row r="87" spans="2:5" x14ac:dyDescent="0.25">
      <c r="B87" s="14" t="str">
        <f>IF(Parameter!B37="","",Parameter!B37)</f>
        <v>Goodwill</v>
      </c>
      <c r="C87" s="14" t="str">
        <f>IF($B87="","",Parameter!G37)</f>
        <v>Beban Amortisasi - Goodwill</v>
      </c>
      <c r="D87" s="14" t="str">
        <f>IF($B87="","",Parameter!H37)</f>
        <v>Akumulasi Amortisasi - Goodwill</v>
      </c>
      <c r="E87" s="26">
        <f>IF($B87="","",SUMIFS('Aset Tetap'!$AQ$7:$AQ$206,'Aset Tetap'!$D$7:$D$206,$B87)+SUMIFS('Aset Takberwujud'!$AQ$7:$AQ$206,'Aset Takberwujud'!$D$7:$D$206,$B87))</f>
        <v>0</v>
      </c>
    </row>
    <row r="88" spans="2:5" x14ac:dyDescent="0.25">
      <c r="B88" s="14" t="str">
        <f>IF(Parameter!B38="","",Parameter!B38)</f>
        <v/>
      </c>
      <c r="C88" s="14" t="str">
        <f>IF($B88="","",Parameter!G38)</f>
        <v/>
      </c>
      <c r="D88" s="14" t="str">
        <f>IF($B88="","",Parameter!H38)</f>
        <v/>
      </c>
      <c r="E88" s="26" t="str">
        <f>IF($B88="","",SUMIFS('Aset Tetap'!$AQ$7:$AQ$206,'Aset Tetap'!$D$7:$D$206,$B88)+SUMIFS('Aset Takberwujud'!$AQ$7:$AQ$206,'Aset Takberwujud'!$D$7:$D$206,$B88))</f>
        <v/>
      </c>
    </row>
    <row r="89" spans="2:5" x14ac:dyDescent="0.25">
      <c r="B89" s="14" t="str">
        <f>IF(Parameter!B39="","",Parameter!B39)</f>
        <v/>
      </c>
      <c r="C89" s="14" t="str">
        <f>IF($B89="","",Parameter!G39)</f>
        <v/>
      </c>
      <c r="D89" s="14" t="str">
        <f>IF($B89="","",Parameter!H39)</f>
        <v/>
      </c>
      <c r="E89" s="26" t="str">
        <f>IF($B89="","",SUMIFS('Aset Tetap'!$AQ$7:$AQ$206,'Aset Tetap'!$D$7:$D$206,$B89)+SUMIFS('Aset Takberwujud'!$AQ$7:$AQ$206,'Aset Takberwujud'!$D$7:$D$206,$B89))</f>
        <v/>
      </c>
    </row>
    <row r="90" spans="2:5" x14ac:dyDescent="0.25">
      <c r="B90" s="14" t="str">
        <f>IF(Parameter!B40="","",Parameter!B40)</f>
        <v/>
      </c>
      <c r="C90" s="14" t="str">
        <f>IF($B90="","",Parameter!G40)</f>
        <v/>
      </c>
      <c r="D90" s="14" t="str">
        <f>IF($B90="","",Parameter!H40)</f>
        <v/>
      </c>
      <c r="E90" s="26" t="str">
        <f>IF($B90="","",SUMIFS('Aset Tetap'!$AQ$7:$AQ$206,'Aset Tetap'!$D$7:$D$206,$B90)+SUMIFS('Aset Takberwujud'!$AQ$7:$AQ$206,'Aset Takberwujud'!$D$7:$D$206,$B90))</f>
        <v/>
      </c>
    </row>
    <row r="91" spans="2:5" x14ac:dyDescent="0.25">
      <c r="B91" s="14" t="str">
        <f>IF(Parameter!B41="","",Parameter!B41)</f>
        <v/>
      </c>
      <c r="C91" s="14" t="str">
        <f>IF($B91="","",Parameter!G41)</f>
        <v/>
      </c>
      <c r="D91" s="14" t="str">
        <f>IF($B91="","",Parameter!H41)</f>
        <v/>
      </c>
      <c r="E91" s="26" t="str">
        <f>IF($B91="","",SUMIFS('Aset Tetap'!$AQ$7:$AQ$206,'Aset Tetap'!$D$7:$D$206,$B91)+SUMIFS('Aset Takberwujud'!$AQ$7:$AQ$206,'Aset Takberwujud'!$D$7:$D$206,$B91))</f>
        <v/>
      </c>
    </row>
    <row r="92" spans="2:5" x14ac:dyDescent="0.25">
      <c r="B92" s="14" t="str">
        <f>IF(Parameter!B42="","",Parameter!B42)</f>
        <v/>
      </c>
      <c r="C92" s="14" t="str">
        <f>IF($B92="","",Parameter!G42)</f>
        <v/>
      </c>
      <c r="D92" s="14" t="str">
        <f>IF($B92="","",Parameter!H42)</f>
        <v/>
      </c>
      <c r="E92" s="26" t="str">
        <f>IF($B92="","",SUMIFS('Aset Tetap'!$AQ$7:$AQ$206,'Aset Tetap'!$D$7:$D$206,$B92)+SUMIFS('Aset Takberwujud'!$AQ$7:$AQ$206,'Aset Takberwujud'!$D$7:$D$206,$B92))</f>
        <v/>
      </c>
    </row>
    <row r="93" spans="2:5" x14ac:dyDescent="0.25">
      <c r="B93" s="29" t="s">
        <v>247</v>
      </c>
      <c r="C93" s="14"/>
      <c r="D93" s="14"/>
      <c r="E93" s="30">
        <f>SUM(E73:E92)</f>
        <v>0</v>
      </c>
    </row>
    <row r="94" spans="2:5" x14ac:dyDescent="0.25">
      <c r="B94" s="14" t="s">
        <v>248</v>
      </c>
      <c r="C94" s="14"/>
      <c r="D94" s="14"/>
      <c r="E94" s="26">
        <f>ROUND(E93-E55,0)</f>
        <v>0</v>
      </c>
    </row>
    <row r="95" spans="2:5" x14ac:dyDescent="0.25">
      <c r="B95" s="14"/>
      <c r="C95" s="14"/>
      <c r="D95" s="14"/>
      <c r="E95" s="14"/>
    </row>
    <row r="96" spans="2:5" x14ac:dyDescent="0.25">
      <c r="B96" s="14" t="s">
        <v>249</v>
      </c>
      <c r="C96" s="14" t="str">
        <f>IF(E68&gt;=0,"Beban Pajak Tangguhan","Aset/Liabilitas Pajak Tangguhan")</f>
        <v>Beban Pajak Tangguhan</v>
      </c>
      <c r="D96" s="14" t="str">
        <f>IF(E68&gt;=0,"Liabilitas/Aset Pajak Tangguhan","Manfaat Pajak Tangguhan")</f>
        <v>Liabilitas/Aset Pajak Tangguhan</v>
      </c>
      <c r="E96" s="26">
        <f>ABS(E68)</f>
        <v>0</v>
      </c>
    </row>
    <row r="97" spans="2:2" x14ac:dyDescent="0.25">
      <c r="B97" s="2" t="s">
        <v>250</v>
      </c>
    </row>
    <row r="99" spans="2:2" x14ac:dyDescent="0.25">
      <c r="B99" s="12" t="s">
        <v>251</v>
      </c>
    </row>
    <row r="100" spans="2:4" x14ac:dyDescent="0.25">
      <c r="B100" s="13" t="s">
        <v>252</v>
      </c>
      <c r="C100" s="13" t="s">
        <v>253</v>
      </c>
      <c r="D100" s="13" t="s">
        <v>254</v>
      </c>
    </row>
    <row r="101" spans="2:2" x14ac:dyDescent="0.25">
      <c r="B101" t="s">
        <v>255</v>
      </c>
    </row>
  </sheetData>
  <pageSetup paperSize="9" orientation="landscape" fitToWidth="1" fitToHeight="0"/>
  <headerFooter>
    <oddFooter>&amp;LKAP Sutrisno Hendrawanto Sukardi dan Rekan&amp;R&amp;P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Panduan</vt:lpstr>
      <vt:lpstr>Parameter</vt:lpstr>
      <vt:lpstr>Aset Tetap</vt:lpstr>
      <vt:lpstr>Aset Takberwujud</vt:lpstr>
      <vt:lpstr>Jadwal Bulanan</vt:lpstr>
      <vt:lpstr>Rekap &amp; Jurnal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SHSDesk</dc:creator>
  <dc:title/>
  <dc:subject/>
  <dc:description/>
  <cp:keywords/>
  <cp:category/>
  <cp:lastModifiedBy>Unknown</cp:lastModifiedBy>
  <dcterms:created xsi:type="dcterms:W3CDTF">2026-10-12T23:29:02Z</dcterms:created>
  <dcterms:modified xsi:type="dcterms:W3CDTF">2026-10-12T23:29:02Z</dcterms:modified>
</cp:coreProperties>
</file>